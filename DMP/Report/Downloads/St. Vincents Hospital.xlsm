
<file path=[Content_Types].xml><?xml version="1.0" encoding="utf-8"?>
<Types xmlns="http://schemas.openxmlformats.org/package/2006/content-types">
  <Default ContentType="application/vnd.openxmlformats-officedocument.spreadsheetml.printerSettings" Extension="bin"/>
  <Default ContentType="application/vnd.openxmlformats-package.relationships+xml" Extension="rels"/>
  <Default ContentType="application/xml" Extension="xml"/>
  <Default ContentType="application/vnd.openxmlformats-officedocument.vmlDrawing" Extension="vml"/>
  <Default ContentType="image/jpeg" Extension="jpg"/>
  <Override ContentType="application/vnd.ms-excel.sheet.macroEnabled.main+xml" PartName="/xl/workbook.xml"/>
  <Override ContentType="application/vnd.openxmlformats-officedocument.spreadsheetml.worksheet+xml" PartName="/xl/worksheets/sheet1.xml"/>
  <Override ContentType="application/vnd.openxmlformats-officedocument.spreadsheetml.worksheet+xml" PartName="/xl/worksheets/sheet2.xml"/>
  <Override ContentType="application/vnd.openxmlformats-officedocument.spreadsheetml.worksheet+xml" PartName="/xl/worksheets/sheet3.xml"/>
  <Override ContentType="application/vnd.openxmlformats-officedocument.spreadsheetml.worksheet+xml" PartName="/xl/worksheets/sheet4.xml"/>
  <Override ContentType="application/vnd.openxmlformats-officedocument.spreadsheetml.worksheet+xml" PartName="/xl/worksheets/sheet5.xml"/>
  <Override ContentType="application/vnd.openxmlformats-officedocument.spreadsheetml.worksheet+xml" PartName="/xl/worksheets/sheet6.xml"/>
  <Override ContentType="application/vnd.openxmlformats-officedocument.spreadsheetml.externalLink+xml" PartName="/xl/externalLinks/externalLink1.xml"/>
  <Override ContentType="application/vnd.openxmlformats-officedocument.spreadsheetml.externalLink+xml" PartName="/xl/externalLinks/externalLink2.xml"/>
  <Override ContentType="application/vnd.openxmlformats-officedocument.spreadsheetml.externalLink+xml" PartName="/xl/externalLinks/externalLink3.xml"/>
  <Override ContentType="application/vnd.openxmlformats-officedocument.theme+xml" PartName="/xl/theme/theme1.xml"/>
  <Override ContentType="application/vnd.openxmlformats-officedocument.spreadsheetml.styles+xml" PartName="/xl/styles.xml"/>
  <Override ContentType="application/vnd.openxmlformats-officedocument.drawing+xml" PartName="/xl/drawings/drawing1.xml"/>
  <Override ContentType="application/vnd.ms-excel.controlproperties+xml" PartName="/xl/ctrlProps/ctrlProp1.xml"/>
  <Override ContentType="application/vnd.openxmlformats-officedocument.drawingml.chart+xml" PartName="/xl/charts/chart1.xml"/>
  <Override ContentType="application/vnd.ms-office.chartstyle+xml" PartName="/xl/charts/style1.xml"/>
  <Override ContentType="application/vnd.ms-office.chartcolorstyle+xml" PartName="/xl/charts/colors1.xml"/>
  <Override ContentType="application/vnd.openxmlformats-officedocument.drawing+xml" PartName="/xl/drawings/drawing2.xml"/>
  <Override ContentType="application/vnd.openxmlformats-officedocument.spreadsheetml.sharedStrings+xml" PartName="/xl/sharedStrings.xml"/>
  <Override ContentType="application/vnd.ms-office.vbaProject" PartName="/xl/vbaProject.bin"/>
  <Override ContentType="application/vnd.openxmlformats-package.core-properties+xml" PartName="/docProps/core.xml"/>
  <Override ContentType="application/vnd.openxmlformats-officedocument.extended-properties+xml" PartName="/docProps/app.xml"/>
</Types>
</file>

<file path=_rels/.rels><?xml version="1.0" encoding="UTF-8" standalone="yes"?><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defaultThemeVersion="153222"/>
  <mc:AlternateContent xmlns:mc="http://schemas.openxmlformats.org/markup-compatibility/2006">
    <mc:Choice Requires="x15">
      <x15ac:absPath xmlns:x15ac="http://schemas.microsoft.com/office/spreadsheetml/2010/11/ac" url="C:\Users\cmadubuko\Google Drive\MGIC\Project\ShieldPortal\DMP\Report\Template\"/>
    </mc:Choice>
  </mc:AlternateContent>
  <bookViews>
    <workbookView xWindow="0" yWindow="0" windowWidth="28800" windowHeight="12710" activeTab="2"/>
  </bookViews>
  <sheets>
    <sheet name="DQA Summary (Map to Quest Ans)" sheetId="12" r:id="rId1"/>
    <sheet name="Worksheet" sheetId="11" r:id="rId2"/>
    <sheet name="All Questions" sheetId="10" r:id="rId3"/>
    <sheet name="CDC DQA" sheetId="1" state="hidden" r:id="rId4"/>
    <sheet name="DQ Dimensions" sheetId="7" state="hidden" r:id="rId5"/>
    <sheet name="Data_donotedit" sheetId="9" r:id="rId6"/>
  </sheets>
  <externalReferences>
    <externalReference r:id="rId7"/>
    <externalReference r:id="rId8"/>
    <externalReference r:id="rId9"/>
  </externalReferences>
  <definedNames>
    <definedName name="Abia">'Data_donotedit'!$I$2:$I$18</definedName>
    <definedName name="Adamawa">'Data_donotedit'!$J$2:$J$22</definedName>
    <definedName name="AHNI">'Data_donotedit'!$D$2:$D$3</definedName>
    <definedName name="AHNIogAdoOdo">'Data_donotedit'!$AY$2:$AY$4</definedName>
    <definedName name="AHNIogIpokia">'Data_donotedit'!$AY$5:$AY$6</definedName>
    <definedName name="AHNIOgun">'Data_donotedit'!$E$2:$E$5</definedName>
    <definedName name="AHNIogYewaNorth">'Data_donotedit'!$AY$7:$AY$10</definedName>
    <definedName name="AHNIoyAtisbo">'Data_donotedit'!$AY$11:$AY$16</definedName>
    <definedName name="AHNIoyIrepo">'Data_donotedit'!$AY$17:$AY$20</definedName>
    <definedName name="AHNIoyIseyin">'Data_donotedit'!$AY$21:$AY$26</definedName>
    <definedName name="AHNIoyKajola">'Data_donotedit'!$AY$30:$AY$34</definedName>
    <definedName name="AHNIOyo">'Data_donotedit'!$E$6:$E$14</definedName>
    <definedName name="AHNIoyOgoOluwa">'Data_donotedit'!$AY$35:$AY$36</definedName>
    <definedName name="AHNIoyOlorunsogo">'Data_donotedit'!$AY$37:$AY$38</definedName>
    <definedName name="AHNIoyOrelope">'Data_donotedit'!$AY$39:$AY$40</definedName>
    <definedName name="AHNIoyOriIre">'Data_donotedit'!$AY$41</definedName>
    <definedName name="AHNIoySakiEast">'Data_donotedit'!$AY$42:$AY$44</definedName>
    <definedName name="AkwaIbom">'Data_donotedit'!$K$2:$K$32</definedName>
    <definedName name="Anambra">'Data_donotedit'!$L$2:$L$21</definedName>
    <definedName name="ANDONI">'Data_donotedit'!$AO$6:$AO$24</definedName>
    <definedName name="APIN">'Data_donotedit'!$D$4:$D$6</definedName>
    <definedName name="APINlaAlimosho">'Data_donotedit'!$AY$45:$AY$85</definedName>
    <definedName name="APINlaAmuwoOdofin">'Data_donotedit'!$AY$86:$AY$94</definedName>
    <definedName name="APINlaEpe">'Data_donotedit'!$AY$95:$AY$98</definedName>
    <definedName name="APINlaEtiOsa">'Data_donotedit'!$AY$99:$AY$105</definedName>
    <definedName name="APINLagos">'Data_donotedit'!$E$16:$E$25</definedName>
    <definedName name="APINlaIbeju">'Data_donotedit'!$AY$106:$AY$109</definedName>
    <definedName name="APINlaIfakoIjaiye">'Data_donotedit'!$AY$110:$AY$121</definedName>
    <definedName name="APINlaIkeja">'Data_donotedit'!$AY$122:$AY$137</definedName>
    <definedName name="APINlaIkorodu">'Data_donotedit'!$AY$138:$AY$146</definedName>
    <definedName name="APINlaMushin">'Data_donotedit'!$AY$147:$AY$160</definedName>
    <definedName name="APINlaOshodiIsolo">'Data_donotedit'!$AY$161:$AY$174</definedName>
    <definedName name="APINoyAfijio">'Data_donotedit'!$AY$175</definedName>
    <definedName name="APINoyAkinyele">'Data_donotedit'!$AY$176</definedName>
    <definedName name="APINoyAtiba">'Data_donotedit'!$AY$177</definedName>
    <definedName name="APINoyIbadanNorth">'Data_donotedit'!$AY$178:$AY$182</definedName>
    <definedName name="APINoyIbadanNorthEast">'Data_donotedit'!$AY$183:$AY$184</definedName>
    <definedName name="APINoyIbadanNorthWest">'Data_donotedit'!$AY$185:$AY$186</definedName>
    <definedName name="APINoyIbadanSouthEast">'Data_donotedit'!$AY$187:$AY$192</definedName>
    <definedName name="APINoyIbadanSouthWest">'Data_donotedit'!$AY$193:$AY$194</definedName>
    <definedName name="APINoyIbarapaCentral">'Data_donotedit'!$AY$195</definedName>
    <definedName name="APINoyIdo">'Data_donotedit'!$AY$196</definedName>
    <definedName name="APINoyItesiwaju">'Data_donotedit'!$AY$197:$AY$198</definedName>
    <definedName name="APINoyLagelu">'Data_donotedit'!$AY$199:$AY$200</definedName>
    <definedName name="APINOyo">'Data_donotedit'!$E$26:$E$45</definedName>
    <definedName name="APINoyOgbomosoNorth">'Data_donotedit'!$AY$201:$AY$202</definedName>
    <definedName name="APINoyOgbomosoSouth">'Data_donotedit'!$AY$203</definedName>
    <definedName name="APINoyOluyole">'Data_donotedit'!$AY$204</definedName>
    <definedName name="APINoyOnaAra">'Data_donotedit'!$AY$205:$AY$206</definedName>
    <definedName name="APINoyOyoEast">'Data_donotedit'!$AY$207</definedName>
    <definedName name="APINoyOyoWest">'Data_donotedit'!$AY$208</definedName>
    <definedName name="APINoySakiWest">'Data_donotedit'!$AY$209</definedName>
    <definedName name="APINoySurulere">'Data_donotedit'!$AY$210</definedName>
    <definedName name="APINPlateau">'Data_donotedit'!$E$46:$E$55</definedName>
    <definedName name="APINplBarkinLadi">'Data_donotedit'!$AY$211</definedName>
    <definedName name="APINplBassa">'Data_donotedit'!$AY$212</definedName>
    <definedName name="APINplJosEast">'Data_donotedit'!$AY$213:$AY$214</definedName>
    <definedName name="APINplJosNorth">'Data_donotedit'!$AY$215:$AY$221</definedName>
    <definedName name="APINplJosSouth">'Data_donotedit'!$AY$222:$AY$225</definedName>
    <definedName name="APINplLangtangNorth">'Data_donotedit'!$AY$226</definedName>
    <definedName name="APINplMangu">'Data_donotedit'!$AY$227:$AY$229</definedName>
    <definedName name="APINplPankshin">'Data_donotedit'!$AY$230:$AY$231</definedName>
    <definedName name="APINplQuaanPan">'Data_donotedit'!$AY$232</definedName>
    <definedName name="APINplShendam">'Data_donotedit'!$AY$233:$AY$235</definedName>
    <definedName name="Bauchi">'Data_donotedit'!$M$2:$M$21</definedName>
    <definedName name="Bayelsa">'Data_donotedit'!$N$2:$N$9</definedName>
    <definedName name="Benue">'Data_donotedit'!$O$2:$O$24</definedName>
    <definedName name="Borno">'Data_donotedit'!$P$2:$P$28</definedName>
    <definedName name="CCCRN">'Data_donotedit'!$D$7:$D$9</definedName>
    <definedName name="CCCRNebAbakaliki">'Data_donotedit'!$AY$236:$AY$242</definedName>
    <definedName name="CCCRNebAfikpoNorth">'Data_donotedit'!$AY$243:$AY$250</definedName>
    <definedName name="CCCRNebEbonyi">'Data_donotedit'!$AY$253:$AY$258</definedName>
    <definedName name="CCCRNebIvo">'Data_donotedit'!$AY$259:$AY$264</definedName>
    <definedName name="CCCRNebIzzi">'Data_donotedit'!$AY$265:$AY$267</definedName>
    <definedName name="CCCRNebOhaozara">'Data_donotedit'!$AY$268:$AY$272</definedName>
    <definedName name="CCCRNebOhaukwu">'Data_donotedit'!$AY$273:$AY$277</definedName>
    <definedName name="CCCRNebOnicha">'Data_donotedit'!$AY$278:$AY$281</definedName>
    <definedName name="CCCRNEbonyi">'Data_donotedit'!$E$56:$E$64</definedName>
    <definedName name="CCCRNenEnuguEast">'Data_donotedit'!$AY$282:$AY$291</definedName>
    <definedName name="CCCRNenEnuguNorth">'Data_donotedit'!$AY$292:$AY$297</definedName>
    <definedName name="CCCRNenEnuguSouth">'Data_donotedit'!$AY$298:$AY$303</definedName>
    <definedName name="CCCRNenIgboEtiti">'Data_donotedit'!$AY$304:$AY$308</definedName>
    <definedName name="CCCRNenIgboEzeNorth">'Data_donotedit'!$AY$309:$AY$315</definedName>
    <definedName name="CCCRNenIsiuzo">'Data_donotedit'!$AY$319:$AY$323</definedName>
    <definedName name="CCCRNenNkanuEast">'Data_donotedit'!$AY$324</definedName>
    <definedName name="CCCRNenNkanuWest">'Data_donotedit'!$AY$325:$AY$327</definedName>
    <definedName name="CCCRNenNsukka">'Data_donotedit'!$AY$328:$AY$337</definedName>
    <definedName name="CCCRNenUdenu">'Data_donotedit'!$AY$338:$AY$346</definedName>
    <definedName name="CCCRNEnugu">'Data_donotedit'!$E$65:$E$75</definedName>
    <definedName name="CCCRNimAbohMbaise">'Data_donotedit'!$AY$347:$AY$351</definedName>
    <definedName name="CCCRNimAhiazuMbaise">'Data_donotedit'!$AY$352:$AY$354</definedName>
    <definedName name="CCCRNimEzinihitte">'Data_donotedit'!$AY$355:$AY$357</definedName>
    <definedName name="CCCRNimIdeatoNorth">'Data_donotedit'!$AY$358:$AY$362</definedName>
    <definedName name="CCCRNimIdeatoSouth">'Data_donotedit'!$AY$363</definedName>
    <definedName name="CCCRNimIkeduru">'Data_donotedit'!$AY$364:$AY$366</definedName>
    <definedName name="CCCRNimIsu">'Data_donotedit'!$AY$367:$AY$369</definedName>
    <definedName name="CCCRNimMbaitoli">'Data_donotedit'!$AY$370:$AY$373</definedName>
    <definedName name="CCCRNimNgorOkpala">'Data_donotedit'!$AY$374:$AY$377</definedName>
    <definedName name="CCCRNimNjaba">'Data_donotedit'!$AY$378:$AY$379</definedName>
    <definedName name="CCCRNimNkwerre">'Data_donotedit'!$AY$380:$AY$384</definedName>
    <definedName name="CCCRNimNwangele">'Data_donotedit'!$AY$385:$AY$387</definedName>
    <definedName name="CCCRNImo">'Data_donotedit'!$E$76:$E$96</definedName>
    <definedName name="CCCRNimOguta">'Data_donotedit'!$AY$388:$AY$392</definedName>
    <definedName name="CCCRNimOhaji">'Data_donotedit'!$AY$393:$AY$397</definedName>
    <definedName name="CCCRNimOrlu">'Data_donotedit'!$AY$398:$AY$402</definedName>
    <definedName name="CCCRNimOrsu">'Data_donotedit'!$AY$403</definedName>
    <definedName name="CCCRNimOruEast">'Data_donotedit'!$AY$404:$AY$408</definedName>
    <definedName name="CCCRNimOruWest">'Data_donotedit'!$AY$409</definedName>
    <definedName name="CCCRNimOwerriMunicipal">'Data_donotedit'!$AY$410:$AY$414</definedName>
    <definedName name="CCCRNimOwerriNorth">'Data_donotedit'!$AY$415:$AY$419</definedName>
    <definedName name="CCCRNimOwerriWest">'Data_donotedit'!$AY$420:$AY$421</definedName>
    <definedName name="CCFN">'Data_donotedit'!$D$10:$D$21</definedName>
    <definedName name="CCFNbeAgatu">'Data_donotedit'!$AY$422</definedName>
    <definedName name="CCFNbeBuruku">'Data_donotedit'!$AY$423:$AY$425</definedName>
    <definedName name="CCFNbeGboko">'Data_donotedit'!$AY$426</definedName>
    <definedName name="CCFNbeGuma">'Data_donotedit'!$AY$427:$AY$428</definedName>
    <definedName name="CCFNbeGwerEast">'Data_donotedit'!$AY$429</definedName>
    <definedName name="CCFNbeGwerWest">'Data_donotedit'!$AY$430:$AY$432</definedName>
    <definedName name="CCFNbeKatsinaAla">'Data_donotedit'!$AY$433:$AY$436</definedName>
    <definedName name="CCFNbeKonshisha">'Data_donotedit'!$AY$437:$AY$441</definedName>
    <definedName name="CCFNbeKwande">'Data_donotedit'!$AY$442:$AY$445</definedName>
    <definedName name="CCFNbeLogo">'Data_donotedit'!$AY$446:$AY$447</definedName>
    <definedName name="CCFNbeMakurdi">'Data_donotedit'!$AY$448</definedName>
    <definedName name="CCFNBenue">'Data_donotedit'!$E$97:$E$113</definedName>
    <definedName name="CCFNbeOkpokwu">'Data_donotedit'!$AY$449:$AY$451</definedName>
    <definedName name="CCFNbeOtukpo">'Data_donotedit'!$AY$452:$AY$454</definedName>
    <definedName name="CCFNbeTarka">'Data_donotedit'!$AY$455:$AY$456</definedName>
    <definedName name="CCFNbeUkum">'Data_donotedit'!$AY$457:$AY$459</definedName>
    <definedName name="CCFNbeUshongo">'Data_donotedit'!$AY$460:$AY$466</definedName>
    <definedName name="CCFNbeVandeikya">'Data_donotedit'!$AY$467:$AY$472</definedName>
    <definedName name="CCFNdeAniochaNorth">'Data_donotedit'!$AY$473</definedName>
    <definedName name="CCFNdeEthiopeEast">'Data_donotedit'!$AY$474:$AY$475</definedName>
    <definedName name="CCFNDelta">'Data_donotedit'!$E$114:$E$117</definedName>
    <definedName name="CCFNdeSapele">'Data_donotedit'!$AY$476</definedName>
    <definedName name="CCFNdeWarriNorth">'Data_donotedit'!$AY$477</definedName>
    <definedName name="CCFNfcAbujaMunicipalAreaCouncil">'Data_donotedit'!$AY$478:$AY$481</definedName>
    <definedName name="CCFNfcBwari">'Data_donotedit'!$AY$482:$AY$484</definedName>
    <definedName name="CCFNFCT">'Data_donotedit'!$E$118:$E$119</definedName>
    <definedName name="CCFNKaduna">'Data_donotedit'!$E$120:$E$126</definedName>
    <definedName name="CCFNkdChikun">'Data_donotedit'!$AY$485:$AY$486</definedName>
    <definedName name="CCFNkdJemaa">'Data_donotedit'!$AY$487</definedName>
    <definedName name="CCFNkdKadunaSouth">'Data_donotedit'!$AY$488</definedName>
    <definedName name="CCFNkdKubau">'Data_donotedit'!$AY$489</definedName>
    <definedName name="CCFNkdLere">'Data_donotedit'!$AY$490:$AY$491</definedName>
    <definedName name="CCFNkdSanga">'Data_donotedit'!$AY$492</definedName>
    <definedName name="CCFNkdZangoKataf">'Data_donotedit'!$AY$493:$AY$494</definedName>
    <definedName name="CCFNkoDekina">'Data_donotedit'!$AY$495:$AY$497</definedName>
    <definedName name="CCFNKogi">'Data_donotedit'!$E$127:$E$129</definedName>
    <definedName name="CCFNkoIdah">'Data_donotedit'!$AY$498</definedName>
    <definedName name="CCFNkoKabba">'Data_donotedit'!$AY$499</definedName>
    <definedName name="CCFNLagos">'Data_donotedit'!$E$130:$E$131</definedName>
    <definedName name="CCFNlaIkeja">'Data_donotedit'!$AY$505:$AY$506</definedName>
    <definedName name="CCFNnaAkwanga">'Data_donotedit'!$AY$507</definedName>
    <definedName name="CCFNnaDoma">'Data_donotedit'!$AY$508:$AY$509</definedName>
    <definedName name="CCFNnaKeffi">'Data_donotedit'!$AY$510</definedName>
    <definedName name="CCFNnaLafia">'Data_donotedit'!$AY$511:$AY$512</definedName>
    <definedName name="CCFNnaObi">'Data_donotedit'!$AY$513:$AY$516</definedName>
    <definedName name="CCFNNasarawa">'Data_donotedit'!$E$132:$E$136</definedName>
    <definedName name="CCFNogIfo">'Data_donotedit'!$AY$517</definedName>
    <definedName name="CCFNOgun">'Data_donotedit'!$E$137:$E$138</definedName>
    <definedName name="CCFNogYewaNorth">'Data_donotedit'!$AY$518</definedName>
    <definedName name="CCFNonAkokoSouthWest">'Data_donotedit'!$AY$519</definedName>
    <definedName name="CCFNOndo">'Data_donotedit'!$E$139:$E$142</definedName>
    <definedName name="CCFNonEseOdo">'Data_donotedit'!$AY$520</definedName>
    <definedName name="CCFNonOndoWest">'Data_donotedit'!$AY$521</definedName>
    <definedName name="CCFNonOwo">'Data_donotedit'!$AY$522</definedName>
    <definedName name="CCFNosIfeNorth">'Data_donotedit'!$AY$523</definedName>
    <definedName name="CCFNosIsokan">'Data_donotedit'!$AY$524</definedName>
    <definedName name="CCFNosIwo">'Data_donotedit'!$AY$525</definedName>
    <definedName name="CCFNOsun">'Data_donotedit'!$E$143:$E$145</definedName>
    <definedName name="CCFNoyEgbeda">'Data_donotedit'!$AY$526</definedName>
    <definedName name="CCFNOyo">'Data_donotedit'!$E$146</definedName>
    <definedName name="CCFNPlateau">'Data_donotedit'!$E$147:$E$152</definedName>
    <definedName name="CCFNplBassa">'Data_donotedit'!$AY$527:$AY$528</definedName>
    <definedName name="CCFNplBokkos">'Data_donotedit'!$AY$529:$AY$530</definedName>
    <definedName name="CCFNplJosNorth">'Data_donotedit'!$AY$531:$AY$532</definedName>
    <definedName name="CCFNplJosSouth">'Data_donotedit'!$AY$533:$AY$534</definedName>
    <definedName name="CCFNplQuaanPan">'Data_donotedit'!$AY$535</definedName>
    <definedName name="CCFNplShendam">'Data_donotedit'!$AY$536</definedName>
    <definedName name="CIHP">'Data_donotedit'!$D$22:$D$25</definedName>
    <definedName name="CIHPbeAdo">'Data_donotedit'!$AY$537:$AY$538</definedName>
    <definedName name="CIHPbeAgatu">'Data_donotedit'!$AY$539</definedName>
    <definedName name="CIHPbeApa">'Data_donotedit'!$AY$540:$AY$541</definedName>
    <definedName name="CIHPbeBuruku">'Data_donotedit'!$AY$542:$AY$574</definedName>
    <definedName name="CIHPbeGboko">'Data_donotedit'!$AY$575:$AY$599</definedName>
    <definedName name="CIHPbeGuma">'Data_donotedit'!$AY$600:$AY$605</definedName>
    <definedName name="CIHPbeGwerEast">'Data_donotedit'!$AY$606:$AY$610</definedName>
    <definedName name="CIHPbeGwerWest">'Data_donotedit'!$AY$611:$AY$630</definedName>
    <definedName name="CIHPbeKwande">'Data_donotedit'!$AY$631:$AY$642</definedName>
    <definedName name="CIHPbeLogo">'Data_donotedit'!$AY$643:$AY$675</definedName>
    <definedName name="CIHPbeMakurdi">'Data_donotedit'!$AY$676:$AY$681</definedName>
    <definedName name="CIHPBenue">'Data_donotedit'!$E$153:$E$171</definedName>
    <definedName name="CIHPbeObi">'Data_donotedit'!$AY$682:$AY$686</definedName>
    <definedName name="CIHPbeOgbadibo">'Data_donotedit'!$BB$687</definedName>
    <definedName name="CIHPbeOhimini">'Data_donotedit'!$AY$688:$AY$689</definedName>
    <definedName name="CIHPbeOkpokwu">'Data_donotedit'!$AY$690:$AY$691</definedName>
    <definedName name="CIHPbeOtukpo">'Data_donotedit'!$AY$692:$AY$699</definedName>
    <definedName name="CIHPbeTarka">'Data_donotedit'!$AY$700:$AY$719</definedName>
    <definedName name="CIHPbeUkum">'Data_donotedit'!$AY$720:$AY$735</definedName>
    <definedName name="CIHPbeVandeikya">'Data_donotedit'!$AY$736:$AY$750</definedName>
    <definedName name="CIHPgoBalanga">'Data_donotedit'!$AY$751:$AY$754</definedName>
    <definedName name="CIHPgoBilliri">'Data_donotedit'!$AY$755:$AY$758</definedName>
    <definedName name="CIHPgoDukku">'Data_donotedit'!$AY$759:$AY$760</definedName>
    <definedName name="CIHPgoFunakaye">'Data_donotedit'!$AY$761:$AY$763</definedName>
    <definedName name="CIHPgoGombe">'Data_donotedit'!$AY$764:$AY$778</definedName>
    <definedName name="CIHPgoKaltungo">'Data_donotedit'!$AY$779:$AY$785</definedName>
    <definedName name="CIHPgoKwami">'Data_donotedit'!$AY$786:$AY$787</definedName>
    <definedName name="CIHPGombe">'Data_donotedit'!$E$172:$E$180</definedName>
    <definedName name="CIHPgoNafada">'Data_donotedit'!$AY$788</definedName>
    <definedName name="CIHPgoShongom">'Data_donotedit'!$AY$789:$AY$790</definedName>
    <definedName name="CIHPKaduna">'Data_donotedit'!$E$181:$E$195</definedName>
    <definedName name="CIHPkdChikun">'Data_donotedit'!$AY$791:$AY$796</definedName>
    <definedName name="CIHPkdIgabi">'Data_donotedit'!$AY$797</definedName>
    <definedName name="CIHPkdJaba">'Data_donotedit'!$AY$798:$AY$802</definedName>
    <definedName name="CIHPkdJemaa">'Data_donotedit'!$AY$803:$AY$812</definedName>
    <definedName name="CIHPkdKachia">'Data_donotedit'!$AY$813:$AY$815</definedName>
    <definedName name="CIHPkdKadunaNorth">'Data_donotedit'!$AY$816:$AY$823</definedName>
    <definedName name="CIHPkdKadunaSouth">'Data_donotedit'!$AY$824:$AY$836</definedName>
    <definedName name="CIHPkdKagarko">'Data_donotedit'!$AY$837:$AY$838</definedName>
    <definedName name="CIHPkdKajuru">'Data_donotedit'!$AY$839</definedName>
    <definedName name="CIHPkdKaura">'Data_donotedit'!$AY$840:$AY$844</definedName>
    <definedName name="CIHPkdKubau">'Data_donotedit'!$AY$845</definedName>
    <definedName name="CIHPkdSanga">'Data_donotedit'!$AY$846:$AY$853</definedName>
    <definedName name="CIHPkdSoba">'Data_donotedit'!$AY$854</definedName>
    <definedName name="CIHPkdZangoKataf">'Data_donotedit'!$AY$855</definedName>
    <definedName name="CIHPkdZaria">'Data_donotedit'!$AY$856:$AY$858</definedName>
    <definedName name="CIHPkoAdavi">'Data_donotedit'!$AY$859:$AY$860</definedName>
    <definedName name="CIHPkoAjaokuta">'Data_donotedit'!$AY$861</definedName>
    <definedName name="CIHPkoAnkpa">'Data_donotedit'!$AY$862:$AY$868</definedName>
    <definedName name="CIHPkoDekina">'Data_donotedit'!$AY$869:$AY$872</definedName>
    <definedName name="CIHPKogi">'Data_donotedit'!$E$196:$E$209</definedName>
    <definedName name="CIHPkoIbaji">'Data_donotedit'!$AY$873</definedName>
    <definedName name="CIHPkoIdah">'Data_donotedit'!$AY$874</definedName>
    <definedName name="CIHPkoIgalamelaOdolu">'Data_donotedit'!$AY$875</definedName>
    <definedName name="CIHPkoKogi">'Data_donotedit'!$AY$876:$AY$878</definedName>
    <definedName name="CIHPkoLokoja">'Data_donotedit'!$AY$879:$AY$880</definedName>
    <definedName name="CIHPkoOfu">'Data_donotedit'!$AY$881:$AY$882</definedName>
    <definedName name="CIHPkoOkehi">'Data_donotedit'!$AY$883:$AY$884</definedName>
    <definedName name="CIHPkoOkene">'Data_donotedit'!$AY$885:$AY$887</definedName>
    <definedName name="CIHPkoOlamaboro">'Data_donotedit'!$AY$888:$AY$890</definedName>
    <definedName name="CIHPkoOmala">'Data_donotedit'!$AY$891:$AY$892</definedName>
    <definedName name="CrossRiver">'Data_donotedit'!$Q$2:$Q$19</definedName>
    <definedName name="Delta">'Data_donotedit'!$R$2:$R$8</definedName>
    <definedName name="Ebonyi">'Data_donotedit'!$S$2:$S$14</definedName>
    <definedName name="ECEWS">'Data_donotedit'!$D$26:$D$28</definedName>
    <definedName name="ECEWSebEzzaNorth">'Data_donotedit'!$AY$893</definedName>
    <definedName name="ECEWSebEzzaSouth">'Data_donotedit'!$AY$894:$AY$896</definedName>
    <definedName name="ECEWSebIkwo">'Data_donotedit'!$AY$897:$AY$899</definedName>
    <definedName name="ECEWSebIshielu">'Data_donotedit'!$AY$900:$AY$901</definedName>
    <definedName name="ECEWSEbonyi">'Data_donotedit'!$E$210:$E$213</definedName>
    <definedName name="ECEWSenAninri">'Data_donotedit'!$AY$902:$AY$908</definedName>
    <definedName name="ECEWSenAwgu">'Data_donotedit'!$AY$909:$AY$912</definedName>
    <definedName name="ECEWSenEzeagu">'Data_donotedit'!$AY$913:$AY$914</definedName>
    <definedName name="ECEWSenOjiRiver">'Data_donotedit'!$AY$915:$AY$918</definedName>
    <definedName name="ECEWSenUdi">'Data_donotedit'!$AY$919:$AY$928</definedName>
    <definedName name="ECEWSEnugu">'Data_donotedit'!$E$214:$E$218</definedName>
    <definedName name="ECEWSimEhimeMbano">'Data_donotedit'!$AY$929:$AY$932</definedName>
    <definedName name="ECEWSimIhitte">'Data_donotedit'!$AY$933:$AY$935</definedName>
    <definedName name="ECEWSimIsialaMbano">'Data_donotedit'!$AY$936</definedName>
    <definedName name="ECEWSImo">'Data_donotedit'!$E$219:$E$224</definedName>
    <definedName name="ECEWSimObowo">'Data_donotedit'!$AY$937:$AY$938</definedName>
    <definedName name="ECEWSimOkigwe">'Data_donotedit'!$AY$939:$AY$941</definedName>
    <definedName name="ECEWSimOnuimo">'Data_donotedit'!$AY$942:$AY$943</definedName>
    <definedName name="Edo">'Data_donotedit'!$T$2:$T$19</definedName>
    <definedName name="Ekiti">'Data_donotedit'!$U$2:$U$7</definedName>
    <definedName name="Enugu">'Data_donotedit'!$V$2:$V$17</definedName>
    <definedName name="FCT">'Data_donotedit'!$W$2:$W$7</definedName>
    <definedName name="FGHIN">'Data_donotedit'!$D$29:$D$32</definedName>
    <definedName name="FGHINgoAkko">'Data_donotedit'!$AY$944:$AY$954</definedName>
    <definedName name="FGHINGombe">'Data_donotedit'!$E$225:$E$226</definedName>
    <definedName name="FGHINgoYamaltu">'Data_donotedit'!$AY$955:$AY$966</definedName>
    <definedName name="FGHINKaduna">'Data_donotedit'!$E$227:$E$232</definedName>
    <definedName name="FGHINKano">'Data_donotedit'!$E$233:$E$235</definedName>
    <definedName name="FGHINkdBirninGwari">'Data_donotedit'!$AY$967:$AY$976</definedName>
    <definedName name="FGHINkdGiwa">'Data_donotedit'!$AY$977:$AY$978</definedName>
    <definedName name="FGHINkdKauru">'Data_donotedit'!$AY$979:$AY$984</definedName>
    <definedName name="FGHINkdLere">'Data_donotedit'!$AY$985:$AY$995</definedName>
    <definedName name="FGHINkdMakarfi">'Data_donotedit'!$AY$996:$AY$1003</definedName>
    <definedName name="FGHINkdSabonGari">'Data_donotedit'!$AY$1004</definedName>
    <definedName name="FGHINknGezawa">'Data_donotedit'!$AY$1005</definedName>
    <definedName name="FGHINknNassarawa">'Data_donotedit'!$AY$1006</definedName>
    <definedName name="FGHINknTarauni">'Data_donotedit'!$AY$1007</definedName>
    <definedName name="FGHINKogi">'Data_donotedit'!$E$236:$E$237</definedName>
    <definedName name="FGHINkoIjumu">'Data_donotedit'!$AY$1008:$AY$1009</definedName>
    <definedName name="FGHINkoKabba">'Data_donotedit'!$AY$1010</definedName>
    <definedName name="Fundingagency">'[1]IP List'!$A$2:$A$20</definedName>
    <definedName name="Gombe">'Data_donotedit'!$X$2:$X$12</definedName>
    <definedName name="IHVN">'Data_donotedit'!$D$33:$D$43</definedName>
    <definedName name="IHVNbeKatsinaAla">'Data_donotedit'!$AY$1011:$AY$1023</definedName>
    <definedName name="IHVNbeKonshisha">'Data_donotedit'!$AY$1024:$AY$1070</definedName>
    <definedName name="IHVNbeMakurdi">'Data_donotedit'!$AY$1071:$AY$1085</definedName>
    <definedName name="IHVNBenue">'Data_donotedit'!$E$238:$E$242</definedName>
    <definedName name="IHVNbeOju">'Data_donotedit'!$AY$1086:$AY$1087</definedName>
    <definedName name="IHVNbeUshongo">'Data_donotedit'!$AY$1088:$AY$1119</definedName>
    <definedName name="IHVNdeEthiopeEast">'Data_donotedit'!$AY$1120</definedName>
    <definedName name="IHVNdeIkaSouth">'Data_donotedit'!$AY$1121</definedName>
    <definedName name="IHVNDelta">'Data_donotedit'!$E$243:$E$246</definedName>
    <definedName name="IHVNdeOshimiliSouth">'Data_donotedit'!$AY$1122</definedName>
    <definedName name="IHVNdeUvwie">'Data_donotedit'!$AY$1124</definedName>
    <definedName name="IHVNekAdoEkiti">'Data_donotedit'!$AY$1125:$AY$1126</definedName>
    <definedName name="IHVNekEkitiEast">'Data_donotedit'!$AY$1127</definedName>
    <definedName name="IHVNekIdoOsi">'Data_donotedit'!$AY$1128</definedName>
    <definedName name="IHVNekIlejemeje">'Data_donotedit'!$AY$1129</definedName>
    <definedName name="IHVNekIrepodun">'Data_donotedit'!$AY$1130</definedName>
    <definedName name="IHVNEkiti">'Data_donotedit'!$E$247:$E$252</definedName>
    <definedName name="IHVNekOye">'Data_donotedit'!$AY$1131</definedName>
    <definedName name="IHVNfcAbaji">'Data_donotedit'!$AY$1132:$AY$1133</definedName>
    <definedName name="IHVNfcAbujaMunicipalAreaCouncil">'Data_donotedit'!$AY$1134:$AY$1225</definedName>
    <definedName name="IHVNfcBwari">'Data_donotedit'!$AY$1226:$AY$1271</definedName>
    <definedName name="IHVNfcGwagwalada">'Data_donotedit'!$AY$1272:$AY$1277</definedName>
    <definedName name="IHVNfcKuje">'Data_donotedit'!$AY$1278:$AY$1279</definedName>
    <definedName name="IHVNFCT">'Data_donotedit'!$E$253:$E$257</definedName>
    <definedName name="IHVNKaduna">'Data_donotedit'!$E$258</definedName>
    <definedName name="IHVNKano">'Data_donotedit'!$E$259:$E$262</definedName>
    <definedName name="IHVNKatsina">'Data_donotedit'!$E$263:$E$265</definedName>
    <definedName name="IHVNkdZaria">'Data_donotedit'!$AY$1280</definedName>
    <definedName name="IHVNknNassarawa">'Data_donotedit'!$AY$1281:$AY$1282</definedName>
    <definedName name="IHVNknTarauni">'Data_donotedit'!$AY$1283</definedName>
    <definedName name="IHVNknTudunWada">'Data_donotedit'!$AY$1284</definedName>
    <definedName name="IHVNknUngogo">'Data_donotedit'!$AY$1285:$AY$1286</definedName>
    <definedName name="IHVNktFuntua">'Data_donotedit'!$AY$1287</definedName>
    <definedName name="IHVNktKankia">'Data_donotedit'!$AY$1288</definedName>
    <definedName name="IHVNktKatsina">'Data_donotedit'!$AY$1289:$AY$1290</definedName>
    <definedName name="IHVNnaDoma">'Data_donotedit'!$AY$1291:$AY$1310</definedName>
    <definedName name="IHVNnaKaru">'Data_donotedit'!$AY$1311:$AY$1356</definedName>
    <definedName name="IHVNnaKeana">'Data_donotedit'!$AY$1357</definedName>
    <definedName name="IHVNnaKeffi">'Data_donotedit'!$AY$1358:$AY$1361</definedName>
    <definedName name="IHVNnaKokona">'Data_donotedit'!$AY$1362</definedName>
    <definedName name="IHVNnaLafia">'Data_donotedit'!$AY$1363:$AY$1401</definedName>
    <definedName name="IHVNnaNasarawa">'Data_donotedit'!$AY$1402:$AY$1428</definedName>
    <definedName name="IHVNnaNasarawaEggon">'Data_donotedit'!$AY$1429</definedName>
    <definedName name="IHVNnaObi">'Data_donotedit'!$AY$1430:$AY$1442</definedName>
    <definedName name="IHVNNasarawa">'Data_donotedit'!$E$266:$E$275</definedName>
    <definedName name="IHVNnaToto">'Data_donotedit'!$AY$1443:$AY$1445</definedName>
    <definedName name="IHVNogAbeokutaNorth">'Data_donotedit'!$AY$1446</definedName>
    <definedName name="IHVNogAbeokutaSouth">'Data_donotedit'!$AY$1447:$AY$1448</definedName>
    <definedName name="IHVNogIfo">'Data_donotedit'!$AY$1449:$AY$1450</definedName>
    <definedName name="IHVNogIjebuOde">'Data_donotedit'!$AY$1451:$AY$1452</definedName>
    <definedName name="IHVNogSagamu">'Data_donotedit'!$AY$1453:$AY$1454</definedName>
    <definedName name="IHVNOgun">'Data_donotedit'!$E$276:$E$280</definedName>
    <definedName name="IHVNonAkokoNorthEast">'Data_donotedit'!$AY$1455</definedName>
    <definedName name="IHVNonAkokoSouthWest">'Data_donotedit'!$AY$1456</definedName>
    <definedName name="IHVNonAkureSouth">'Data_donotedit'!$AY$1457:$AY$1459</definedName>
    <definedName name="IHVNOndo">'Data_donotedit'!$E$281:$E$286</definedName>
    <definedName name="IHVNonOdigbo">'Data_donotedit'!$AY$1460</definedName>
    <definedName name="IHVNonOndoWest">'Data_donotedit'!$AY$1461</definedName>
    <definedName name="IHVNonOwo">'Data_donotedit'!$AY$1462</definedName>
    <definedName name="IHVNosEdeSouth">'Data_donotedit'!$AY$1463</definedName>
    <definedName name="IHVNosIfeCentral">'Data_donotedit'!$AY$1464:$AY$1465</definedName>
    <definedName name="IHVNosIla">'Data_donotedit'!$AY$1466:$AY$1467</definedName>
    <definedName name="IHVNosIleshaEast">'Data_donotedit'!$AY$1468</definedName>
    <definedName name="IHVNosIrewole">'Data_donotedit'!$AY$1469:$AY$1470</definedName>
    <definedName name="IHVNosIwo">'Data_donotedit'!$AY$1471</definedName>
    <definedName name="IHVNosOsogbo">'Data_donotedit'!$AY$1472</definedName>
    <definedName name="IHVNOsun">'Data_donotedit'!$E$287:$E$293</definedName>
    <definedName name="Imo">'Data_donotedit'!$Y$2:$Y$28</definedName>
    <definedName name="IPList">#REF!</definedName>
    <definedName name="IPs">'[1]IP List'!$B$2:$B$96</definedName>
    <definedName name="Jigawa">'Data_donotedit'!$Z$2:$Z$28</definedName>
    <definedName name="Kaduna">'Data_donotedit'!$AA$2:$AA$22</definedName>
    <definedName name="Kano">'Data_donotedit'!$AB$2:$AB$6</definedName>
    <definedName name="Katsina">'Data_donotedit'!$AC$2:$AC$4</definedName>
    <definedName name="Kebbi">'Data_donotedit'!$AD$6:$AD$22</definedName>
    <definedName name="Kogi">'Data_donotedit'!$AE$6:$AE$17</definedName>
    <definedName name="Kwara">'Data_donotedit'!$AF$6:$AF$17</definedName>
    <definedName name="Lagos">'Data_donotedit'!$AG$2:$AG$11</definedName>
    <definedName name="Nasarawa">'Data_donotedit'!$AH$6:$AH$14</definedName>
    <definedName name="Niger">'Data_donotedit'!$AI$6:$AI$26</definedName>
    <definedName name="Ogun">'Data_donotedit'!$AJ$6:$AJ$10</definedName>
    <definedName name="Ondo">'Data_donotedit'!$AK$6:$AK$19</definedName>
    <definedName name="Osun">'Data_donotedit'!$AL$6:$AL$31</definedName>
    <definedName name="Oyo">'Data_donotedit'!$AM$6:$AM$34</definedName>
    <definedName name="PHI">'Data_donotedit'!$D$44:$D$46</definedName>
    <definedName name="PHIfcKwali">'Data_donotedit'!$AY$1473:$AY$1477</definedName>
    <definedName name="PHIFCT">'Data_donotedit'!$E$294</definedName>
    <definedName name="PHInaAkwanga">'Data_donotedit'!$AY$1478:$AY$1486</definedName>
    <definedName name="PHInaNasarawaEggon">'Data_donotedit'!$AY$1487:$AY$1489</definedName>
    <definedName name="PHINasarawa">'Data_donotedit'!$E$295:$E$297</definedName>
    <definedName name="PHInaWamba">'Data_donotedit'!$AY$1490:$AY$1495</definedName>
    <definedName name="PHIPlateau">'Data_donotedit'!$E$298:$E$301</definedName>
    <definedName name="PHIplKanam">'Data_donotedit'!$AY$1496:$AY$1498</definedName>
    <definedName name="PHIplKanke">'Data_donotedit'!$AY$1499:$AY$1500</definedName>
    <definedName name="PHIplLangtangSouth">'Data_donotedit'!$AY$1501:$AY$1502</definedName>
    <definedName name="PHIplMikang">'Data_donotedit'!$AY$1503:$AY$1504</definedName>
    <definedName name="Plateau">'Data_donotedit'!$AN$6:$AN$18</definedName>
    <definedName name="Rivers">'Data_donotedit'!$AO$6:$AO$24</definedName>
    <definedName name="Sokoto">'Data_donotedit'!$AP$6:$AP$24</definedName>
    <definedName name="State">'Data_donotedit'!$D$2:$D$38</definedName>
    <definedName name="Taraba">'Data_donotedit'!$AQ$6:$AQ$17</definedName>
    <definedName name="Yobe">'Data_donotedit'!$AR$6:$AR$18</definedName>
    <definedName name="Zamfara">'Data_donotedit'!$AS$6:$AS$15</definedName>
    <definedName name="IPList" localSheetId="0">#REF!</definedName>
    <definedName name="IPList" localSheetId="1">#REF!</definedName>
    <definedName name="_xlnm.Print_Area" localSheetId="1">'Worksheet'!$A$1:$AD$47</definedName>
    <definedName name="_xlnm._FilterDatabase" localSheetId="2" hidden="1">'All Questions'!$A$1:$G$239</definedName>
    <definedName name="IPList" localSheetId="2">#REF!</definedName>
    <definedName name="IPList" localSheetId="3">#REF!</definedName>
    <definedName name="_xlnm.Print_Area" localSheetId="3">'CDC DQA'!$B$3:$Y$30</definedName>
    <definedName name="_xlnm._FilterDatabase" localSheetId="5" hidden="1">'Data_donotedit'!$A$1:$BB$10</definedName>
  </definedNames>
  <calcPr calcId="152511" iterate="1" iterateCount="1" fullCalcOnLoad="1"/>
  <extLst>
    <ext xmlns:x15="http://schemas.microsoft.com/office/spreadsheetml/2010/11/main" uri="{140A7094-0E35-4892-8432-C4D2E57EDEB5}">
      <x15:workbookPr chartTrackingRefBase="1"/>
    </ext>
  </extLst>
</workbook>
</file>

<file path=xl/sharedStrings.xml><?xml version="1.0" encoding="utf-8"?>
<sst xmlns="http://schemas.openxmlformats.org/spreadsheetml/2006/main" count="4033" uniqueCount="4033">
  <si>
    <t>Data Quality Assessment Summary</t>
  </si>
  <si>
    <t>site GIS Coordinate:</t>
  </si>
  <si>
    <t>State:</t>
  </si>
  <si>
    <t>Funding Agency:</t>
  </si>
  <si>
    <t>LGA:</t>
  </si>
  <si>
    <t>Sustained support LGA</t>
  </si>
  <si>
    <t>Implementing Partner:</t>
  </si>
  <si>
    <t>Site name:</t>
  </si>
  <si>
    <t>Fiscal year:</t>
  </si>
  <si>
    <t>Assessment team:</t>
  </si>
  <si>
    <t>Assessment week</t>
  </si>
  <si>
    <t>Indicators</t>
  </si>
  <si>
    <t xml:space="preserve">SAPR '16 
(Reported in DATIM)</t>
  </si>
  <si>
    <t>Onsite validated results</t>
  </si>
  <si>
    <t xml:space="preserve">Concurrence rate
(Validated/
Reported)</t>
  </si>
  <si>
    <r xmlns="http://schemas.openxmlformats.org/spreadsheetml/2006/main">
      <rPr>
        <b/>
        <sz val="14"/>
        <color theme="1"/>
        <rFont val="Calibri"/>
        <family val="2"/>
        <scheme val="minor"/>
      </rPr>
      <t>Reason if concurence rate is above or below standard</t>
    </r>
    <r xmlns="http://schemas.openxmlformats.org/spreadsheetml/2006/main">
      <rPr>
        <sz val="14"/>
        <color theme="1"/>
        <rFont val="Calibri"/>
        <family val="2"/>
        <scheme val="minor"/>
      </rPr>
      <t xml:space="preserve">
</t>
    </r>
    <r xmlns="http://schemas.openxmlformats.org/spreadsheetml/2006/main">
      <rPr>
        <i/>
        <sz val="14"/>
        <color theme="1"/>
        <rFont val="Calibri"/>
        <family val="2"/>
        <scheme val="minor"/>
      </rPr>
      <t>(Not applicable
Over reported
Under reported)</t>
    </r>
  </si>
  <si>
    <t>Comments</t>
  </si>
  <si>
    <t>Oct '15</t>
  </si>
  <si>
    <t>Nov '15</t>
  </si>
  <si>
    <t>Dec '15</t>
  </si>
  <si>
    <t>Jan '16</t>
  </si>
  <si>
    <t>Feb '16</t>
  </si>
  <si>
    <t>Mar '16</t>
  </si>
  <si>
    <t>SAPR '16 (validated)</t>
  </si>
  <si>
    <r xmlns="http://schemas.openxmlformats.org/spreadsheetml/2006/main">
      <t xml:space="preserve">Number of individuals counseled, tested, and received results 
</t>
    </r>
    <r xmlns="http://schemas.openxmlformats.org/spreadsheetml/2006/main">
      <rPr>
        <b/>
        <sz val="17"/>
        <color theme="1"/>
        <rFont val="Times New Roman"/>
        <family val="1"/>
      </rPr>
      <t>(HTC Only)</t>
    </r>
  </si>
  <si>
    <t>Blank</t>
  </si>
  <si>
    <t>1i.</t>
  </si>
  <si>
    <r xmlns="http://schemas.openxmlformats.org/spreadsheetml/2006/main">
      <t>Number of individuals tested HIV positive</t>
    </r>
    <r xmlns="http://schemas.openxmlformats.org/spreadsheetml/2006/main">
      <rPr>
        <i/>
        <sz val="17"/>
        <color theme="1"/>
        <rFont val="Times New Roman"/>
        <family val="1"/>
      </rPr>
      <t xml:space="preserve"> 
</t>
    </r>
    <r xmlns="http://schemas.openxmlformats.org/spreadsheetml/2006/main">
      <rPr>
        <b/>
        <i/>
        <sz val="17"/>
        <color theme="1"/>
        <rFont val="Times New Roman"/>
        <family val="1"/>
      </rPr>
      <t>(subset of 1 above)</t>
    </r>
  </si>
  <si>
    <r xmlns="http://schemas.openxmlformats.org/spreadsheetml/2006/main">
      <t>Number of pregnant women with known HIV status (includes women who were tested for HIV and received their results) [</t>
    </r>
    <r xmlns="http://schemas.openxmlformats.org/spreadsheetml/2006/main">
      <rPr>
        <b/>
        <sz val="17"/>
        <color theme="1"/>
        <rFont val="Times New Roman"/>
        <family val="1"/>
      </rPr>
      <t>PMTCT_STAT]</t>
    </r>
  </si>
  <si>
    <t>2i.</t>
  </si>
  <si>
    <r xmlns="http://schemas.openxmlformats.org/spreadsheetml/2006/main">
      <t xml:space="preserve">Number of pregnant women tested HIV positive
</t>
    </r>
    <r xmlns="http://schemas.openxmlformats.org/spreadsheetml/2006/main">
      <rPr>
        <b/>
        <i/>
        <sz val="17"/>
        <color theme="1"/>
        <rFont val="Times New Roman"/>
        <family val="1"/>
      </rPr>
      <t>(subset of 2 above)</t>
    </r>
  </si>
  <si>
    <t>2ii.</t>
  </si>
  <si>
    <r xmlns="http://schemas.openxmlformats.org/spreadsheetml/2006/main">
      <t xml:space="preserve">Number of pregnant women with previously known HIV positive status at entry
</t>
    </r>
    <r xmlns="http://schemas.openxmlformats.org/spreadsheetml/2006/main">
      <rPr>
        <b/>
        <i/>
        <sz val="17"/>
        <color theme="1"/>
        <rFont val="Times New Roman"/>
        <family val="1"/>
      </rPr>
      <t>(subset of 2 above)</t>
    </r>
  </si>
  <si>
    <r xmlns="http://schemas.openxmlformats.org/spreadsheetml/2006/main">
      <rPr>
        <sz val="17"/>
        <color theme="1"/>
        <rFont val="Times New Roman"/>
        <family val="1"/>
      </rPr>
      <t xml:space="preserve">Total number of individuals counseled, tested, and received results including PMTCT 
</t>
    </r>
    <r xmlns="http://schemas.openxmlformats.org/spreadsheetml/2006/main">
      <rPr>
        <b/>
        <sz val="17"/>
        <color theme="1"/>
        <rFont val="Times New Roman"/>
        <family val="1"/>
      </rPr>
      <t>(1+2 above)  [HTC_TST]</t>
    </r>
  </si>
  <si>
    <r xmlns="http://schemas.openxmlformats.org/spreadsheetml/2006/main">
      <t>Total number of individuals tested HIV positive  including PMTCT</t>
    </r>
    <r xmlns="http://schemas.openxmlformats.org/spreadsheetml/2006/main">
      <rPr>
        <b/>
        <sz val="17"/>
        <color theme="1"/>
        <rFont val="Times New Roman"/>
        <family val="1"/>
      </rPr>
      <t xml:space="preserve"> 
(1i+2i above)</t>
    </r>
  </si>
  <si>
    <r xmlns="http://schemas.openxmlformats.org/spreadsheetml/2006/main">
      <t>Number of HIV-positive pregnant women who received antiretrovirals to reduce risk of mother-to-child-transmission (MTCT) during pregnancy and delivery [</t>
    </r>
    <r xmlns="http://schemas.openxmlformats.org/spreadsheetml/2006/main">
      <rPr>
        <b/>
        <sz val="17"/>
        <color theme="1"/>
        <rFont val="Times New Roman"/>
        <family val="1"/>
      </rPr>
      <t>PMTCT_ARV]</t>
    </r>
  </si>
  <si>
    <r xmlns="http://schemas.openxmlformats.org/spreadsheetml/2006/main">
      <t>Number of HIV-positive adults and children newly enrolled on ART during the reporting period [</t>
    </r>
    <r xmlns="http://schemas.openxmlformats.org/spreadsheetml/2006/main">
      <rPr>
        <b/>
        <sz val="17"/>
        <color theme="1"/>
        <rFont val="Times New Roman"/>
        <family val="1"/>
      </rPr>
      <t>TX_NEW]</t>
    </r>
  </si>
  <si>
    <r xmlns="http://schemas.openxmlformats.org/spreadsheetml/2006/main">
      <t xml:space="preserve">Number of adults and children currently receiving antiretroviral therapy (ART) </t>
    </r>
    <r xmlns="http://schemas.openxmlformats.org/spreadsheetml/2006/main">
      <rPr>
        <b/>
        <sz val="17"/>
        <color theme="1"/>
        <rFont val="Times New Roman"/>
        <family val="1"/>
      </rPr>
      <t>[TX_CURR]</t>
    </r>
  </si>
  <si>
    <r xmlns="http://schemas.openxmlformats.org/spreadsheetml/2006/main">
      <t xml:space="preserve">Enter results for randomly selected RADET validated </t>
    </r>
    <r xmlns="http://schemas.openxmlformats.org/spreadsheetml/2006/main">
      <rPr>
        <b/>
        <i/>
        <sz val="14"/>
        <color rgb="FFFF0000"/>
        <rFont val="Times New Roman"/>
        <family val="1"/>
      </rPr>
      <t>inactive</t>
    </r>
    <r xmlns="http://schemas.openxmlformats.org/spreadsheetml/2006/main">
      <rPr>
        <b/>
        <i/>
        <sz val="14"/>
        <color theme="1"/>
        <rFont val="Times New Roman"/>
        <family val="1"/>
      </rPr>
      <t xml:space="preserve"> clients only</t>
    </r>
  </si>
  <si>
    <r xmlns="http://schemas.openxmlformats.org/spreadsheetml/2006/main">
      <t xml:space="preserve">Enter results for randomly selected RADET validated </t>
    </r>
    <r xmlns="http://schemas.openxmlformats.org/spreadsheetml/2006/main">
      <rPr>
        <b/>
        <i/>
        <sz val="14"/>
        <color rgb="FFFF0000"/>
        <rFont val="Times New Roman"/>
        <family val="1"/>
      </rPr>
      <t>active</t>
    </r>
    <r xmlns="http://schemas.openxmlformats.org/spreadsheetml/2006/main">
      <rPr>
        <b/>
        <i/>
        <sz val="14"/>
        <color theme="1"/>
        <rFont val="Times New Roman"/>
        <family val="1"/>
      </rPr>
      <t xml:space="preserve"> clients only</t>
    </r>
  </si>
  <si>
    <t>(A) Number of inactive clients sampled (from RADET)</t>
  </si>
  <si>
    <t>(B) Number of inactive clients' folders seen onsite</t>
  </si>
  <si>
    <t xml:space="preserve">(C) Number of RADET inactive clients validated as inactive onsite </t>
  </si>
  <si>
    <t>(D) Proportion of inactive clients' folders seen onsite (B/A)*100</t>
  </si>
  <si>
    <t>(E) Proportion of selected RADET inactive clients validated as inactive onsite (C/A)*100</t>
  </si>
  <si>
    <t>(F) Number of active clients sampled (from RADET)</t>
  </si>
  <si>
    <t>(G) Number of active clients' folders seen onsite</t>
  </si>
  <si>
    <t xml:space="preserve">(H) Number of RADET active clients validated as active onsite </t>
  </si>
  <si>
    <t>(D) Proportion of active clients' folders seen onsite (G/F)*100</t>
  </si>
  <si>
    <t>(E) Proportion of selected RADET active clients validated as active onsite (H/F)*100</t>
  </si>
  <si>
    <t>Is there evidence of any form of monthly data validation?</t>
  </si>
  <si>
    <t>YES</t>
  </si>
  <si>
    <t xml:space="preserve">Comments: </t>
  </si>
  <si>
    <t xml:space="preserve">By who?  (Service provider, DEC, IP staff, LGA staff)</t>
  </si>
  <si>
    <t>IP STAFF</t>
  </si>
  <si>
    <t xml:space="preserve">Was a post assessment out brief done onsite?: </t>
  </si>
  <si>
    <t xml:space="preserve">If no, provide comments: </t>
  </si>
  <si>
    <t>Assessed by (USG POC):</t>
  </si>
  <si>
    <t>__________________________________________________________________</t>
  </si>
  <si>
    <t>Signature:</t>
  </si>
  <si>
    <t>Date:</t>
  </si>
  <si>
    <t>_______________________________</t>
  </si>
  <si>
    <t>Site M&amp;E focal person:</t>
  </si>
  <si>
    <t>duplicate questions</t>
  </si>
  <si>
    <t>Indicator No.</t>
  </si>
  <si>
    <t xml:space="preserve">Indicator </t>
  </si>
  <si>
    <t>Results</t>
  </si>
  <si>
    <t>HTS_TST</t>
  </si>
  <si>
    <t>Number of individuals who received HIV Testing Services (HTS) and received their test results (as reported on DATIM)</t>
  </si>
  <si>
    <t>A1</t>
  </si>
  <si>
    <t>Total number of individuals tested HIV positive including PMTCT (as reported on DATIM)</t>
  </si>
  <si>
    <t>B1</t>
  </si>
  <si>
    <t xml:space="preserve">Number of individuals counseled, tested, and received results  (HTC Only) (as reported on DATIM)</t>
  </si>
  <si>
    <t>C1</t>
  </si>
  <si>
    <t>Number of individuals tested HIV positive (as reported on DATIM)</t>
  </si>
  <si>
    <t>D1</t>
  </si>
  <si>
    <t>Number of Charts to reviews for Question 1111 - 1127</t>
  </si>
  <si>
    <t>HTC Monthly Summary form, HTC Register, Client Intake for, HIV Test Request and Result Form and HIV Testing Worksheet</t>
  </si>
  <si>
    <t xml:space="preserve">Oct </t>
  </si>
  <si>
    <t>Nov</t>
  </si>
  <si>
    <t>Dec</t>
  </si>
  <si>
    <t xml:space="preserve">Are the monthy  HTC monthly summary forms are available </t>
  </si>
  <si>
    <t xml:space="preserve">All the 352 data filed on the HTC monthly Summary form are completed </t>
  </si>
  <si>
    <t xml:space="preserve">How many sheets and rows in the HTC register are completed </t>
  </si>
  <si>
    <t xml:space="preserve">How many HTC clients have documented client code </t>
  </si>
  <si>
    <t>How many HTC clients without double ticks within each row if the HIV test results</t>
  </si>
  <si>
    <t>1121, 1141</t>
  </si>
  <si>
    <t xml:space="preserve">How many HTC clients have a completed Client intake form </t>
  </si>
  <si>
    <t xml:space="preserve">How many HTC clients with a completed client intake form have setting ( CT, TB, STI, FP, OPD, Mobile CT, Standalone HCT, others) documented </t>
  </si>
  <si>
    <t>How many HTC clients with a completed Client intake form have documnted HIV test results</t>
  </si>
  <si>
    <t xml:space="preserve">How many clients with a documented Client intake form are found in the HTC register </t>
  </si>
  <si>
    <t xml:space="preserve">How many clients who have a completed client intake form and are found in the HTC register have their HIV test results documented </t>
  </si>
  <si>
    <t xml:space="preserve">How many clients with a documented Client intake form, found in the HTC register are found in the HIV Test and Result worksheet </t>
  </si>
  <si>
    <t>How many clients with a documented Client intake form, found in the HTC register and HIV Test and Result worksheet have a completed HIV test request and Result form</t>
  </si>
  <si>
    <t>How many clients with a documented Client intake form, found in the HTC register and HIV Test Result worksheet with a completed HIV test request and Result form have their results documented on the HIV test request and Result form</t>
  </si>
  <si>
    <t>Provide Counts of all clients for Questions #1131-1159</t>
  </si>
  <si>
    <t>How many clients who had a completed Client intake form were male</t>
  </si>
  <si>
    <t>How many clients who have completed Client intake form were female</t>
  </si>
  <si>
    <t>How many clients &gt;15 years were tested and received their results reported in the HCT Register</t>
  </si>
  <si>
    <t>How many clients &lt;15 years were tested and received their results reported in the HCT Register</t>
  </si>
  <si>
    <t>How many clients &gt;2 years were tested and received their results reported on the HIV Test Request and Result form</t>
  </si>
  <si>
    <t>How many clients ≤2 years were tested and received their results on the HIV Test Request and Result form</t>
  </si>
  <si>
    <t>how many clients who tested Postive were documented in the HIV testing worksheet</t>
  </si>
  <si>
    <t>how many clients who tested negative were documented in the HIV testing worksheet</t>
  </si>
  <si>
    <t>How many HCT client have Client Intake form</t>
  </si>
  <si>
    <t>How many HCT clients have an HIV Test Request and Result Forms available</t>
  </si>
  <si>
    <t xml:space="preserve">How many HCT clients are documented in the HTC register </t>
  </si>
  <si>
    <t>How many clients are documented on the HIV testing worksheet</t>
  </si>
  <si>
    <t xml:space="preserve">How many cleints were reported to have received HTC on the HTC monthly summary form </t>
  </si>
  <si>
    <t>Indicator 1: Total # of individuals Tested for HIV</t>
  </si>
  <si>
    <t xml:space="preserve">what is the total # of Males &amp; Females above 15 years Tested for HIV on the HCT  Register (Numerator)</t>
  </si>
  <si>
    <t xml:space="preserve">what is the Total # of Males and Females above 15 years Tested for HIV in the HCT monthly summary reports  (denomintor) </t>
  </si>
  <si>
    <t>Indicator 2:Total # of individuals Counselled, Tested and Receiving HIV test results</t>
  </si>
  <si>
    <t xml:space="preserve">what is the Total # of Males and Females above 15 years Tested for HIV in the HCT monthly summary reports  (denomintor)  (denomintor) </t>
  </si>
  <si>
    <t xml:space="preserve">Indicator 3: Total # of individuals tested HIV positive? </t>
  </si>
  <si>
    <t xml:space="preserve">What is the total # of individual Male &amp; Female above 15 years tested HIV Positive in the HTC register  (Numerator)</t>
  </si>
  <si>
    <t xml:space="preserve">What is the total # of individual Male &amp; Female above 15 years tested HIV Positive in the HCT monthly summary reports   (denomintor) </t>
  </si>
  <si>
    <t>PMTCT_STAT</t>
  </si>
  <si>
    <t xml:space="preserve">Pregnant women with known HIV status at antenatal care (includes those who already knew their HIV status prior to ANC) as reported on DATIM </t>
  </si>
  <si>
    <t>A2</t>
  </si>
  <si>
    <t>Number of pregnant women tested HIV positive (subset of 2 above)</t>
  </si>
  <si>
    <t>B2</t>
  </si>
  <si>
    <t>Number of pregnant women with previously known HIV positive status at entry (subset of 2 above)</t>
  </si>
  <si>
    <t>C2</t>
  </si>
  <si>
    <t>Number of Charts to reviews for questions #1211 - 1227</t>
  </si>
  <si>
    <t>National PMTCT Monthly Summary form, PMTCT HTC Register and General ANC Register</t>
  </si>
  <si>
    <t>Oct</t>
  </si>
  <si>
    <t>1311, 1411</t>
  </si>
  <si>
    <t xml:space="preserve">Are the monthly PMTCT monthly summary forms are available </t>
  </si>
  <si>
    <t>1312, 1412</t>
  </si>
  <si>
    <t xml:space="preserve">Are all the 98 data field on the PMTCT monthly Summary form are completed </t>
  </si>
  <si>
    <t xml:space="preserve">How many sheets and rows in the General ANC register are completed </t>
  </si>
  <si>
    <t>How many ANC clients have their Date column falls within the month (indicated at the top-right hand corner) of the ANC Booking as indicated on the General ANC Register?</t>
  </si>
  <si>
    <t xml:space="preserve">How many sheets and rows in the PMTCT HTC register are completed </t>
  </si>
  <si>
    <t>How many ANC clients have their ANC No correctly documented in the PMTCT HTC Register</t>
  </si>
  <si>
    <t>How many ANC clients with previously known HIV status have their ANC No correctly documented in the PMTCT HTC Register</t>
  </si>
  <si>
    <t>How many ANC clients who are newly HIV + have their ANC No correctly documented in the PMTCT HTC Register</t>
  </si>
  <si>
    <t xml:space="preserve">How many of the  ANC Client numbers were  correctly transcribed into the General ANC Register</t>
  </si>
  <si>
    <t xml:space="preserve">How many of the  ANC Client numbers were  correctly transcribed in the General ANC Register were found in the PMTCT HTC Register (excluded women with known HIV status) </t>
  </si>
  <si>
    <t xml:space="preserve">How many of the  ANC Client numbers  correctly transcribed in the General ANC Register and PMTCT HTC Register received Pre-test counselling on the ANC HCT Register? (excluded women with known HIV status) </t>
  </si>
  <si>
    <t xml:space="preserve">How many of the  ANC Client numbers  correctly transcribed in the General ANC Register and PMTCT HTC Register that received Pre-test counselling on the ANC HCT Register were tested and correctly enetered into the HIV testing worksheet at the ANC unit or Lab? (excluded women with known HIV status) </t>
  </si>
  <si>
    <t xml:space="preserve">How many of the  ANC Client numbers  correctly transcribed in the General ANC Register and PMTCT HTC Register that received Pre-test counselling on the ANC HCT Register were tested, correctly entered into the HIV  testing worksheet at the ANC unit or Lab had their results updated on the  "Woman's HIV Test Result" colum of the PMTCT HTC Register?(excluded women with known HIV status) </t>
  </si>
  <si>
    <t xml:space="preserve">How many of the  ANC Clients previously known Positive numbers found in the PMTCT HTC Register were also found in the General ANC register?</t>
  </si>
  <si>
    <t xml:space="preserve">How many of the  ANC Clients  previously known Positive numbers found in the PMTCT HTC Register did not have any checks under "Woman's HIV Test Result" colum of the PMTCT HTC Register?</t>
  </si>
  <si>
    <t>Provide Counts of all clients for Questions #1231-1259</t>
  </si>
  <si>
    <t>How many ANC clients &gt;15 years were tested and received their results as documented in the PMTCT HTC Register</t>
  </si>
  <si>
    <t>How many ANC clients &lt;15 years were tested and received their results as documented in the PMTCT HTC Register</t>
  </si>
  <si>
    <t>How many ANC clients &gt;15 years were previously known HIV + documented in the PMTCT HTC Register</t>
  </si>
  <si>
    <t>How many ANC clients &lt;15 years were previously known HIV + documented in the PMTCT HTC Register</t>
  </si>
  <si>
    <t>How many ANC clients tested HIV negative as documented on the HIV testing worksheet in the ANC or Lab unit?</t>
  </si>
  <si>
    <t>How many ANC clients tested HIV Positive as documented on the HIV testing worksheet in the ANC or Lab unit?</t>
  </si>
  <si>
    <t xml:space="preserve">How many ANC  clients are documented in the General ANC Register (excluded women with known HIV status) </t>
  </si>
  <si>
    <t xml:space="preserve">How many ANC  clients are documented in the General ANC Register with previoulsy known HIV + status </t>
  </si>
  <si>
    <t xml:space="preserve">How many ANC clients are documented in the PMTCT HTC Register (excluded women with known HIV status) </t>
  </si>
  <si>
    <t xml:space="preserve">How many ANC clients with previoulsy known HIV + status are documented in the PMTCT HTC Register </t>
  </si>
  <si>
    <t xml:space="preserve">How many ANC clients are documented in the HIV testing worksheet in the ANC or Lab unit? (excluded women with known HIV status) </t>
  </si>
  <si>
    <t xml:space="preserve">How many ANC clients with previoulsy known HIV + status  are documented in the HIV testing worksheet in the ANC or Lab unit? </t>
  </si>
  <si>
    <t xml:space="preserve">How many ANC client were reported to have received HTC on the National PMTCT Monthly summary form (excluded women with known HIV status) </t>
  </si>
  <si>
    <t xml:space="preserve">How many ANC client with previoulsy known HIV + status were reported to have received HTC on the National PMTCT Monthly summary form </t>
  </si>
  <si>
    <t>Indicator 1: Total # of pregnant women who received counseling and testing and received post test counseling (HIV test result)</t>
  </si>
  <si>
    <t>What is the total # of Pregnant Women who received Counseling and Testing and received Post Test Counseling (HIV Test Results) on the ANC HCT Register (Numerator)</t>
  </si>
  <si>
    <t>What is the total # of Pregnant Women who received Counseling and Testing and received HIV Test Results on the PMTCT MR (Denominator)</t>
  </si>
  <si>
    <t>Indicator 2: Total # of Pregnant Women tested HIV Positive</t>
  </si>
  <si>
    <t>What is the the total # of Pregnant Women tested HIV Positive on the ANC HCT Register as reported</t>
  </si>
  <si>
    <t xml:space="preserve">What is the total # of Pregnant Women tested HIV Positive on the PMTCT MR </t>
  </si>
  <si>
    <t>Indicator 3: Total # of Pregnant Women with previously known HIV + status</t>
  </si>
  <si>
    <t>What is the the total # of Pregnant Women with previoulsy Known HIV + on the ANC HCT Register as reported</t>
  </si>
  <si>
    <t>What is the the total # of Pregnant Women with previoulsy known HIV + on the PMTCT Monthly Summary form</t>
  </si>
  <si>
    <t>PMTCT_ART</t>
  </si>
  <si>
    <t>PMTCT_ART:Percentage of HIV-positive pregnant women who received ART to reduce the risk of mother-to-child-transmission (MTCT) during pregnancy as reported on DATIM</t>
  </si>
  <si>
    <t>National PMTCT Monthly Summary form, PMTCT HTC Register and PMTCT NEW ARV Register</t>
  </si>
  <si>
    <t>0ct</t>
  </si>
  <si>
    <t>How many PMTCT HIV + clients had documented HIV positive results (new and previously known) documented in the PMTCT HTC Register</t>
  </si>
  <si>
    <t xml:space="preserve">How many sheets and rows are completed in the PMTCT NEW ARV register ? </t>
  </si>
  <si>
    <t xml:space="preserve">How many PMTCT HIV + clients have documented ANC Reg. No. in the PMTCT NEW ARV register </t>
  </si>
  <si>
    <t xml:space="preserve">How many PMTCT HIV + clients have documented Unique ART number  in the PMTCT NEW ARV register </t>
  </si>
  <si>
    <t xml:space="preserve">How many PMTCT HIV + clients had HIV positive results (new and previously known) documented in the PMTCT HTC Register </t>
  </si>
  <si>
    <t>How many PMTCT HIV + clients had HIV positive results (new and previously known) and a documented ANC Reg No in the PMTCT HTC Register ?</t>
  </si>
  <si>
    <t>How many PMTCT HIV + clients who had HIV positive results (new and previously known), ANC Reg No in the PMTCT HTC Register are captured in the PMTCT NEW ARV Register</t>
  </si>
  <si>
    <t>How many PMTCT HIV + clients who had HIV positive results (new and previously known), ANC Reg No in the PMTCT HTC Register found in PMTCT NEW ARV Register had received ARV/ART?</t>
  </si>
  <si>
    <t xml:space="preserve">How many HIV positive pregnant women with known HIV status were commenced newly on ART/ARV during this pregnancy </t>
  </si>
  <si>
    <t xml:space="preserve">How many HIV positive pregnant women with known HIV status were on ART proir to this pregnancy based on the documented ART start date </t>
  </si>
  <si>
    <t>How many HIV positive pregnant women with known HIV status were commenced on ART/ARV during ANC (weeks 14 - 40)?</t>
  </si>
  <si>
    <t>How many HIV positive pregnant women with known HIV status were commenced on ART/ARV during Labour and delivery?</t>
  </si>
  <si>
    <t>How many HIV positive pregnant women with known HIV status were commenced on ART/ARV post partum (1-6 weeks post delivery)</t>
  </si>
  <si>
    <t>How many new HIV + pregnant women (excluding previously known) were documented in the PMTCT HTC Register ?</t>
  </si>
  <si>
    <t>How many new HIV + pregnant women (excluding previously known) received ARV/ART as documented in the PMTCT NEW ARV Register?</t>
  </si>
  <si>
    <t>How many new HIV + pregnant women (excluding previously known) picked up for the first time ARV/ART as documented in the pharmacy records (Register or CRIFF)?</t>
  </si>
  <si>
    <t>How many new HIV + pregnant women (excluding previously known) were reported to have received ARV/ART on the PMTCT Monthly Summary form?</t>
  </si>
  <si>
    <t>Indicator 1: HIV-positive pregnant women who received ART to reduce the risk of mother-to-child-transmission during pregnancy</t>
  </si>
  <si>
    <t xml:space="preserve">What is the total number of  HIV-positive pregnant women who received ART/ARV (newly initiated) to reduce the risk of mother-to-child-transmission during this reporting period as documented on the NEW PMTCT ARV Register</t>
  </si>
  <si>
    <t xml:space="preserve">What is the total number of  HIV-positive pregnant women who received ART/ARV (newly initiated) to reduce the risk of mother-to-child-transmission during this reporting period as reported on the pharmacy records </t>
  </si>
  <si>
    <t>Indicator 2: HIV-positive pregnant women who received ART to reduce the risk of mother-to-child-transmission during pregnancy</t>
  </si>
  <si>
    <t xml:space="preserve">What is the total number of  HIV-positive pregnant women who received ART/ARV (newly initiated) to reduce the risk of mother-to-child-transmission during this reporting period as reported on the PMTCT Monthly Summary form</t>
  </si>
  <si>
    <t>PMTCT_EID</t>
  </si>
  <si>
    <t>Percentage of infants born to HIV-positive women who had a virologic HIV test done within 12 months of birth as reported on DATIM</t>
  </si>
  <si>
    <t>National PMTCT Monthly Summary form, Child follow up Register</t>
  </si>
  <si>
    <t xml:space="preserve">How many sheets and rows in the Child Follow up Register are completed </t>
  </si>
  <si>
    <t>how many infants documented in the Child Follow up register have documented Mother and Child Reg No</t>
  </si>
  <si>
    <t xml:space="preserve">How many infants 0 - 12 months were documented in the child follow up register  </t>
  </si>
  <si>
    <t xml:space="preserve">How many infants 0 - 12 months were documented in the child follow up register  with mother and child Reg No</t>
  </si>
  <si>
    <t>How many infants 0 - 12 months in the child follow up register with mother and child Reg No have documented ARV received at birth in the PMTCT ARV Register?</t>
  </si>
  <si>
    <t>How many infants 0 - 12 months in the child follow up register with mother and child Reg No have documented PCR test done?</t>
  </si>
  <si>
    <t xml:space="preserve">How many clients documented in the PMTCT NEW ARV Register are found in the PMTCT HTC register </t>
  </si>
  <si>
    <t>C88</t>
  </si>
  <si>
    <t>How many infants born to HIV infected women had a virologic test (DBS) done within 0-2months of birth as documented</t>
  </si>
  <si>
    <t>How many infants born to HIV Infected women had a virologic test (DBS) done within 2-12months of birth as documented</t>
  </si>
  <si>
    <t xml:space="preserve">How many infants born to HIV Infected women have positive virologic  test result</t>
  </si>
  <si>
    <t>How many infants born to HIV Infected women have negative virologic test result</t>
  </si>
  <si>
    <t>Number of infants born to HIV infected women whose samples were collected but no result recorded in the Reporting month</t>
  </si>
  <si>
    <t>How many infants who had a DBS done within the age of 0-12months have a documented EID form?</t>
  </si>
  <si>
    <t>How many infants who had a DBS done within the age of 0-12months were reported in the Child follow up Register</t>
  </si>
  <si>
    <t xml:space="preserve">How many infants born to HIV infected mother who were reported to have virologic testing 0-12 months on the National PMTCT Monthly summary form </t>
  </si>
  <si>
    <t xml:space="preserve">Indicator 1: Infants 0 - 2 months who have had a DBS  done </t>
  </si>
  <si>
    <t>What is the total number of infants 0 - 2 months who had a DBS test done as recorded in the Child Follow up register?</t>
  </si>
  <si>
    <t>What is the total number of infants 0 - 2 months who had a DBS test done as recorded in the PMTCT Monthly Summary form?</t>
  </si>
  <si>
    <t xml:space="preserve">Indicator 2: Infants within 12 months of birth who have had a DBS  done </t>
  </si>
  <si>
    <t xml:space="preserve">What is the total number of infants within 12 months  of birth who had a DBS test done as recorded in the Child Follow up register?</t>
  </si>
  <si>
    <t>What is the total number of infants within 12 months of birth who had a DBS test done as recorded in the PMTCT Monthly Summary form?</t>
  </si>
  <si>
    <t>TX_NEW</t>
  </si>
  <si>
    <t>Number of adults and children newly enrolled on antiretroviral therapy (what was reported on DATIM)</t>
  </si>
  <si>
    <t>A5</t>
  </si>
  <si>
    <t xml:space="preserve">Number of charts to review </t>
  </si>
  <si>
    <t>National facility ART Monthly Summary Form, ART Register, EMR</t>
  </si>
  <si>
    <t xml:space="preserve">How many sheets and rows in the ART register are completed </t>
  </si>
  <si>
    <t>How many adult and infants initiated on ART have a completed initial evaluation form?</t>
  </si>
  <si>
    <t>How many adult and infants initiated on ART have a completed HIV Care Card?</t>
  </si>
  <si>
    <t>How many adult and infants initiated on ART with a completed HIV Care Card have documented ART numbers?</t>
  </si>
  <si>
    <t xml:space="preserve">How many adult and infants initiated on ART with a completed HIV Care Card,  documented ART numbers were found in the ART register?</t>
  </si>
  <si>
    <t xml:space="preserve">How many adult and infants initiated on ART with a completed HIV Care Card,  documented ART numbers were found in the pharmacy Log/register with ART statrt dates within the reporting month?</t>
  </si>
  <si>
    <t xml:space="preserve">How many adult and infants initiated on ART with a completed HIV Care Card,  documented ART numbers were found in the EMR with ART statrt dates within the reporting month?</t>
  </si>
  <si>
    <t>How many adult and children who initiated ART documented in the ART Register were male</t>
  </si>
  <si>
    <t>How many adult and children who initiated ART documented in the ART Register were female</t>
  </si>
  <si>
    <t>How many adults and children &gt;15 years on ART reported in the EMR</t>
  </si>
  <si>
    <t>How many adults and children &lt;15 years on ART reported in the EMR</t>
  </si>
  <si>
    <t>How many adults and infants initiated on ART have a HIV Care/ ART card</t>
  </si>
  <si>
    <t>How many adults and infants initiated on ART documented in the ART Register</t>
  </si>
  <si>
    <t>How many adults and infants initiated on ART documented in the EMR</t>
  </si>
  <si>
    <t xml:space="preserve">How many adult and infants initiated on ART documented in the National ART Monthly summary form </t>
  </si>
  <si>
    <t xml:space="preserve">Indicator 1: Total no. of individuals newly initiated on ART  </t>
  </si>
  <si>
    <t xml:space="preserve">How many adults and children were commenced on ART as documented in the EMR during the month </t>
  </si>
  <si>
    <t>How many adults and children were commenced on ART as reported on the ART monthly summary form during the month?</t>
  </si>
  <si>
    <t xml:space="preserve">Indicator 2: Total no. of individuals newly initiated on ART  </t>
  </si>
  <si>
    <t xml:space="preserve">How many adults and children were commenced on ART as documented in the ART register during the month </t>
  </si>
  <si>
    <t>TX_CURR</t>
  </si>
  <si>
    <t xml:space="preserve">TX_Curr: Number of adults and children currently receiving antiretroviral therapy (ART) as reported on DATIM </t>
  </si>
  <si>
    <t>A6</t>
  </si>
  <si>
    <t>Number of charts to review for Questions #1611 - 1625</t>
  </si>
  <si>
    <t>ART Monthly Summary Form, ART Register, EMR</t>
  </si>
  <si>
    <t xml:space="preserve">Are the monthy the ART Monthly Summary Forms are available </t>
  </si>
  <si>
    <t xml:space="preserve">Are all the 142 data fields on the Nationnal facility ART Monthly Summary Form are completed </t>
  </si>
  <si>
    <t xml:space="preserve">How many ART patients have up to date documentations services received during the month </t>
  </si>
  <si>
    <t xml:space="preserve">How many sheets and rows in the pharmacy ART register are completed </t>
  </si>
  <si>
    <t xml:space="preserve">How many Treatment Current patients have a HIV/ART care card and patient file </t>
  </si>
  <si>
    <t xml:space="preserve">How many Treatment Current patients who have their ART and hopsital number documented on the HIV Care and Treatment Card were seen in the month </t>
  </si>
  <si>
    <t xml:space="preserve">How many Treatment Current patients who have their ART and hopsital number documented on the HIV Care and Treatment Card and were seen in the month have documented WHO staging </t>
  </si>
  <si>
    <t xml:space="preserve">How many Treatment Current patients who have their ART and hopsital number documented on the HIV Care and Treatment Card were seen in the month can be found in the Pharmacy dispensing record </t>
  </si>
  <si>
    <t>How many Treatment Current patients who have their ART and hopsital number documented on the HIV Care and Treatment Card seen in the month had their Functional Status, WHO staging, TB status and CD4 correctly transcribe in the ART register</t>
  </si>
  <si>
    <t xml:space="preserve">How many Treatment Current patients who have their ART and hospital number documented on the HIV Care and Treatment Card seen in the month can be found in the EMR </t>
  </si>
  <si>
    <t>Provide Counts of all clients for Questions #1631 - 1662</t>
  </si>
  <si>
    <t>How many TX_CURR patients documented in the ART Register were male</t>
  </si>
  <si>
    <t>How many TX_CURR patients documented in the ART Register were female</t>
  </si>
  <si>
    <t xml:space="preserve">How many TX_CURR patients  &gt;15 years on ART reported in the EMR</t>
  </si>
  <si>
    <t>How many TX_CURR patients &lt;15 years on ART reported in the EMR</t>
  </si>
  <si>
    <t>How many TX_CURR Patients had an ART refill in the month as documented in the Pharmacy worksheet</t>
  </si>
  <si>
    <t xml:space="preserve">How many TX_CURR patients were seen in the month and documented in the ART register </t>
  </si>
  <si>
    <t>How many TX_CURR patients currently are documented in the EMR</t>
  </si>
  <si>
    <t xml:space="preserve">How many TX_CURR patients were reported on the  ART Monthly summary form </t>
  </si>
  <si>
    <t xml:space="preserve">Indicator 1: Total no. of individuals cummulative on ART  </t>
  </si>
  <si>
    <t xml:space="preserve">How many adults and children were cummulative on ART as documented in the ART register during the month </t>
  </si>
  <si>
    <t>How many adults and children were cummulative on ART as generated from the EMR ?</t>
  </si>
  <si>
    <t xml:space="preserve">Indicator 2: Total no. of individuals transfered out on ART  </t>
  </si>
  <si>
    <t>How many adults and children on ART were transfered out during the month as documented in the ART register</t>
  </si>
  <si>
    <t>How many adults and children on ART were transfered out during the month as reported ART monthly summary form during the month?</t>
  </si>
  <si>
    <t>Indicator 3: No. of ART patients known to have died during reporting period</t>
  </si>
  <si>
    <t>How many patients known to have died on the ART register</t>
  </si>
  <si>
    <t>how many patients known to have died were reported on the ART monthly summary form?</t>
  </si>
  <si>
    <t>Indicator 4: No. of ART patients who are lost to follow up during reporting period</t>
  </si>
  <si>
    <t>How many patients were Lost to Follow up on the ART register</t>
  </si>
  <si>
    <t>How many patients were Lost to Follow were reported on the ART monthly summary form?</t>
  </si>
  <si>
    <t>&lt;1 year</t>
  </si>
  <si>
    <t>Use this section to enter the scores on these questions</t>
  </si>
  <si>
    <t xml:space="preserve">Users MUST use only the options provided in this tool. Please DO NOT USE custom options. The Indicator Category option lets you do data entries for one indicator at a time. Use it to select which indicator you want to enter data for. All fileds on the right hand side of this work sheet are compulsory and are very critical to the analysis of this data. DO NOT CLICK ON THE COMPLETE BUTTON UNTILL YOU HAVE COMPLETED DATA ENTRIES. You CANNOT edit this worksheet after the complete button have been clicked.  </t>
  </si>
  <si>
    <t>Indicator Category:</t>
  </si>
  <si>
    <t xml:space="preserve">Implementing Partner: </t>
  </si>
  <si>
    <t>CCFN</t>
  </si>
  <si>
    <t>Benue</t>
  </si>
  <si>
    <t>Gwer East</t>
  </si>
  <si>
    <t>Facility Name:</t>
  </si>
  <si>
    <t>St. Vincents Hospital</t>
  </si>
  <si>
    <t>Reporting Period:</t>
  </si>
  <si>
    <t>Q1(Oct - Dec)</t>
  </si>
  <si>
    <t>Facility Code:</t>
  </si>
  <si>
    <t>IZyzmuDFVIJ</t>
  </si>
  <si>
    <t xml:space="preserve">Code </t>
  </si>
  <si>
    <t>Month</t>
  </si>
  <si>
    <t>Q1 DATIM Report</t>
  </si>
  <si>
    <t xml:space="preserve">                              Concurrence rate
</t>
  </si>
  <si>
    <t xml:space="preserve">Indicator/DQA element </t>
  </si>
  <si>
    <t>Completeness</t>
  </si>
  <si>
    <t xml:space="preserve">Consistency </t>
  </si>
  <si>
    <t xml:space="preserve">Precision </t>
  </si>
  <si>
    <t xml:space="preserve">Integrity </t>
  </si>
  <si>
    <t xml:space="preserve">Validty </t>
  </si>
  <si>
    <t>HTC_TST</t>
  </si>
  <si>
    <t xml:space="preserve">Total number of individuals counseled, tested, and received results including PMTCT   [HTC_TST]</t>
  </si>
  <si>
    <t xml:space="preserve">Total number of individuals tested HIV positive  including PMTCT </t>
  </si>
  <si>
    <t xml:space="preserve">HTC </t>
  </si>
  <si>
    <t xml:space="preserve">Number of individuals counseled, tested, and received results  (HTC Only)</t>
  </si>
  <si>
    <t xml:space="preserve">Number of individuals tested HIV positive 
(subset of 1 above)</t>
  </si>
  <si>
    <t>Number of pregnant women with known HIV status (includes women who were tested for HIV and received their results) [PMTCT_STAT]</t>
  </si>
  <si>
    <t>#DIV/0!</t>
  </si>
  <si>
    <t>Percentage of infants born to HIV-positive women who had a virologic HIV test done within 12 months of birth</t>
  </si>
  <si>
    <t>PMTCT_ARV</t>
  </si>
  <si>
    <t>Percentage of HIV-positive pregnant women who received ART to reduce the risk of mother-to-child-transmission (MTCT) during pregnancy</t>
  </si>
  <si>
    <t>TX_NEW: Number of adults and children newly enrolled on antiretroviral therapy</t>
  </si>
  <si>
    <t>TX_Curr: Number of adults and children currently receiving antiretroviral therapy (ART)</t>
  </si>
  <si>
    <t>Name and Designation of Assessor:</t>
  </si>
  <si>
    <t xml:space="preserve">Ramat Ibrahim (Public Health Specialist) University of Maryland Baltimore </t>
  </si>
  <si>
    <t xml:space="preserve">Signature: </t>
  </si>
  <si>
    <t>Ramat Ibrahim</t>
  </si>
  <si>
    <t>Date of Assessment:</t>
  </si>
  <si>
    <t>Aminu Adamu</t>
  </si>
  <si>
    <t xml:space="preserve"> </t>
  </si>
  <si>
    <t xml:space="preserve">Implementing Partner </t>
  </si>
  <si>
    <t>Name of CDC POC Assessor</t>
  </si>
  <si>
    <t>State</t>
  </si>
  <si>
    <t xml:space="preserve">Date of assessment </t>
  </si>
  <si>
    <t>LGA</t>
  </si>
  <si>
    <t xml:space="preserve">Name of Facility M&amp;E </t>
  </si>
  <si>
    <t xml:space="preserve">Facility Name </t>
  </si>
  <si>
    <t>S/N</t>
  </si>
  <si>
    <t>DQA SCORE</t>
  </si>
  <si>
    <t>Total Completeness</t>
  </si>
  <si>
    <t>Total consistency</t>
  </si>
  <si>
    <t>Total Precision</t>
  </si>
  <si>
    <t>Total integrity</t>
  </si>
  <si>
    <t>Total Validity</t>
  </si>
  <si>
    <t>1.2.1</t>
  </si>
  <si>
    <t>1.2.2</t>
  </si>
  <si>
    <t xml:space="preserve"> DIMENSIONS </t>
  </si>
  <si>
    <t>DEFINITION</t>
  </si>
  <si>
    <t>SOURCE</t>
  </si>
  <si>
    <t>The proportion of stored data against the potential of 100 percent complete</t>
  </si>
  <si>
    <t xml:space="preserve">CDC </t>
  </si>
  <si>
    <t>https://www.cdc.gov/ncbddd/hearingloss/documents/dataqualityworksheet.pdf</t>
  </si>
  <si>
    <t>Completeness means that an information system from which results are derived is appropriately inclusive, it represents the complete list eligible persons or units not just a fraction of the list</t>
  </si>
  <si>
    <t xml:space="preserve">PEPFAR </t>
  </si>
  <si>
    <t>www.pepfar.gov/documents/organization/79628.pdf</t>
  </si>
  <si>
    <t>Completeness is defined as expected comprehensiveness. Data can be complete even if optional data is missing. As long as the data meets the expectations then the data is considered complete.</t>
  </si>
  <si>
    <t>www.whitepapers.em360tech.com/wp-content/files_mf/1407250286DAMAUKDQDimensionsWhitePaperR37.pdf</t>
  </si>
  <si>
    <t>Completeness means that the values of all components of a single datum are valid.</t>
  </si>
  <si>
    <t>http://datascience.codata.org/articles/10.5334/dsj-2015-002/</t>
  </si>
  <si>
    <t xml:space="preserve">Inclusive, without omissions </t>
  </si>
  <si>
    <t xml:space="preserve">(WHO) </t>
  </si>
  <si>
    <t>http://www.ntdsupport.org/sites/default/files/uploads/docs/resources/10.%20MBABAZI%20-%20PS%20Data%20Quality%20Assessments.pdf</t>
  </si>
  <si>
    <t>Precision</t>
  </si>
  <si>
    <t xml:space="preserve">Relevant data should be collected by the designated disaggregation characteristics such as sex age and geographical location </t>
  </si>
  <si>
    <t>http://www.pactworld.org/sites/default/files/DQM%20Manual_FINAL_November%202014.pdf</t>
  </si>
  <si>
    <t xml:space="preserve">Has sufficient and appropriate details </t>
  </si>
  <si>
    <t>WHO http://www.ntdsupport.org/sites/default/files/uploads/docs/resources/10.%20MBABAZI%20-%20PS%20Data%20Quality%20Assessments.pdf</t>
  </si>
  <si>
    <t>Data Quality Assurance Tool</t>
  </si>
  <si>
    <t xml:space="preserve">This means that the data have sufficient detail.  For example, an indicator requires the number of individuals who received HIV counseling &amp; testing and received their test results by sex of the individual.  An information system lacks precision if it is not designed to record the sex of the individual who received counseling and testing</t>
  </si>
  <si>
    <t>for Program-Level Indicators</t>
  </si>
  <si>
    <t>http://www.cybermanual.com/how-to-conduct-a-data-quality-assessment-dqa-an-aid-memoir-for-a-cor_aor.html?page=5</t>
  </si>
  <si>
    <t xml:space="preserve">Data should be precise enough to present a fair picture of performance and enable management </t>
  </si>
  <si>
    <t xml:space="preserve">decision making at the appropriate levels. One issue is whether data is at an appropriate level of detail </t>
  </si>
  <si>
    <t>to influence related management decisions.</t>
  </si>
  <si>
    <t>Validity</t>
  </si>
  <si>
    <t>Data should clearly and adequately represent the intended results.</t>
  </si>
  <si>
    <t>For a data set to be valid, we need to ensure that</t>
  </si>
  <si>
    <t>Field Guide for Data Quality</t>
  </si>
  <si>
    <t>data adequately represent performance. The key question on validity is whether the data</t>
  </si>
  <si>
    <t>Management</t>
  </si>
  <si>
    <t>actually represent what they are supposed to represent</t>
  </si>
  <si>
    <t>Data are valid if it conforms to the syntax (format, type, range) of its definition</t>
  </si>
  <si>
    <t>Integrity</t>
  </si>
  <si>
    <t>Integrity means validity of data across the relationships and ensures that all data in a database can be traced and connected to other data.</t>
  </si>
  <si>
    <t>http://smartbridge.com/data-done-right-6-dimensions-of-data-quality-part-1/</t>
  </si>
  <si>
    <t xml:space="preserve">When data are collected, analyzed, and reported, there should be mechanisms in place to reduce the </t>
  </si>
  <si>
    <t>possibility that they are intentionally manipulated for any reason.</t>
  </si>
  <si>
    <t>For integrity</t>
  </si>
  <si>
    <t>Free from deliberate bias or manipulation throughout system</t>
  </si>
  <si>
    <t>Consistency</t>
  </si>
  <si>
    <t>Consistency means data across all systems reflects the same information and are in synch with each other across the enterprise</t>
  </si>
  <si>
    <t>The absence of difference, when comparing two or more representations of a</t>
  </si>
  <si>
    <t>thing against a definition</t>
  </si>
  <si>
    <t>Data consistency refers to whether the logical relationship between correlated data is correct and complete.</t>
  </si>
  <si>
    <t>Implementing Partners</t>
  </si>
  <si>
    <t>Reporting Period</t>
  </si>
  <si>
    <t>Indicator Category</t>
  </si>
  <si>
    <t>Abia</t>
  </si>
  <si>
    <t>Adamawa</t>
  </si>
  <si>
    <t>Akwa Ibom</t>
  </si>
  <si>
    <t>Anambra</t>
  </si>
  <si>
    <t>Bauchi</t>
  </si>
  <si>
    <t>Bayelsa</t>
  </si>
  <si>
    <t>Borno</t>
  </si>
  <si>
    <t>Cross River</t>
  </si>
  <si>
    <t>Delta</t>
  </si>
  <si>
    <t>Ebonyi</t>
  </si>
  <si>
    <t>Edo</t>
  </si>
  <si>
    <t>Ekiti</t>
  </si>
  <si>
    <t>Enugu</t>
  </si>
  <si>
    <t>FCT</t>
  </si>
  <si>
    <t>Gombe</t>
  </si>
  <si>
    <t>Imo</t>
  </si>
  <si>
    <t>Jigawa</t>
  </si>
  <si>
    <t>Kaduna</t>
  </si>
  <si>
    <t>Kano</t>
  </si>
  <si>
    <t>Katsina</t>
  </si>
  <si>
    <t>Kebbi</t>
  </si>
  <si>
    <t>Kogi</t>
  </si>
  <si>
    <t>Kwara</t>
  </si>
  <si>
    <t>Lagos</t>
  </si>
  <si>
    <t>Nasarawa</t>
  </si>
  <si>
    <t>Niger</t>
  </si>
  <si>
    <t>Ogun</t>
  </si>
  <si>
    <t>Ondo</t>
  </si>
  <si>
    <t>Osun</t>
  </si>
  <si>
    <t>Oyo</t>
  </si>
  <si>
    <t>Plateau</t>
  </si>
  <si>
    <t>Rivers</t>
  </si>
  <si>
    <t>Sokoto</t>
  </si>
  <si>
    <t>Taraba</t>
  </si>
  <si>
    <t>Yobe</t>
  </si>
  <si>
    <t>Zamfara</t>
  </si>
  <si>
    <t>Country</t>
  </si>
  <si>
    <t>Facility Name</t>
  </si>
  <si>
    <t>Facility Code</t>
  </si>
  <si>
    <t>IP</t>
  </si>
  <si>
    <t>lower bound</t>
  </si>
  <si>
    <t>upper bound</t>
  </si>
  <si>
    <t>min total records to review</t>
  </si>
  <si>
    <t>AHNI</t>
  </si>
  <si>
    <t>Q1 (Oct-Dec)</t>
  </si>
  <si>
    <t>og Ado-Odo</t>
  </si>
  <si>
    <t>ABA NORTH</t>
  </si>
  <si>
    <t>DEMSA</t>
  </si>
  <si>
    <t>ABAK</t>
  </si>
  <si>
    <t>AGUATA</t>
  </si>
  <si>
    <t>ALKALERI</t>
  </si>
  <si>
    <t>BRASS</t>
  </si>
  <si>
    <t>be Agatu</t>
  </si>
  <si>
    <t>ABADAM</t>
  </si>
  <si>
    <t>ABI</t>
  </si>
  <si>
    <t>de Aniocha North</t>
  </si>
  <si>
    <t>eb Abakaliki</t>
  </si>
  <si>
    <t>AKOKO EDO</t>
  </si>
  <si>
    <t>ek Ado-Ekiti</t>
  </si>
  <si>
    <t>en Enugu East</t>
  </si>
  <si>
    <t>fc Abuja Municipal Area Council</t>
  </si>
  <si>
    <t>go Balanga</t>
  </si>
  <si>
    <t>im Aboh Mbaise</t>
  </si>
  <si>
    <t>AUYO</t>
  </si>
  <si>
    <t>kd Chikun</t>
  </si>
  <si>
    <t>kn Gezawa</t>
  </si>
  <si>
    <t>kt Funtua</t>
  </si>
  <si>
    <t>ALIERO</t>
  </si>
  <si>
    <t>ko Okene</t>
  </si>
  <si>
    <t>ASA</t>
  </si>
  <si>
    <t>la Alimosho</t>
  </si>
  <si>
    <t>na Akwanga</t>
  </si>
  <si>
    <t>AGAIE</t>
  </si>
  <si>
    <t>on Akoko South West</t>
  </si>
  <si>
    <t>os Ife North</t>
  </si>
  <si>
    <t>oy Atisbo</t>
  </si>
  <si>
    <t>pl Barkin Ladi</t>
  </si>
  <si>
    <t>ABUA-ODUAL</t>
  </si>
  <si>
    <t>BINJI</t>
  </si>
  <si>
    <t>ARDO - KOLA</t>
  </si>
  <si>
    <t>BADE</t>
  </si>
  <si>
    <t>ANKA</t>
  </si>
  <si>
    <t>Nigeria</t>
  </si>
  <si>
    <t>Ota</t>
  </si>
  <si>
    <t>RuXsXz3hhGC</t>
  </si>
  <si>
    <t>APIN</t>
  </si>
  <si>
    <t>Q2 (Jan-Mar)</t>
  </si>
  <si>
    <t>og Ipokia</t>
  </si>
  <si>
    <t>ABA SOUTH</t>
  </si>
  <si>
    <t>FUFORE</t>
  </si>
  <si>
    <t>EASTERN OBOLO</t>
  </si>
  <si>
    <t>AYAMELUM</t>
  </si>
  <si>
    <t>BAUCHI</t>
  </si>
  <si>
    <t>EKEREMOR</t>
  </si>
  <si>
    <t>be Buruku</t>
  </si>
  <si>
    <t>ASKIRA / UBA</t>
  </si>
  <si>
    <t>AKAMKPA</t>
  </si>
  <si>
    <t>de Ethiope East</t>
  </si>
  <si>
    <t>eb Afikpo North</t>
  </si>
  <si>
    <t>EGOR</t>
  </si>
  <si>
    <t>ek Ekiti East</t>
  </si>
  <si>
    <t>en Enugu North</t>
  </si>
  <si>
    <t>fc Bwari</t>
  </si>
  <si>
    <t>go Billiri</t>
  </si>
  <si>
    <t>im Ahiazu Mbaise</t>
  </si>
  <si>
    <t>BABURA</t>
  </si>
  <si>
    <t>kd Jema'a</t>
  </si>
  <si>
    <t>kn Nassarawa</t>
  </si>
  <si>
    <t>kt Kankia</t>
  </si>
  <si>
    <t>AREWA</t>
  </si>
  <si>
    <t>ko Olamaboro</t>
  </si>
  <si>
    <t>BARUTEN</t>
  </si>
  <si>
    <t>la Amuwo-Odofin</t>
  </si>
  <si>
    <t>na Doma</t>
  </si>
  <si>
    <t>AGWARA</t>
  </si>
  <si>
    <t>on Ese-Odo</t>
  </si>
  <si>
    <t>os Isokan</t>
  </si>
  <si>
    <t>oy Irepo</t>
  </si>
  <si>
    <t>pl Bassa</t>
  </si>
  <si>
    <t>AHOADA EAST</t>
  </si>
  <si>
    <t>BODINGA</t>
  </si>
  <si>
    <t>BALI</t>
  </si>
  <si>
    <t>BURSARI</t>
  </si>
  <si>
    <t>BAKURA</t>
  </si>
  <si>
    <t>fCB9EIDg0lM</t>
  </si>
  <si>
    <t>Q3 (Apr-Jun)</t>
  </si>
  <si>
    <t>og Yewa North</t>
  </si>
  <si>
    <t>AROCHUKWU</t>
  </si>
  <si>
    <t>GANYE</t>
  </si>
  <si>
    <t>EKET</t>
  </si>
  <si>
    <t>ANAMBRA EAST</t>
  </si>
  <si>
    <t>BOGORO</t>
  </si>
  <si>
    <t>KOLOKUMA/OPOKUMA</t>
  </si>
  <si>
    <t>be Gboko</t>
  </si>
  <si>
    <t>BAMA</t>
  </si>
  <si>
    <t>AKPABUYO</t>
  </si>
  <si>
    <t>de Sapele</t>
  </si>
  <si>
    <t>eb Afikpo South</t>
  </si>
  <si>
    <t>ESAN CENTRAL</t>
  </si>
  <si>
    <t>ek Ido-Osi</t>
  </si>
  <si>
    <t>en Enugu South</t>
  </si>
  <si>
    <t>fc Abaji</t>
  </si>
  <si>
    <t>go Dukku</t>
  </si>
  <si>
    <t>im Ezinihitte</t>
  </si>
  <si>
    <t>BIRNIN KUDU</t>
  </si>
  <si>
    <t>kd Kaduna South</t>
  </si>
  <si>
    <t>kn Tarauni</t>
  </si>
  <si>
    <t>kt Katsina</t>
  </si>
  <si>
    <t>ARGUNGU</t>
  </si>
  <si>
    <t>ko Omala</t>
  </si>
  <si>
    <t>EDU</t>
  </si>
  <si>
    <t>la Epe</t>
  </si>
  <si>
    <t>na Keffi</t>
  </si>
  <si>
    <t>BIDA</t>
  </si>
  <si>
    <t>on Ondo West</t>
  </si>
  <si>
    <t>os Iwo</t>
  </si>
  <si>
    <t>oy Iseyin</t>
  </si>
  <si>
    <t>pl Jos East</t>
  </si>
  <si>
    <t>AHOADA WEST</t>
  </si>
  <si>
    <t>DANGE/SHUNI</t>
  </si>
  <si>
    <t>DONGA</t>
  </si>
  <si>
    <t>DAMATURU</t>
  </si>
  <si>
    <t>BIRNIN MAGAJI</t>
  </si>
  <si>
    <t>jrlSMIy4Udi</t>
  </si>
  <si>
    <t>CCCRN</t>
  </si>
  <si>
    <t>Q4 (Jul-Sep)</t>
  </si>
  <si>
    <t>og Yewa South</t>
  </si>
  <si>
    <t>BENDE</t>
  </si>
  <si>
    <t>GIRE 1</t>
  </si>
  <si>
    <t>ESIT EKET (UQUO)</t>
  </si>
  <si>
    <t>ANAMBRA WEST</t>
  </si>
  <si>
    <t>DAMBAM</t>
  </si>
  <si>
    <t>NEMBE</t>
  </si>
  <si>
    <t>be Guma</t>
  </si>
  <si>
    <t>BAYO</t>
  </si>
  <si>
    <t>BAKASSI</t>
  </si>
  <si>
    <t>de Warri North</t>
  </si>
  <si>
    <t>eb Ebonyi</t>
  </si>
  <si>
    <t>ESAN NORTH EAST</t>
  </si>
  <si>
    <t>ek Ilejemeje</t>
  </si>
  <si>
    <t>en Igbo Etiti</t>
  </si>
  <si>
    <t>fc Gwagwalada</t>
  </si>
  <si>
    <t>go Funakaye</t>
  </si>
  <si>
    <t>im Ideato North</t>
  </si>
  <si>
    <t>BIRNIWA</t>
  </si>
  <si>
    <t>kd Kubau</t>
  </si>
  <si>
    <t>kn Tudun Wada</t>
  </si>
  <si>
    <t>AUGIE</t>
  </si>
  <si>
    <t>ko Ijumu</t>
  </si>
  <si>
    <t>EKITI</t>
  </si>
  <si>
    <t>la Eti-Osa</t>
  </si>
  <si>
    <t>na Lafia</t>
  </si>
  <si>
    <t>BORGU</t>
  </si>
  <si>
    <t>on Owo</t>
  </si>
  <si>
    <t>os Ede South</t>
  </si>
  <si>
    <t>oy Iwajowa</t>
  </si>
  <si>
    <t>pl Jos North</t>
  </si>
  <si>
    <t>AKUKU TORU</t>
  </si>
  <si>
    <t>GADA</t>
  </si>
  <si>
    <t>GASHAKA</t>
  </si>
  <si>
    <t>FIKA</t>
  </si>
  <si>
    <t>BUKKUYUM</t>
  </si>
  <si>
    <t>Idi Iroko General Hospital</t>
  </si>
  <si>
    <t>Ded9l89WnBh</t>
  </si>
  <si>
    <t>CIHP</t>
  </si>
  <si>
    <t>IKWUANO</t>
  </si>
  <si>
    <t>GOMBI</t>
  </si>
  <si>
    <t>ESSIEN UDIM</t>
  </si>
  <si>
    <t>ANAOCHA</t>
  </si>
  <si>
    <t>DARAZO</t>
  </si>
  <si>
    <t>OGBIA</t>
  </si>
  <si>
    <t>be Gwer East</t>
  </si>
  <si>
    <t>BIU</t>
  </si>
  <si>
    <t>BEKWARRA</t>
  </si>
  <si>
    <t>de Ika South</t>
  </si>
  <si>
    <t>eb Ivo</t>
  </si>
  <si>
    <t>ESAN SOUTH EAST</t>
  </si>
  <si>
    <t>ek Irepodun</t>
  </si>
  <si>
    <t>en Igbo Eze North</t>
  </si>
  <si>
    <t>fc Kuje</t>
  </si>
  <si>
    <t>go Gombe</t>
  </si>
  <si>
    <t>im Ideato South</t>
  </si>
  <si>
    <t>BUJI</t>
  </si>
  <si>
    <t>kd Lere</t>
  </si>
  <si>
    <t>kn Ungogo</t>
  </si>
  <si>
    <t>BAGUDO</t>
  </si>
  <si>
    <t>ko Ajaokuta</t>
  </si>
  <si>
    <t>IFELODUN</t>
  </si>
  <si>
    <t>la Ibeju</t>
  </si>
  <si>
    <t>na Obi</t>
  </si>
  <si>
    <t>BOSSO</t>
  </si>
  <si>
    <t>og Ifo</t>
  </si>
  <si>
    <t>on Akoko North East</t>
  </si>
  <si>
    <t>os Ife Central</t>
  </si>
  <si>
    <t>oy Kajola</t>
  </si>
  <si>
    <t>pl Jos South</t>
  </si>
  <si>
    <t>ANDONI</t>
  </si>
  <si>
    <t>GORONYO</t>
  </si>
  <si>
    <t>GASSOL</t>
  </si>
  <si>
    <t>FUNE</t>
  </si>
  <si>
    <t>BUNGUDU</t>
  </si>
  <si>
    <t>Tube Primary Health Center</t>
  </si>
  <si>
    <t>H39LYhr70Ip</t>
  </si>
  <si>
    <t>ECEWS</t>
  </si>
  <si>
    <t>ISIALA NGWA NORTH</t>
  </si>
  <si>
    <t>GUYUK</t>
  </si>
  <si>
    <t>ETIM EKPO</t>
  </si>
  <si>
    <t>AWKA NORTH</t>
  </si>
  <si>
    <t>DASS</t>
  </si>
  <si>
    <t>SAGBAMA</t>
  </si>
  <si>
    <t>be Gwer West</t>
  </si>
  <si>
    <t>CHIBOK</t>
  </si>
  <si>
    <t>BIASE</t>
  </si>
  <si>
    <t>de Oshimili South</t>
  </si>
  <si>
    <t>eb Izzi</t>
  </si>
  <si>
    <t>ESAN WEST</t>
  </si>
  <si>
    <t>ek Oye</t>
  </si>
  <si>
    <t>en Igbo Eze South</t>
  </si>
  <si>
    <t>fc Kwali</t>
  </si>
  <si>
    <t>go Kaltungo</t>
  </si>
  <si>
    <t>im Ikeduru</t>
  </si>
  <si>
    <t>DUTSE</t>
  </si>
  <si>
    <t>kd Sanga</t>
  </si>
  <si>
    <t>BIRNIN KEBBI</t>
  </si>
  <si>
    <t>ko Ankpa</t>
  </si>
  <si>
    <t>ILORIN EAST</t>
  </si>
  <si>
    <t>la Ifako-Ijaiye</t>
  </si>
  <si>
    <t>na Karu</t>
  </si>
  <si>
    <t>CHANCHAGA</t>
  </si>
  <si>
    <t>og Abeokuta North</t>
  </si>
  <si>
    <t>on Akure South</t>
  </si>
  <si>
    <t>os Ila</t>
  </si>
  <si>
    <t>oy Ogo Oluwa</t>
  </si>
  <si>
    <t>pl Langtang North</t>
  </si>
  <si>
    <t>ASARI-TORU</t>
  </si>
  <si>
    <t>GUDU</t>
  </si>
  <si>
    <t>IBI</t>
  </si>
  <si>
    <t>GEIDAM</t>
  </si>
  <si>
    <t>GUMMI</t>
  </si>
  <si>
    <t>Ayetoro General Hospital</t>
  </si>
  <si>
    <t>muPgi07IQTK</t>
  </si>
  <si>
    <t>FGHIN</t>
  </si>
  <si>
    <t>ISIALA NGWA SOUTH</t>
  </si>
  <si>
    <t>HONG</t>
  </si>
  <si>
    <t>ETINAN</t>
  </si>
  <si>
    <t>AWKA SOUTH</t>
  </si>
  <si>
    <t>GAMAWA</t>
  </si>
  <si>
    <t>SOUTHERN IJAW</t>
  </si>
  <si>
    <t>be Katsina-Ala</t>
  </si>
  <si>
    <t>DAMBOA</t>
  </si>
  <si>
    <t>BOKI</t>
  </si>
  <si>
    <t>de Uvwie</t>
  </si>
  <si>
    <t>eb Ohaozara</t>
  </si>
  <si>
    <t>ETSAKO CENTRAL</t>
  </si>
  <si>
    <t>en Isiuzo</t>
  </si>
  <si>
    <t>go Kwami</t>
  </si>
  <si>
    <t>im Isu</t>
  </si>
  <si>
    <t>GARKI</t>
  </si>
  <si>
    <t>kd Zango-Kataf</t>
  </si>
  <si>
    <t>BUNZA</t>
  </si>
  <si>
    <t>ko Ibaji</t>
  </si>
  <si>
    <t>ILORIN-SOUTH</t>
  </si>
  <si>
    <t>la Ikeja</t>
  </si>
  <si>
    <t>na Keana</t>
  </si>
  <si>
    <t>EDATTI</t>
  </si>
  <si>
    <t>og Abeokuta South</t>
  </si>
  <si>
    <t>on Odigbo</t>
  </si>
  <si>
    <t>os Ilesha East</t>
  </si>
  <si>
    <t>oy Olorunsogo</t>
  </si>
  <si>
    <t>pl Mangu</t>
  </si>
  <si>
    <t>BONNY</t>
  </si>
  <si>
    <t>GWADABAWA</t>
  </si>
  <si>
    <t>JALINGO</t>
  </si>
  <si>
    <t>GUJBA</t>
  </si>
  <si>
    <t>GUSAU</t>
  </si>
  <si>
    <t>Ibile Primary Health Center</t>
  </si>
  <si>
    <t>PPgLTt5B6Kq</t>
  </si>
  <si>
    <t>IHVN</t>
  </si>
  <si>
    <t>ISUIKWUATO</t>
  </si>
  <si>
    <t>JADA</t>
  </si>
  <si>
    <t>IBENO</t>
  </si>
  <si>
    <t>DUNUKOFIA</t>
  </si>
  <si>
    <t>GANJUWA</t>
  </si>
  <si>
    <t>YENAGOA</t>
  </si>
  <si>
    <t>be Konshisha</t>
  </si>
  <si>
    <t>DIKWA</t>
  </si>
  <si>
    <t>CALABAR MUNICIPALITY</t>
  </si>
  <si>
    <t>eb Ohaukwu</t>
  </si>
  <si>
    <t>ETSAKO EAST</t>
  </si>
  <si>
    <t>en Nkanu East</t>
  </si>
  <si>
    <t>go Nafada</t>
  </si>
  <si>
    <t>im Mbaitoli</t>
  </si>
  <si>
    <t>GAGARAWA</t>
  </si>
  <si>
    <t>kd Igabi</t>
  </si>
  <si>
    <t>DANDI</t>
  </si>
  <si>
    <t>ko Igalamela-Odolu</t>
  </si>
  <si>
    <t>ILORIN-WEST</t>
  </si>
  <si>
    <t>la Ikorodu</t>
  </si>
  <si>
    <t>na Kokona</t>
  </si>
  <si>
    <t>GBAKO</t>
  </si>
  <si>
    <t>og Ijebu Ode</t>
  </si>
  <si>
    <t>os Irewole</t>
  </si>
  <si>
    <t>oy Orelope</t>
  </si>
  <si>
    <t>pl Pankshin</t>
  </si>
  <si>
    <t>DEGEMA</t>
  </si>
  <si>
    <t>ILLELA</t>
  </si>
  <si>
    <t>KARIM-LAMIDO</t>
  </si>
  <si>
    <t>GULANI</t>
  </si>
  <si>
    <t>KAURA NAMODA</t>
  </si>
  <si>
    <t>Isaga Owode Health Center</t>
  </si>
  <si>
    <t>VGPZqV1kLlD</t>
  </si>
  <si>
    <t>PHI</t>
  </si>
  <si>
    <t>OBINGWA</t>
  </si>
  <si>
    <t>LAMURDE</t>
  </si>
  <si>
    <t>IBESIKPO ASUTAN</t>
  </si>
  <si>
    <t>EKWUSIGO</t>
  </si>
  <si>
    <t>GIADE</t>
  </si>
  <si>
    <t>be Kwande</t>
  </si>
  <si>
    <t>GUBIO</t>
  </si>
  <si>
    <t>CALABAR SOUTH</t>
  </si>
  <si>
    <t>eb Onicha</t>
  </si>
  <si>
    <t>ETSAKO  WEST</t>
  </si>
  <si>
    <t>en Nkanu West</t>
  </si>
  <si>
    <t>go Shongom</t>
  </si>
  <si>
    <t>im Ngor Okpala</t>
  </si>
  <si>
    <t>GUMEL</t>
  </si>
  <si>
    <t>kd Jaba</t>
  </si>
  <si>
    <t>FAKAI</t>
  </si>
  <si>
    <t>ko Kogi</t>
  </si>
  <si>
    <t>IREPODUN</t>
  </si>
  <si>
    <t>la Mushin</t>
  </si>
  <si>
    <t>na Nasarawa</t>
  </si>
  <si>
    <t>GURARA</t>
  </si>
  <si>
    <t>og Sagamu</t>
  </si>
  <si>
    <t>os Osogbo</t>
  </si>
  <si>
    <t>oy Ori Ire</t>
  </si>
  <si>
    <t>pl Qua'an Pan</t>
  </si>
  <si>
    <t>ELEME</t>
  </si>
  <si>
    <t>ISA</t>
  </si>
  <si>
    <t>KURMI</t>
  </si>
  <si>
    <t>JAKUSKO</t>
  </si>
  <si>
    <t>MARADUN</t>
  </si>
  <si>
    <t>Specialist Hospital - Ilaro</t>
  </si>
  <si>
    <t>WnA94tQ9PZu</t>
  </si>
  <si>
    <t>OHAFIA</t>
  </si>
  <si>
    <t>MADAGALI</t>
  </si>
  <si>
    <t>IBIONO IBOM</t>
  </si>
  <si>
    <t>IDEMILI NORTH</t>
  </si>
  <si>
    <t>ITAS/GADAU</t>
  </si>
  <si>
    <t>be Logo</t>
  </si>
  <si>
    <t>GUZAMALA</t>
  </si>
  <si>
    <t>ETUNG</t>
  </si>
  <si>
    <t>eb Ezza North</t>
  </si>
  <si>
    <t>IGUEBEN</t>
  </si>
  <si>
    <t>en Nsukka</t>
  </si>
  <si>
    <t>go Akko</t>
  </si>
  <si>
    <t>im Njaba</t>
  </si>
  <si>
    <t>GURI</t>
  </si>
  <si>
    <t>kd Kachia</t>
  </si>
  <si>
    <t>GWANDU</t>
  </si>
  <si>
    <t>ko Lokoja</t>
  </si>
  <si>
    <t>ISIN</t>
  </si>
  <si>
    <t>la Oshodi-Isolo</t>
  </si>
  <si>
    <t>na Nasarawa Eggon</t>
  </si>
  <si>
    <t>KATCHA</t>
  </si>
  <si>
    <t>oy Saki East</t>
  </si>
  <si>
    <t>pl Shendam</t>
  </si>
  <si>
    <t>EMOHUA</t>
  </si>
  <si>
    <t>KWARE</t>
  </si>
  <si>
    <t>LAU</t>
  </si>
  <si>
    <t>KARASAWA</t>
  </si>
  <si>
    <t>MARU</t>
  </si>
  <si>
    <t>Ago-Are Model Primary Health Center</t>
  </si>
  <si>
    <t>t1MU2cswLjx</t>
  </si>
  <si>
    <t>OSISIOMA</t>
  </si>
  <si>
    <t>MAIHA</t>
  </si>
  <si>
    <t>IKA</t>
  </si>
  <si>
    <t>IDEMILI-SOUTH</t>
  </si>
  <si>
    <t>JAMA'ARE</t>
  </si>
  <si>
    <t>be Makurdi</t>
  </si>
  <si>
    <t>GWOZA</t>
  </si>
  <si>
    <t>IKOM</t>
  </si>
  <si>
    <t>eb Ezza South</t>
  </si>
  <si>
    <t>IKPOBA/OKHA</t>
  </si>
  <si>
    <t>en Udenu</t>
  </si>
  <si>
    <t>go Yamaltu</t>
  </si>
  <si>
    <t>im Nkwerre</t>
  </si>
  <si>
    <t>GWARAM</t>
  </si>
  <si>
    <t>kd Kaduna North</t>
  </si>
  <si>
    <t>JEGA</t>
  </si>
  <si>
    <t>ko Ofu</t>
  </si>
  <si>
    <t>KAIAMA</t>
  </si>
  <si>
    <t>na Toto</t>
  </si>
  <si>
    <t>KONTAGORA</t>
  </si>
  <si>
    <t>oy Afijio</t>
  </si>
  <si>
    <t>pl Bokkos</t>
  </si>
  <si>
    <t>ETCHE</t>
  </si>
  <si>
    <t>KEBBE</t>
  </si>
  <si>
    <t>SARDAUNA</t>
  </si>
  <si>
    <t>MACHINA</t>
  </si>
  <si>
    <t>SHINKAFI</t>
  </si>
  <si>
    <t>Ago-Are Primary Health Center</t>
  </si>
  <si>
    <t>axwoQCMRKH4</t>
  </si>
  <si>
    <t>UGWUNAGBO</t>
  </si>
  <si>
    <t>MAYO - BELWA</t>
  </si>
  <si>
    <t>IKONO</t>
  </si>
  <si>
    <t>IHALA</t>
  </si>
  <si>
    <t>KATAGUM</t>
  </si>
  <si>
    <t>be Okpokwu</t>
  </si>
  <si>
    <t>HAWUL</t>
  </si>
  <si>
    <t>OBANLIKU</t>
  </si>
  <si>
    <t>eb Ikwo</t>
  </si>
  <si>
    <t>OREDO</t>
  </si>
  <si>
    <t>en Aninri</t>
  </si>
  <si>
    <t>im Nwangele</t>
  </si>
  <si>
    <t>GWIWA</t>
  </si>
  <si>
    <t>kd Kagarko</t>
  </si>
  <si>
    <t>KALGO</t>
  </si>
  <si>
    <t>ko Okehi</t>
  </si>
  <si>
    <t>MORO</t>
  </si>
  <si>
    <t>na Wamba</t>
  </si>
  <si>
    <t>LAPAI</t>
  </si>
  <si>
    <t>oy Akinyele</t>
  </si>
  <si>
    <t>pl Kanam</t>
  </si>
  <si>
    <t>GOKANA</t>
  </si>
  <si>
    <t>RABAH</t>
  </si>
  <si>
    <t>TAKUM</t>
  </si>
  <si>
    <t>NANGERE</t>
  </si>
  <si>
    <t>TALATA MAFARA</t>
  </si>
  <si>
    <t>Irawo Ile Primary Health Center</t>
  </si>
  <si>
    <t>okth7hjdnDl</t>
  </si>
  <si>
    <t>UKWA EAST</t>
  </si>
  <si>
    <t>MICHIKA</t>
  </si>
  <si>
    <t>IKOT ABASI</t>
  </si>
  <si>
    <t>NJIKOKA</t>
  </si>
  <si>
    <t>KIRFI</t>
  </si>
  <si>
    <t>be Otukpo</t>
  </si>
  <si>
    <t>JERE</t>
  </si>
  <si>
    <t>OBUBRA</t>
  </si>
  <si>
    <t>eb Ishielu</t>
  </si>
  <si>
    <t>ORHIONMWON</t>
  </si>
  <si>
    <t>en Awgu</t>
  </si>
  <si>
    <t>im Oguta</t>
  </si>
  <si>
    <t>HADEJIA</t>
  </si>
  <si>
    <t>kd Kajuru</t>
  </si>
  <si>
    <t>KOKO/BESSE</t>
  </si>
  <si>
    <t>OFFA</t>
  </si>
  <si>
    <t>LAVUN</t>
  </si>
  <si>
    <t>oy Atiba</t>
  </si>
  <si>
    <t>pl Kanke</t>
  </si>
  <si>
    <t>IKWERRE</t>
  </si>
  <si>
    <t>S/BIRNI</t>
  </si>
  <si>
    <t>USSA</t>
  </si>
  <si>
    <t>NGURU</t>
  </si>
  <si>
    <t>TSAFE</t>
  </si>
  <si>
    <t>Ofiki Primary Health Center</t>
  </si>
  <si>
    <t>WWsRxxlA1kT</t>
  </si>
  <si>
    <t>UKWA  WEST</t>
  </si>
  <si>
    <t>MUBI NORTH</t>
  </si>
  <si>
    <t>IKOT EKPENE</t>
  </si>
  <si>
    <t>NNEWI NORTH</t>
  </si>
  <si>
    <t>MISAU</t>
  </si>
  <si>
    <t>be Tarka</t>
  </si>
  <si>
    <t>KAGA</t>
  </si>
  <si>
    <t>OBUDU</t>
  </si>
  <si>
    <t>OVIA NORTH EAST</t>
  </si>
  <si>
    <t>en Ezeagu</t>
  </si>
  <si>
    <t>im Ohaji</t>
  </si>
  <si>
    <t>JAHUN</t>
  </si>
  <si>
    <t>kd Kaura</t>
  </si>
  <si>
    <t>MAIYAMA</t>
  </si>
  <si>
    <t>OKE - ERO</t>
  </si>
  <si>
    <t>MAGAMA</t>
  </si>
  <si>
    <t>oy Ibadan North</t>
  </si>
  <si>
    <t>pl Langtang South</t>
  </si>
  <si>
    <t>KHANA</t>
  </si>
  <si>
    <t>SHAGARI</t>
  </si>
  <si>
    <t>WUKARI</t>
  </si>
  <si>
    <t>POTISKUM</t>
  </si>
  <si>
    <t>ZURMI</t>
  </si>
  <si>
    <t>Tede Comprehensive Health Center</t>
  </si>
  <si>
    <t>g7duV6lW7oO</t>
  </si>
  <si>
    <t>UMUAHIA NORTH</t>
  </si>
  <si>
    <t>MUBI SOUTH</t>
  </si>
  <si>
    <t>INI</t>
  </si>
  <si>
    <t>NNEWI SOUTH</t>
  </si>
  <si>
    <t>NINGI</t>
  </si>
  <si>
    <t>be Ukum</t>
  </si>
  <si>
    <t>KALA BALGE</t>
  </si>
  <si>
    <t>ODUKPANI</t>
  </si>
  <si>
    <t>OVIA SOUTH WEST</t>
  </si>
  <si>
    <t>en Oji River</t>
  </si>
  <si>
    <t>im Orlu</t>
  </si>
  <si>
    <t>KAFIN HAUSA</t>
  </si>
  <si>
    <t>kd Soba</t>
  </si>
  <si>
    <t>NGASKI</t>
  </si>
  <si>
    <t>OYUN</t>
  </si>
  <si>
    <t>MARIGA</t>
  </si>
  <si>
    <t>oy Ibadan North-East</t>
  </si>
  <si>
    <t>pl Mikang</t>
  </si>
  <si>
    <t>OBIO/AKPOR</t>
  </si>
  <si>
    <t>SILAME</t>
  </si>
  <si>
    <t>YORRO</t>
  </si>
  <si>
    <t>TARMUWA</t>
  </si>
  <si>
    <t>Tede General Hospital</t>
  </si>
  <si>
    <t>CDiho2YnFlh</t>
  </si>
  <si>
    <t>UMUAHIA  SOUTH</t>
  </si>
  <si>
    <t>NUMAN</t>
  </si>
  <si>
    <t>ITU</t>
  </si>
  <si>
    <t>OGBARU</t>
  </si>
  <si>
    <t>SHIRA</t>
  </si>
  <si>
    <t>be Ushongo</t>
  </si>
  <si>
    <t>KONDUGA</t>
  </si>
  <si>
    <t>OGOJA</t>
  </si>
  <si>
    <t>OWAN EAST</t>
  </si>
  <si>
    <t>en Udi</t>
  </si>
  <si>
    <t>im Orsu</t>
  </si>
  <si>
    <t>KAUGAMA</t>
  </si>
  <si>
    <t>kd Zaria</t>
  </si>
  <si>
    <t>SAKABA</t>
  </si>
  <si>
    <t>PATIGI</t>
  </si>
  <si>
    <t>MASHEGU</t>
  </si>
  <si>
    <t>oy Ibadan North-West</t>
  </si>
  <si>
    <t>OGBA/EGBEMA/NDONI</t>
  </si>
  <si>
    <t>SOKOTO NORTH</t>
  </si>
  <si>
    <t>ZING</t>
  </si>
  <si>
    <t>YUNUSARI</t>
  </si>
  <si>
    <t>Agade Primary Health Center</t>
  </si>
  <si>
    <t>qOFvUyNQCHC</t>
  </si>
  <si>
    <t>UMU - NNEOCHI</t>
  </si>
  <si>
    <t>SHELLENG</t>
  </si>
  <si>
    <t>MBO</t>
  </si>
  <si>
    <t>ONITSHA-NORTH</t>
  </si>
  <si>
    <t>TAFAWA BALEWA</t>
  </si>
  <si>
    <t>be Vandeikya</t>
  </si>
  <si>
    <t>KUKAWA</t>
  </si>
  <si>
    <t>YAKURR</t>
  </si>
  <si>
    <t>OWAN WEST</t>
  </si>
  <si>
    <t>im Oru East</t>
  </si>
  <si>
    <t>KAZAURE</t>
  </si>
  <si>
    <t>kd Birnin Gwari</t>
  </si>
  <si>
    <t>SHANGA</t>
  </si>
  <si>
    <t>MOKWA</t>
  </si>
  <si>
    <t>oy Ibadan South-East</t>
  </si>
  <si>
    <t>OGU/BOLO</t>
  </si>
  <si>
    <t>SOKOTO SOUTH</t>
  </si>
  <si>
    <t>YUSUFARI</t>
  </si>
  <si>
    <t>Kisi General Hospital</t>
  </si>
  <si>
    <t>l7D0Lku4ECe</t>
  </si>
  <si>
    <t>SONG</t>
  </si>
  <si>
    <t>MKPAT ENIN</t>
  </si>
  <si>
    <t>ONITSHA -SOUTH</t>
  </si>
  <si>
    <t>TORO</t>
  </si>
  <si>
    <t>be Ado</t>
  </si>
  <si>
    <t>KWAYA / KUSAR</t>
  </si>
  <si>
    <t>YALA</t>
  </si>
  <si>
    <t>UHUNMWODE</t>
  </si>
  <si>
    <t>im Oru West</t>
  </si>
  <si>
    <t>KIRIKA SAMMA</t>
  </si>
  <si>
    <t>kd Giwa</t>
  </si>
  <si>
    <t>SURU</t>
  </si>
  <si>
    <t>MUNYA</t>
  </si>
  <si>
    <t>oy Ibadan South-West</t>
  </si>
  <si>
    <t>OKRIKA</t>
  </si>
  <si>
    <t>TAMBUWAL</t>
  </si>
  <si>
    <t>Koso Primary Health Center- Irepo</t>
  </si>
  <si>
    <t>MrDTe8quPHV</t>
  </si>
  <si>
    <t>TOUNGO</t>
  </si>
  <si>
    <t>NSIT ATAI</t>
  </si>
  <si>
    <t>ORUMBA NORTH</t>
  </si>
  <si>
    <t>WARJI</t>
  </si>
  <si>
    <t>be Apa</t>
  </si>
  <si>
    <t>MAFA</t>
  </si>
  <si>
    <t>im Owerri Municipal</t>
  </si>
  <si>
    <t>KIYAWA</t>
  </si>
  <si>
    <t>kd Kauru</t>
  </si>
  <si>
    <t>WASAGU/DANKO</t>
  </si>
  <si>
    <t>PAIKORO</t>
  </si>
  <si>
    <t>oy Ibarapa Central</t>
  </si>
  <si>
    <t>OMUMA</t>
  </si>
  <si>
    <t>TANGAZA</t>
  </si>
  <si>
    <t>Olorunsogo Model Primary Health Center</t>
  </si>
  <si>
    <t>CHOLZ7N4Nbp</t>
  </si>
  <si>
    <t>YOLA NORTH</t>
  </si>
  <si>
    <t>NSIT IBOM</t>
  </si>
  <si>
    <t>ORUMBA  SOUTH</t>
  </si>
  <si>
    <t>ZAKI</t>
  </si>
  <si>
    <t>be Obi</t>
  </si>
  <si>
    <t>MAGUMERI</t>
  </si>
  <si>
    <t>im Owerri North</t>
  </si>
  <si>
    <t>MAIGATARI</t>
  </si>
  <si>
    <t>kd Makarfi</t>
  </si>
  <si>
    <t>YAURI</t>
  </si>
  <si>
    <t>RAFI</t>
  </si>
  <si>
    <t>oy Ido</t>
  </si>
  <si>
    <t>OPOBO/NEKORO</t>
  </si>
  <si>
    <t>TURETA</t>
  </si>
  <si>
    <t>Ado Awaye Primary Health Center</t>
  </si>
  <si>
    <t>n3AczRXojfF</t>
  </si>
  <si>
    <t>YOLA SOUTH</t>
  </si>
  <si>
    <t>NSIT UBIUM</t>
  </si>
  <si>
    <t>OYI</t>
  </si>
  <si>
    <t>be Ogbadibo</t>
  </si>
  <si>
    <t>MAIDUGURI M. C.</t>
  </si>
  <si>
    <t>im Owerri West</t>
  </si>
  <si>
    <t>MALAM MADORI</t>
  </si>
  <si>
    <t>kd Sabon Gari</t>
  </si>
  <si>
    <t>ZURU</t>
  </si>
  <si>
    <t>RIJAU</t>
  </si>
  <si>
    <t>oy Itesiwaju</t>
  </si>
  <si>
    <t>OYIGBO</t>
  </si>
  <si>
    <t>WAMAKKO</t>
  </si>
  <si>
    <t>Faramora Primary Health Center</t>
  </si>
  <si>
    <t>XTVUI9SkNTF</t>
  </si>
  <si>
    <t>OBOT AKARA</t>
  </si>
  <si>
    <t>be Ohimini</t>
  </si>
  <si>
    <t>MARTE</t>
  </si>
  <si>
    <t>im Ehime Mbano</t>
  </si>
  <si>
    <t>MIGA</t>
  </si>
  <si>
    <t>SHIRORO</t>
  </si>
  <si>
    <t>oy Lagelu</t>
  </si>
  <si>
    <t>PORT HARCOURT</t>
  </si>
  <si>
    <t>WURNO</t>
  </si>
  <si>
    <t>Isalu Primary Health Center</t>
  </si>
  <si>
    <t>oPNBYFlO4a7</t>
  </si>
  <si>
    <t>OKOBO</t>
  </si>
  <si>
    <t>be Oju</t>
  </si>
  <si>
    <t>MOBBAR</t>
  </si>
  <si>
    <t>im Ihitte</t>
  </si>
  <si>
    <t>RINGIM</t>
  </si>
  <si>
    <t>SULEJA</t>
  </si>
  <si>
    <t>oy Ogbomoso North</t>
  </si>
  <si>
    <t>TAI</t>
  </si>
  <si>
    <t>YABO</t>
  </si>
  <si>
    <t>Iseyin General Hospital</t>
  </si>
  <si>
    <t>o9zWHFjhquv</t>
  </si>
  <si>
    <t>ONNA</t>
  </si>
  <si>
    <t>MONGUNO</t>
  </si>
  <si>
    <t>im Isiala Mbano</t>
  </si>
  <si>
    <t>RONI</t>
  </si>
  <si>
    <t>TAFA</t>
  </si>
  <si>
    <t>oy Ogbomoso South</t>
  </si>
  <si>
    <t>Koso Primary Health Center- Iseyin</t>
  </si>
  <si>
    <t>nF4cgzRSodW</t>
  </si>
  <si>
    <t>ORON</t>
  </si>
  <si>
    <t>NGALA</t>
  </si>
  <si>
    <t>im Obowo</t>
  </si>
  <si>
    <t>SULE-TANKARKAR</t>
  </si>
  <si>
    <t>WUSHISHI</t>
  </si>
  <si>
    <t>oy Oluyole</t>
  </si>
  <si>
    <t>Ode-Oba Primary Health Center</t>
  </si>
  <si>
    <t>FOYn0ByRPa9</t>
  </si>
  <si>
    <t>ORUK ANAM</t>
  </si>
  <si>
    <t>NGANZAI</t>
  </si>
  <si>
    <t>im Okigwe</t>
  </si>
  <si>
    <t>TAURA</t>
  </si>
  <si>
    <t>oy Ona Ara</t>
  </si>
  <si>
    <t>Igana General Hospital</t>
  </si>
  <si>
    <t>csjgQDX70UY</t>
  </si>
  <si>
    <t>UDUNG UKO</t>
  </si>
  <si>
    <t>SHANI</t>
  </si>
  <si>
    <t>im Onuimo</t>
  </si>
  <si>
    <t>YANKWASHI</t>
  </si>
  <si>
    <t>oy Oyo East</t>
  </si>
  <si>
    <t>Igana Primary Health Center</t>
  </si>
  <si>
    <t>LrhTC0vQwl8</t>
  </si>
  <si>
    <t>UKANAFUN</t>
  </si>
  <si>
    <t>oy Oyo West</t>
  </si>
  <si>
    <t>Ijio Primary Health Center</t>
  </si>
  <si>
    <t>vjXeF7I4U0G</t>
  </si>
  <si>
    <t>URUAN</t>
  </si>
  <si>
    <t>oy Saki West</t>
  </si>
  <si>
    <t>Agbagi Primary Health Center</t>
  </si>
  <si>
    <t>Y7y7ALiafAi</t>
  </si>
  <si>
    <t>URUE OFFONG/ORUKO</t>
  </si>
  <si>
    <t>oy Surulere</t>
  </si>
  <si>
    <t>Baptist Medical Centre - Ilefo</t>
  </si>
  <si>
    <t>ZOFawdldLxn</t>
  </si>
  <si>
    <t>UYO</t>
  </si>
  <si>
    <t>oy Egbeda</t>
  </si>
  <si>
    <t>Gbonje Primary Health Center</t>
  </si>
  <si>
    <t>YgDUJxPEAqX</t>
  </si>
  <si>
    <t>Ijo Primary Health Center</t>
  </si>
  <si>
    <t>Z3TYZfI2lwQ</t>
  </si>
  <si>
    <t>Okeho General Hospital</t>
  </si>
  <si>
    <t>L0SpXvHcxlr</t>
  </si>
  <si>
    <t>Ajaawa Primary Health Center</t>
  </si>
  <si>
    <t>fD14mGxPP3L</t>
  </si>
  <si>
    <t>Odo-Oba Primary Health Center</t>
  </si>
  <si>
    <t>oOLAYH0WZI8</t>
  </si>
  <si>
    <t>Dogo-LEEMP Primary Health Center</t>
  </si>
  <si>
    <t>PI26NbjCCVn</t>
  </si>
  <si>
    <t>Igbeti General Hospital</t>
  </si>
  <si>
    <t>ty9jMW3us5b</t>
  </si>
  <si>
    <t>Bonni Primary Health Center</t>
  </si>
  <si>
    <t>RikNQmXQLvM</t>
  </si>
  <si>
    <t>Igboho General Hospital</t>
  </si>
  <si>
    <t>oXanQ9NfzcJ</t>
  </si>
  <si>
    <t>Ikoyi-Ile Primary Health Center</t>
  </si>
  <si>
    <t>jN3f776qJBx</t>
  </si>
  <si>
    <t>Agbonle Primary Health Center</t>
  </si>
  <si>
    <t>axW6IWUePhH</t>
  </si>
  <si>
    <t>Ogboro Primary Health Center</t>
  </si>
  <si>
    <t>dhw13NZ1dXs</t>
  </si>
  <si>
    <t>Oje Owode Primary Health Center</t>
  </si>
  <si>
    <t>sH7hx1wlgBV</t>
  </si>
  <si>
    <t>Aboru Primary Health Center</t>
  </si>
  <si>
    <t>c3KK4r0ApCl</t>
  </si>
  <si>
    <t>Agape Hospital</t>
  </si>
  <si>
    <t>zWL7dZOFW9z</t>
  </si>
  <si>
    <t>Agbado Primary Health Center</t>
  </si>
  <si>
    <t>e0sBYzUQ6fO</t>
  </si>
  <si>
    <t>Agbelekale Primary Health Center</t>
  </si>
  <si>
    <t>ISrqCAopMYv</t>
  </si>
  <si>
    <t>Agodo Primary Health Center</t>
  </si>
  <si>
    <t>jccw648JEyd</t>
  </si>
  <si>
    <t>Akinogun Primary Health Center</t>
  </si>
  <si>
    <t>Hbb8fFmfgbP</t>
  </si>
  <si>
    <t>Akinyele Primary Health Center</t>
  </si>
  <si>
    <t>lYHVH7igttv</t>
  </si>
  <si>
    <t>Akonwonjo Primary Health Center</t>
  </si>
  <si>
    <t>Mq45WIHMbhI</t>
  </si>
  <si>
    <t>Alimosho General Hospital</t>
  </si>
  <si>
    <t>jMnxdoXrX0B</t>
  </si>
  <si>
    <t>Amikanle Primary Health Center</t>
  </si>
  <si>
    <t>sLvtY9JbCbl</t>
  </si>
  <si>
    <t>Aregbesola Primary Health Center</t>
  </si>
  <si>
    <t>LNguEy0vjvR</t>
  </si>
  <si>
    <t>Ayobo Primary Health Center</t>
  </si>
  <si>
    <t>iQOwAevKYiJ</t>
  </si>
  <si>
    <t>Bada Primary Health Center</t>
  </si>
  <si>
    <t>dcXk89Cs5Ba</t>
  </si>
  <si>
    <t>Baruwa Primary Health Center</t>
  </si>
  <si>
    <t>ZZFCxHwhiCw</t>
  </si>
  <si>
    <t>Bee-Hess Hospital</t>
  </si>
  <si>
    <t>KZIu3ReUZOf</t>
  </si>
  <si>
    <t>Bissalam Hospital</t>
  </si>
  <si>
    <t>LS44Gy0hPt9</t>
  </si>
  <si>
    <t>Cele Apata Primary Health Center</t>
  </si>
  <si>
    <t>ws51lSMCyPH</t>
  </si>
  <si>
    <t>Crystal Specialist Hospital</t>
  </si>
  <si>
    <t>U4PYh3OVqQf</t>
  </si>
  <si>
    <t>Egan Primary Health Center</t>
  </si>
  <si>
    <t>hQ808SWIPV2</t>
  </si>
  <si>
    <t>Hamkad Hospital</t>
  </si>
  <si>
    <t>ya5aVehGJhU</t>
  </si>
  <si>
    <t>Helen Aderonke (Egbe Idimu) Primary Health Center</t>
  </si>
  <si>
    <t>bAeQxzIqls2</t>
  </si>
  <si>
    <t>Ikola Primary Health Center</t>
  </si>
  <si>
    <t>Y5kAcxYCJtJ</t>
  </si>
  <si>
    <t>Ikotun Primary Health Center</t>
  </si>
  <si>
    <t>R3X9MttmeAb</t>
  </si>
  <si>
    <t>Ipaja Primary Health Center</t>
  </si>
  <si>
    <t>iJX8pwklfN3</t>
  </si>
  <si>
    <t>Ishefun Primary Health Center</t>
  </si>
  <si>
    <t>NGcOdU567cM</t>
  </si>
  <si>
    <t>Isheri Oshun Primary Health Center</t>
  </si>
  <si>
    <t>jgHQAN6DXzD</t>
  </si>
  <si>
    <t>Isheri Primary Health Center</t>
  </si>
  <si>
    <t>iW0gyLDnttQ</t>
  </si>
  <si>
    <t>Light Hospital</t>
  </si>
  <si>
    <t>jkohclo02rj</t>
  </si>
  <si>
    <t>Longing Medical Center</t>
  </si>
  <si>
    <t>r0nMODWpO19</t>
  </si>
  <si>
    <t>Meiran Primary Health Center</t>
  </si>
  <si>
    <t>owB333UT2qz</t>
  </si>
  <si>
    <t>Ogbomoshotedo Primary Health Center</t>
  </si>
  <si>
    <t>BmfDTA3dEh1</t>
  </si>
  <si>
    <t>Ogundimu Primary Health Center</t>
  </si>
  <si>
    <t>V7TMHLKzkBM</t>
  </si>
  <si>
    <t>Oke odo Primary Health Center</t>
  </si>
  <si>
    <t>JxUscCJtDLV</t>
  </si>
  <si>
    <t>Okerube Primary Health Center</t>
  </si>
  <si>
    <t>CJimJqWhcMm</t>
  </si>
  <si>
    <t>Oki Primary Health Center</t>
  </si>
  <si>
    <t>RAvl5HsvuzW</t>
  </si>
  <si>
    <t>Okokumo Primary Health Center</t>
  </si>
  <si>
    <t>fmyeOYjZpui</t>
  </si>
  <si>
    <t>Olota Primary Health Center</t>
  </si>
  <si>
    <t>M205lvV2EMK</t>
  </si>
  <si>
    <t>Orisunbare Primary Health Center</t>
  </si>
  <si>
    <t>i2hdvExuY3s</t>
  </si>
  <si>
    <t>Subol Hospital</t>
  </si>
  <si>
    <t>jMBwuIXxYQb</t>
  </si>
  <si>
    <t>Surulere Primary Health Center</t>
  </si>
  <si>
    <t>IbVBi2EBk8K</t>
  </si>
  <si>
    <t>Veta Hospital</t>
  </si>
  <si>
    <t>ih6pNkvFysn</t>
  </si>
  <si>
    <t>Agboju Primary Health Center</t>
  </si>
  <si>
    <t>V9F0fejCYiz</t>
  </si>
  <si>
    <t>AMC Hospital</t>
  </si>
  <si>
    <t>S2LeWmLumda</t>
  </si>
  <si>
    <t>Bola Ahmed Tinubu Primary Health Center</t>
  </si>
  <si>
    <t>EZB6jSsaHsL</t>
  </si>
  <si>
    <t>Festac Primary Health Center</t>
  </si>
  <si>
    <t>DaQnVxhTwge</t>
  </si>
  <si>
    <t>Igbologun Primary Health Center</t>
  </si>
  <si>
    <t>NK1aIh1gWE4</t>
  </si>
  <si>
    <t>Sabokaji Primary Health Center</t>
  </si>
  <si>
    <t>i64phEv67WC</t>
  </si>
  <si>
    <t>Satellite Primary Health Center</t>
  </si>
  <si>
    <t>lUS1f60wUKB</t>
  </si>
  <si>
    <t>St. Joseph Mission Clinic Kirikiri</t>
  </si>
  <si>
    <t>wsaK58gH5tH</t>
  </si>
  <si>
    <t>The Hossana Hospital</t>
  </si>
  <si>
    <t>uC71uAUWa8F</t>
  </si>
  <si>
    <t>Agbowa Primary Health Center</t>
  </si>
  <si>
    <t>IAiSCdtL1sX</t>
  </si>
  <si>
    <t>Epe Primary Health Center</t>
  </si>
  <si>
    <t>snJpXItWn78</t>
  </si>
  <si>
    <t>Eredo Primary Health Center</t>
  </si>
  <si>
    <t>mTGLo1Qim95</t>
  </si>
  <si>
    <t>Odomola Primary Health Center</t>
  </si>
  <si>
    <t>nzKmHXFrW9C</t>
  </si>
  <si>
    <t>Best Care Hospital</t>
  </si>
  <si>
    <t>S1QQnkPHGna</t>
  </si>
  <si>
    <t>Falomo Police Hospital</t>
  </si>
  <si>
    <t>K4fl4VyS1Qp</t>
  </si>
  <si>
    <t>Ikate Primary Health Center</t>
  </si>
  <si>
    <t>W8ZrdhS5bgo</t>
  </si>
  <si>
    <t>Ikota Primary Health Center</t>
  </si>
  <si>
    <t>PDDXfKVCTWm</t>
  </si>
  <si>
    <t>Ikoyi Primary Health Center</t>
  </si>
  <si>
    <t>AyhmKzryWuV</t>
  </si>
  <si>
    <t>Obalende Primary Health Center</t>
  </si>
  <si>
    <t>eLEoDNrlVO7</t>
  </si>
  <si>
    <t>Okun Mapo Primary Health Center</t>
  </si>
  <si>
    <t>zE2drV5oTj6</t>
  </si>
  <si>
    <t>Lekki</t>
  </si>
  <si>
    <t>rybzkBaDCOT</t>
  </si>
  <si>
    <t>KmKzDT9YmmR</t>
  </si>
  <si>
    <t>rB2YmkEyVMe</t>
  </si>
  <si>
    <t>xu4mnSBhh65</t>
  </si>
  <si>
    <t>Adesola Primary Health Center</t>
  </si>
  <si>
    <t>S9BtjrXBreK</t>
  </si>
  <si>
    <t>Agbado Kola Primary Health Center</t>
  </si>
  <si>
    <t>WNZk7unzn4x</t>
  </si>
  <si>
    <t>Ajegunle-Ilo Primary Health Center</t>
  </si>
  <si>
    <t>NJdwm5iuUxe</t>
  </si>
  <si>
    <t>Ancilla Catholic Hospital</t>
  </si>
  <si>
    <t>CtKYcZmtnBQ</t>
  </si>
  <si>
    <t>Ayodele Medical Center</t>
  </si>
  <si>
    <t>DGLOiFO0XhL</t>
  </si>
  <si>
    <t>Ifako Ijaiye General Hospital</t>
  </si>
  <si>
    <t>OWOckBlm9Du</t>
  </si>
  <si>
    <t>Ifako Primary Health Center</t>
  </si>
  <si>
    <t>W7hscr3wKtm</t>
  </si>
  <si>
    <t>Isokan Primary Health Center</t>
  </si>
  <si>
    <t>qroS3gZWvU2</t>
  </si>
  <si>
    <t>Jefis Specialist Hospital</t>
  </si>
  <si>
    <t>AaN3R7sqGYf</t>
  </si>
  <si>
    <t>Longe Medical Center</t>
  </si>
  <si>
    <t>VIgbUF6H4ma</t>
  </si>
  <si>
    <t>Ojokoro Primary Health Center</t>
  </si>
  <si>
    <t>WUAXNFlS8S0</t>
  </si>
  <si>
    <t>Uptown Medical Center</t>
  </si>
  <si>
    <t>LDLrZHe5kW6</t>
  </si>
  <si>
    <t>Adefemi Hospital</t>
  </si>
  <si>
    <t>bo5LL25UZr1</t>
  </si>
  <si>
    <t>Adeniyi Jones Millennium Development Goal (MDG) Primary Health Center</t>
  </si>
  <si>
    <t>FmYJEmrM0XN</t>
  </si>
  <si>
    <t>Aguda Primary Health Center</t>
  </si>
  <si>
    <t>JOF4KxxChPl</t>
  </si>
  <si>
    <t>Akiode Primary Health Center</t>
  </si>
  <si>
    <t>LsJjeyhrrj8</t>
  </si>
  <si>
    <t>Beko Ransome-Kuti Primary Health Center</t>
  </si>
  <si>
    <t>jnOAbplL5YG</t>
  </si>
  <si>
    <t>ko Dekina</t>
  </si>
  <si>
    <t>County Hospital</t>
  </si>
  <si>
    <t>WYEdzcETfEC</t>
  </si>
  <si>
    <t>ko Idah</t>
  </si>
  <si>
    <t>Duro Soleye Hospital</t>
  </si>
  <si>
    <t>b8C3q6aXIHX</t>
  </si>
  <si>
    <t>ko Kabba</t>
  </si>
  <si>
    <t>Lagos State University Teaching Hospital</t>
  </si>
  <si>
    <t>y5TzOvctmba</t>
  </si>
  <si>
    <t>Obawole Primary Health Center</t>
  </si>
  <si>
    <t>JJLlHAIHW8T</t>
  </si>
  <si>
    <t>Ojodu Primary Health Care</t>
  </si>
  <si>
    <t>zkYOojlUFww</t>
  </si>
  <si>
    <t>Oke Ira Powerline Primary Health Center</t>
  </si>
  <si>
    <t>XSeH6VOw1fh</t>
  </si>
  <si>
    <t>Oke-Ira Primary Health Center</t>
  </si>
  <si>
    <t>u2gno9ABCWb</t>
  </si>
  <si>
    <t>Olusosun Primary Health Center</t>
  </si>
  <si>
    <t>RnXXh2sgzX5</t>
  </si>
  <si>
    <t>Onilekere Primary Health Center</t>
  </si>
  <si>
    <t>Ot3avYZ7tV1</t>
  </si>
  <si>
    <t>Opebi Primary Health Center</t>
  </si>
  <si>
    <t>sjyWVZMA3W5</t>
  </si>
  <si>
    <t>Wasimi Primary Health Center</t>
  </si>
  <si>
    <t>LaT8akDWnud</t>
  </si>
  <si>
    <t>Agbede Primary Health Center</t>
  </si>
  <si>
    <t>YbTvBy2QPE7</t>
  </si>
  <si>
    <t>Emmanuel Primary Health Center</t>
  </si>
  <si>
    <t>HS1cDiYf7gf</t>
  </si>
  <si>
    <t>Haruna Ogun Memorial Hospital</t>
  </si>
  <si>
    <t>i090T1hI6X0</t>
  </si>
  <si>
    <t>Igbogbo Primary Health Center</t>
  </si>
  <si>
    <t>rH7xalmwpYB</t>
  </si>
  <si>
    <t>Ijede Health Center</t>
  </si>
  <si>
    <t>qrRePxE2vHI</t>
  </si>
  <si>
    <t>Ijede Primary Health Center</t>
  </si>
  <si>
    <t>z70ck0KZc4d</t>
  </si>
  <si>
    <t>Ita Elewe Primary Health Center</t>
  </si>
  <si>
    <t>U4YdfwmVnPI</t>
  </si>
  <si>
    <t>Losi oba Primary Health Center</t>
  </si>
  <si>
    <t>jmsbhbzvFjI</t>
  </si>
  <si>
    <t>Olorunda Primary Health Center</t>
  </si>
  <si>
    <t>J6ZAOJRzjmi</t>
  </si>
  <si>
    <t>Ajeabo Primary Health Center</t>
  </si>
  <si>
    <t>PdTC8ihrFRQ</t>
  </si>
  <si>
    <t>Alves Primary Health Center</t>
  </si>
  <si>
    <t>JgBwr0COYz2</t>
  </si>
  <si>
    <t>Anikulapo Primary Health Center</t>
  </si>
  <si>
    <t>pvWuqIIsWQA</t>
  </si>
  <si>
    <t>Ayantuga Primary Health Center</t>
  </si>
  <si>
    <t>a9EDyKYjIlc</t>
  </si>
  <si>
    <t>BMM Hospital</t>
  </si>
  <si>
    <t>loSnnXHIly8</t>
  </si>
  <si>
    <t>Coker Primary Health Center</t>
  </si>
  <si>
    <t>Abx7H0yRizH</t>
  </si>
  <si>
    <t>Hill Star Hospital</t>
  </si>
  <si>
    <t>BZoXtTzACja</t>
  </si>
  <si>
    <t>Isolo Road Primary Health Center</t>
  </si>
  <si>
    <t>S8op2ZXvedF</t>
  </si>
  <si>
    <t>Itire Ijesa Primary Health Center</t>
  </si>
  <si>
    <t>I2cEhPn5UJh</t>
  </si>
  <si>
    <t>Kajola Primary Health Center</t>
  </si>
  <si>
    <t>Q17Ty0GqXhn</t>
  </si>
  <si>
    <t>Lagos University Teaching Hospital (LUTH)</t>
  </si>
  <si>
    <t>WlXQVJSBvrn</t>
  </si>
  <si>
    <t>Mushin General Hospital</t>
  </si>
  <si>
    <t>bjExvCDZVsB</t>
  </si>
  <si>
    <t>Palm Avenue Primary Health Center</t>
  </si>
  <si>
    <t>LZC72BhBZBd</t>
  </si>
  <si>
    <t>Regina Mundi Hospital</t>
  </si>
  <si>
    <t>CPztYnaQ83c</t>
  </si>
  <si>
    <t>Ayo Ni Primary Health Center</t>
  </si>
  <si>
    <t>AhZsImJgTK3</t>
  </si>
  <si>
    <t>Bose Specialist Hospital</t>
  </si>
  <si>
    <t>bTPVQYxwLS7</t>
  </si>
  <si>
    <t>Divine Grace Medical Center</t>
  </si>
  <si>
    <t>Mopy9urk8W8</t>
  </si>
  <si>
    <t>Dolu Hospital</t>
  </si>
  <si>
    <t>HAFfPJ6ZnN7</t>
  </si>
  <si>
    <t>Edmac Hospital</t>
  </si>
  <si>
    <t>IkRDBIujlYH</t>
  </si>
  <si>
    <t>Ewetuntun Primary Health Center</t>
  </si>
  <si>
    <t>TNjO0V8WSOM</t>
  </si>
  <si>
    <t>Ilasa Primary Health Center</t>
  </si>
  <si>
    <t>GOVwdQYj2ix</t>
  </si>
  <si>
    <t>Iyana Ejigbo Primary Health Center</t>
  </si>
  <si>
    <t>cslZ1cjjBW9</t>
  </si>
  <si>
    <t>Jakande Primary Health Center</t>
  </si>
  <si>
    <t>FR5nDgcO1g7</t>
  </si>
  <si>
    <t>Jericho Hospital</t>
  </si>
  <si>
    <t>nj9kyJNpeS0</t>
  </si>
  <si>
    <t>Oshodi Primary Health Center</t>
  </si>
  <si>
    <t>kF7zcKqeIwG</t>
  </si>
  <si>
    <t>Pinecrest Hospital</t>
  </si>
  <si>
    <t>vBY9Zlv9MCY</t>
  </si>
  <si>
    <t>Sentinel Hospital</t>
  </si>
  <si>
    <t>YLQbsdHKHu4</t>
  </si>
  <si>
    <t>St. Raphael Hospital</t>
  </si>
  <si>
    <t>qpgHF9b1g2e</t>
  </si>
  <si>
    <t>Ilora Primary Health Center</t>
  </si>
  <si>
    <t>nf8iMC6uQjS</t>
  </si>
  <si>
    <t>Moniya Primary Health Center</t>
  </si>
  <si>
    <t>o9UJUeIeW6P</t>
  </si>
  <si>
    <t>Aafin Primary Health Center</t>
  </si>
  <si>
    <t>VFHmekMPH7g</t>
  </si>
  <si>
    <t>Adeoyo Maternity Hospital</t>
  </si>
  <si>
    <t>MamvPxaqiTG</t>
  </si>
  <si>
    <t>Bashorun Oluwonla Primary Health Center</t>
  </si>
  <si>
    <t>IDTbUHFAKfU</t>
  </si>
  <si>
    <t>Idi Ogungun Primary Health Center</t>
  </si>
  <si>
    <t>lUK0PY9z0dH</t>
  </si>
  <si>
    <t>Oniyanrin Primary Health Center</t>
  </si>
  <si>
    <t>D5KBMs5woXi</t>
  </si>
  <si>
    <t>University College Hospital</t>
  </si>
  <si>
    <t>QdL8RSYxeLg</t>
  </si>
  <si>
    <t>Alafara Oje Primary Health Center</t>
  </si>
  <si>
    <t>du2NydHQODD</t>
  </si>
  <si>
    <t>Iwo Road Primary Health Center</t>
  </si>
  <si>
    <t>WSxGzRDVpuS</t>
  </si>
  <si>
    <t>Adifase-Apata Primary Health Center</t>
  </si>
  <si>
    <t>Xoshbh1bKhK</t>
  </si>
  <si>
    <t>Ori Eru Primary Health Center</t>
  </si>
  <si>
    <t>SEiQ0JeZ4ZN</t>
  </si>
  <si>
    <t>Agbongbon Health Center</t>
  </si>
  <si>
    <t>Ysu6t7ZAvE1</t>
  </si>
  <si>
    <t>Boluwaji Primary Health Center</t>
  </si>
  <si>
    <t>KQkFrGHr2F3</t>
  </si>
  <si>
    <t>Mapo Primary Health Center</t>
  </si>
  <si>
    <t>X3vkz3uVNVC</t>
  </si>
  <si>
    <t>Odinjo Primary Health Center</t>
  </si>
  <si>
    <t>BQvikCG40GE</t>
  </si>
  <si>
    <t>Oranyan Primary Health Center</t>
  </si>
  <si>
    <t>ljnFSN5dej3</t>
  </si>
  <si>
    <t>St. Mary's Catholic Hospital - Eleta</t>
  </si>
  <si>
    <t>jyHRtpRCr7M</t>
  </si>
  <si>
    <t>Jericho Specialist Hospital</t>
  </si>
  <si>
    <t>DpCYi3E6I4c</t>
  </si>
  <si>
    <t>Ring Road State Hospital</t>
  </si>
  <si>
    <t>oCR09FpTFh9</t>
  </si>
  <si>
    <t>Igbo-Ora General Hospital</t>
  </si>
  <si>
    <t>NKj88oJ9ACq</t>
  </si>
  <si>
    <t>ko Adavi</t>
  </si>
  <si>
    <t>Apete Primary Health Center</t>
  </si>
  <si>
    <t>uU3mfYyerBo</t>
  </si>
  <si>
    <t>Ipapo Primary Health Center</t>
  </si>
  <si>
    <t>uvGJGWY57wX</t>
  </si>
  <si>
    <t>Otu Comprehensive Health Center</t>
  </si>
  <si>
    <t>lTEWZfKTz3X</t>
  </si>
  <si>
    <t>Ejioku Primary Health Center - Lagelu</t>
  </si>
  <si>
    <t>ZYX4EObhvxY</t>
  </si>
  <si>
    <t>Monatan Primary Health Center</t>
  </si>
  <si>
    <t>QqqVjzHrEys</t>
  </si>
  <si>
    <t>Abogunde Baaki Health Center</t>
  </si>
  <si>
    <t>POQZq9yYHfm</t>
  </si>
  <si>
    <t>Ojaigbo (Ibrahim Taiwo) Primary Health Center</t>
  </si>
  <si>
    <t>ZpK48TCuLAi</t>
  </si>
  <si>
    <t>Ogbomosho State Hospital</t>
  </si>
  <si>
    <t>fjiKMWnNBwn</t>
  </si>
  <si>
    <t>Adaramagbo Olomi Primary Health Center</t>
  </si>
  <si>
    <t>gp5xo74SqKO</t>
  </si>
  <si>
    <t>Aba Emu Primary Health Center</t>
  </si>
  <si>
    <t>K6oAJAHYX6N</t>
  </si>
  <si>
    <t>Awotunde Olosunde Primary Health Center</t>
  </si>
  <si>
    <t>ymkPngayI7r</t>
  </si>
  <si>
    <t>Oba Adeyemi Primary Health Center</t>
  </si>
  <si>
    <t>fYmoCLvfEcv</t>
  </si>
  <si>
    <t>Iseke Maternity Center</t>
  </si>
  <si>
    <t>kgPjVzCl0lb</t>
  </si>
  <si>
    <t>Baptist Medical Center - Saki</t>
  </si>
  <si>
    <t>x6uBaUpHFXY</t>
  </si>
  <si>
    <t>Iresa Adu Primary Health Center</t>
  </si>
  <si>
    <t>O6s6kaLSgEx</t>
  </si>
  <si>
    <t>Barkin Ladi General Hospital</t>
  </si>
  <si>
    <t>HbuBf1D4gmG</t>
  </si>
  <si>
    <t>Seventh Day Adventist (SDA) Hospital - Jengre</t>
  </si>
  <si>
    <t>Le18r1aY7bi</t>
  </si>
  <si>
    <t>Angware General Hospital</t>
  </si>
  <si>
    <t>Ci4IlJo0THV</t>
  </si>
  <si>
    <t>Naton Fusa Primary Health Center</t>
  </si>
  <si>
    <t>fN0gVuMbXSg</t>
  </si>
  <si>
    <t>Bingham University Teaching Hospital</t>
  </si>
  <si>
    <t>VyC5Ah2sxMg</t>
  </si>
  <si>
    <t>Faith Alive Foundation</t>
  </si>
  <si>
    <t>CvVzWAc0dLb</t>
  </si>
  <si>
    <t>Jos University Teaching Hospital</t>
  </si>
  <si>
    <t>dtgqizrS1Me</t>
  </si>
  <si>
    <t>Our Lady of Apostle (OLA) Hospital - Jos</t>
  </si>
  <si>
    <t>gIwyL7hTdGY</t>
  </si>
  <si>
    <t>Plateau State Specialist Hospital</t>
  </si>
  <si>
    <t>ugfwVdwIuIj</t>
  </si>
  <si>
    <t>Solat Women Hospital</t>
  </si>
  <si>
    <t>OdFD1NyelFa</t>
  </si>
  <si>
    <t>Tundun Wada Primary Health Center</t>
  </si>
  <si>
    <t>cdyDfwVgnJF</t>
  </si>
  <si>
    <t>Bukuru Central Primary Health Center</t>
  </si>
  <si>
    <t>SdHMY0gtXVc</t>
  </si>
  <si>
    <t>Bukuru Express Primary Health Center</t>
  </si>
  <si>
    <t>wyclwPixYHK</t>
  </si>
  <si>
    <t>Rayfield Primary Health Center</t>
  </si>
  <si>
    <t>Xbj7dbNE0vR</t>
  </si>
  <si>
    <t>Vom Christian Hospital</t>
  </si>
  <si>
    <t>fEPSauwf6T7</t>
  </si>
  <si>
    <t>Zamko Comprehensive Health Center</t>
  </si>
  <si>
    <t>c1sMFxI54cS</t>
  </si>
  <si>
    <t>CCDP Hospital - Panyam</t>
  </si>
  <si>
    <t>n7H11XCfDQT</t>
  </si>
  <si>
    <t>Church of Christ in Nigeria (COCIN) Hospital and Rehabilitation Center</t>
  </si>
  <si>
    <t>Ylm55YT8Uc6</t>
  </si>
  <si>
    <t>Mangu General Hospital</t>
  </si>
  <si>
    <t>eAM9CE6xQD6</t>
  </si>
  <si>
    <t>Pankshin General Hospital</t>
  </si>
  <si>
    <t>a9QRiuuNaRv</t>
  </si>
  <si>
    <t>Town Clinic Primary Health Center</t>
  </si>
  <si>
    <t>kQOwyChcUxY</t>
  </si>
  <si>
    <t>pl Quaan Pan</t>
  </si>
  <si>
    <t>Kwalla General Hospital</t>
  </si>
  <si>
    <t>Axs1Yufa0Pp</t>
  </si>
  <si>
    <t>Bene Clinic</t>
  </si>
  <si>
    <t>b3FFJlCczQ4</t>
  </si>
  <si>
    <t>May Hospital - Shendam</t>
  </si>
  <si>
    <t>TGsy8pKsBgj</t>
  </si>
  <si>
    <t>Shendam General Hospital</t>
  </si>
  <si>
    <t>kvwUsWWt1z5</t>
  </si>
  <si>
    <t>Federal Teaching Hospital (FETHA) - Abakaliki</t>
  </si>
  <si>
    <t>UAO4dzZ5mBJ</t>
  </si>
  <si>
    <t>Mercy Hospital and Maternity</t>
  </si>
  <si>
    <t>Jn7rmqNmnQ3</t>
  </si>
  <si>
    <t>National Obstetric Fistula Center</t>
  </si>
  <si>
    <t>mE4mda4tyaC</t>
  </si>
  <si>
    <t>Nkwagu Model Primary Health Center</t>
  </si>
  <si>
    <t>G1EXGGuDNsu</t>
  </si>
  <si>
    <t>Offia Oji Health Center</t>
  </si>
  <si>
    <t>uvHg7BaT9P2</t>
  </si>
  <si>
    <t>Onuebonyi Millenium Development Goal (MDG) Health Center</t>
  </si>
  <si>
    <t>NIEFNp6GH4s</t>
  </si>
  <si>
    <t>Police Clinic - Abakaliki</t>
  </si>
  <si>
    <t>xrbOagnSTSa</t>
  </si>
  <si>
    <t>Afikpo Medical Center</t>
  </si>
  <si>
    <t>bgG3fQnDfLj</t>
  </si>
  <si>
    <t>Chinemerem Maternity</t>
  </si>
  <si>
    <t>ItfMcDWOQO3</t>
  </si>
  <si>
    <t>His Grace Hospital</t>
  </si>
  <si>
    <t>UEuNoLKt7kv</t>
  </si>
  <si>
    <t>Mater Misericordiae Hospital - Afikpo</t>
  </si>
  <si>
    <t>tSACH3nizA8</t>
  </si>
  <si>
    <t>Poperi Health Center</t>
  </si>
  <si>
    <t>I7WLJ0rvWnq</t>
  </si>
  <si>
    <t>Romec Hospital and Maternity</t>
  </si>
  <si>
    <t>w0b6qJ2rZVK</t>
  </si>
  <si>
    <t>St. Charles Clinic</t>
  </si>
  <si>
    <t>rOZ5kjLKn5D</t>
  </si>
  <si>
    <t>Unwana Health Center</t>
  </si>
  <si>
    <t>rhVlxog6wSX</t>
  </si>
  <si>
    <t>Life Care Clinic</t>
  </si>
  <si>
    <t>xeWUSkYnLzj</t>
  </si>
  <si>
    <t>Presbyterian Joint Hospital Ekoli</t>
  </si>
  <si>
    <t>TQ2GQqQSeVq</t>
  </si>
  <si>
    <t>Chidera Maternity</t>
  </si>
  <si>
    <t>LkLqrwn4DOE</t>
  </si>
  <si>
    <t>Chidinma Health Clinic and Maternity</t>
  </si>
  <si>
    <t>wau4y2bXLCP</t>
  </si>
  <si>
    <t>Chinenye Maternity</t>
  </si>
  <si>
    <t>v55ttPzgyCz</t>
  </si>
  <si>
    <t>Divine Mercy Health Clinic and Maternity</t>
  </si>
  <si>
    <t>gLAsVQuuVC2</t>
  </si>
  <si>
    <t>Nigerian Prisons Clinic - Abakaliki</t>
  </si>
  <si>
    <t>AFUZQqVBU1Y</t>
  </si>
  <si>
    <t>St. Patrick Mile 4 Hospital - Abakaliki</t>
  </si>
  <si>
    <t>XY2n4EEGGG1</t>
  </si>
  <si>
    <t>Amaeze Health Center</t>
  </si>
  <si>
    <t>tbZ9d57pEmL</t>
  </si>
  <si>
    <t>Blessed Hospital</t>
  </si>
  <si>
    <t>N5OLwDjjg5Q</t>
  </si>
  <si>
    <t>Ishiagu General Hospital</t>
  </si>
  <si>
    <t>jsoN8WHN499</t>
  </si>
  <si>
    <t>Iyioji Health Center - Akaeze</t>
  </si>
  <si>
    <t>ai45xujaicQ</t>
  </si>
  <si>
    <t>Nzerem Okue Millenium Development Goal (MDG) Health Center</t>
  </si>
  <si>
    <t>wgPSPhrbn6T</t>
  </si>
  <si>
    <t>Ogwor Health Center</t>
  </si>
  <si>
    <t>EvZDhvUnWRx</t>
  </si>
  <si>
    <t>St. Vincent Hospital - Ndubia</t>
  </si>
  <si>
    <t>SLZYHlSnmLo</t>
  </si>
  <si>
    <t>Sudan United Mission Hospital - Iboko</t>
  </si>
  <si>
    <t>ATj51Kup2on</t>
  </si>
  <si>
    <t>Sudan United Mission Hospital - Onuenyim</t>
  </si>
  <si>
    <t>LJ5RmLC13xl</t>
  </si>
  <si>
    <t>Okposi General Hospital</t>
  </si>
  <si>
    <t>sYjMgFpgXKZ</t>
  </si>
  <si>
    <t>Standard Specialist Hospital</t>
  </si>
  <si>
    <t>dhLFxT2Osv2</t>
  </si>
  <si>
    <t>Udoka Maternity</t>
  </si>
  <si>
    <t>H08C2CCR5VS</t>
  </si>
  <si>
    <t>Umunuka Health Center</t>
  </si>
  <si>
    <t>XWWpLgOdOlO</t>
  </si>
  <si>
    <t>Urban Health Center - Okposi</t>
  </si>
  <si>
    <t>SCGG8879ZTY</t>
  </si>
  <si>
    <t>Charity Maternity</t>
  </si>
  <si>
    <t>IdZ8YkqgLnR</t>
  </si>
  <si>
    <t>Chima Maternity</t>
  </si>
  <si>
    <t>OE32ywojY59</t>
  </si>
  <si>
    <t>Ezzangbo General Hospital</t>
  </si>
  <si>
    <t>GvSyA0rgxcx</t>
  </si>
  <si>
    <t>Little Seed Hospital</t>
  </si>
  <si>
    <t>ZJbKmwJnPqp</t>
  </si>
  <si>
    <t>Sudan United Mission Hospital - Effium</t>
  </si>
  <si>
    <t>HYVaO3i4zzT</t>
  </si>
  <si>
    <t>Anike Health Post</t>
  </si>
  <si>
    <t>ZAWXn9MDeia</t>
  </si>
  <si>
    <t>Mgbom Health Center</t>
  </si>
  <si>
    <t>U8cZ5RXEPf8</t>
  </si>
  <si>
    <t>Nwadinafo Maternity</t>
  </si>
  <si>
    <t>i6uhoOE7uzY</t>
  </si>
  <si>
    <t>Onuani Health Post</t>
  </si>
  <si>
    <t>NGXFTmAJbrt</t>
  </si>
  <si>
    <t>Annunciation Specialist Hospital- Emene</t>
  </si>
  <si>
    <t>qDxr0sPGxet</t>
  </si>
  <si>
    <t>Chukwuagoziem Maternity</t>
  </si>
  <si>
    <t>DRldceWCo7N</t>
  </si>
  <si>
    <t>Chukwuasokam Hospital and Maternity- Emene</t>
  </si>
  <si>
    <t>EKQJ6oMY7G0</t>
  </si>
  <si>
    <t>Eastern Nigeria Medical Center</t>
  </si>
  <si>
    <t>QiypT8ow3mI</t>
  </si>
  <si>
    <t>Holy Family Hospital</t>
  </si>
  <si>
    <t>FfJmMMjIooI</t>
  </si>
  <si>
    <t>Iji Nike Cottage Hospital</t>
  </si>
  <si>
    <t>uQbpdclPuRf</t>
  </si>
  <si>
    <t>Kenechukwu Specialist Hospital and Maternity</t>
  </si>
  <si>
    <t>rygvlJxLYn4</t>
  </si>
  <si>
    <t>Redeemers Hospital and Maternity</t>
  </si>
  <si>
    <t>IJDi3fIfbCY</t>
  </si>
  <si>
    <t>Semino Hospital and Maternity</t>
  </si>
  <si>
    <t>zsCwucJyCdJ</t>
  </si>
  <si>
    <t>St. Theresa Hospital</t>
  </si>
  <si>
    <t>Kx8QEa0Iy7l</t>
  </si>
  <si>
    <t>Asata Health Center</t>
  </si>
  <si>
    <t>u0pQhZEoIgC</t>
  </si>
  <si>
    <t>Asata Poly Clinic (Sub District Hospital)</t>
  </si>
  <si>
    <t>MrDvUf2PGh6</t>
  </si>
  <si>
    <t xml:space="preserve">Enugu State University Teaching Hospital  (Parklane Specialist Hospital)</t>
  </si>
  <si>
    <t>r0oeAcBd6iU</t>
  </si>
  <si>
    <t>First Metrodame Specialist Hospital</t>
  </si>
  <si>
    <t>eKJ1XYFLu3f</t>
  </si>
  <si>
    <t>Mother of Christ Specialist Hospital</t>
  </si>
  <si>
    <t>a3HwE6yZKfa</t>
  </si>
  <si>
    <t>St. Patrick Hospital</t>
  </si>
  <si>
    <t>HCdY0SxXq1o</t>
  </si>
  <si>
    <t>Balm of Gilead Hospital</t>
  </si>
  <si>
    <t>MFZkaHFsJYM</t>
  </si>
  <si>
    <t>Divine Grace Hospital</t>
  </si>
  <si>
    <t>OzQ9wRMqKsL</t>
  </si>
  <si>
    <t>Goodnews Hospital - Gariki</t>
  </si>
  <si>
    <t>ONnkA6XSXab</t>
  </si>
  <si>
    <t>Ibezim Medical Clinic</t>
  </si>
  <si>
    <t>ZeJVEO6jvzA</t>
  </si>
  <si>
    <t>The Good Shepherd Hospital - Uwani</t>
  </si>
  <si>
    <t>PSGe2plmEBF</t>
  </si>
  <si>
    <t>Uwani Cottage Hospital</t>
  </si>
  <si>
    <t>PF7rZSDbsrP</t>
  </si>
  <si>
    <t>Attah Memorial Hospital</t>
  </si>
  <si>
    <t>OIVDJZfYeKR</t>
  </si>
  <si>
    <t>Ekwegbe Comprehensive Health Center</t>
  </si>
  <si>
    <t>nbvfGugUUMm</t>
  </si>
  <si>
    <t>Elechi Medical Clinic - Ukehe</t>
  </si>
  <si>
    <t>rcA1FNgTpoV</t>
  </si>
  <si>
    <t>Idoha Health Center</t>
  </si>
  <si>
    <t>RBflr2Nb0Sc</t>
  </si>
  <si>
    <t>Ogbede Cottage Hospital</t>
  </si>
  <si>
    <t>DFQVSROSe9i</t>
  </si>
  <si>
    <t>Aji Health Center</t>
  </si>
  <si>
    <t>dUqXnH0OkYo</t>
  </si>
  <si>
    <t>Chima Hospital And Maternity</t>
  </si>
  <si>
    <t>I1Aikl4XYdx</t>
  </si>
  <si>
    <t>Enugu-Ezike District Hospital</t>
  </si>
  <si>
    <t>mQP9uTmEuSi</t>
  </si>
  <si>
    <t>Odogu Memorial Hospital</t>
  </si>
  <si>
    <t>DMCqDp1mBkM</t>
  </si>
  <si>
    <t>St. Mary Hospital</t>
  </si>
  <si>
    <t>HQR2syKJuap</t>
  </si>
  <si>
    <t>Uda Health Center</t>
  </si>
  <si>
    <t>cyCO6jnNj6A</t>
  </si>
  <si>
    <t>Umuida Clinic</t>
  </si>
  <si>
    <t>k4p32ZjcjJt</t>
  </si>
  <si>
    <t>Ibagwa Aka Comprehensive Health Center</t>
  </si>
  <si>
    <t>lm1vboyzlKr</t>
  </si>
  <si>
    <t>Our Lady's Clinic</t>
  </si>
  <si>
    <t>z4oawJRLczZ</t>
  </si>
  <si>
    <t>Uhunowerre Health Center</t>
  </si>
  <si>
    <t>DFFucADViuk</t>
  </si>
  <si>
    <t>Akpoga Mbu Health Center</t>
  </si>
  <si>
    <t>FSXzVxNfNsb</t>
  </si>
  <si>
    <t>Ikem District Hospital</t>
  </si>
  <si>
    <t>dgr9l2tlpq2</t>
  </si>
  <si>
    <t>Mgbuji Health Center</t>
  </si>
  <si>
    <t>QruuLIQjAiq</t>
  </si>
  <si>
    <t>Onueme Neke Health Center</t>
  </si>
  <si>
    <t>ivv2cXPhslm</t>
  </si>
  <si>
    <t>Umuhu Health Center</t>
  </si>
  <si>
    <t>RaFjwVxIN5r</t>
  </si>
  <si>
    <t>Amechi Idodo Health Center</t>
  </si>
  <si>
    <t>qwrdRoDFbju</t>
  </si>
  <si>
    <t>Amurri 1 Health Center</t>
  </si>
  <si>
    <t>EieEFMENYmf</t>
  </si>
  <si>
    <t>Ozalla Model Primary Health Center</t>
  </si>
  <si>
    <t>qXOOw3THQkw</t>
  </si>
  <si>
    <t>University Of Nigeria Teaching Hospital (UNTH)</t>
  </si>
  <si>
    <t>sOlMR20VFFC</t>
  </si>
  <si>
    <t>Akulue Memorial Hospital - Nsukka</t>
  </si>
  <si>
    <t>OnaoguPuzmD</t>
  </si>
  <si>
    <t>Chinemelu Hospital and Maternity - Nsukka</t>
  </si>
  <si>
    <t>qem9I2paX97</t>
  </si>
  <si>
    <t>Faith Foundation Mission Hospital - Nsukka</t>
  </si>
  <si>
    <t>AbypQzl7VfW</t>
  </si>
  <si>
    <t>Nsukka District Hospital</t>
  </si>
  <si>
    <t>Cwp4udMiIjP</t>
  </si>
  <si>
    <t>Nsukka Health Center</t>
  </si>
  <si>
    <t>huzNvV569hz</t>
  </si>
  <si>
    <t>Nsukka Medical Clinic</t>
  </si>
  <si>
    <t>YZwaBPBKePo</t>
  </si>
  <si>
    <t>Nussy Sadiq Memorial Hospital - Nsukka</t>
  </si>
  <si>
    <t>FwfSWmRNUSx</t>
  </si>
  <si>
    <t>Opi Health Center</t>
  </si>
  <si>
    <t>W4RzKrUhRMh</t>
  </si>
  <si>
    <t>Osondu Hospital and Maternity Opi</t>
  </si>
  <si>
    <t>DKqnAax9nm6</t>
  </si>
  <si>
    <t>The Good Shepherd Hospital - Nsukka</t>
  </si>
  <si>
    <t>nD3KsCJ7cA7</t>
  </si>
  <si>
    <t>Daughters of Divine Love - Ehalumona</t>
  </si>
  <si>
    <t>hIF3m3kzL4C</t>
  </si>
  <si>
    <t>Mater Dei Hospital</t>
  </si>
  <si>
    <t>pzaqcF0wOBs</t>
  </si>
  <si>
    <t>Mater-Amabelis Maternity</t>
  </si>
  <si>
    <t>Pdw00VyRsjt</t>
  </si>
  <si>
    <t>Nwa-Ossai Hospital</t>
  </si>
  <si>
    <t>HVACiSqziaH</t>
  </si>
  <si>
    <t>Obollo Affor Health Center</t>
  </si>
  <si>
    <t>JltqyoYVQCQ</t>
  </si>
  <si>
    <t>St. Bridgets Hospital</t>
  </si>
  <si>
    <t>JLItuAY50Rh</t>
  </si>
  <si>
    <t>St. Theresa's Hospital - Obollo Afor</t>
  </si>
  <si>
    <t>OExYg6k0QLh</t>
  </si>
  <si>
    <t>Summit Hospital - Obollo Afor</t>
  </si>
  <si>
    <t>XN0CenmXRRX</t>
  </si>
  <si>
    <t>Tochino Hospital and Maternity</t>
  </si>
  <si>
    <t>gk8oEh3fcBe</t>
  </si>
  <si>
    <t>Aboh Mbaise General Hospital</t>
  </si>
  <si>
    <t>qGQliH5UA4W</t>
  </si>
  <si>
    <t>Amuzu Primary Health Center</t>
  </si>
  <si>
    <t>iv0qlMT9FCJ</t>
  </si>
  <si>
    <t>Holy Rosary Hospital Ogbor Nguru</t>
  </si>
  <si>
    <t>vidxf7Mjwn0</t>
  </si>
  <si>
    <t>Mbutu Primary Health Center</t>
  </si>
  <si>
    <t>NiviaoJZNyh</t>
  </si>
  <si>
    <t>Nkworgwu Health Center</t>
  </si>
  <si>
    <t>ccEqDMosxj8</t>
  </si>
  <si>
    <t>Ekwereazu Town Primary Health Center</t>
  </si>
  <si>
    <t>jRwU6kFKmtR</t>
  </si>
  <si>
    <t>Nnariambia Primary Health Center</t>
  </si>
  <si>
    <t>ssrXK0edvoQ</t>
  </si>
  <si>
    <t>Umuokirika Primary Health Center</t>
  </si>
  <si>
    <t>NaG6FuzlAnL</t>
  </si>
  <si>
    <t>Chokoneze Ndutu Primary Health Center</t>
  </si>
  <si>
    <t>j6z2xybgRB0</t>
  </si>
  <si>
    <t>Itu Primary Health Care</t>
  </si>
  <si>
    <t>EIYp2D17a1J</t>
  </si>
  <si>
    <t>Onicha Primary Health Center</t>
  </si>
  <si>
    <t>CUmBDlr0IHC</t>
  </si>
  <si>
    <t>Immaculate Hospital - Urualla</t>
  </si>
  <si>
    <t>or6uZUxBj2u</t>
  </si>
  <si>
    <t>Mater Amabili Catholic Hospital - Akokwa</t>
  </si>
  <si>
    <t>d5JWAnFMior</t>
  </si>
  <si>
    <t>Osina Community Hospital</t>
  </si>
  <si>
    <t>FPRuTh36U56</t>
  </si>
  <si>
    <t>Owerre Health Center</t>
  </si>
  <si>
    <t>nUnMURpXuvc</t>
  </si>
  <si>
    <t>Umuezeaga Health Center</t>
  </si>
  <si>
    <t>AWHV3JM4zeH</t>
  </si>
  <si>
    <t>Ogboko Health Ideato South</t>
  </si>
  <si>
    <t>UWdEApuTobi</t>
  </si>
  <si>
    <t>Amaimo Primary Health Center</t>
  </si>
  <si>
    <t>Of2XxJh71lU</t>
  </si>
  <si>
    <t>Atta Primary Health Center</t>
  </si>
  <si>
    <t>D1NMrAUkymP</t>
  </si>
  <si>
    <t>Iho Basic Health Center</t>
  </si>
  <si>
    <t>xYAJgjPnORf</t>
  </si>
  <si>
    <t>Ebenato Ekwe Health Center</t>
  </si>
  <si>
    <t>tmTTFjnghHW</t>
  </si>
  <si>
    <t>Nnerim Primary Health Center</t>
  </si>
  <si>
    <t>c2jv8zIEbuv</t>
  </si>
  <si>
    <t>Ulano Primary Health Center</t>
  </si>
  <si>
    <t>MCrPcWoC7F0</t>
  </si>
  <si>
    <t>Mbieri General Hospital</t>
  </si>
  <si>
    <t>aMKXrfGkE1q</t>
  </si>
  <si>
    <t>Nworieubi Primary Health Center</t>
  </si>
  <si>
    <t>QkG3k13nmsV</t>
  </si>
  <si>
    <t>Ogwa General Hospital</t>
  </si>
  <si>
    <t>goe5odmMRiC</t>
  </si>
  <si>
    <t>Umuneato Isiogwa Primary Health Center</t>
  </si>
  <si>
    <t>zSTewg15QUb</t>
  </si>
  <si>
    <t>Elelem Primary Health Center</t>
  </si>
  <si>
    <t>qY7BsSDw1Cq</t>
  </si>
  <si>
    <t>Ngor Okpala General Hospital</t>
  </si>
  <si>
    <t>giBK8kuxNmo</t>
  </si>
  <si>
    <t>Umuneke Primary Health Center</t>
  </si>
  <si>
    <t>Rla7gN0vgoQ</t>
  </si>
  <si>
    <t>Umuohiagu Primary Health Center</t>
  </si>
  <si>
    <t>Q216VTUvdtu</t>
  </si>
  <si>
    <t>Ibele Health Center</t>
  </si>
  <si>
    <t>kkOnGhpxLhD</t>
  </si>
  <si>
    <t>Ndukwu Hospital</t>
  </si>
  <si>
    <t>gvwz0e7bZSs</t>
  </si>
  <si>
    <t>Nkwere Maternal and Child Health Clinic</t>
  </si>
  <si>
    <t>M7TglGINY24</t>
  </si>
  <si>
    <t>Owerre Nkworji Health Center</t>
  </si>
  <si>
    <t>uwlIdZCiLo5</t>
  </si>
  <si>
    <t>Umudi Health Center</t>
  </si>
  <si>
    <t>zJAxIsslnTe</t>
  </si>
  <si>
    <t>Umugara Health Center</t>
  </si>
  <si>
    <t>vTQryxJAF1X</t>
  </si>
  <si>
    <t>Umukabia Health Center</t>
  </si>
  <si>
    <t>VvecKNOYAnA</t>
  </si>
  <si>
    <t>Agbaja Primary Health Care</t>
  </si>
  <si>
    <t>lSdzvxy52gz</t>
  </si>
  <si>
    <t>Dimnanume Health Center</t>
  </si>
  <si>
    <t>fCYr8svhaBR</t>
  </si>
  <si>
    <t>St. Mary Joint Hospital - Amaigbo</t>
  </si>
  <si>
    <t>GRNvujtMkBW</t>
  </si>
  <si>
    <t>Akabo Health Center</t>
  </si>
  <si>
    <t>wgbiuYyunTU</t>
  </si>
  <si>
    <t>Egbuoma Health Center</t>
  </si>
  <si>
    <t>xxdjXslNZVI</t>
  </si>
  <si>
    <t>Enuigbo Abata Health Center</t>
  </si>
  <si>
    <t>LChphYuy66R</t>
  </si>
  <si>
    <t>Mgbala Primary Health Center</t>
  </si>
  <si>
    <t>bfG97xTc2Nj</t>
  </si>
  <si>
    <t>Obudi Aro Primary Health Center</t>
  </si>
  <si>
    <t>SJz5sGEhrMj</t>
  </si>
  <si>
    <t>Egbema</t>
  </si>
  <si>
    <t>B9b0kLB5WLW</t>
  </si>
  <si>
    <t>rQWlevEDIYK</t>
  </si>
  <si>
    <t>cXN58l7fdGH</t>
  </si>
  <si>
    <t>o6YhejQrXrD</t>
  </si>
  <si>
    <t>GziCtj703RW</t>
  </si>
  <si>
    <t>Ezioha Amaifeke Health Center</t>
  </si>
  <si>
    <t>LHtx7tlBgii</t>
  </si>
  <si>
    <t>Imo State University Teaching Hospital</t>
  </si>
  <si>
    <t>nN2Ume37GLM</t>
  </si>
  <si>
    <t>Ndukwu Hospital and Maternity Amaifeke</t>
  </si>
  <si>
    <t>NYRtPzldgyg</t>
  </si>
  <si>
    <t>Okwuabala Health Center</t>
  </si>
  <si>
    <t>t7d1Jafn7pn</t>
  </si>
  <si>
    <t>Umuzike Health Center</t>
  </si>
  <si>
    <t>ADnimjqO4cN</t>
  </si>
  <si>
    <t>Ebenator Health Center</t>
  </si>
  <si>
    <t>g1UrVmQHvzq</t>
  </si>
  <si>
    <t>Amaji Health Center Awo</t>
  </si>
  <si>
    <t>R4H3IujZs6Y</t>
  </si>
  <si>
    <t>Amiri Health Center</t>
  </si>
  <si>
    <t>TA9QfMYeaJ2</t>
  </si>
  <si>
    <t>Awo Omamma General Hospital</t>
  </si>
  <si>
    <t>f2qyEIuAJVS</t>
  </si>
  <si>
    <t>Onuma Maternal and Child Health</t>
  </si>
  <si>
    <t>q0XSY6P3pH7</t>
  </si>
  <si>
    <t>Umuokwe Primary Health Center</t>
  </si>
  <si>
    <t>iXDUO24HtSX</t>
  </si>
  <si>
    <t>Ibiasoegbe Health Center</t>
  </si>
  <si>
    <t>NjwSOkyHfkb</t>
  </si>
  <si>
    <t>Amanda Hospital</t>
  </si>
  <si>
    <t>Do0PgBgsx5O</t>
  </si>
  <si>
    <t>Federal Medical Center - Owerri</t>
  </si>
  <si>
    <t>agbAWTBDp3E</t>
  </si>
  <si>
    <t>International Christian Hospital</t>
  </si>
  <si>
    <t>AapYzclGSfX</t>
  </si>
  <si>
    <t>St. David Hospital</t>
  </si>
  <si>
    <t>XZ1ZMeWfpUp</t>
  </si>
  <si>
    <t>Umeizuruike Hospital - Owerri</t>
  </si>
  <si>
    <t>QyJz9kmdSBU</t>
  </si>
  <si>
    <t>Akwakuma Health Center</t>
  </si>
  <si>
    <t>iNAUwryamCV</t>
  </si>
  <si>
    <t>Ekobi Health Center</t>
  </si>
  <si>
    <t>aFdnxZo7IzW</t>
  </si>
  <si>
    <t>Holy Rosary Hospital - Emekuku</t>
  </si>
  <si>
    <t>uRxRCcfJZfW</t>
  </si>
  <si>
    <t>Ihitte-Ogada Health Center</t>
  </si>
  <si>
    <t>pqZOGfwliKS</t>
  </si>
  <si>
    <t>Naze Health Center</t>
  </si>
  <si>
    <t>zfdD2sjZ6zu</t>
  </si>
  <si>
    <t>Irette Health Center</t>
  </si>
  <si>
    <t>Vjs3x72yU8j</t>
  </si>
  <si>
    <t>Orogwe Health Center</t>
  </si>
  <si>
    <t>Ox2Glqe1fZD</t>
  </si>
  <si>
    <t>Oyeoshima Memorial Hospital - Obagaji</t>
  </si>
  <si>
    <t>GsDaIB34rvZ</t>
  </si>
  <si>
    <t>Nongu u Kristu ke Sudan hen Tiv (NKST) Comprehensive Health Center - Garagbohol</t>
  </si>
  <si>
    <t>Rf1yYN2IDWc</t>
  </si>
  <si>
    <t>St. Martha's Clinic and Maternity - Ugbema</t>
  </si>
  <si>
    <t>ylQ6RLXvHHJ</t>
  </si>
  <si>
    <t>St. Paul's Primary Health Center - Ashamena</t>
  </si>
  <si>
    <t>Mb5HQ1iM2ci</t>
  </si>
  <si>
    <t>Nongu u Kristu ke Sudan hen Tiv (NKST) Clinic - Genyi Yandev</t>
  </si>
  <si>
    <t>iXF6l0KcQDv</t>
  </si>
  <si>
    <t>Nongu u Kristu ke Sudan hen Tiv (NKST) Comprehensive Health Center - Isherev</t>
  </si>
  <si>
    <t>t5kQRj3Oqrp</t>
  </si>
  <si>
    <t>St. Michael's Clinic - Agasha</t>
  </si>
  <si>
    <t>UD9kpV91uHO</t>
  </si>
  <si>
    <t>Fr. Mathias Clinic</t>
  </si>
  <si>
    <t>KWB8RTTIeya</t>
  </si>
  <si>
    <t>St. Francis Primary Health Center - Agagbe</t>
  </si>
  <si>
    <t>mfPtKtcH3hA</t>
  </si>
  <si>
    <t>St. Peters Primary Health Center - Aondonaa</t>
  </si>
  <si>
    <t>hVzKZ1wF5v1</t>
  </si>
  <si>
    <t>Nongu u Kristu ke Sudan hen Tiv (NKST) Primary Health Center - Anber</t>
  </si>
  <si>
    <t>fqQMHzXeExZ</t>
  </si>
  <si>
    <t>Nongu u Kristu ke Sudan hen Tiv (NKST) Primary Health Center - Kasar</t>
  </si>
  <si>
    <t>bD3Z7sBYAkk</t>
  </si>
  <si>
    <t>Nongu u Kristu ke Sudan hen Tiv (NKST) Primary Health Center - Ubaya</t>
  </si>
  <si>
    <t>jKMtJUeZG6T</t>
  </si>
  <si>
    <t>St. Mary's Primary Health Center - Tor Donga</t>
  </si>
  <si>
    <t>ph0DmxOzLrH</t>
  </si>
  <si>
    <t>El Shaddai Clinic - Achocho</t>
  </si>
  <si>
    <t>rkmUcjVWIEG</t>
  </si>
  <si>
    <t>Mimidoo Clinic and Maternity - Gungul</t>
  </si>
  <si>
    <t>uE7DozqVDx3</t>
  </si>
  <si>
    <t>Nongu u Kristu ke Sudan hen Tiv (NKST) Clinic - Iber</t>
  </si>
  <si>
    <t>KG41U70wckT</t>
  </si>
  <si>
    <t>Nongu u Kristu ke Sudan hen Tiv (NKST) Clinic - Ishua</t>
  </si>
  <si>
    <t>tmdPeVe2bj9</t>
  </si>
  <si>
    <t>Nongu u Kristu ke Sudan hen Tiv (NKST) Primary Health Center - Mbaakpur</t>
  </si>
  <si>
    <t>pf5zlZ3n4eZ</t>
  </si>
  <si>
    <t>36 Matyrs Clinic- Mbape</t>
  </si>
  <si>
    <t>T8MofW5CkkU</t>
  </si>
  <si>
    <t>Nongu u Kristu ke Sudan hen Tiv (NKST) Hospital - Jato Aka</t>
  </si>
  <si>
    <t>NrQyKoUUTjl</t>
  </si>
  <si>
    <t>Nongu u Kristu ke Sudan hen Tiv (NKST) Primary Health Center - Ahobee</t>
  </si>
  <si>
    <t>vhponVEgOwi</t>
  </si>
  <si>
    <t>St. Monica's Hospital - Adikpo</t>
  </si>
  <si>
    <t>ZOw5RCxEDrh</t>
  </si>
  <si>
    <t>Nongu u Kristu ke Sudan hen Tiv (NKST) Hospital - Anyiin</t>
  </si>
  <si>
    <t>VqKuYd50P6Z</t>
  </si>
  <si>
    <t>Ugba Comprehensive Health Center</t>
  </si>
  <si>
    <t>QQLKjN6lqf7</t>
  </si>
  <si>
    <t>Bishop Murray Medical Center</t>
  </si>
  <si>
    <t>xbHk6A9M5Ah</t>
  </si>
  <si>
    <t>Alfa Clinic</t>
  </si>
  <si>
    <t>PUgQr3FrIgs</t>
  </si>
  <si>
    <t>Holy Name Clinic - Ugbokolo</t>
  </si>
  <si>
    <t>jkTZCfjUJSI</t>
  </si>
  <si>
    <t>St. Mary's Hospital - Okpoga</t>
  </si>
  <si>
    <t>BX3EuUL4p5y</t>
  </si>
  <si>
    <t>St James Health Centre Ogboju-Ogobia</t>
  </si>
  <si>
    <t>zuehjuhNlcJ</t>
  </si>
  <si>
    <t>St. Charles' Hospital</t>
  </si>
  <si>
    <t>jwRjWD3wLjp</t>
  </si>
  <si>
    <t>St. Joseph's Hospital-Ogobia</t>
  </si>
  <si>
    <t>sIqd320H5pa</t>
  </si>
  <si>
    <t>Nongu u Kristu ke Sudan hen Tiv (NKST) Health Center - Asukunya</t>
  </si>
  <si>
    <t>G82knieoyf2</t>
  </si>
  <si>
    <t>Nongu u Kristu ke Sudan hen Tiv (NKST) Health Center - Uchi</t>
  </si>
  <si>
    <t>UbFbAGiSBNv</t>
  </si>
  <si>
    <t>Nongu u Kristu ke Sudan hen Tiv (NKST) Hospital- Zaki Biam</t>
  </si>
  <si>
    <t>vDwjnLtvE9E</t>
  </si>
  <si>
    <t>Nongu u Kristu ke Sudan hen Tiv (NKST) Primary Health Center - Pervkyaa</t>
  </si>
  <si>
    <t>AUxnTCxG8Hn</t>
  </si>
  <si>
    <t>St. Anthony's Hospital - Zaki Biam</t>
  </si>
  <si>
    <t>UwPzLQbX6z0</t>
  </si>
  <si>
    <t>First Clinic and Maternity - Lobbi</t>
  </si>
  <si>
    <t>RCNdVagYyNw</t>
  </si>
  <si>
    <t>Nongu u Kristu ke Sudan hen Tiv (NKST) Health Center - Gbe</t>
  </si>
  <si>
    <t>KNwYLS8wBMQ</t>
  </si>
  <si>
    <t>Nongu u Kristu ke Sudan hen Tiv (NKST) Health Center - Ifo Mbakuwa</t>
  </si>
  <si>
    <t>iCI3qip67kQ</t>
  </si>
  <si>
    <t>Nongu u Kristu ke Sudan hen Tiv (NKST) Health Center - Korinjo</t>
  </si>
  <si>
    <t>CiJA7pwWM1M</t>
  </si>
  <si>
    <t>Nongu u Kristu ke Sudan hen Tiv (NKST) Health Center - Lessel</t>
  </si>
  <si>
    <t>pVuatRaVnJu</t>
  </si>
  <si>
    <t>Nongu u Kristu ke Sudan hen Tiv (NKST) Health Center - Taangahaar</t>
  </si>
  <si>
    <t>kEUmib8n7Nk</t>
  </si>
  <si>
    <t>St. Mary's Primary Health Center - Alumuku</t>
  </si>
  <si>
    <t>MA3kXKHqF8L</t>
  </si>
  <si>
    <t>Nongu u Kristu ke Sudan hen Tiv (NKST) Comprehensive Health Center - Abwa</t>
  </si>
  <si>
    <t>gbdLx16PC7F</t>
  </si>
  <si>
    <t>Nongu u Kristu ke Sudan hen Tiv (NKST) Comprehensive Health Center - Shangbum</t>
  </si>
  <si>
    <t>cTOASc9flIi</t>
  </si>
  <si>
    <t>Nongu u Kristu ke Sudan hen Tiv (NKST) Hospital - Mbaakon</t>
  </si>
  <si>
    <t>fNNUQiVT6x3</t>
  </si>
  <si>
    <t>St. Paul's Clinic - Ikyaator</t>
  </si>
  <si>
    <t>rl5sKUJnKn3</t>
  </si>
  <si>
    <t>St. Paul's Clinic - Sambe</t>
  </si>
  <si>
    <t>Q47OYvdxPhQ</t>
  </si>
  <si>
    <t>St. Thomas Hospital - Ihugh</t>
  </si>
  <si>
    <t>r6flrs4ehWz</t>
  </si>
  <si>
    <t>St. Theresa's Catholic Hospital - Issele Uku</t>
  </si>
  <si>
    <t>YoNalkNNrRL</t>
  </si>
  <si>
    <t>Our Lady of Nigeria Clinic - Oghara</t>
  </si>
  <si>
    <t>aTSvjQIz6Ge</t>
  </si>
  <si>
    <t>St. Francis Catholic Hospital - Okpara Inland</t>
  </si>
  <si>
    <t>ZXt1KCneHT3</t>
  </si>
  <si>
    <t>St. Elizabeth Catholic Hospital - Sapele</t>
  </si>
  <si>
    <t>HcJMUzznNH2</t>
  </si>
  <si>
    <t>Assumption Catholic Hospital - Warri</t>
  </si>
  <si>
    <t>XLx2UT9cWWv</t>
  </si>
  <si>
    <t>Cornelian Maternity and Rural Health - Gidan Mangoro</t>
  </si>
  <si>
    <t>pp2AS0FyLHp</t>
  </si>
  <si>
    <t>Evangelical Church of West Africa (ECWA) Health Clinic - Kabusa</t>
  </si>
  <si>
    <t>GQIkBebg3SA</t>
  </si>
  <si>
    <t>Faith Medical Center - Karimo</t>
  </si>
  <si>
    <t>YUsdxekuYrY</t>
  </si>
  <si>
    <t>Sisters of Nativity Hospital (SON) - Jikwoyi</t>
  </si>
  <si>
    <t>Nq0hQeEYCAk</t>
  </si>
  <si>
    <t>Daughters of Charity (DOC) Hospital - Kubwa</t>
  </si>
  <si>
    <t>iJ6bV49PCve</t>
  </si>
  <si>
    <t>Our Lady of Fatima Hospital - Bwari</t>
  </si>
  <si>
    <t>aQlACyagbgy</t>
  </si>
  <si>
    <t>St. Andrews Anglican Hospital - Kubwa</t>
  </si>
  <si>
    <t>v3TkEm3tIOC</t>
  </si>
  <si>
    <t>Church of Christ in Nigeria (COCIN) Primary Health Center - Yelwa</t>
  </si>
  <si>
    <t>JgsxKbZy7Hb</t>
  </si>
  <si>
    <t>Hope for the Village Child</t>
  </si>
  <si>
    <t>uQx06yCByKI</t>
  </si>
  <si>
    <t>kd Jemaa</t>
  </si>
  <si>
    <t>Salem Medical Center - Kafanchan</t>
  </si>
  <si>
    <t>f0wy9MgKtUx</t>
  </si>
  <si>
    <t>St. Gerald's Hospital - Kaduna</t>
  </si>
  <si>
    <t>yfPEukzMBhy</t>
  </si>
  <si>
    <t>Church of Christ in Nigeria (COCIN) Clinic and Maternity - Mararaba Kaduna</t>
  </si>
  <si>
    <t>bpGqH11T26K</t>
  </si>
  <si>
    <t>Evangelical Church of West Africa (ECWA) Comprehensive Health Center - Ungwan Bawa</t>
  </si>
  <si>
    <t>IO38n1uX0Z7</t>
  </si>
  <si>
    <t>Evangelical Church of West Africa (ECWA) Health Clinic - Mariri</t>
  </si>
  <si>
    <t>P6wb6qxR4rk</t>
  </si>
  <si>
    <t>Evangelical Reformed Church of Christ (ERCC) Primary Health Center - Karshi</t>
  </si>
  <si>
    <t>FSeEcYTr3h8</t>
  </si>
  <si>
    <t>Evangelical Church of West Africa (ECWA) Health Center - Kibori Atyap</t>
  </si>
  <si>
    <t>ERmFvnjnV03</t>
  </si>
  <si>
    <t>St. Louis Hospital - Zonkwa</t>
  </si>
  <si>
    <t>uYxACgpJgI9</t>
  </si>
  <si>
    <t>All Stars Clinic - Egume</t>
  </si>
  <si>
    <t>OJxr3xSwtVx</t>
  </si>
  <si>
    <t>Grimmard Hospital - Anyingba</t>
  </si>
  <si>
    <t>nlLwNEPKFnR</t>
  </si>
  <si>
    <t>St. Luke's Clinic - Egume</t>
  </si>
  <si>
    <t>HrGggd9x1os</t>
  </si>
  <si>
    <t>Shallom Clinic - Idah</t>
  </si>
  <si>
    <t>QYS2fK4rn2V</t>
  </si>
  <si>
    <t>Bunu</t>
  </si>
  <si>
    <t>EOO49s5EOt4</t>
  </si>
  <si>
    <t>Christ the King Catholic Hospital - Akowonjo</t>
  </si>
  <si>
    <t>RD3JhCrIpQg</t>
  </si>
  <si>
    <t>El-Rhema Vision Hospital - Gowon Estate</t>
  </si>
  <si>
    <t>qPbEWrcw3ce</t>
  </si>
  <si>
    <t>Gowon Estate Hospital - Ipaja</t>
  </si>
  <si>
    <t>D8fXWtqwMAU</t>
  </si>
  <si>
    <t>Mary the Queen Hospital - Akowonjo</t>
  </si>
  <si>
    <t>tscvxzvaPHe</t>
  </si>
  <si>
    <t>Mother Theresa Medical Center - Idimu</t>
  </si>
  <si>
    <t>dsYsl8bXYX0</t>
  </si>
  <si>
    <t>Holy Rosary Catholic Hospital - Ogba</t>
  </si>
  <si>
    <t>kYFJ6ppx9vV</t>
  </si>
  <si>
    <t>St. Leo Medical Centre</t>
  </si>
  <si>
    <t>ptxAOdQ5Tp8</t>
  </si>
  <si>
    <t>Our Lady of Apostles Hospital - Akwanga</t>
  </si>
  <si>
    <t>K57MkWyAj2Y</t>
  </si>
  <si>
    <t>Owoche Clinic and Maternity</t>
  </si>
  <si>
    <t>U5N1HnNpRM2</t>
  </si>
  <si>
    <t>Zumunta Yelwa Ediya Clinic</t>
  </si>
  <si>
    <t>bK8mKs9KWZ1</t>
  </si>
  <si>
    <t>Evangelical Reformed Church of Christ (ERCC) Clinic - Keffi</t>
  </si>
  <si>
    <t>lQuZB3TSI1r</t>
  </si>
  <si>
    <t>Diamond Clinic - Lafiya</t>
  </si>
  <si>
    <t>e5ZNLK1GbTi</t>
  </si>
  <si>
    <t>Graceland Clinic - Lafiya</t>
  </si>
  <si>
    <t>iJszAqdhmdK</t>
  </si>
  <si>
    <t>Catholic Maternity and Rural Health Center -Agwatashi</t>
  </si>
  <si>
    <t>PKIGGA1CoX9</t>
  </si>
  <si>
    <t>Evangelical Reformed Church of Christ (ERCC) Clinic - Murya</t>
  </si>
  <si>
    <t>UAiWkGylFj4</t>
  </si>
  <si>
    <t>Evangelical Reformed Church of Christ (ERCC) Primary Health Center - Daddare</t>
  </si>
  <si>
    <t>e794XingGvd</t>
  </si>
  <si>
    <t>St. Bernards Clinic - Akanga</t>
  </si>
  <si>
    <t>nHzMmotg0fA</t>
  </si>
  <si>
    <t>Jesus is Love and Power Catholic Hospital - Ifo</t>
  </si>
  <si>
    <t>rQsDr0APXzb</t>
  </si>
  <si>
    <t>Sacred Heart Hospital - Ayetoro</t>
  </si>
  <si>
    <t>sbA1L4DEbTT</t>
  </si>
  <si>
    <t>St. Catherine's Hospital - Iwaro-Oka</t>
  </si>
  <si>
    <t>GsMlnR6XQ5k</t>
  </si>
  <si>
    <t>St. Theresa's Catholic Health Center - Odo-Irele</t>
  </si>
  <si>
    <t>h2r9wlaKJ49</t>
  </si>
  <si>
    <t>Maria Mater Misericordiae Catholic Hospital - Oke-Idera</t>
  </si>
  <si>
    <t>QUYIJA1ZS8h</t>
  </si>
  <si>
    <t>St. Louis Hospital - Owo</t>
  </si>
  <si>
    <t>l7pPpxL9oXr</t>
  </si>
  <si>
    <t>Our Lady of Lourdes Hospital - Ipetumodun</t>
  </si>
  <si>
    <t>ikrzY7sZjRk</t>
  </si>
  <si>
    <t>Catholic Hospital and Maternity - Okeola</t>
  </si>
  <si>
    <t>NrAixqBOeRR</t>
  </si>
  <si>
    <t>St. Zeno Catholic Hospital - Iwo</t>
  </si>
  <si>
    <t>rcGc224XPYp</t>
  </si>
  <si>
    <t>St. Dominics Catholic Hospital - Ogungbade</t>
  </si>
  <si>
    <t>JzYcMwOP9J6</t>
  </si>
  <si>
    <t>Evangelical Church of West Africa (ECWA) Health Clinic - Miango</t>
  </si>
  <si>
    <t>zzxXMjcoHez</t>
  </si>
  <si>
    <t>Evangelical Church of West Africa (ECWA) Health Clinic - Rimi</t>
  </si>
  <si>
    <t>g19eVBilFP8</t>
  </si>
  <si>
    <t>Church of Christ in Nigeria (COCIN) Primary Health Center - Daffo</t>
  </si>
  <si>
    <t>U0lOcVhCtvX</t>
  </si>
  <si>
    <t>Our Lady of Apostles Clinic - Bokkos</t>
  </si>
  <si>
    <t>FwSq4UCcsBR</t>
  </si>
  <si>
    <t>Evangelical Church of West Africa (ECWA) Health Clinic - Tudun Wada</t>
  </si>
  <si>
    <t>gTSFUf3vFl3</t>
  </si>
  <si>
    <t>Evangelical Church of West Africa (ECWA) Health Clinic - Zabolo</t>
  </si>
  <si>
    <t>UJA7SoZC1Of</t>
  </si>
  <si>
    <t>Church of Christ in Nigeria (COCIN) Clinic - Gyel-Bukuru</t>
  </si>
  <si>
    <t>kXMpdZaDwxW</t>
  </si>
  <si>
    <t>Theological College of Northern Nigeria (TCNN) Clinic - Bukuru</t>
  </si>
  <si>
    <t>GvDGaThPFGi</t>
  </si>
  <si>
    <t>St. Virgillus Catholic Rural Health Center</t>
  </si>
  <si>
    <t>BQ6ZqTIJDra</t>
  </si>
  <si>
    <t>Church of Christ in Nigeria (COCIN) Primary Health Center - Shendam</t>
  </si>
  <si>
    <t>asNhmbLE45K</t>
  </si>
  <si>
    <t>Ajio Local Government Health Center</t>
  </si>
  <si>
    <t>kYQmzSgzCJX</t>
  </si>
  <si>
    <t>Uton Kon Comprehensive Health Center</t>
  </si>
  <si>
    <t>FFZfpSZjxhj</t>
  </si>
  <si>
    <t>Obagaji Agatu Comprehensive Health Center</t>
  </si>
  <si>
    <t>O8mETbtR3if</t>
  </si>
  <si>
    <t>New Concept Hospital</t>
  </si>
  <si>
    <t>vse3mtJJEmf</t>
  </si>
  <si>
    <t>Ukpogo Primary Health Center</t>
  </si>
  <si>
    <t>DBWPwvDC0AX</t>
  </si>
  <si>
    <t>Agwabi Primary Health Center</t>
  </si>
  <si>
    <t>nnocuY5Y1ve</t>
  </si>
  <si>
    <t>Ako Primary Health Center</t>
  </si>
  <si>
    <t>IJtXcAlf0Gw</t>
  </si>
  <si>
    <t>Anonghul Primary Health Center</t>
  </si>
  <si>
    <t>GVwSWUCUWPn</t>
  </si>
  <si>
    <t>Anvambe Primary Health Center</t>
  </si>
  <si>
    <t>nMO8qFMjftW</t>
  </si>
  <si>
    <t>Anzembe Clinic</t>
  </si>
  <si>
    <t>x0lTOYyB0Xq</t>
  </si>
  <si>
    <t>Apav Primary Health Center</t>
  </si>
  <si>
    <t>k8SOoKCsniT</t>
  </si>
  <si>
    <t>Doose Clinic</t>
  </si>
  <si>
    <t>NhrnFnjxx2Z</t>
  </si>
  <si>
    <t xml:space="preserve">Gbaja  Primary Health Center</t>
  </si>
  <si>
    <t>CyG4e1PNY2V</t>
  </si>
  <si>
    <t>General Hospital Buruku</t>
  </si>
  <si>
    <t>hWsBYXZwHiP</t>
  </si>
  <si>
    <t>Jingir Primary Health Center</t>
  </si>
  <si>
    <t>R76nShpbpxl</t>
  </si>
  <si>
    <t>Karakuso Clinic</t>
  </si>
  <si>
    <t>sKg8sSkZoMP</t>
  </si>
  <si>
    <t>Kendem Health Clinic</t>
  </si>
  <si>
    <t>n0FjNk2ued1</t>
  </si>
  <si>
    <t>Kur Primary Health Center</t>
  </si>
  <si>
    <t>bIMhLHumVOb</t>
  </si>
  <si>
    <t>Mazda Clinic</t>
  </si>
  <si>
    <t>zL6xGqY3SL7</t>
  </si>
  <si>
    <t>Mbagen Community Health Service - Ashibi</t>
  </si>
  <si>
    <t>rWLUwyvE2KL</t>
  </si>
  <si>
    <t>Mbagen Community Health Service - Nyamatsor</t>
  </si>
  <si>
    <t>E1cCmIs4B6J</t>
  </si>
  <si>
    <t>Mbagen Community Hospital - Abwa</t>
  </si>
  <si>
    <t>JVUE6hcwdYf</t>
  </si>
  <si>
    <t>Mbalaha Clinic</t>
  </si>
  <si>
    <t>rkFS5ZsTWsm</t>
  </si>
  <si>
    <t>Nongu u Kristu ke Sudan hen Tiv (NKST) Clinic - Uatsor</t>
  </si>
  <si>
    <t>w5XcPdO0vLh</t>
  </si>
  <si>
    <t>Nongu u Kristu ke Sudan hen Tiv (NKST) Primary Health Center - Agwabi Buruku</t>
  </si>
  <si>
    <t>p8k5u3mv6dH</t>
  </si>
  <si>
    <t>Nongu u Kristu ke Sudan hen Tiv (NKST) Primary Health Center - Biliji</t>
  </si>
  <si>
    <t>dOnbIETcQXX</t>
  </si>
  <si>
    <t>Sahara Clinic</t>
  </si>
  <si>
    <t>YqtrJF9sW3U</t>
  </si>
  <si>
    <t>Social Clinic</t>
  </si>
  <si>
    <t>f37GcokYWeu</t>
  </si>
  <si>
    <t>St. Martins De Porres Primary Health Center</t>
  </si>
  <si>
    <t>F5pWs5NRtpw</t>
  </si>
  <si>
    <t>Torkwembe Clinic</t>
  </si>
  <si>
    <t>dJz3RVewIzM</t>
  </si>
  <si>
    <t>Township Clinic</t>
  </si>
  <si>
    <t>FUKJdEDgVT8</t>
  </si>
  <si>
    <t>Tyowanye Primary Health Center</t>
  </si>
  <si>
    <t>kPGQXJlsGON</t>
  </si>
  <si>
    <t>Uga Primary Health Center</t>
  </si>
  <si>
    <t>bkw7eER1sQg</t>
  </si>
  <si>
    <t>Usen Tombo Primary Health Center</t>
  </si>
  <si>
    <t>XnHRGEEKQSR</t>
  </si>
  <si>
    <t>Utsombi Model Primary Health Center</t>
  </si>
  <si>
    <t>Tj6mOtw94Xz</t>
  </si>
  <si>
    <t>Yoosu Clinic</t>
  </si>
  <si>
    <t>dpnrTDJguOo</t>
  </si>
  <si>
    <t>Zua Primary Health Center</t>
  </si>
  <si>
    <t>dQECLkJP2dR</t>
  </si>
  <si>
    <t>Akaa Primary Health Center</t>
  </si>
  <si>
    <t>BIf4NpUc9tv</t>
  </si>
  <si>
    <t>Akpagher Primary Health Center</t>
  </si>
  <si>
    <t>hd4uvUNJmVb</t>
  </si>
  <si>
    <t>Amaladu Primary Health Center</t>
  </si>
  <si>
    <t>ZhI01U6OW27</t>
  </si>
  <si>
    <t>Atume Clinic and Maternity</t>
  </si>
  <si>
    <t>WMifDMychYH</t>
  </si>
  <si>
    <t>Atuna Clinic and Maternity</t>
  </si>
  <si>
    <t>szcn3Q559Dz</t>
  </si>
  <si>
    <t>Avande Primary Health Center</t>
  </si>
  <si>
    <t>boPVZvERiSO</t>
  </si>
  <si>
    <t>Baki Clinic</t>
  </si>
  <si>
    <t>I2YSBeACOiz</t>
  </si>
  <si>
    <t>Gboko East Comprehensive Health Center</t>
  </si>
  <si>
    <t>NKBX6MV18q7</t>
  </si>
  <si>
    <t>Gboko South Primary Health Center</t>
  </si>
  <si>
    <t>QW4jZGUGs0K</t>
  </si>
  <si>
    <t>Isundugh Model Primary Health Center</t>
  </si>
  <si>
    <t>LMbwSwAgEE7</t>
  </si>
  <si>
    <t>Mbaakanku Primary Health Center</t>
  </si>
  <si>
    <t>imhNpRaqgMO</t>
  </si>
  <si>
    <t>Mbagar Primary Health Center</t>
  </si>
  <si>
    <t>BNicZLMov3O</t>
  </si>
  <si>
    <t>Mbaswa Primary Health Center</t>
  </si>
  <si>
    <t>mqXUgQzdrim</t>
  </si>
  <si>
    <t>Mercy Hospital</t>
  </si>
  <si>
    <t>UKpHt1NMIzG</t>
  </si>
  <si>
    <t>Myom Hospital - Gboko</t>
  </si>
  <si>
    <t>KCeTZcNxHny</t>
  </si>
  <si>
    <t>Nongu u Kristu ke Sudan hen Tiv (NKST) - Anyogo Comprehensive Health Center - Gboko East</t>
  </si>
  <si>
    <t>RkCEl2a26MS</t>
  </si>
  <si>
    <t>Nongu u Kristu ke Sudan hen Tiv (NKST) Hospital - Mkar</t>
  </si>
  <si>
    <t>LQY80730nX8</t>
  </si>
  <si>
    <t>Pewaren Hospital</t>
  </si>
  <si>
    <t>lJi7cRmWTRT</t>
  </si>
  <si>
    <t>Sev-Av Foundation - Gboko</t>
  </si>
  <si>
    <t>ucA8oXS8NE4</t>
  </si>
  <si>
    <t>St. Veronica Health Center</t>
  </si>
  <si>
    <t>wmDk1IHm8kU</t>
  </si>
  <si>
    <t xml:space="preserve">Three Brothers Transport  Hospital - Gboko</t>
  </si>
  <si>
    <t>EyvD2SO18Ls</t>
  </si>
  <si>
    <t>Tse Akeme Primary Health Center</t>
  </si>
  <si>
    <t>iVDvygVrrDg</t>
  </si>
  <si>
    <t>Tse Kucha Primary Health Center</t>
  </si>
  <si>
    <t>BWwKy9VeLOM</t>
  </si>
  <si>
    <t>Victory Hospital - Gboko</t>
  </si>
  <si>
    <t>zR7wi1nIM3l</t>
  </si>
  <si>
    <t>Wih Abagen hospital</t>
  </si>
  <si>
    <t>Xi5cekzA2M0</t>
  </si>
  <si>
    <t>Abinisi Primary Health Center</t>
  </si>
  <si>
    <t>aDbNi9qbrTa</t>
  </si>
  <si>
    <t>Ginde Primary Health Center</t>
  </si>
  <si>
    <t>S5mDbNgcRku</t>
  </si>
  <si>
    <t>Ikyor Family Support Programme Clinic</t>
  </si>
  <si>
    <t>wzrz2POvwJO</t>
  </si>
  <si>
    <t>Imandedem Comprehensive Health Center</t>
  </si>
  <si>
    <t>o98TdVrqKre</t>
  </si>
  <si>
    <t>Tugudu Primary Health Center</t>
  </si>
  <si>
    <t>YlxyMD0zmCn</t>
  </si>
  <si>
    <t>Yelwata Comprehensive Health Center</t>
  </si>
  <si>
    <t>CdQh5ozbdJV</t>
  </si>
  <si>
    <t>Aliade General Hospital</t>
  </si>
  <si>
    <t>OPnJnEYeq1I</t>
  </si>
  <si>
    <t>Hossana Hospital - Aliade</t>
  </si>
  <si>
    <t>PSewXHXf7oY</t>
  </si>
  <si>
    <t>Igbor Primary Health Center</t>
  </si>
  <si>
    <t>VKDCUTo3uig</t>
  </si>
  <si>
    <t>St. Gregory Health Center</t>
  </si>
  <si>
    <t>ooVgKxaybti</t>
  </si>
  <si>
    <t>Taraku Primary Health Center</t>
  </si>
  <si>
    <t>anU88HoEhSo</t>
  </si>
  <si>
    <t>Aba Health Centre</t>
  </si>
  <si>
    <t>AXPIJPRXo5s</t>
  </si>
  <si>
    <t>Abiam Family Support Program Clinic</t>
  </si>
  <si>
    <t>ZRSpxqpZDVS</t>
  </si>
  <si>
    <t>Aondana Health Clinic</t>
  </si>
  <si>
    <t>YLapZuUgSyj</t>
  </si>
  <si>
    <t>Asanyi Clinic</t>
  </si>
  <si>
    <t>fZBILx9jrtX</t>
  </si>
  <si>
    <t>Bem Clinic</t>
  </si>
  <si>
    <t>mHwzBUYquF5</t>
  </si>
  <si>
    <t>Chris Clinic</t>
  </si>
  <si>
    <t>EmfiENvlCGq</t>
  </si>
  <si>
    <t>European Economic Community Health Clinic</t>
  </si>
  <si>
    <t>ugwMUWu3le4</t>
  </si>
  <si>
    <t>General Hospital Naka</t>
  </si>
  <si>
    <t>A6vVFRBdTaM</t>
  </si>
  <si>
    <t>Hope Clinic Naka</t>
  </si>
  <si>
    <t>L5uBSWixRWb</t>
  </si>
  <si>
    <t>Jimba Primary Health Center</t>
  </si>
  <si>
    <t>nn4VvQS8SqP</t>
  </si>
  <si>
    <t>Kwashon Primary Health Centre</t>
  </si>
  <si>
    <t>oN3LGtxIZlk</t>
  </si>
  <si>
    <t>Mbaakem Health Centre</t>
  </si>
  <si>
    <t>Guf2jRM5SyK</t>
  </si>
  <si>
    <t>Mbaier Health Centre</t>
  </si>
  <si>
    <t>EJQh7G0WPzD</t>
  </si>
  <si>
    <t>Mbaiywar Health Centre</t>
  </si>
  <si>
    <t>mDLjtcbbe1r</t>
  </si>
  <si>
    <t>Mbalosu Primary Health Centre</t>
  </si>
  <si>
    <t>CtqZO3PKNim</t>
  </si>
  <si>
    <t>Mbashija Primary Health Centre</t>
  </si>
  <si>
    <t>LVwYC7JU75B</t>
  </si>
  <si>
    <t>Nakar Gwer West Comprehensive Health Center</t>
  </si>
  <si>
    <t>Nfc7dRyjli0</t>
  </si>
  <si>
    <t>Nyadafa Health Centre</t>
  </si>
  <si>
    <t>Et4PNkcr5A0</t>
  </si>
  <si>
    <t>Tongov Primary Health Centre</t>
  </si>
  <si>
    <t>eeMmUo80f1k</t>
  </si>
  <si>
    <t>Yogbo Health Centre</t>
  </si>
  <si>
    <t>fYKQcVPVnyK</t>
  </si>
  <si>
    <t>Ada Comprehensive Health Center</t>
  </si>
  <si>
    <t>TYesyFL0PHW</t>
  </si>
  <si>
    <t>Adikpo General Hospital</t>
  </si>
  <si>
    <t>mvMjGraGxvu</t>
  </si>
  <si>
    <t>Begha Comprehensive Health Center</t>
  </si>
  <si>
    <t>YSxrwZzyYqu</t>
  </si>
  <si>
    <t>Div Primary Health Center</t>
  </si>
  <si>
    <t>CITzQ1NJK3r</t>
  </si>
  <si>
    <t>Gabriel Suswam Cottage Hospital - Tse Ugbena</t>
  </si>
  <si>
    <t>G9RIOzlKB5n</t>
  </si>
  <si>
    <t>Gube Primary Health Center</t>
  </si>
  <si>
    <t>d4xIrfed7jC</t>
  </si>
  <si>
    <t>Holy Child Clinic and Maternity</t>
  </si>
  <si>
    <t>ecDDJ8UV2tN</t>
  </si>
  <si>
    <t>Ikyogen Primary Health Center</t>
  </si>
  <si>
    <t>lHAkzMumFD8</t>
  </si>
  <si>
    <t>Koti Comprehensive Health Center</t>
  </si>
  <si>
    <t>Wk7369Mhsof</t>
  </si>
  <si>
    <t>Manyam Primary Health Center</t>
  </si>
  <si>
    <t>lgXwl4gfzgN</t>
  </si>
  <si>
    <t>Msonter Clinic and Maternity</t>
  </si>
  <si>
    <t>LOykIXc8jdW</t>
  </si>
  <si>
    <t>Nyihemba Primary Health Center</t>
  </si>
  <si>
    <t>GMznf7OBnIg</t>
  </si>
  <si>
    <t>Abeda Primary Health Center</t>
  </si>
  <si>
    <t>Awp6evwdKBu</t>
  </si>
  <si>
    <t>Abeda Shittille Primary Health Center</t>
  </si>
  <si>
    <t>H9hiuwR1BNn</t>
  </si>
  <si>
    <t>Afa Clinic</t>
  </si>
  <si>
    <t>h6ZtmhafF6I</t>
  </si>
  <si>
    <t>Agbungu Primary Health Center</t>
  </si>
  <si>
    <t>SOXiZPYNNxE</t>
  </si>
  <si>
    <t>Akumator Health Centre</t>
  </si>
  <si>
    <t>cePHHjZCGUB</t>
  </si>
  <si>
    <t>Anyiin Primary Health Center</t>
  </si>
  <si>
    <t>pwlvjbtM5oM</t>
  </si>
  <si>
    <t>Ayilamo Primary Health Center</t>
  </si>
  <si>
    <t>zBp4fj9LC7v</t>
  </si>
  <si>
    <t>Central Hospital Anyiin</t>
  </si>
  <si>
    <t>SLUh7AIPl3P</t>
  </si>
  <si>
    <t>Doodoo Clinic</t>
  </si>
  <si>
    <t>CbpO0v7XB53</t>
  </si>
  <si>
    <t>Dooshima Primary Health Centre</t>
  </si>
  <si>
    <t>Sg1lTBErQMf</t>
  </si>
  <si>
    <t>Farmter Clinic Abeda</t>
  </si>
  <si>
    <t>r2lBjhZUg8j</t>
  </si>
  <si>
    <t>Gboragayo Primary Health Centre</t>
  </si>
  <si>
    <t>emodKJruXyL</t>
  </si>
  <si>
    <t>Gonduzua Primary Health Center</t>
  </si>
  <si>
    <t>LAyyrDvKqGe</t>
  </si>
  <si>
    <t>Holy Ghost Clinic Abeda</t>
  </si>
  <si>
    <t>ElG4xY5VKhM</t>
  </si>
  <si>
    <t>Igboughol Local Government Health Clinic</t>
  </si>
  <si>
    <t>bsw3naXOOX1</t>
  </si>
  <si>
    <t>Ikyo Primary Health Center</t>
  </si>
  <si>
    <t>p744o3LL0jI</t>
  </si>
  <si>
    <t>Imande Adega Primary Health Centre</t>
  </si>
  <si>
    <t>MqP8hXfcXJy</t>
  </si>
  <si>
    <t>Iorza Primary Health Center</t>
  </si>
  <si>
    <t>zBwxOyfTqwm</t>
  </si>
  <si>
    <t>Jootal Primary Health Center</t>
  </si>
  <si>
    <t>VDDocMtkbIv</t>
  </si>
  <si>
    <t>Jun Primary Health Centre</t>
  </si>
  <si>
    <t>YrOi3vit8KV</t>
  </si>
  <si>
    <t>Kurungu Local Government Health Center</t>
  </si>
  <si>
    <t>O37JHTv6j6B</t>
  </si>
  <si>
    <t>Live Clinic</t>
  </si>
  <si>
    <t>RCVEsesYe2Z</t>
  </si>
  <si>
    <t>Maranatha Clinic Ugba</t>
  </si>
  <si>
    <t>mmlEZKqZ9Ag</t>
  </si>
  <si>
    <t>Mbaalom Primary Health Centre</t>
  </si>
  <si>
    <t>gKQPwJLWiih</t>
  </si>
  <si>
    <t>Mbakighir Primary Health Centre</t>
  </si>
  <si>
    <t>qRBYxXT5oNy</t>
  </si>
  <si>
    <t>Mchia Local Government Health Center</t>
  </si>
  <si>
    <t>TOL2FI5yOWq</t>
  </si>
  <si>
    <t>Meeeme Primary Health Centre</t>
  </si>
  <si>
    <t>GtLsyPEOY3j</t>
  </si>
  <si>
    <t>Odidi Clinic</t>
  </si>
  <si>
    <t>QisBl6A7KWv</t>
  </si>
  <si>
    <t>Tordoo Clinic</t>
  </si>
  <si>
    <t>wPBzr3bpuFY</t>
  </si>
  <si>
    <t>Ugba General Hospital</t>
  </si>
  <si>
    <t>bTwuESPkfSO</t>
  </si>
  <si>
    <t>Uzer Local Government Health Center</t>
  </si>
  <si>
    <t>ejgzakpM81n</t>
  </si>
  <si>
    <t>Wende Primary Health Center</t>
  </si>
  <si>
    <t>MYMZKfW4a4F</t>
  </si>
  <si>
    <t>Zamzam Primary Health Center</t>
  </si>
  <si>
    <t>IxCvwERm4RC</t>
  </si>
  <si>
    <t>Adaa Ukusu Primary Health Center</t>
  </si>
  <si>
    <t>Edu0gO2Pn5R</t>
  </si>
  <si>
    <t>Atighir Local Government Health Center</t>
  </si>
  <si>
    <t>UPvsRuG3lnz</t>
  </si>
  <si>
    <t>Awenebo Primary Health Center</t>
  </si>
  <si>
    <t>QDRtn4ErqLP</t>
  </si>
  <si>
    <t>Jor Maternal and Child Health Clinic</t>
  </si>
  <si>
    <t>SSj1HfTYnTs</t>
  </si>
  <si>
    <t>Onmba Aondo Comprehensive Health Center</t>
  </si>
  <si>
    <t>Ct8Iraz4Wwz</t>
  </si>
  <si>
    <t>Uchi Primary Health Center</t>
  </si>
  <si>
    <t>Wj6CKL5YwCL</t>
  </si>
  <si>
    <t>Adum West Primary Health Center</t>
  </si>
  <si>
    <t>HS64YOKuFY7</t>
  </si>
  <si>
    <t>Ekpong Primary Health Center</t>
  </si>
  <si>
    <t>lnaA8R6IVD1</t>
  </si>
  <si>
    <t>Itakpa Primary Health Care Center Clinic</t>
  </si>
  <si>
    <t>oTcXqQjjNzT</t>
  </si>
  <si>
    <t>Ojenya Primary Health Center</t>
  </si>
  <si>
    <t>Ku18aPUvKXU</t>
  </si>
  <si>
    <t>Okileme Primary Health Center</t>
  </si>
  <si>
    <t>uSeJS22p2r2</t>
  </si>
  <si>
    <t>Obu-Otukpa Primary Health Center</t>
  </si>
  <si>
    <t>KA8T2JoKOo4</t>
  </si>
  <si>
    <t>Omutele Primary Health Center</t>
  </si>
  <si>
    <t>lRYNS2wfuhr</t>
  </si>
  <si>
    <t>Onyangede Primary Health Center</t>
  </si>
  <si>
    <t>odUEWUJrxFJ</t>
  </si>
  <si>
    <t>Okopga General Hospital</t>
  </si>
  <si>
    <t>WqanRoYZhre</t>
  </si>
  <si>
    <t>Ugbokolo Comprehensive Health Center</t>
  </si>
  <si>
    <t>NEntA3EhuNV</t>
  </si>
  <si>
    <t>Akpegede Primary Health Center</t>
  </si>
  <si>
    <t>PcOkY82BR8s</t>
  </si>
  <si>
    <t>Eyokpa Primary Health Center</t>
  </si>
  <si>
    <t>s3bJiXQU0sG</t>
  </si>
  <si>
    <t>Maranatha Hospital - Otukpo</t>
  </si>
  <si>
    <t>IxpCotD8DPx</t>
  </si>
  <si>
    <t>Otobi Akpa Primary Health Center</t>
  </si>
  <si>
    <t>ykd4IuUGt3v</t>
  </si>
  <si>
    <t>Otukpo-Icho Primary Health Center</t>
  </si>
  <si>
    <t>gOVPork6fJY</t>
  </si>
  <si>
    <t>Oturkpo General Hospital</t>
  </si>
  <si>
    <t>sjKFIaqLXzI</t>
  </si>
  <si>
    <t>St. Theresa Hospital - Otukpo</t>
  </si>
  <si>
    <t>Anw44QfDgdC</t>
  </si>
  <si>
    <t>St. Veronica Clinic and Maternity - Oturkpo</t>
  </si>
  <si>
    <t>POuRUbKpyDl</t>
  </si>
  <si>
    <t>Aboho Primary Health Centre</t>
  </si>
  <si>
    <t>PyyoRwjaZ6Z</t>
  </si>
  <si>
    <t>Akoodo Primary Health Centre</t>
  </si>
  <si>
    <t>iBoiNFcGWNu</t>
  </si>
  <si>
    <t>Akpa Primary Health Centre</t>
  </si>
  <si>
    <t>nEGhloNqExo</t>
  </si>
  <si>
    <t>Aso Comprehensive Health Center</t>
  </si>
  <si>
    <t>kexwjLUlsZy</t>
  </si>
  <si>
    <t>Asukunya Primary Health Center</t>
  </si>
  <si>
    <t>InmLlQBslD6</t>
  </si>
  <si>
    <t>Azungur Primary Health Centre</t>
  </si>
  <si>
    <t>WD93HklJ2QC</t>
  </si>
  <si>
    <t>Gwarche Primary Health Centre</t>
  </si>
  <si>
    <t>uPRX8ftEmL5</t>
  </si>
  <si>
    <t>Jota Clinic</t>
  </si>
  <si>
    <t>LMZRrPsIaQH</t>
  </si>
  <si>
    <t>Kpe-Ambila Primary Health Centre</t>
  </si>
  <si>
    <t>G5eD8nBMRPO</t>
  </si>
  <si>
    <t>Nongu u Kristu ke Sudan hen Tiv (NKST) Clinic - Wannune</t>
  </si>
  <si>
    <t>aUsI0GxqwfK</t>
  </si>
  <si>
    <t>Salem Primary Health Centre</t>
  </si>
  <si>
    <t>p5jlZi85pLh</t>
  </si>
  <si>
    <t>St. Christopher Health Clinic - Wannune</t>
  </si>
  <si>
    <t>zJseTdMM6Ph</t>
  </si>
  <si>
    <t>St. Michaels Clinic</t>
  </si>
  <si>
    <t>SNb8IS5SukA</t>
  </si>
  <si>
    <t>Subbesa Clinic</t>
  </si>
  <si>
    <t>y5YbCaq6VFR</t>
  </si>
  <si>
    <t>Tiortyu Local Government Health Center</t>
  </si>
  <si>
    <t>nV2DKeGv8AQ</t>
  </si>
  <si>
    <t>Township Clinic - Wannune</t>
  </si>
  <si>
    <t>RlGe0zMvrra</t>
  </si>
  <si>
    <t>Tse-Akiishi Primary Health Center</t>
  </si>
  <si>
    <t>jUXd98nF6tO</t>
  </si>
  <si>
    <t>Tse-Tiah Primary Health Centre</t>
  </si>
  <si>
    <t>ZTPVFq6u1nN</t>
  </si>
  <si>
    <t>Wannune General Hospital</t>
  </si>
  <si>
    <t>tCLZNcfcMy3</t>
  </si>
  <si>
    <t>Wuatsa Family Support Program Clinic</t>
  </si>
  <si>
    <t>f2gdbSL4kqK</t>
  </si>
  <si>
    <t>Alabar Comprehensive Health Center</t>
  </si>
  <si>
    <t>xrktdSSHsk8</t>
  </si>
  <si>
    <t>Asambe Primary Health Center</t>
  </si>
  <si>
    <t>AptnTvyenuo</t>
  </si>
  <si>
    <t>Aterayange Comprehensive Health Center</t>
  </si>
  <si>
    <t>yoiyriXtW1G</t>
  </si>
  <si>
    <t>Ayati Primary Health Center</t>
  </si>
  <si>
    <t>Oexe9zs1Ehb</t>
  </si>
  <si>
    <t>Chito Local Government Health Center</t>
  </si>
  <si>
    <t>xHCRTxh1UoC</t>
  </si>
  <si>
    <t>Iorna Clinic</t>
  </si>
  <si>
    <t>vdABjhoRp53</t>
  </si>
  <si>
    <t>Kafa Clinic</t>
  </si>
  <si>
    <t>Ikw1ubU63ji</t>
  </si>
  <si>
    <t>King of Kings Clinic and Maternity</t>
  </si>
  <si>
    <t>r0E0bUsIjrC</t>
  </si>
  <si>
    <t>Melabu Comprehensive Health Center</t>
  </si>
  <si>
    <t>XP2njsDoK3u</t>
  </si>
  <si>
    <t>Salvation Hospital</t>
  </si>
  <si>
    <t>kOmUbf3xx0o</t>
  </si>
  <si>
    <t>Sankera Family Support Program Clinic</t>
  </si>
  <si>
    <t>EGG0mUGRKdC</t>
  </si>
  <si>
    <t>Sankera General Hospital</t>
  </si>
  <si>
    <t>qk2SW3ifeyo</t>
  </si>
  <si>
    <t>St. Mary Primary Health Center - Chito</t>
  </si>
  <si>
    <t>ROzMKxCUG62</t>
  </si>
  <si>
    <t>Tornajime Model Primary Health Center</t>
  </si>
  <si>
    <t>bNXkry2HvEv</t>
  </si>
  <si>
    <t>Vaase Local Government Health Center</t>
  </si>
  <si>
    <t>PYkGrLe6kRy</t>
  </si>
  <si>
    <t>Woma Clinic and Maternity</t>
  </si>
  <si>
    <t>j2rgCN38K5P</t>
  </si>
  <si>
    <t>Achough Primary Health Center</t>
  </si>
  <si>
    <t>JWrYkPsMtR3</t>
  </si>
  <si>
    <t>Adyorou Primary Health Center</t>
  </si>
  <si>
    <t>EAzxw7913s3</t>
  </si>
  <si>
    <t>Anongu Primary Health Center</t>
  </si>
  <si>
    <t>W0EYoKS92VC</t>
  </si>
  <si>
    <t>Gbabgongon Primary Health Center</t>
  </si>
  <si>
    <t>GtKJyoYuiDX</t>
  </si>
  <si>
    <t>Gbem Primary Health Center</t>
  </si>
  <si>
    <t>btDbYq12rAW</t>
  </si>
  <si>
    <t>Ihugh Primary Health Center</t>
  </si>
  <si>
    <t>oKaMsSZ4pzp</t>
  </si>
  <si>
    <t>Kishi Primary Health Center</t>
  </si>
  <si>
    <t>i7iD5DwvlZM</t>
  </si>
  <si>
    <t>Sev-Av Foundation - Vandeikya</t>
  </si>
  <si>
    <t>iU5WiOjaPBb</t>
  </si>
  <si>
    <t>Tsar Model Primary Health Center</t>
  </si>
  <si>
    <t>bPKw3iYUKCh</t>
  </si>
  <si>
    <t>Tyam Comprehensive Health Center</t>
  </si>
  <si>
    <t>WCHeWC7Nxsi</t>
  </si>
  <si>
    <t>Tyeminongu Local Government Health Center</t>
  </si>
  <si>
    <t>qJAETCelgyS</t>
  </si>
  <si>
    <t>Ukyaagu Clinic and Maternity</t>
  </si>
  <si>
    <t>ceWT53eKvUg</t>
  </si>
  <si>
    <t>Vandeikya General Hospital</t>
  </si>
  <si>
    <t>fCwe9dV4kjP</t>
  </si>
  <si>
    <t>Vandeikya Maternal and Child Health Clinic</t>
  </si>
  <si>
    <t>ooGtz2a99Oc</t>
  </si>
  <si>
    <t>Vandeikya Primary Health Center</t>
  </si>
  <si>
    <t>mtRcWAFc2BL</t>
  </si>
  <si>
    <t>Bam Bam Cottage Hospital</t>
  </si>
  <si>
    <t>yAtYirMpXuz</t>
  </si>
  <si>
    <t>Bam Bam Primary Health Center</t>
  </si>
  <si>
    <t>S1HZhbEmqUc</t>
  </si>
  <si>
    <t>Cham Primary Health Center</t>
  </si>
  <si>
    <t>tIEFDNyv2IV</t>
  </si>
  <si>
    <t>Gelengu Maternal and Child Health Clinic</t>
  </si>
  <si>
    <t>l02u6Bzmrza</t>
  </si>
  <si>
    <t>Ayaba Primary Health Center</t>
  </si>
  <si>
    <t>N5BdnybiHwr</t>
  </si>
  <si>
    <t>Billiri General Hospital</t>
  </si>
  <si>
    <t>ItQqTK4vrzT</t>
  </si>
  <si>
    <t>Kekkel Maternal and Child Health Clinic</t>
  </si>
  <si>
    <t>kqQUoQi76st</t>
  </si>
  <si>
    <t>Lafiya Clinic</t>
  </si>
  <si>
    <t>LTuv4a79XvG</t>
  </si>
  <si>
    <t>Dukku Comprehensive Health Center</t>
  </si>
  <si>
    <t>VvdGo3jc0D0</t>
  </si>
  <si>
    <t>Dukku General Hospital</t>
  </si>
  <si>
    <t>X8smKtvqUob</t>
  </si>
  <si>
    <t>Ashaka Cement Clinic</t>
  </si>
  <si>
    <t>XNy0j3RUrI6</t>
  </si>
  <si>
    <t>Bajoga General Hospital</t>
  </si>
  <si>
    <t>t0ulFJivm9P</t>
  </si>
  <si>
    <t>Jalingo Primary Health Center</t>
  </si>
  <si>
    <t>I9vA78jcthr</t>
  </si>
  <si>
    <t>301 Artillery Division Medical Reception Station</t>
  </si>
  <si>
    <t>MyXpX9ajtit</t>
  </si>
  <si>
    <t>Bolari Maternal and Child Health Clinic</t>
  </si>
  <si>
    <t>ve4UhhWPdtv</t>
  </si>
  <si>
    <t>Federal Medical Center - Gombe</t>
  </si>
  <si>
    <t>UeAxwJmzoPH</t>
  </si>
  <si>
    <t>Gabukka Maternal and Child Health Clinic</t>
  </si>
  <si>
    <t>xOjkh238G8g</t>
  </si>
  <si>
    <t>Gombe State Specialist Hospital</t>
  </si>
  <si>
    <t>kQSAihTQQep</t>
  </si>
  <si>
    <t>Herwagana Maternal and Child Health Clinic</t>
  </si>
  <si>
    <t>TinjgNiJrB4</t>
  </si>
  <si>
    <t>Kasuwan Mata Health Clinic</t>
  </si>
  <si>
    <t>y6Kk5VUXOX7</t>
  </si>
  <si>
    <t>Kumbiya Kumbiya Primary Health Center</t>
  </si>
  <si>
    <t>jkw8uV3T206</t>
  </si>
  <si>
    <t>London Maidorawa Health Clinic</t>
  </si>
  <si>
    <t>oso9UXCPxTW</t>
  </si>
  <si>
    <t>Nasarawo Maternal and Child Health Clinic</t>
  </si>
  <si>
    <t>tRkbi8NqKzg</t>
  </si>
  <si>
    <t>Pantami Primary Health Center</t>
  </si>
  <si>
    <t>pU92ZUAY68L</t>
  </si>
  <si>
    <t>State Low Cost Family Support Programme Clinic Gombe</t>
  </si>
  <si>
    <t>zKnglkayqmW</t>
  </si>
  <si>
    <t>Sunnah Hospital</t>
  </si>
  <si>
    <t>TiAwIXFMkLy</t>
  </si>
  <si>
    <t>Town Maternity Gombe</t>
  </si>
  <si>
    <t>aGOQB2fZ1Bt</t>
  </si>
  <si>
    <t>Tudun Wada Primary Health Center</t>
  </si>
  <si>
    <t>dxf5N2oFePK</t>
  </si>
  <si>
    <t>Amdo Medical Clinic</t>
  </si>
  <si>
    <t>kjkBvkvr0Rj</t>
  </si>
  <si>
    <t>Kagarawal Comprehensive Health Center</t>
  </si>
  <si>
    <t>ZQOlLOUnCeZ</t>
  </si>
  <si>
    <t>Kaltungo General Hospital</t>
  </si>
  <si>
    <t>CnFTZ4Yu5A8</t>
  </si>
  <si>
    <t>Lafiya Maternal and Child Health Clinic</t>
  </si>
  <si>
    <t>IYh928VUqNg</t>
  </si>
  <si>
    <t>Lakidir Health Clinic</t>
  </si>
  <si>
    <t>muKOLeXeQ6R</t>
  </si>
  <si>
    <t>Poshereng Health Clinic</t>
  </si>
  <si>
    <t>Z4dx6b95DsA</t>
  </si>
  <si>
    <t>Sabon Layi Awak Maternal and Child Health Clinic</t>
  </si>
  <si>
    <t>xBeiof3iPyM</t>
  </si>
  <si>
    <t>Kwami Comprehensive Primary Health Center</t>
  </si>
  <si>
    <t>gt2YjWoSXCy</t>
  </si>
  <si>
    <t>Mallam Sidi Cottage Hospital</t>
  </si>
  <si>
    <t>qjAHaXsYrWi</t>
  </si>
  <si>
    <t>Bajoga</t>
  </si>
  <si>
    <t>lc3zUkNVPV1</t>
  </si>
  <si>
    <t>Filiya Primary Health Center</t>
  </si>
  <si>
    <t>vaP8U6qfGIa</t>
  </si>
  <si>
    <t>Pero Primary Health Center</t>
  </si>
  <si>
    <t>udBc8MM1Szr</t>
  </si>
  <si>
    <t>Kasuwa Magani Primary Health Center</t>
  </si>
  <si>
    <t>JWZaYKHTAvt</t>
  </si>
  <si>
    <t>Kujama Primary Health Center</t>
  </si>
  <si>
    <t>nwcnPbXH2SR</t>
  </si>
  <si>
    <t>Nasarawa Primary Health Center</t>
  </si>
  <si>
    <t>qq4e0kfaUvb</t>
  </si>
  <si>
    <t>Romi Primary Health Center</t>
  </si>
  <si>
    <t>FLqvfq0KBA4</t>
  </si>
  <si>
    <t>Sabo Tsaha Primary Health Center</t>
  </si>
  <si>
    <t>i6Rcojd7d9S</t>
  </si>
  <si>
    <t>Sabon Tasha General Hospital</t>
  </si>
  <si>
    <t>Os1iE6RNSnx</t>
  </si>
  <si>
    <t>Jaji Comprehensive Health Center</t>
  </si>
  <si>
    <t>P2CO8dS7XTK</t>
  </si>
  <si>
    <t>Bitaro Primary Health Center</t>
  </si>
  <si>
    <t>USC9pf5wbqf</t>
  </si>
  <si>
    <t>Child Welfare Clinic - Kwoi</t>
  </si>
  <si>
    <t>OCrU5mRDC9C</t>
  </si>
  <si>
    <t>Galadima Health Clinic</t>
  </si>
  <si>
    <t>lVJyNgG5zpp</t>
  </si>
  <si>
    <t>Kwoi General Hospital</t>
  </si>
  <si>
    <t>b54iXGWcmCB</t>
  </si>
  <si>
    <t>Makama Chori Health Center</t>
  </si>
  <si>
    <t>exfJ24Nth7L</t>
  </si>
  <si>
    <t>Fadan Kagoma Primary Health Center</t>
  </si>
  <si>
    <t>O8aso3CNkNl</t>
  </si>
  <si>
    <t>Gidan Waya Primary Health Center</t>
  </si>
  <si>
    <t>zDhjewQr48h</t>
  </si>
  <si>
    <t>Godogodo Primary Health Center</t>
  </si>
  <si>
    <t>gOO2jNM0enh</t>
  </si>
  <si>
    <t>Jagindi Tasha Health Clinic</t>
  </si>
  <si>
    <t>Md3GGdU4n1S</t>
  </si>
  <si>
    <t>Kafanchan Family Health Unit</t>
  </si>
  <si>
    <t>yR3KYnURaLT</t>
  </si>
  <si>
    <t>Kafanchan General Hospital</t>
  </si>
  <si>
    <t>GPe3nnQbHA6</t>
  </si>
  <si>
    <t>Mailafiya Health Clinic</t>
  </si>
  <si>
    <t>uYOS4lYipBj</t>
  </si>
  <si>
    <t>New Era Maternity and Hospital</t>
  </si>
  <si>
    <t>tumi2lmViL2</t>
  </si>
  <si>
    <t>Paki I Health Clinic - Kagoma</t>
  </si>
  <si>
    <t>bgbttW5feAV</t>
  </si>
  <si>
    <t>Ungwan Fari Primary Health Center</t>
  </si>
  <si>
    <t>j0abrnQZSuL</t>
  </si>
  <si>
    <t>Crossing Primary Health Center</t>
  </si>
  <si>
    <t>u2YY3OW0w6X</t>
  </si>
  <si>
    <t>Kachia General Hospital</t>
  </si>
  <si>
    <t>bSDq2EfthjS</t>
  </si>
  <si>
    <t>Rijana Health Center</t>
  </si>
  <si>
    <t>J1oipuLuwaA</t>
  </si>
  <si>
    <t>Al-Munnir Hospital</t>
  </si>
  <si>
    <t>vpRIpHsK1EG</t>
  </si>
  <si>
    <t>Barau Dikko Specialist Hospital</t>
  </si>
  <si>
    <t>aQTk0pRk6eY</t>
  </si>
  <si>
    <t>Federation of Muslim Women Association of Nigeria (FOMWAN) Hospital</t>
  </si>
  <si>
    <t>dwAvWQFlxx2</t>
  </si>
  <si>
    <t>Kawo General Hospital</t>
  </si>
  <si>
    <t>ZD8SEdhkeTQ</t>
  </si>
  <si>
    <t>Rafin Guza Primary Health Center</t>
  </si>
  <si>
    <t>ZKGDUXMpiQh</t>
  </si>
  <si>
    <t>Tukur Malali Primary Health Center</t>
  </si>
  <si>
    <t>Gh18S2BxHKn</t>
  </si>
  <si>
    <t>Ungwan Rimi Primary Health Center</t>
  </si>
  <si>
    <t>TneCwxLrGSs</t>
  </si>
  <si>
    <t>Ungwan Shanu Primary Health Center</t>
  </si>
  <si>
    <t>hD3xRpPBnWf</t>
  </si>
  <si>
    <t>Barnawa Primary Health Center</t>
  </si>
  <si>
    <t>gZeeGIFJ9KY</t>
  </si>
  <si>
    <t>Biba Hospital</t>
  </si>
  <si>
    <t>ka5T5cXKFup</t>
  </si>
  <si>
    <t>Gwamna Awan General Hospital</t>
  </si>
  <si>
    <t>uq98eMvdS5R</t>
  </si>
  <si>
    <t>Kakuri 1 Primary Health Center</t>
  </si>
  <si>
    <t>OxxRG4OO0Ec</t>
  </si>
  <si>
    <t>Kakuri II Primary Health Center</t>
  </si>
  <si>
    <t>U862koFe8g5</t>
  </si>
  <si>
    <t>Kudenda Primary Health Center</t>
  </si>
  <si>
    <t>Xs1MosdNYO5</t>
  </si>
  <si>
    <t>Kurmi Mashi Primary Health Center</t>
  </si>
  <si>
    <t>oB3NepeAtXB</t>
  </si>
  <si>
    <t>Makera I Primary Health Center</t>
  </si>
  <si>
    <t>IzbxBJjD6IG</t>
  </si>
  <si>
    <t>Narayi Primary Health Center</t>
  </si>
  <si>
    <t>OF6w1FUfvSf</t>
  </si>
  <si>
    <t>Television Primary Health Center</t>
  </si>
  <si>
    <t>zVAiLsWRBQb</t>
  </si>
  <si>
    <t>Tudun Wada Family Health Unit</t>
  </si>
  <si>
    <t>BTfKBTk1iJ9</t>
  </si>
  <si>
    <t>Wilbasun Hospital</t>
  </si>
  <si>
    <t>D15V3TSkuVJ</t>
  </si>
  <si>
    <t>Yusuf Dantsoho Memorial Hospital</t>
  </si>
  <si>
    <t>pt20jaMEKHx</t>
  </si>
  <si>
    <t>Jere Primary Health Center</t>
  </si>
  <si>
    <t>k9ShWQ2CK5c</t>
  </si>
  <si>
    <t>Taffa Health Center</t>
  </si>
  <si>
    <t>uDPDgMxSdDU</t>
  </si>
  <si>
    <t>Mararaba Rido Primary Health Center</t>
  </si>
  <si>
    <t>Dg2qT9iJTaq</t>
  </si>
  <si>
    <t>Evangelical Church of West Africa (ECWA) Health Center - Kagoro</t>
  </si>
  <si>
    <t>Q08WuqBqOrs</t>
  </si>
  <si>
    <t>Garaje Primary Health Center</t>
  </si>
  <si>
    <t>sJcKAjJ1Qez</t>
  </si>
  <si>
    <t>Kaura Primary Health Center</t>
  </si>
  <si>
    <t>aESQbWBGkxc</t>
  </si>
  <si>
    <t>Laruth Health Facility</t>
  </si>
  <si>
    <t>VSapwRuy9o3</t>
  </si>
  <si>
    <t>Turaki Buga Memorial Hospital</t>
  </si>
  <si>
    <t>VYk8FuLG2G1</t>
  </si>
  <si>
    <t>Pambegua General Hospital</t>
  </si>
  <si>
    <t>PoIQpdF8RTG</t>
  </si>
  <si>
    <t>Aboro Primary Health Center</t>
  </si>
  <si>
    <t>ylV11DH0VUE</t>
  </si>
  <si>
    <t>Akwankwa Health Center</t>
  </si>
  <si>
    <t>BaBLiZhRPoS</t>
  </si>
  <si>
    <t>Gwantu General Hospital</t>
  </si>
  <si>
    <t>CXY35SPtbPf</t>
  </si>
  <si>
    <t>Gwantu Primary Health Center</t>
  </si>
  <si>
    <t>HwVtJkZK6mX</t>
  </si>
  <si>
    <t>Langa Health Center</t>
  </si>
  <si>
    <t>hHv6YuMBDin</t>
  </si>
  <si>
    <t>Mayir Primary Health Center</t>
  </si>
  <si>
    <t>iY9AWY5Juy5</t>
  </si>
  <si>
    <t>Nimbe Health Center</t>
  </si>
  <si>
    <t>tVjg7MfEpfY</t>
  </si>
  <si>
    <t>Wasa Primary Health Center</t>
  </si>
  <si>
    <t>U6TQt3XpAyS</t>
  </si>
  <si>
    <t>Soba Comprehensive Health Center</t>
  </si>
  <si>
    <t>ht9EJCuor0B</t>
  </si>
  <si>
    <t>Zango-Kataf General Hospital</t>
  </si>
  <si>
    <t>jHjDEUVD87x</t>
  </si>
  <si>
    <t>Gyelesu Primary Health Center</t>
  </si>
  <si>
    <t>R55qx0TWfCK</t>
  </si>
  <si>
    <t>Hajiya Gambo Sawaba Hospital</t>
  </si>
  <si>
    <t>V0IswqM1byH</t>
  </si>
  <si>
    <t>Tukur Tukur Primary Health Center</t>
  </si>
  <si>
    <t>o4cmDXLnMGz</t>
  </si>
  <si>
    <t>Aimoizza Clinic</t>
  </si>
  <si>
    <t>oyiQ8ltpF2c</t>
  </si>
  <si>
    <t>Oyinza Hospital - Inozomi</t>
  </si>
  <si>
    <t>UJHeUxC2dQK</t>
  </si>
  <si>
    <t>Ajaokuta Steel Medical Clinic</t>
  </si>
  <si>
    <t>CzwWiALrME8</t>
  </si>
  <si>
    <t>Acheka Medical Center - Ujielanyi</t>
  </si>
  <si>
    <t>gHx5gDYovCr</t>
  </si>
  <si>
    <t>Ankpa General Hospital</t>
  </si>
  <si>
    <t>mJgQrfBTx3f</t>
  </si>
  <si>
    <t>Bethel Hospital</t>
  </si>
  <si>
    <t>N2YrIzbDRkx</t>
  </si>
  <si>
    <t>Emere Primary Health Center</t>
  </si>
  <si>
    <t>wHuOS6cG6Sr</t>
  </si>
  <si>
    <t>Living Hope Hospital</t>
  </si>
  <si>
    <t>CFi2osDSAQt</t>
  </si>
  <si>
    <t>Madonna Hospital</t>
  </si>
  <si>
    <t>PYnrIREwfpU</t>
  </si>
  <si>
    <t>Mercy Clinic - Ankpa</t>
  </si>
  <si>
    <t>NvWgJ4g6plO</t>
  </si>
  <si>
    <t>Ayingba Comprehensive Health Center</t>
  </si>
  <si>
    <t>WwVbcxjtu79</t>
  </si>
  <si>
    <t>Blue House Hospital</t>
  </si>
  <si>
    <t>TguuBcW7SeK</t>
  </si>
  <si>
    <t>Dekina General Hospital</t>
  </si>
  <si>
    <t>p8ukk5eOdZA</t>
  </si>
  <si>
    <t>Kogi Diagnosis Referral Hospital</t>
  </si>
  <si>
    <t>Qiq81djsOyv</t>
  </si>
  <si>
    <t>Unale Primary Health Center</t>
  </si>
  <si>
    <t>zKPNFvGZBTs</t>
  </si>
  <si>
    <t>Idah General Hospital</t>
  </si>
  <si>
    <t>PawBgipJAZe</t>
  </si>
  <si>
    <t>Ajaka Primary Health Center</t>
  </si>
  <si>
    <t>g6NVwIeNfgD</t>
  </si>
  <si>
    <t>Gegu Beki Primary Health Center</t>
  </si>
  <si>
    <t>RWUuGmSxMC8</t>
  </si>
  <si>
    <t>Koton Karfe Family Support Programme Clinic</t>
  </si>
  <si>
    <t>sOqTjWgBF0L</t>
  </si>
  <si>
    <t>Okpareke Model Primary Health Center</t>
  </si>
  <si>
    <t>QKy6502l92X</t>
  </si>
  <si>
    <t>Kogi State Specialist Hospital</t>
  </si>
  <si>
    <t>Aq2CeR3h187</t>
  </si>
  <si>
    <t>Lokoja Federal Medical Center</t>
  </si>
  <si>
    <t>KsNbhiCMPvu</t>
  </si>
  <si>
    <t>Holley Memorial - Ochadamu</t>
  </si>
  <si>
    <t>aMZiWfMiJd9</t>
  </si>
  <si>
    <t>Umomi Primary Health Center</t>
  </si>
  <si>
    <t>YCVPwCuwdto</t>
  </si>
  <si>
    <t>Ihima Comprehensive Health Center</t>
  </si>
  <si>
    <t>Ddju5yOEYuE</t>
  </si>
  <si>
    <t>Obangede General Hospital</t>
  </si>
  <si>
    <t>YxjPfHv2bdg</t>
  </si>
  <si>
    <t>Calvary Maternity</t>
  </si>
  <si>
    <t>s6Aa4dmC9UU</t>
  </si>
  <si>
    <t>Modanba Clinic</t>
  </si>
  <si>
    <t>FikoZzzo2Os</t>
  </si>
  <si>
    <t>Okene General Hospital</t>
  </si>
  <si>
    <t>sKytXCdZsh5</t>
  </si>
  <si>
    <t>Etutekpe Primary Health Center</t>
  </si>
  <si>
    <t>egehzxYAhdC</t>
  </si>
  <si>
    <t>Ofante Primary Health Center</t>
  </si>
  <si>
    <t>HVfTTFlDSoL</t>
  </si>
  <si>
    <t>Okpo General Hospital</t>
  </si>
  <si>
    <t>h9drujCcifQ</t>
  </si>
  <si>
    <t>Abejukolo General Hospital</t>
  </si>
  <si>
    <t>PRHYgNR5CUO</t>
  </si>
  <si>
    <t>Abejukolo Primary Health Center</t>
  </si>
  <si>
    <t>SNFZcgRIGee</t>
  </si>
  <si>
    <t>Azunramura Health Center</t>
  </si>
  <si>
    <t>aF59FyzYbWA</t>
  </si>
  <si>
    <t>Amana Millennium Development Goal Health Center</t>
  </si>
  <si>
    <t>HxfTOfJ9f5B</t>
  </si>
  <si>
    <t>Onueke General Hospital</t>
  </si>
  <si>
    <t>wu7IcqeYFSB</t>
  </si>
  <si>
    <t>Stephens Medical Diagnostic Center</t>
  </si>
  <si>
    <t>gn4TauVu1px</t>
  </si>
  <si>
    <t>Effemgbabu Millennium Development Goal Health Center</t>
  </si>
  <si>
    <t>PeN51qAXotr</t>
  </si>
  <si>
    <t>Odomowo Basic Health Center</t>
  </si>
  <si>
    <t>nPzXIA4VZs3</t>
  </si>
  <si>
    <t>Uzochi Clinic and Maternity</t>
  </si>
  <si>
    <t>jwRGI4W2ZgL</t>
  </si>
  <si>
    <t>Ntezi Health Center</t>
  </si>
  <si>
    <t>IAQVcEN9b3H</t>
  </si>
  <si>
    <t>Onunweke Health Center</t>
  </si>
  <si>
    <t>I1qU6ZP7J95</t>
  </si>
  <si>
    <t>Ameke Oduma Health Center</t>
  </si>
  <si>
    <t>UF9COGQTY5X</t>
  </si>
  <si>
    <t>Emudo Uheze Health Center</t>
  </si>
  <si>
    <t>y13W7AFemxz</t>
  </si>
  <si>
    <t>Mpu Primary Health Center</t>
  </si>
  <si>
    <t>XJ9oG3RXZFR</t>
  </si>
  <si>
    <t>Ndeaboh Health Center</t>
  </si>
  <si>
    <t>c4g80RVzJQu</t>
  </si>
  <si>
    <t>Nenwe Cottage Hospital</t>
  </si>
  <si>
    <t>TVYjOfRHwnk</t>
  </si>
  <si>
    <t>Oduma Achara Health Center</t>
  </si>
  <si>
    <t>kZWUhYumVeQ</t>
  </si>
  <si>
    <t>Uhueze Obeagu Health Center</t>
  </si>
  <si>
    <t>gbAX0S4Mjbs</t>
  </si>
  <si>
    <t>Awgu District Hospital</t>
  </si>
  <si>
    <t>C5Y2GUHt4sf</t>
  </si>
  <si>
    <t>Awgu Maternal and Child Health Clinic</t>
  </si>
  <si>
    <t>WiWM55NAQf1</t>
  </si>
  <si>
    <t>Mgbowo Health Center</t>
  </si>
  <si>
    <t>MvmSeCaIGLY</t>
  </si>
  <si>
    <t>Mother of Mercy Hospital - Ihe</t>
  </si>
  <si>
    <t>I3LnmK0alcF</t>
  </si>
  <si>
    <t>Amansido Health Center</t>
  </si>
  <si>
    <t>uRhK3JFXrqG</t>
  </si>
  <si>
    <t>Obinofia Ndiagu Health Center</t>
  </si>
  <si>
    <t>ALUSkeUhax7</t>
  </si>
  <si>
    <t>Agbadala Health Center</t>
  </si>
  <si>
    <t>JuqXC7es8tF</t>
  </si>
  <si>
    <t>Inyi Cottage Hopsital</t>
  </si>
  <si>
    <t>v0goAniLeuC</t>
  </si>
  <si>
    <t>Oji River Sub District General Hospital</t>
  </si>
  <si>
    <t>mOMYjnbssAv</t>
  </si>
  <si>
    <t>Ugwuoba Health Center</t>
  </si>
  <si>
    <t>ILcKSLSBXR6</t>
  </si>
  <si>
    <t>Benem Hospital</t>
  </si>
  <si>
    <t>M1TKebqMd1J</t>
  </si>
  <si>
    <t>Ebe Health Center</t>
  </si>
  <si>
    <t>TgFjP5Ug5b1</t>
  </si>
  <si>
    <t>Eke Health Center</t>
  </si>
  <si>
    <t>eG3t2eB70vk</t>
  </si>
  <si>
    <t>Hope Child Maternity</t>
  </si>
  <si>
    <t>oFdx57tGvjs</t>
  </si>
  <si>
    <t>Nsude Health Center</t>
  </si>
  <si>
    <t>pPCEF3XJNgx</t>
  </si>
  <si>
    <t>Our Saviour Hospital and Maternity</t>
  </si>
  <si>
    <t>tPlnn4b3wGB</t>
  </si>
  <si>
    <t>Udi District Hospital</t>
  </si>
  <si>
    <t>h678jCLqkMn</t>
  </si>
  <si>
    <t>Ukana Health Center</t>
  </si>
  <si>
    <t>JIDIV9Q3a54</t>
  </si>
  <si>
    <t>Umulumgbe Health Center</t>
  </si>
  <si>
    <t>EIgrU1IIUAz</t>
  </si>
  <si>
    <t>Unity Hospital - Ngwo</t>
  </si>
  <si>
    <t>OZ9kLD4rbat</t>
  </si>
  <si>
    <t>Umuakagu Health Center</t>
  </si>
  <si>
    <t>nTEavHH6036</t>
  </si>
  <si>
    <t>Umueze 1 Umunanom Health Center</t>
  </si>
  <si>
    <t>tb1CoNjkies</t>
  </si>
  <si>
    <t>Umuezeala Owere Health Center</t>
  </si>
  <si>
    <t>UeLjyCRf41x</t>
  </si>
  <si>
    <t>Umunakanu Health Post</t>
  </si>
  <si>
    <t>aU2oSCCLmV2</t>
  </si>
  <si>
    <t>Uboma</t>
  </si>
  <si>
    <t>mCzi7WHsXYy</t>
  </si>
  <si>
    <t>QkEZjvzSdoF</t>
  </si>
  <si>
    <t>BFeirzq9CRR</t>
  </si>
  <si>
    <t>Osuh Primary Health Center</t>
  </si>
  <si>
    <t>HD4blJMxPjK</t>
  </si>
  <si>
    <t>Our Lady of Mercy - Obowo</t>
  </si>
  <si>
    <t>nELlSoRvjxw</t>
  </si>
  <si>
    <t>Umulogho Primary Health Center</t>
  </si>
  <si>
    <t>VodaSBfWH1S</t>
  </si>
  <si>
    <t>Okigwe General Hospital</t>
  </si>
  <si>
    <t>w5Q8AnPJWgs</t>
  </si>
  <si>
    <t>Okigwe Maternal and Child Health Clinic</t>
  </si>
  <si>
    <t>JizbTiXU2yr</t>
  </si>
  <si>
    <t>Umuawaibu 1 Health Center</t>
  </si>
  <si>
    <t>gTRfAjo8ytk</t>
  </si>
  <si>
    <t>Okwe Maternal and Child Health Clinic</t>
  </si>
  <si>
    <t>IhdNmjiCzMC</t>
  </si>
  <si>
    <t>Okwelle Primary Health Center</t>
  </si>
  <si>
    <t>YTl8KqGkHuW</t>
  </si>
  <si>
    <t>Bogo Model Primary Health Center</t>
  </si>
  <si>
    <t>hnu8aVM6eMV</t>
  </si>
  <si>
    <t>Kalshingi Primary Health Center</t>
  </si>
  <si>
    <t>EqwqkFZQNfH</t>
  </si>
  <si>
    <t>Kashere Cottage Hospital</t>
  </si>
  <si>
    <t>CLdT0B3G6p7</t>
  </si>
  <si>
    <t>Kashere General Hospital</t>
  </si>
  <si>
    <t>bW4cbw8Kloh</t>
  </si>
  <si>
    <t>Kumo Cottage Hospital</t>
  </si>
  <si>
    <t>MQd3xsfqPzT</t>
  </si>
  <si>
    <t>Kundullum Primary Health Center</t>
  </si>
  <si>
    <t>FVKwyxBzfHs</t>
  </si>
  <si>
    <t>Pindiga Cottage Hospital</t>
  </si>
  <si>
    <t>xqIQZPT6Fdf</t>
  </si>
  <si>
    <t>Pindiga Primary Health Center</t>
  </si>
  <si>
    <t>cBRkyZxkaPY</t>
  </si>
  <si>
    <t>Shango Maternity Clinic</t>
  </si>
  <si>
    <t>lfGN3aDRMZj</t>
  </si>
  <si>
    <t>Tumu Cottage Hospital</t>
  </si>
  <si>
    <t>gt5hRKlSQiC</t>
  </si>
  <si>
    <t>Tunfare Health Center</t>
  </si>
  <si>
    <t>Tp20jDfntkx</t>
  </si>
  <si>
    <t>Deba</t>
  </si>
  <si>
    <t>rrBhu5e1MfW</t>
  </si>
  <si>
    <t>HwC7f1qYg2o</t>
  </si>
  <si>
    <t>LwSI1JO6CRg</t>
  </si>
  <si>
    <t>rRFHOH95mcF</t>
  </si>
  <si>
    <t>P9815pFCx4Y</t>
  </si>
  <si>
    <t>gd0wEyi6cac</t>
  </si>
  <si>
    <t>QR7EfY7yNgb</t>
  </si>
  <si>
    <t>lXDHEJLTcvA</t>
  </si>
  <si>
    <t>h7Xccz3xPey</t>
  </si>
  <si>
    <t>Ts9du2HmZC7</t>
  </si>
  <si>
    <t>e3IPIkjbbRD</t>
  </si>
  <si>
    <t>Ud9Ovt9pKfa</t>
  </si>
  <si>
    <t>Birningwari Maternal Child Health Care</t>
  </si>
  <si>
    <t>VTv6H1vQyde</t>
  </si>
  <si>
    <t>Damari Primary Health Center</t>
  </si>
  <si>
    <t>n0FZTZqHMI4</t>
  </si>
  <si>
    <t>Dogondawa Model Primary Health Centre</t>
  </si>
  <si>
    <t>icS1RRNGi9C</t>
  </si>
  <si>
    <t>Jibrin Maigwari General Hospital</t>
  </si>
  <si>
    <t>m4mw3TJxbJy</t>
  </si>
  <si>
    <t>Kampanin Doka Primary Health Centre</t>
  </si>
  <si>
    <t>ANn7I7032YH</t>
  </si>
  <si>
    <t>Kuyello Primary Health Center</t>
  </si>
  <si>
    <t>GeAndVjik4A</t>
  </si>
  <si>
    <t>Maganda Primary Health Center</t>
  </si>
  <si>
    <t>CMjlhTJLHKj</t>
  </si>
  <si>
    <t>Randagi Primary Health Center</t>
  </si>
  <si>
    <t>D88r3nfLBWX</t>
  </si>
  <si>
    <t>Sabonlayi Health Center</t>
  </si>
  <si>
    <t>oLJpdUHh2sK</t>
  </si>
  <si>
    <t>Tabanni Model Primary Health Centre</t>
  </si>
  <si>
    <t>UpPEVKM0hWO</t>
  </si>
  <si>
    <t>Ahmadu Bello University Teaching Hospital - Shika</t>
  </si>
  <si>
    <t>fiC3mpkjajt</t>
  </si>
  <si>
    <t>Giwa General Hospital</t>
  </si>
  <si>
    <t>ebLQTZgsfgz</t>
  </si>
  <si>
    <t>Damakasuwa Health Clinic</t>
  </si>
  <si>
    <t>HneMVa1g1rl</t>
  </si>
  <si>
    <t>Dandaura Primary Health Center</t>
  </si>
  <si>
    <t>Vm4aGg3q90l</t>
  </si>
  <si>
    <t>Kadage Health Clinic</t>
  </si>
  <si>
    <t>mMYdCawgXau</t>
  </si>
  <si>
    <t>Kauru Primary Health Center</t>
  </si>
  <si>
    <t>cDo6JpmV6bP</t>
  </si>
  <si>
    <t>Kauru Rural Hospital</t>
  </si>
  <si>
    <t>GRhndXkuvmD</t>
  </si>
  <si>
    <t>Kidugu II Model Primary Health Center</t>
  </si>
  <si>
    <t>DzcxGhh17ZF</t>
  </si>
  <si>
    <t>Abadawa Primary Health Center</t>
  </si>
  <si>
    <t>rmUzUVT7bwW</t>
  </si>
  <si>
    <t>Angwan Bawa Primary Health Center</t>
  </si>
  <si>
    <t>Oe98Skgwrs3</t>
  </si>
  <si>
    <t>Garun Kurama Primary Health Center</t>
  </si>
  <si>
    <t>XyGNdts89ji</t>
  </si>
  <si>
    <t>Y8LrXkR1LuJ</t>
  </si>
  <si>
    <t>Kaki Dare Primary Health Center</t>
  </si>
  <si>
    <t>bicj8vjb7BV</t>
  </si>
  <si>
    <t>Krosha Maternal Child Health</t>
  </si>
  <si>
    <t>s7dVL9iRI0l</t>
  </si>
  <si>
    <t>Lere Primary Health Center</t>
  </si>
  <si>
    <t>Eq0SMoSZuRc</t>
  </si>
  <si>
    <t>Maigamo Primary Health Center</t>
  </si>
  <si>
    <t>Udv9Pm4rGAR</t>
  </si>
  <si>
    <t>Ramin Kura Primary Health Center</t>
  </si>
  <si>
    <t>FIyoBlcRtsm</t>
  </si>
  <si>
    <t>Saminaka General Hospital</t>
  </si>
  <si>
    <t>XCixcBgl6uz</t>
  </si>
  <si>
    <t>Yarkasuwa Primary Health Center</t>
  </si>
  <si>
    <t>iiN0GpCCS79</t>
  </si>
  <si>
    <t>Danguziri Primary Health Center</t>
  </si>
  <si>
    <t>xixDoW7FKsu</t>
  </si>
  <si>
    <t>Gazara Primary Health Center</t>
  </si>
  <si>
    <t>nu9c0w9q0CA</t>
  </si>
  <si>
    <t>Gwanki Primary Health Center</t>
  </si>
  <si>
    <t>Rkng2n9u1rk</t>
  </si>
  <si>
    <t>Kasuwar Mata Primary Health Center</t>
  </si>
  <si>
    <t>qwEWFTHOXSA</t>
  </si>
  <si>
    <t>Makarfi General Hospital</t>
  </si>
  <si>
    <t>QuiAPHqPxwY</t>
  </si>
  <si>
    <t>Makarfi Primary Health Center</t>
  </si>
  <si>
    <t>uEhcBbwErng</t>
  </si>
  <si>
    <t>Mayere Primary Health Center</t>
  </si>
  <si>
    <t>n19QNSdO3Yu</t>
  </si>
  <si>
    <t>Tashan Yari Primary Health Center</t>
  </si>
  <si>
    <t>GcbMxeF89uA</t>
  </si>
  <si>
    <t>Major Ibrahim Bello Abdullahi Memorial Hospital</t>
  </si>
  <si>
    <t>nDa1uUKmVhb</t>
  </si>
  <si>
    <t>Gezewa General Hospital</t>
  </si>
  <si>
    <t>cDBBCOyZlvK</t>
  </si>
  <si>
    <t>Mohammad Abdullahi Wase Specialist Hospital Nassarwa</t>
  </si>
  <si>
    <t>ClB8Ry98tWe</t>
  </si>
  <si>
    <t>Al Noury Specialist Hospital</t>
  </si>
  <si>
    <t>v5amiydkXFR</t>
  </si>
  <si>
    <t>Iyamoye General Hospital</t>
  </si>
  <si>
    <t>UfIvllU0iwE</t>
  </si>
  <si>
    <t>Iyara Comprehensive Health Center</t>
  </si>
  <si>
    <t>W81ILVochtJ</t>
  </si>
  <si>
    <t>CGwIyxDpwT8</t>
  </si>
  <si>
    <t>Abah Primary Health Center</t>
  </si>
  <si>
    <t>jo7dambanj1</t>
  </si>
  <si>
    <t>Abakor Primary Health Care</t>
  </si>
  <si>
    <t>ZBXG7XEJ03X</t>
  </si>
  <si>
    <t>Amafor Primary Health Center</t>
  </si>
  <si>
    <t>ShOkkjO7q4d</t>
  </si>
  <si>
    <t>Gbor Comprehensive Health Center</t>
  </si>
  <si>
    <t>UWfo9Vcmg6t</t>
  </si>
  <si>
    <t>Ikpaukur Local Government Health Center</t>
  </si>
  <si>
    <t>rQOXT4Cy2Pj</t>
  </si>
  <si>
    <t>Nahuta Hospital</t>
  </si>
  <si>
    <t>yRpzCa8G6SZ</t>
  </si>
  <si>
    <t>Nguher Clinic</t>
  </si>
  <si>
    <t>voNNZ57SXoP</t>
  </si>
  <si>
    <t>Nongu u Kristu ke Sudan hen Tiv (NKST) Comprehensive Health Center - Harga</t>
  </si>
  <si>
    <t>iLE60Uz1V74</t>
  </si>
  <si>
    <t>Nongu u Kristu ke Sudan hen Tiv (NKST) Hospital - Sai</t>
  </si>
  <si>
    <t>x9AGFcyHbas</t>
  </si>
  <si>
    <t>Salem Clinic - Gbor</t>
  </si>
  <si>
    <t>W0z2Y4xAH3N</t>
  </si>
  <si>
    <t>Tarvachan Comprehensive Health Center</t>
  </si>
  <si>
    <t>jGti2H2XezH</t>
  </si>
  <si>
    <t>Tordonga Primary Health Center</t>
  </si>
  <si>
    <t>W5NNtTAwz9t</t>
  </si>
  <si>
    <t>World Health System Sai</t>
  </si>
  <si>
    <t>GCOrXvJq3Aq</t>
  </si>
  <si>
    <t>Ada Model</t>
  </si>
  <si>
    <t>VgWKjowLb8Z</t>
  </si>
  <si>
    <t>Adeke Health Clinic</t>
  </si>
  <si>
    <t>bkN3ItOJJok</t>
  </si>
  <si>
    <t>Agbeede Primary Health Center</t>
  </si>
  <si>
    <t>OK3KBevBxuF</t>
  </si>
  <si>
    <t>Agidi Primary Health Centre</t>
  </si>
  <si>
    <t>Vwphz4aVBkw</t>
  </si>
  <si>
    <t xml:space="preserve">Agudu  Comprehensive Health Center</t>
  </si>
  <si>
    <t>izJLP4ub40D</t>
  </si>
  <si>
    <t>Akase Buruku Medical Centre Gungul</t>
  </si>
  <si>
    <t>S0KHKAONgri</t>
  </si>
  <si>
    <t xml:space="preserve">Akputu  Primary Health Center</t>
  </si>
  <si>
    <t>xf0d6Ievr0Y</t>
  </si>
  <si>
    <t>Amua Primary Health Center</t>
  </si>
  <si>
    <t>HSyYeWik1mR</t>
  </si>
  <si>
    <t>Anyiranya Comprehensive Health Center</t>
  </si>
  <si>
    <t>NlSxDvmv8RG</t>
  </si>
  <si>
    <t>Ashido Clinic and Maternity</t>
  </si>
  <si>
    <t>H5sqi75vXga</t>
  </si>
  <si>
    <t>Bonta Family Support Program Clinic</t>
  </si>
  <si>
    <t>A0oG89zfO3P</t>
  </si>
  <si>
    <t>Centre Clinic Korinya</t>
  </si>
  <si>
    <t>PAEkoUsTqwP</t>
  </si>
  <si>
    <t>Dio Primary Health Center</t>
  </si>
  <si>
    <t>RaK8oHAcaJx</t>
  </si>
  <si>
    <t>Dzambe Clinic and Maternity</t>
  </si>
  <si>
    <t>N44jVMYmfa2</t>
  </si>
  <si>
    <t>Gemanen Health Clinic Ageraga</t>
  </si>
  <si>
    <t>jUTYBRwnEHz</t>
  </si>
  <si>
    <t>Guleya Health Clinic</t>
  </si>
  <si>
    <t>QcktjNt6R6g</t>
  </si>
  <si>
    <t>Hope Hospital - Gungul</t>
  </si>
  <si>
    <t>Kx8nR3Z0zoJ</t>
  </si>
  <si>
    <t>Huma Primary Health Center</t>
  </si>
  <si>
    <t>PWTMBcAdVmf</t>
  </si>
  <si>
    <t>Igbughul Primary Health Center</t>
  </si>
  <si>
    <t>oR3iWfmLDLd</t>
  </si>
  <si>
    <t>Ikpeakor Comprehensive Health Center</t>
  </si>
  <si>
    <t>PNknx39XQ3D</t>
  </si>
  <si>
    <t>Ikyaave Primary Health Center</t>
  </si>
  <si>
    <t>b2iKj21StWT</t>
  </si>
  <si>
    <t>Jirgba Primary Health Center</t>
  </si>
  <si>
    <t>ADRcchaSF89</t>
  </si>
  <si>
    <t>Jumota Health Clinic Tsuwe</t>
  </si>
  <si>
    <t>BGygT2oyOXk</t>
  </si>
  <si>
    <t>Korinya Primary Health Center</t>
  </si>
  <si>
    <t>zOFJx0iZI6j</t>
  </si>
  <si>
    <t>Kusa Erem Agbeede Health Clinic</t>
  </si>
  <si>
    <t>n3leeELsmMM</t>
  </si>
  <si>
    <t>Leke Clinic and Maternity</t>
  </si>
  <si>
    <t>YMwV767vaxO</t>
  </si>
  <si>
    <t>Lim Health Clinic</t>
  </si>
  <si>
    <t>NFIT0fugpMz</t>
  </si>
  <si>
    <t>Luter Health Clinic</t>
  </si>
  <si>
    <t>fZtEYsSUToC</t>
  </si>
  <si>
    <t>Mbaasham Health Center</t>
  </si>
  <si>
    <t>xU6kWh9unZD</t>
  </si>
  <si>
    <t>Mbagbaa Health Center</t>
  </si>
  <si>
    <t>Foo92FCaY1b</t>
  </si>
  <si>
    <t>Mbahan Health Clinic Ankugh</t>
  </si>
  <si>
    <t>NnQBS3G7K8x</t>
  </si>
  <si>
    <t>Mbaikpande Health Clinic</t>
  </si>
  <si>
    <t>udCzBxj1fs7</t>
  </si>
  <si>
    <t>Mhen Health Clinic Jov-Mbavaa</t>
  </si>
  <si>
    <t>Hb4aAEXMUMh</t>
  </si>
  <si>
    <t>Mimi Clinic and Maternity</t>
  </si>
  <si>
    <t>t8yzGeF3QOZ</t>
  </si>
  <si>
    <t>Mkaa Health Clinic and Maternity</t>
  </si>
  <si>
    <t>gmZiQa8rGP8</t>
  </si>
  <si>
    <t>Nyam Ugbeh Clinic</t>
  </si>
  <si>
    <t>DbQwJh2aSqj</t>
  </si>
  <si>
    <t>Royal Clinic and Maternity Wuese</t>
  </si>
  <si>
    <t>lT0dFPuROo5</t>
  </si>
  <si>
    <t>Sauki Health Clinic</t>
  </si>
  <si>
    <t>pcpLg0h9HGx</t>
  </si>
  <si>
    <t>St. Joseph Maternity Clinic - Korinya</t>
  </si>
  <si>
    <t>KLG4R1DqCDW</t>
  </si>
  <si>
    <t xml:space="preserve">Tongo  Primary Health Center</t>
  </si>
  <si>
    <t>ZYZAcgboJvx</t>
  </si>
  <si>
    <t>Tse-Agbaragba Primary Health Center</t>
  </si>
  <si>
    <t>VBS2KAxTWl8</t>
  </si>
  <si>
    <t>Tyoate Comprehensive Health Center</t>
  </si>
  <si>
    <t>ES15z3zgFpM</t>
  </si>
  <si>
    <t>Tyough Primary Health Center</t>
  </si>
  <si>
    <t>h5NpU6aWI16</t>
  </si>
  <si>
    <t>Uboagere Comprehensive Health Center</t>
  </si>
  <si>
    <t>jUhaJSvsg2f</t>
  </si>
  <si>
    <t>Ubwa Primary Health Center</t>
  </si>
  <si>
    <t>YAgu3EF8fPC</t>
  </si>
  <si>
    <t>Usaka Health Clinic Tsuwe</t>
  </si>
  <si>
    <t>lS9OJNmawzr</t>
  </si>
  <si>
    <t>Wuese Health Clinic</t>
  </si>
  <si>
    <t>HrZP9L9jT9a</t>
  </si>
  <si>
    <t>Asiasa Primary Health Center</t>
  </si>
  <si>
    <t>rLuGqHLz5O0</t>
  </si>
  <si>
    <t>Benue State University Teaching Hospital</t>
  </si>
  <si>
    <t>AgRjHcsC4wf</t>
  </si>
  <si>
    <t>City Hospital</t>
  </si>
  <si>
    <t>P82OYKREDEj</t>
  </si>
  <si>
    <t>Federal Medical Center - Makurdi</t>
  </si>
  <si>
    <t>EA0gMmZjNn6</t>
  </si>
  <si>
    <t>Fidi Primary Health Center</t>
  </si>
  <si>
    <t>RdEEZwjHezM</t>
  </si>
  <si>
    <t>Hemko Hospital</t>
  </si>
  <si>
    <t>s9bl6apI0dc</t>
  </si>
  <si>
    <t>Homa Hospital</t>
  </si>
  <si>
    <t>xSgOL9OVNfU</t>
  </si>
  <si>
    <t>Immaculate Hospital</t>
  </si>
  <si>
    <t>baLNc1OTsyV</t>
  </si>
  <si>
    <t>Makurdi Family Support Program Clinic</t>
  </si>
  <si>
    <t>dWMSkFIYteW</t>
  </si>
  <si>
    <t>Northbank General Hospital</t>
  </si>
  <si>
    <t>XAGjhppjhh3</t>
  </si>
  <si>
    <t>Origbo Primary Health Center</t>
  </si>
  <si>
    <t>DVKW20STdPp</t>
  </si>
  <si>
    <t>Oruwa Primary Health Center</t>
  </si>
  <si>
    <t>maFYA6npiof</t>
  </si>
  <si>
    <t>Rahama Clinic and Maternity</t>
  </si>
  <si>
    <t>Km93XCNZYCr</t>
  </si>
  <si>
    <t>Ushakaa Hospital</t>
  </si>
  <si>
    <t>FuHdYbMsHCb</t>
  </si>
  <si>
    <t>Wadata Primary Health Center</t>
  </si>
  <si>
    <t>XKWExXxnuL0</t>
  </si>
  <si>
    <t>Bethesda Hospital - Ikachi</t>
  </si>
  <si>
    <t>rEQ6l5PTFp8</t>
  </si>
  <si>
    <t>Obussa Primary Health Center</t>
  </si>
  <si>
    <t>mqsSy5I1kdU</t>
  </si>
  <si>
    <t>Adikpo Mgbaagwa Comprehensive Health Center</t>
  </si>
  <si>
    <t>NNdKVtjFoci</t>
  </si>
  <si>
    <t>Akerior Comprehensive Health Center</t>
  </si>
  <si>
    <t>XS7oHkodgdY</t>
  </si>
  <si>
    <t>Atekombo Comprehensive Health Center</t>
  </si>
  <si>
    <t>qHFn6eKPzZR</t>
  </si>
  <si>
    <t>UnkA6GX7nnG</t>
  </si>
  <si>
    <t>Bethsaida Clinic</t>
  </si>
  <si>
    <t>EDdYwB26l0W</t>
  </si>
  <si>
    <t>City Clinic</t>
  </si>
  <si>
    <t>HznzDeNotIB</t>
  </si>
  <si>
    <t>Faith Health Clinic - Atoga</t>
  </si>
  <si>
    <t>Mb6TF6q1qQF</t>
  </si>
  <si>
    <t>Hegha Comprehensive Health Center</t>
  </si>
  <si>
    <t>CZugrC0pZ3a</t>
  </si>
  <si>
    <t>Hitom Orbiam Comprehensive Health Center</t>
  </si>
  <si>
    <t>JTD3QnVPI8l</t>
  </si>
  <si>
    <t>Kartyo Comprehensive Health Center</t>
  </si>
  <si>
    <t>oOwDebIrySs</t>
  </si>
  <si>
    <t>Ladi Ugee Health Clinic</t>
  </si>
  <si>
    <t>GPLUhQcAk09</t>
  </si>
  <si>
    <t>Manor Health Center</t>
  </si>
  <si>
    <t>cb0V8ceIp0o</t>
  </si>
  <si>
    <t>Maternal and Child Health Centre Lessel</t>
  </si>
  <si>
    <t>vGJhQeNenm1</t>
  </si>
  <si>
    <t>Mayange Primary Health Care</t>
  </si>
  <si>
    <t>UdO3AJxt6D7</t>
  </si>
  <si>
    <t>Mgbayiman Clinic</t>
  </si>
  <si>
    <t>GDWQ1gtrq7o</t>
  </si>
  <si>
    <t>Nedoo Clinic</t>
  </si>
  <si>
    <t>ZHg3OR5tcsX</t>
  </si>
  <si>
    <t>Nongu u Kristu ke Sudan hen Tiv (NKST) Clinic -Aku</t>
  </si>
  <si>
    <t>yk6RVaDElKT</t>
  </si>
  <si>
    <t>Oostra-Gum Clinic and Maternity</t>
  </si>
  <si>
    <t>oVvqxfB2P4W</t>
  </si>
  <si>
    <t>Phesset Clinic</t>
  </si>
  <si>
    <t>mHQFWXYfC6i</t>
  </si>
  <si>
    <t>Progress Clinic</t>
  </si>
  <si>
    <t>kWdcnanesGf</t>
  </si>
  <si>
    <t>Sati Ikov Health Clinic</t>
  </si>
  <si>
    <t>LUkUENaNGN6</t>
  </si>
  <si>
    <t>St. Augustine Clinic</t>
  </si>
  <si>
    <t>vsOSmmIFlY5</t>
  </si>
  <si>
    <t>St. Francis Primary Health Center</t>
  </si>
  <si>
    <t>xJSu0qeS9vf</t>
  </si>
  <si>
    <t>Tor Medical Center - Ushongo</t>
  </si>
  <si>
    <t>TWjlsSujkEb</t>
  </si>
  <si>
    <t>Tseghem Comprehensive Health Center</t>
  </si>
  <si>
    <t>cOc62Ku53kR</t>
  </si>
  <si>
    <t>Tyson Clinic</t>
  </si>
  <si>
    <t>fRu5JBdDWTp</t>
  </si>
  <si>
    <t>Ushongo Comprehensive Health Center</t>
  </si>
  <si>
    <t>AC09BTkiT9k</t>
  </si>
  <si>
    <t>Waapera Comprehensive Health Center</t>
  </si>
  <si>
    <t>Bt9AmJKxN28</t>
  </si>
  <si>
    <t>Wajir Primary Health Center</t>
  </si>
  <si>
    <t>TGvQr45Lmoy</t>
  </si>
  <si>
    <t>Yaakar Comprehensive Health Center</t>
  </si>
  <si>
    <t>cIKRpGcM5yd</t>
  </si>
  <si>
    <t>Yanibo Clinic</t>
  </si>
  <si>
    <t>mQvR7uUjq8a</t>
  </si>
  <si>
    <t>Yimase Clinic</t>
  </si>
  <si>
    <t>qCNoZOVZNMS</t>
  </si>
  <si>
    <t>Erhoike Cottage Hospital</t>
  </si>
  <si>
    <t>CKaHg4rNsaT</t>
  </si>
  <si>
    <t>Agbor Central Hospital</t>
  </si>
  <si>
    <t>HFp2lb9f404</t>
  </si>
  <si>
    <t>Federal Medical Center - Asaba</t>
  </si>
  <si>
    <t>Fd3GeuuIXaT</t>
  </si>
  <si>
    <t>Okwe General Hospital</t>
  </si>
  <si>
    <t>ATzoX3X0tMC</t>
  </si>
  <si>
    <t>Ekpan General Hospital</t>
  </si>
  <si>
    <t>MarzoBBhHwN</t>
  </si>
  <si>
    <t>Ekiti State University Teaching Hospital, Ado-Ekiti</t>
  </si>
  <si>
    <t>NG8ugV9Xv57</t>
  </si>
  <si>
    <t>Okesa Ekiti Comprehensive Health Center</t>
  </si>
  <si>
    <t>itv14Kob5b5</t>
  </si>
  <si>
    <t>Omuo Ekiti General Hospital</t>
  </si>
  <si>
    <t>IaAbEGvnhF7</t>
  </si>
  <si>
    <t>Federal Medical Center, Ido-Ekiti</t>
  </si>
  <si>
    <t>tvMCpBfPpNr</t>
  </si>
  <si>
    <t>Iye Ekiti General Hospital</t>
  </si>
  <si>
    <t>m0MGjVaytWB</t>
  </si>
  <si>
    <t>Ifelodun</t>
  </si>
  <si>
    <t>bxXIciySrPz</t>
  </si>
  <si>
    <t>Oye Ekiti General Hospital</t>
  </si>
  <si>
    <t>IjAiByZWjsw</t>
  </si>
  <si>
    <t>Abaji General Hospital</t>
  </si>
  <si>
    <t>Z226xvNYD7J</t>
  </si>
  <si>
    <t>Nanda Primary Health Center</t>
  </si>
  <si>
    <t>DnwrPe4eo4i</t>
  </si>
  <si>
    <t>Abuja Unity Hospital and Maternity</t>
  </si>
  <si>
    <t>YvmovwyRKTP</t>
  </si>
  <si>
    <t>Agnes Maternity</t>
  </si>
  <si>
    <t>Z1fnpPnG6s3</t>
  </si>
  <si>
    <t>Alliance Hospital</t>
  </si>
  <si>
    <t>aUEMySOgyUj</t>
  </si>
  <si>
    <t>Amana Medical Center</t>
  </si>
  <si>
    <t>nifRDBNbpDq</t>
  </si>
  <si>
    <t>Asher Hospital &amp; Maternity</t>
  </si>
  <si>
    <t>rIw2AJ83KeO</t>
  </si>
  <si>
    <t>Asokoro District Hospital</t>
  </si>
  <si>
    <t>wp753KYAdno</t>
  </si>
  <si>
    <t>Atlas Medical Center</t>
  </si>
  <si>
    <t>zUmJoNoqzZn</t>
  </si>
  <si>
    <t>Ayenmere Memorial Hospital</t>
  </si>
  <si>
    <t>bOVUjhiimCM</t>
  </si>
  <si>
    <t>Bassa Jiwa Primary Health Center</t>
  </si>
  <si>
    <t>aJo7iehgsff</t>
  </si>
  <si>
    <t>Bethel Clinic and Maternity</t>
  </si>
  <si>
    <t>RYVTvf4hkWx</t>
  </si>
  <si>
    <t>Bismol Hospital and Maternity</t>
  </si>
  <si>
    <t>QWpkml91U0m</t>
  </si>
  <si>
    <t>Burum Primary Health Center</t>
  </si>
  <si>
    <t>cQxuFlYjUom</t>
  </si>
  <si>
    <t>Cream Medics</t>
  </si>
  <si>
    <t>APriVNdVSRc</t>
  </si>
  <si>
    <t>Custom Staff Clinic</t>
  </si>
  <si>
    <t>e3W0JOHKtvn</t>
  </si>
  <si>
    <t>Dara Medical Hospital</t>
  </si>
  <si>
    <t>TmfH7injEXb</t>
  </si>
  <si>
    <t>De Rose Of Sharon Clinic and Maternity Hospital</t>
  </si>
  <si>
    <t>HDftMwEayKH</t>
  </si>
  <si>
    <t>Deidei Health Clinic</t>
  </si>
  <si>
    <t>DVn6RH9LDGb</t>
  </si>
  <si>
    <t>Diamond Medical Center</t>
  </si>
  <si>
    <t>sUryQ7n0dAg</t>
  </si>
  <si>
    <t>Divine Clinic</t>
  </si>
  <si>
    <t>IZhhzZVoPQX</t>
  </si>
  <si>
    <t>Dutsen Garki Primary Health Center</t>
  </si>
  <si>
    <t>h5StehEhtb8</t>
  </si>
  <si>
    <t>Ebony Hospital</t>
  </si>
  <si>
    <t>NusIgPpngbI</t>
  </si>
  <si>
    <t>EFAB Medical Center</t>
  </si>
  <si>
    <t>DYplRcUZFjp</t>
  </si>
  <si>
    <t>Evangelical Church of West Africa (ECWA) Medical Center</t>
  </si>
  <si>
    <t>V9AWhIYQ8Uv</t>
  </si>
  <si>
    <t>Family Care Multi Clinics</t>
  </si>
  <si>
    <t>gVpGcw23ZZ4</t>
  </si>
  <si>
    <t>Federal Staff Hospital - Gwarimpa</t>
  </si>
  <si>
    <t>dtlt61TM6ac</t>
  </si>
  <si>
    <t>Federal Staff Hospital - Jabi</t>
  </si>
  <si>
    <t>LmLBtmd8U43</t>
  </si>
  <si>
    <t>Fereprod Medical Center</t>
  </si>
  <si>
    <t>YanQR0c32TZ</t>
  </si>
  <si>
    <t>Freedomscan Medical Center</t>
  </si>
  <si>
    <t>gNhTYE0YB0P</t>
  </si>
  <si>
    <t>Garki Hospital Abuja</t>
  </si>
  <si>
    <t>SLDfqhuQVZW</t>
  </si>
  <si>
    <t>Garki Primary Health Center</t>
  </si>
  <si>
    <t>DoBKAbdLSP0</t>
  </si>
  <si>
    <t>Getwell Hospital</t>
  </si>
  <si>
    <t>eVRpUIGh9Lh</t>
  </si>
  <si>
    <t>Gidan Mangoro Primary Health Center</t>
  </si>
  <si>
    <t>ae7yf6GzRsl</t>
  </si>
  <si>
    <t>Gugugu Health Post</t>
  </si>
  <si>
    <t>KJxONI8lfvO</t>
  </si>
  <si>
    <t>Gwagwa Primary Health Center</t>
  </si>
  <si>
    <t>ZVyH4YGTvGM</t>
  </si>
  <si>
    <t>Gwarimpa General Hospital</t>
  </si>
  <si>
    <t>xiXIP4UV1BR</t>
  </si>
  <si>
    <t>Hi-Fi Hospital</t>
  </si>
  <si>
    <t>lwuFhtAhFbk</t>
  </si>
  <si>
    <t>Holy Trinity Hospital</t>
  </si>
  <si>
    <t>dbvubsqBrWd</t>
  </si>
  <si>
    <t>Iddo Pada Primary Health Center</t>
  </si>
  <si>
    <t>WYI87feZ4qB</t>
  </si>
  <si>
    <t>Idu Karimo Primary Health Center</t>
  </si>
  <si>
    <t>rdDoegrEtum</t>
  </si>
  <si>
    <t>Jahi Primary Health Center</t>
  </si>
  <si>
    <t>k1b8RGXowza</t>
  </si>
  <si>
    <t>Jikwoyi Medical Center</t>
  </si>
  <si>
    <t>w5ZwJg0X5D4</t>
  </si>
  <si>
    <t>Jikwoyi Primary Health Center</t>
  </si>
  <si>
    <t>Jvd5y9U8yMI</t>
  </si>
  <si>
    <t>Jiwa Primary Health Center</t>
  </si>
  <si>
    <t>JVEcArvuL4Z</t>
  </si>
  <si>
    <t>Kabusa Primary Health Center</t>
  </si>
  <si>
    <t>GUXd34TURNZ</t>
  </si>
  <si>
    <t>Kagini Primary Health Center</t>
  </si>
  <si>
    <t>wF0endAxIJX</t>
  </si>
  <si>
    <t>Karshi General Hospital</t>
  </si>
  <si>
    <t>r2S8m4Z1g4A</t>
  </si>
  <si>
    <t>Karshi Primary Health Center</t>
  </si>
  <si>
    <t>SpSTJ4KRVyh</t>
  </si>
  <si>
    <t>Karu Primary Health Center</t>
  </si>
  <si>
    <t>PbRh5MSdqkf</t>
  </si>
  <si>
    <t>Kefat Medical Center</t>
  </si>
  <si>
    <t>fUJJDkPva9X</t>
  </si>
  <si>
    <t>King's Care Hospital</t>
  </si>
  <si>
    <t>wTmsnc4kenf</t>
  </si>
  <si>
    <t>Kpaduma Primary Health Center</t>
  </si>
  <si>
    <t>qXmgK5m4VaX</t>
  </si>
  <si>
    <t>Kuchingoro Primary Health Center</t>
  </si>
  <si>
    <t>JI8s1z5gpoc</t>
  </si>
  <si>
    <t>Kurudu Primary Health Center</t>
  </si>
  <si>
    <t>TkzDfwZL3qF</t>
  </si>
  <si>
    <t>Louis Pasteur Hospital</t>
  </si>
  <si>
    <t>gJDHs8tNdnE</t>
  </si>
  <si>
    <t>Lugbe Maternity and Hospital</t>
  </si>
  <si>
    <t>V3cnerP32o7</t>
  </si>
  <si>
    <t>Lugbe Primary Health Center</t>
  </si>
  <si>
    <t>E82uS1Gnznn</t>
  </si>
  <si>
    <t>Mabushi Primary Health Center</t>
  </si>
  <si>
    <t>G91WOGelwHd</t>
  </si>
  <si>
    <t>Maitama General Hospital</t>
  </si>
  <si>
    <t>TJ3gInbwDXs</t>
  </si>
  <si>
    <t>Massan Clinic Limited</t>
  </si>
  <si>
    <t>gLfqoHRtXMC</t>
  </si>
  <si>
    <t>Medimore Hospital</t>
  </si>
  <si>
    <t>Z4XqgnKjhg6</t>
  </si>
  <si>
    <t>Midland Clinic</t>
  </si>
  <si>
    <t>rMMAz8BJpYn</t>
  </si>
  <si>
    <t>Mpape Primary Health Center</t>
  </si>
  <si>
    <t>Gq6VRX4SDTV</t>
  </si>
  <si>
    <t>National Hospital - Abuja</t>
  </si>
  <si>
    <t>meYf9FxUI4c</t>
  </si>
  <si>
    <t>National Institute For Pharmaceutical Research - Idu</t>
  </si>
  <si>
    <t>IGd2xA1uWF9</t>
  </si>
  <si>
    <t>Neumed Hospital</t>
  </si>
  <si>
    <t>Dyrg5CoNurM</t>
  </si>
  <si>
    <t>Northland Medical Center</t>
  </si>
  <si>
    <t>vQw04A24H0T</t>
  </si>
  <si>
    <t>Nyanya General Hospital</t>
  </si>
  <si>
    <t>vdQKOn1w8Ql</t>
  </si>
  <si>
    <t>Our Lady's Clinic and Maternity</t>
  </si>
  <si>
    <t>yPCziAkwkzg</t>
  </si>
  <si>
    <t>Paafag Hospital</t>
  </si>
  <si>
    <t>oLmSzAUmcRy</t>
  </si>
  <si>
    <t>Pan-Raf Hospital</t>
  </si>
  <si>
    <t>RJQw1UeNELQ</t>
  </si>
  <si>
    <t>Peace Care Clinic</t>
  </si>
  <si>
    <t>v6UOq4tLCsj</t>
  </si>
  <si>
    <t>Pigba Medical Center</t>
  </si>
  <si>
    <t>lTyNAjkImn8</t>
  </si>
  <si>
    <t>Police Clinic - Abuja</t>
  </si>
  <si>
    <t>MYIbzpMWd8N</t>
  </si>
  <si>
    <t>Precious Clinic and Maternity</t>
  </si>
  <si>
    <t>SpJT9yC6Mso</t>
  </si>
  <si>
    <t>Prime Care Hospital</t>
  </si>
  <si>
    <t>CACn4oMcaDB</t>
  </si>
  <si>
    <t>Queens Clinic And Maternity</t>
  </si>
  <si>
    <t>gPzTgphPpvP</t>
  </si>
  <si>
    <t>Rapha Hospital</t>
  </si>
  <si>
    <t>K4SJ3bYXMq8</t>
  </si>
  <si>
    <t>Rouz Hospital and Maternity</t>
  </si>
  <si>
    <t>Ghm98QaBy8V</t>
  </si>
  <si>
    <t>Royal Specialist Hospital</t>
  </si>
  <si>
    <t>SrXa2CfiKUW</t>
  </si>
  <si>
    <t>Ruz Medical and Diagnostic Centre</t>
  </si>
  <si>
    <t>kRQE3PKNMcY</t>
  </si>
  <si>
    <t>Saffron Hospital</t>
  </si>
  <si>
    <t>HVyvyE3c0Yf</t>
  </si>
  <si>
    <t>Sauki Private Hospital</t>
  </si>
  <si>
    <t>uZx47qT9QYw</t>
  </si>
  <si>
    <t>Shereti Primary Health Center</t>
  </si>
  <si>
    <t>no5jUGnd1ZR</t>
  </si>
  <si>
    <t>Standard Care Hospital</t>
  </si>
  <si>
    <t>zTOPNsW4lUA</t>
  </si>
  <si>
    <t>The Crown Hospital</t>
  </si>
  <si>
    <t>p7SR54qwbtD</t>
  </si>
  <si>
    <t>Tolbert Specialist Hospital</t>
  </si>
  <si>
    <t>HWdlzBDQFPb</t>
  </si>
  <si>
    <t>Tungan Madaki Primary Health Center</t>
  </si>
  <si>
    <t>ftFlav8W7xa</t>
  </si>
  <si>
    <t>Una Clinic</t>
  </si>
  <si>
    <t>tbaFtFctcb8</t>
  </si>
  <si>
    <t>Yabisam Hospital</t>
  </si>
  <si>
    <t>rIR1wprAE7M</t>
  </si>
  <si>
    <t>Zamman Medical Center</t>
  </si>
  <si>
    <t>Cus2zgVLYzI</t>
  </si>
  <si>
    <t>Zenith Medical Center</t>
  </si>
  <si>
    <t>F3mjSRmDdCj</t>
  </si>
  <si>
    <t>Zitadel Hospital</t>
  </si>
  <si>
    <t>y6HYnDXF6Uv</t>
  </si>
  <si>
    <t>Apex Specialist Hospital</t>
  </si>
  <si>
    <t>V6JGUZovtyk</t>
  </si>
  <si>
    <t>Bwari General Hospital</t>
  </si>
  <si>
    <t>KA9udHas5Nt</t>
  </si>
  <si>
    <t>Bwari Medical Center</t>
  </si>
  <si>
    <t>THd4hJ2BfQy</t>
  </si>
  <si>
    <t>Chitzere Maternity Home</t>
  </si>
  <si>
    <t>o9te66bbXbK</t>
  </si>
  <si>
    <t>Dakwa Primary Health Center</t>
  </si>
  <si>
    <t>buaTywWyRiB</t>
  </si>
  <si>
    <t>Dei Dei Comprehensive Health Center</t>
  </si>
  <si>
    <t>gCq0WqCmVqi</t>
  </si>
  <si>
    <t>Divine Winners Clinic And Maternity</t>
  </si>
  <si>
    <t>MTrVJduShZG</t>
  </si>
  <si>
    <t>Dominion Hospital</t>
  </si>
  <si>
    <t>OJgWGZkJlTc</t>
  </si>
  <si>
    <t>Durumi Primary Health Center</t>
  </si>
  <si>
    <t>L5zpxfg6nMU</t>
  </si>
  <si>
    <t>Excellence and Friends Management Consult (EFMC) Care Center (Modern Health Hospital)</t>
  </si>
  <si>
    <t>xKvwaYWM2BS</t>
  </si>
  <si>
    <t>Express Hospital</t>
  </si>
  <si>
    <t>SMNPrXL30v4</t>
  </si>
  <si>
    <t>Fill Medical Center</t>
  </si>
  <si>
    <t>RI2jHNRJMdn</t>
  </si>
  <si>
    <t>Gaba Primary Health Centre</t>
  </si>
  <si>
    <t>TINp36unhBr</t>
  </si>
  <si>
    <t>Gabic Divine Clinic and Maternity</t>
  </si>
  <si>
    <t>z3lEh9ayyzV</t>
  </si>
  <si>
    <t>Galuwyi Primary Health Centre</t>
  </si>
  <si>
    <t>z0yEj4D2xQT</t>
  </si>
  <si>
    <t>Goodness Land Clinic and Maternity</t>
  </si>
  <si>
    <t>UkHphkpqSKb</t>
  </si>
  <si>
    <t>Gudupe Primary Health Centre</t>
  </si>
  <si>
    <t>cV0VRbzrAdu</t>
  </si>
  <si>
    <t>Kogo Primary Health Center</t>
  </si>
  <si>
    <t>cKDxPChHFCF</t>
  </si>
  <si>
    <t>Kubwa General Hospital</t>
  </si>
  <si>
    <t>x9IejBPCQVb</t>
  </si>
  <si>
    <t>Kubwa Muslim Community Hospital</t>
  </si>
  <si>
    <t>WElCAu2HpVu</t>
  </si>
  <si>
    <t>Kuchibuyi Primary Health Center</t>
  </si>
  <si>
    <t>MjPJsyoDyUI</t>
  </si>
  <si>
    <t>Kuduru Primary Health Center</t>
  </si>
  <si>
    <t>GXIQ6xT9o8T</t>
  </si>
  <si>
    <t>Kurumin Daudu Primary Health Center</t>
  </si>
  <si>
    <t>iyY0Sl8NVcf</t>
  </si>
  <si>
    <t>Kute Primary Health Center</t>
  </si>
  <si>
    <t>xj1ZMJSBCgs</t>
  </si>
  <si>
    <t>Lamina Hospital</t>
  </si>
  <si>
    <t>nerKrdWVlFY</t>
  </si>
  <si>
    <t>Laura Hospital and Maternity</t>
  </si>
  <si>
    <t>JORcUr1vjZ2</t>
  </si>
  <si>
    <t>Lower Usman Dam Primary Health Center</t>
  </si>
  <si>
    <t>R7tewKvLsHH</t>
  </si>
  <si>
    <t>Lurcia Well Hospital Limited</t>
  </si>
  <si>
    <t>aTyozPo1kwD</t>
  </si>
  <si>
    <t>M-Dali Hospital</t>
  </si>
  <si>
    <t>bnUu3uUtKQ2</t>
  </si>
  <si>
    <t>Miracle Seed Clinic And Maternity</t>
  </si>
  <si>
    <t>bVBWYm62p9C</t>
  </si>
  <si>
    <t>Omega Hospital</t>
  </si>
  <si>
    <t>Rg6WyccbM1f</t>
  </si>
  <si>
    <t>Padan Igwari Health Post</t>
  </si>
  <si>
    <t>X1qW7rDQQi4</t>
  </si>
  <si>
    <t>Pananuke Health Post</t>
  </si>
  <si>
    <t>cKMCUCzug0v</t>
  </si>
  <si>
    <t>Piko Primary Health Center</t>
  </si>
  <si>
    <t>cPMW89k4pm3</t>
  </si>
  <si>
    <t>Sabon Gari Primary Health Center</t>
  </si>
  <si>
    <t>IJ5PG1Bw2VW</t>
  </si>
  <si>
    <t>Salihu'o Memoral Clinic and Maternity</t>
  </si>
  <si>
    <t>ZbLJDFZRfQW</t>
  </si>
  <si>
    <t>Shere Primary Health Center</t>
  </si>
  <si>
    <t>nbtCj3RMtzw</t>
  </si>
  <si>
    <t>Sumit Hospital</t>
  </si>
  <si>
    <t>Z8B1VX79MbC</t>
  </si>
  <si>
    <t>Sumpe Health Post</t>
  </si>
  <si>
    <t>YvwO8wMppCF</t>
  </si>
  <si>
    <t>Tokulo Primary Health Center</t>
  </si>
  <si>
    <t>xkztr4vzUBD</t>
  </si>
  <si>
    <t>Tunganbijimi Primary Health Center</t>
  </si>
  <si>
    <t>CML4M8t2cco</t>
  </si>
  <si>
    <t>Unity Clinic and Maternity</t>
  </si>
  <si>
    <t>z5gQ18jlgj5</t>
  </si>
  <si>
    <t>Viva Hospital</t>
  </si>
  <si>
    <t>RH2hXXYLm3t</t>
  </si>
  <si>
    <t>Yaupe Health Post</t>
  </si>
  <si>
    <t>YMDtcfAHWOW</t>
  </si>
  <si>
    <t>Zhigakuchi Primary Health Center</t>
  </si>
  <si>
    <t>HVbsitbHef7</t>
  </si>
  <si>
    <t>Zhiko Primary Health Center</t>
  </si>
  <si>
    <t>B2dcelV1Rbo</t>
  </si>
  <si>
    <t>Dagiri Primary Health Center</t>
  </si>
  <si>
    <t>WRIX0OX3q6e</t>
  </si>
  <si>
    <t>Gwagwalada Township Clinic</t>
  </si>
  <si>
    <t>ZkdXdTHpcXN</t>
  </si>
  <si>
    <t>University Of Abuja Teaching Hospital - Gwagwalda</t>
  </si>
  <si>
    <t>GW1w1chZMPR</t>
  </si>
  <si>
    <t>Viewpoint Hospital</t>
  </si>
  <si>
    <t>sEhnC9NtLZX</t>
  </si>
  <si>
    <t>Yimi Primary Health Center</t>
  </si>
  <si>
    <t>Vje0kITuxn5</t>
  </si>
  <si>
    <t>Zuba Primary Health Center</t>
  </si>
  <si>
    <t>rgzdfVQ9AK2</t>
  </si>
  <si>
    <t>Rubochi General Hospital</t>
  </si>
  <si>
    <t>jmPyqle03FT</t>
  </si>
  <si>
    <t>Sabo Primary Health Care</t>
  </si>
  <si>
    <t>H0zE11DWLyo</t>
  </si>
  <si>
    <t>National Tuberculosis And Leprosy Training Center - Zaria</t>
  </si>
  <si>
    <t>lLdc7dRUqzs</t>
  </si>
  <si>
    <t>Ahmadiyya Muslim Hospital</t>
  </si>
  <si>
    <t>ti735gO0Yhm</t>
  </si>
  <si>
    <t>Evangelical Church of West Africa (ECWA) Clinic and Maternity</t>
  </si>
  <si>
    <t>zcSL0a1oPEw</t>
  </si>
  <si>
    <t>Aminu Kano Teaching Hospital - Kano</t>
  </si>
  <si>
    <t>E5jz9JxYBuv</t>
  </si>
  <si>
    <t>Tudun Wada General Hospital</t>
  </si>
  <si>
    <t>jr0U0XTwpCo</t>
  </si>
  <si>
    <t>Mariya Sanusi Primary Health Care</t>
  </si>
  <si>
    <t>PDVQpUxTXWh</t>
  </si>
  <si>
    <t>Waziri Shehu Gidado Hospital</t>
  </si>
  <si>
    <t>tZy8wIM53xT</t>
  </si>
  <si>
    <t>Funtua General Hospital</t>
  </si>
  <si>
    <t>yutnuUG0Y6L</t>
  </si>
  <si>
    <t>Kankia General Hospital</t>
  </si>
  <si>
    <t>kW2bdDgnnuB</t>
  </si>
  <si>
    <t>Federal Medical Center - Katsina</t>
  </si>
  <si>
    <t>E91YP7z3knH</t>
  </si>
  <si>
    <t>Katsina General Hospital</t>
  </si>
  <si>
    <t>fuKySzRNkla</t>
  </si>
  <si>
    <t>Agyema Primary Health Center</t>
  </si>
  <si>
    <t>vYYI1uFpY7L</t>
  </si>
  <si>
    <t>Alagye Primary Health Center</t>
  </si>
  <si>
    <t>DbI2S56BNj3</t>
  </si>
  <si>
    <t>Angbashi Primary Health Center</t>
  </si>
  <si>
    <t>SXPKvnIVVAx</t>
  </si>
  <si>
    <t>Arumangye Bosco Primary Health Center</t>
  </si>
  <si>
    <t>A0ta1i6orqf</t>
  </si>
  <si>
    <t>Burum-Burum Primary Health Center</t>
  </si>
  <si>
    <t>f9EYpOJXnW2</t>
  </si>
  <si>
    <t>Doma General Hospital</t>
  </si>
  <si>
    <t>deV3U03tS8F</t>
  </si>
  <si>
    <t>Doma Primary Health Center</t>
  </si>
  <si>
    <t>xEytSJqElVY</t>
  </si>
  <si>
    <t>Effugobrinbo Model Primary Health Center</t>
  </si>
  <si>
    <t>p7HvPJCASMX</t>
  </si>
  <si>
    <t>Gaskiya Clinic</t>
  </si>
  <si>
    <t>L1rx0pfeizq</t>
  </si>
  <si>
    <t>Idadu Primary Health Center</t>
  </si>
  <si>
    <t>YVk6aoeOl9Z</t>
  </si>
  <si>
    <t>Igbabo Primary Health Center</t>
  </si>
  <si>
    <t>I4SR0c59bRn</t>
  </si>
  <si>
    <t>New Era Clinic</t>
  </si>
  <si>
    <t>FzWsHN37gF0</t>
  </si>
  <si>
    <t>Okpatte Primary Health Center</t>
  </si>
  <si>
    <t>tIs747BlDIu</t>
  </si>
  <si>
    <t>Ondori Primary Health Care Clinic</t>
  </si>
  <si>
    <t>mkGCe2FKpYh</t>
  </si>
  <si>
    <t>Owusoweshi Clinic</t>
  </si>
  <si>
    <t>ftV07Di8rya</t>
  </si>
  <si>
    <t>Rukubi Primary Health Center</t>
  </si>
  <si>
    <t>tA9VHG3QhOC</t>
  </si>
  <si>
    <t>Sabo Clinic</t>
  </si>
  <si>
    <t>PRRdNaG3twk</t>
  </si>
  <si>
    <t>Shalom Clinic</t>
  </si>
  <si>
    <t>GdAqcY5seM7</t>
  </si>
  <si>
    <t>Taimako Clinic and Maternity</t>
  </si>
  <si>
    <t>NWioneeOdhI</t>
  </si>
  <si>
    <t>Yelwa Primary Health Center (Doma)</t>
  </si>
  <si>
    <t>T1PoXgIcBhr</t>
  </si>
  <si>
    <t>Al-Kawari Hospital</t>
  </si>
  <si>
    <t>jjkqoPCkILw</t>
  </si>
  <si>
    <t>Alheri Clinic and Maternity</t>
  </si>
  <si>
    <t>HTjveh0VnKk</t>
  </si>
  <si>
    <t>Alheri Clinic and Maternity_U Turn (Karu)</t>
  </si>
  <si>
    <t>p1jsPOYBrXI</t>
  </si>
  <si>
    <t>Anointed Clinic</t>
  </si>
  <si>
    <t>bdhQrIQTyXm</t>
  </si>
  <si>
    <t>Aso Panda Primary Health Care Center</t>
  </si>
  <si>
    <t>FY9Jon1iRLU</t>
  </si>
  <si>
    <t>Auta Primary Health Center</t>
  </si>
  <si>
    <t>IAIrKgIdFUg</t>
  </si>
  <si>
    <t>Best Clinic</t>
  </si>
  <si>
    <t>EbXYU9tNm8T</t>
  </si>
  <si>
    <t>City International</t>
  </si>
  <si>
    <t>xsnHNSzyIdt</t>
  </si>
  <si>
    <t>Destiny Clinic and Maternity</t>
  </si>
  <si>
    <t>ksvfD19Wuy4</t>
  </si>
  <si>
    <t>Edabta Hospital</t>
  </si>
  <si>
    <t>WwAqdosxvCi</t>
  </si>
  <si>
    <t>Edither Choice Hospital</t>
  </si>
  <si>
    <t>LNSwvNgnYrw</t>
  </si>
  <si>
    <t>Emotan Clinic and Maternity</t>
  </si>
  <si>
    <t>Ng65MeqFCQY</t>
  </si>
  <si>
    <t>Ettal Clinic and Maternity</t>
  </si>
  <si>
    <t>fsZEZzxlYeV</t>
  </si>
  <si>
    <t>Fountainhead Hospital</t>
  </si>
  <si>
    <t>SQSNm138Z8x</t>
  </si>
  <si>
    <t>Gidan Zakara Primary Health Center</t>
  </si>
  <si>
    <t>fpOBJBEXXGy</t>
  </si>
  <si>
    <t>Gitata Primary Health Center</t>
  </si>
  <si>
    <t>YmOky8alW1d</t>
  </si>
  <si>
    <t>Gora Primary Health Center</t>
  </si>
  <si>
    <t>MzCytx8YIJR</t>
  </si>
  <si>
    <t>Gunduma Primary Health Center</t>
  </si>
  <si>
    <t>kef3pIqRSsN</t>
  </si>
  <si>
    <t>Gurku II Primary Health center</t>
  </si>
  <si>
    <t>mOAoabEBP7p</t>
  </si>
  <si>
    <t>Jankanwa Primary Health Center</t>
  </si>
  <si>
    <t>HaeGk76xBrx</t>
  </si>
  <si>
    <t>K-Health (Adult Adolescent Program)</t>
  </si>
  <si>
    <t>fg7rWUILcLg</t>
  </si>
  <si>
    <t>Kabusu Primary Health center</t>
  </si>
  <si>
    <t>G6BFvIFNBrL</t>
  </si>
  <si>
    <t>D6EFI1Z7tKO</t>
  </si>
  <si>
    <t>sB8cWMd8QyO</t>
  </si>
  <si>
    <t>Kingscare Hospital</t>
  </si>
  <si>
    <t>hDgdb8vCEOa</t>
  </si>
  <si>
    <t>Kpamu Shammah Hospital</t>
  </si>
  <si>
    <t>fqtnTvp5Lds</t>
  </si>
  <si>
    <t>Livia Shammah Hospitals Limited</t>
  </si>
  <si>
    <t>BYGELKB46hM</t>
  </si>
  <si>
    <t>Luvu Madaki Clinic</t>
  </si>
  <si>
    <t>KVQFD5ZXXPE</t>
  </si>
  <si>
    <t>Maraba Clinic and Maternity</t>
  </si>
  <si>
    <t>Hrnl2dZ0ymS</t>
  </si>
  <si>
    <t>Maraba Gurku Primary Health Center</t>
  </si>
  <si>
    <t>ijx91LFbWMZ</t>
  </si>
  <si>
    <t>Maranatha Hospital- Karu</t>
  </si>
  <si>
    <t>ihhL2FzZvAr</t>
  </si>
  <si>
    <t>Mararaba Charity Hospital</t>
  </si>
  <si>
    <t>DgJ9ldI9D31</t>
  </si>
  <si>
    <t>Mararaba Guruku Medical Center</t>
  </si>
  <si>
    <t>tyyZQSN5D4p</t>
  </si>
  <si>
    <t>Masaka Primary Health Care</t>
  </si>
  <si>
    <t>zEA6UJ3Z2Dg</t>
  </si>
  <si>
    <t>Mayday Specialist Hospital and Maternity</t>
  </si>
  <si>
    <t>cHhkQZN15Cx</t>
  </si>
  <si>
    <t>Nakowa Clinic</t>
  </si>
  <si>
    <t>D1T4Yg07e0C</t>
  </si>
  <si>
    <t>Nisi Hospital</t>
  </si>
  <si>
    <t>MYgtY8vQtdn</t>
  </si>
  <si>
    <t>Nyanya Gbagi Primary Health Care Center</t>
  </si>
  <si>
    <t>J5bNl9I7Zao</t>
  </si>
  <si>
    <t>Ojone Favour</t>
  </si>
  <si>
    <t>Bm1SmqJLceB</t>
  </si>
  <si>
    <t>Pijag Maternity Home</t>
  </si>
  <si>
    <t>ql5itoWziK0</t>
  </si>
  <si>
    <t>Raah Hospitals</t>
  </si>
  <si>
    <t>jpJp7028wPe</t>
  </si>
  <si>
    <t>Rafin Kwara Primary Health Care</t>
  </si>
  <si>
    <t>lPVMyTCU5Yy</t>
  </si>
  <si>
    <t>Ruga Juli Primary Health Center</t>
  </si>
  <si>
    <t>StYXuxPkRmu</t>
  </si>
  <si>
    <t>Ok0YiBrV8xg</t>
  </si>
  <si>
    <t>Tatara Primary Health Center</t>
  </si>
  <si>
    <t>FBBTY7S1T4S</t>
  </si>
  <si>
    <t>Uke General Hospital</t>
  </si>
  <si>
    <t>DwZJjC3rfCJ</t>
  </si>
  <si>
    <t>Kadarko National Primary Health Care - Giza Development Area</t>
  </si>
  <si>
    <t>JWxRzMCgQo6</t>
  </si>
  <si>
    <t>Anguwan Waje Primary Health Care</t>
  </si>
  <si>
    <t>StdZqGX4NXD</t>
  </si>
  <si>
    <t>Blessed Trinity Clinic</t>
  </si>
  <si>
    <t>SxrK0VVE7V2</t>
  </si>
  <si>
    <t>Federal Medical Center - Keffi</t>
  </si>
  <si>
    <t>Ro8QYYh2EVH</t>
  </si>
  <si>
    <t>Keffi General Hospital</t>
  </si>
  <si>
    <t>P57IvbVY9gk</t>
  </si>
  <si>
    <t>Garaku General Hospital</t>
  </si>
  <si>
    <t>AARV8rqn3By</t>
  </si>
  <si>
    <t>Aboki Clinic</t>
  </si>
  <si>
    <t>qkyUy0iQUIT</t>
  </si>
  <si>
    <t>Adogi Primary Health Care</t>
  </si>
  <si>
    <t>yC86zV8BNHN</t>
  </si>
  <si>
    <t>Agu Hospital</t>
  </si>
  <si>
    <t>hFhGouLz8Ub</t>
  </si>
  <si>
    <t>Agudu Primary Health center</t>
  </si>
  <si>
    <t>vmFu5pzEpEb</t>
  </si>
  <si>
    <t>Angbas Clinic</t>
  </si>
  <si>
    <t>wVJN0Nim3QB</t>
  </si>
  <si>
    <t>Assakio Primary Health Center</t>
  </si>
  <si>
    <t>BjlE93CNlhG</t>
  </si>
  <si>
    <t>Azuba Bashayi Primary Health Center</t>
  </si>
  <si>
    <t>CW3pQyyW4mc</t>
  </si>
  <si>
    <t>Bakin Rijiya Primary Health Center</t>
  </si>
  <si>
    <t>Jr325OdUjYX</t>
  </si>
  <si>
    <t>Barkin Abdullahi Primary Health Center</t>
  </si>
  <si>
    <t>LpwpgWBHZR0</t>
  </si>
  <si>
    <t>Dalhatu Araf Specialist Hospital</t>
  </si>
  <si>
    <t>AlHWYsy5u3m</t>
  </si>
  <si>
    <t>Doma Road Primary Health Care Center</t>
  </si>
  <si>
    <t>qsS9YwrZSND</t>
  </si>
  <si>
    <t>Fadama North Primary Health center</t>
  </si>
  <si>
    <t>eQRGVlBfDWl</t>
  </si>
  <si>
    <t>Fadama South Primary Health Care Center</t>
  </si>
  <si>
    <t>XjiIk618XYq</t>
  </si>
  <si>
    <t>Gidan Buba Primary Health Care Center</t>
  </si>
  <si>
    <t>bAmNuqe1QtM</t>
  </si>
  <si>
    <t>Gidan Maiakuya Primary Health Center</t>
  </si>
  <si>
    <t>sPTIU3vUEd6</t>
  </si>
  <si>
    <t>Gosha Clinic And Maternity</t>
  </si>
  <si>
    <t>WSMZ2SYgAFZ</t>
  </si>
  <si>
    <t>Hawawu Clinic and Maternity</t>
  </si>
  <si>
    <t>aiBbdqAhvp9</t>
  </si>
  <si>
    <t>Hiltop Hospital</t>
  </si>
  <si>
    <t>Wd5UZeOOfHJ</t>
  </si>
  <si>
    <t>Immanuela Clinic</t>
  </si>
  <si>
    <t>yV92ImlsrjD</t>
  </si>
  <si>
    <t>Kowa Hospital</t>
  </si>
  <si>
    <t>O0CNsUlE8C0</t>
  </si>
  <si>
    <t>Kwandere Primary Health Center</t>
  </si>
  <si>
    <t>ru4E5BfLsib</t>
  </si>
  <si>
    <t>Lafia Clinic</t>
  </si>
  <si>
    <t>MXAJ9B6wUxm</t>
  </si>
  <si>
    <t>M&amp;D Hospital</t>
  </si>
  <si>
    <t>RK50nYp7Rum</t>
  </si>
  <si>
    <t>Mararaba Akunza Primary Health Center</t>
  </si>
  <si>
    <t>NvU04S14ZHq</t>
  </si>
  <si>
    <t>Namu Clinic</t>
  </si>
  <si>
    <t>MqsGY8t2wzm</t>
  </si>
  <si>
    <t>New Market Road Primary Health Center</t>
  </si>
  <si>
    <t>P9buaLoYfV6</t>
  </si>
  <si>
    <t>Nyekasi Nursing Home</t>
  </si>
  <si>
    <t>GdW7CTTp0jO</t>
  </si>
  <si>
    <t>Olivet Medical Center</t>
  </si>
  <si>
    <t>eiqXUByOSID</t>
  </si>
  <si>
    <t>Oshyegba Medical Center</t>
  </si>
  <si>
    <t>faDHc74njXW</t>
  </si>
  <si>
    <t>Polytechnic Clinic</t>
  </si>
  <si>
    <t>dV0bMslUZ3p</t>
  </si>
  <si>
    <t>Sabon Gida Primary Health Care - Shendam Road</t>
  </si>
  <si>
    <t>NcR8qdoxBKB</t>
  </si>
  <si>
    <t>Sadanji Medical Center</t>
  </si>
  <si>
    <t>KBrRnwCYJdj</t>
  </si>
  <si>
    <t>Sauki Hospital</t>
  </si>
  <si>
    <t>klhrcE8J7I9</t>
  </si>
  <si>
    <t>Shabu Model Comprehensive Center</t>
  </si>
  <si>
    <t>ZBFgkyECWkA</t>
  </si>
  <si>
    <t>The Chrane Hospital</t>
  </si>
  <si>
    <t>Q91KTmTDhIb</t>
  </si>
  <si>
    <t>Tudun Gwandara Primary Health Center</t>
  </si>
  <si>
    <t>I5uopLtCGdv</t>
  </si>
  <si>
    <t>Ugah Primary Health Center</t>
  </si>
  <si>
    <t>IQwzzopyDHX</t>
  </si>
  <si>
    <t>Voice of Islam Hospital</t>
  </si>
  <si>
    <t>Izlht3DoxfC</t>
  </si>
  <si>
    <t>Wadata Primary Health center</t>
  </si>
  <si>
    <t>VQNCQLUsMpe</t>
  </si>
  <si>
    <t>Adonai Hospital</t>
  </si>
  <si>
    <t>IMGvQmgPyOM</t>
  </si>
  <si>
    <t>Agam Primary Health Care Center</t>
  </si>
  <si>
    <t>i6QT1Yi33Yh</t>
  </si>
  <si>
    <t>Alpha Medical Center</t>
  </si>
  <si>
    <t>A80lDEx4cG1</t>
  </si>
  <si>
    <t>Alumbugu Memorial Clinic</t>
  </si>
  <si>
    <t>zq2YHeCpp3A</t>
  </si>
  <si>
    <t>Ara 2 Primary Health Center</t>
  </si>
  <si>
    <t>SXB1EwVEKff</t>
  </si>
  <si>
    <t>Bakono Primary Health Center</t>
  </si>
  <si>
    <t>d3SuyQOTOfB</t>
  </si>
  <si>
    <t>Butus Medical Center</t>
  </si>
  <si>
    <t>Jh6G1gqw42r</t>
  </si>
  <si>
    <t>Dehi Hospital and Maternity</t>
  </si>
  <si>
    <t>XtPxGDr4vLl</t>
  </si>
  <si>
    <t>Henad Medical Center</t>
  </si>
  <si>
    <t>phpPcHXgNFs</t>
  </si>
  <si>
    <t>Ittah Primary Health Care Center</t>
  </si>
  <si>
    <t>BGnDBDqfG3y</t>
  </si>
  <si>
    <t>Laminga Primary Health Center</t>
  </si>
  <si>
    <t>nBkgFP6ol6e</t>
  </si>
  <si>
    <t>Loko 2 Kekura Road Primary Health Care Center</t>
  </si>
  <si>
    <t>RbOZGOuyDlz</t>
  </si>
  <si>
    <t>Loko Primary Health Center</t>
  </si>
  <si>
    <t>D62rPjDOlCP</t>
  </si>
  <si>
    <t>Main Town Nasarawa Primary Health Care</t>
  </si>
  <si>
    <t>uIiPHxfusOL</t>
  </si>
  <si>
    <t>Mararaba Odege Primary Health Care Center</t>
  </si>
  <si>
    <t>EP1dUbwLtP4</t>
  </si>
  <si>
    <t>Marmara Primary Health Center</t>
  </si>
  <si>
    <t>a1NJaUQ6ydV</t>
  </si>
  <si>
    <t>Nasara Clinic, Ara</t>
  </si>
  <si>
    <t>x0fdu53uYLh</t>
  </si>
  <si>
    <t>Nasarawa Medical Center</t>
  </si>
  <si>
    <t>RTcFVqHfMZH</t>
  </si>
  <si>
    <t>Ogufa Primary Health Center</t>
  </si>
  <si>
    <t>BL8YleBQlYM</t>
  </si>
  <si>
    <t>Ogupa Primary Health Center</t>
  </si>
  <si>
    <t>o2GMPgAYM7e</t>
  </si>
  <si>
    <t>Onda Primary Health Care Center</t>
  </si>
  <si>
    <t>sZMuKpmkNqy</t>
  </si>
  <si>
    <t>Sagbagyi Primary Health Care Center</t>
  </si>
  <si>
    <t>nwL9M4VC8bE</t>
  </si>
  <si>
    <t>Tunga Primary Health Center</t>
  </si>
  <si>
    <t>VtGcbFFQpNX</t>
  </si>
  <si>
    <t>Useni Primary Health Care Center</t>
  </si>
  <si>
    <t>ZO1XV0pgzBm</t>
  </si>
  <si>
    <t>Usha Kado Primary Health Care Center</t>
  </si>
  <si>
    <t>Xmel7MquJuN</t>
  </si>
  <si>
    <t>Ushata Primary Health Center</t>
  </si>
  <si>
    <t>G2YpRPlADoe</t>
  </si>
  <si>
    <t>Zakun Bello Primary Health Center</t>
  </si>
  <si>
    <t>qUICdkv5GyA</t>
  </si>
  <si>
    <t>Dogye Private Clinic - Shuku</t>
  </si>
  <si>
    <t>ip51S0LAOIc</t>
  </si>
  <si>
    <t>Akaleku Primary Health Center</t>
  </si>
  <si>
    <t>YUygKF5FXVj</t>
  </si>
  <si>
    <t>Azomeh Clinic</t>
  </si>
  <si>
    <t>R43psgnri43</t>
  </si>
  <si>
    <t>Duduguru Primary Health Center</t>
  </si>
  <si>
    <t>GCcO69CpYwL</t>
  </si>
  <si>
    <t>Gidan Ausa 2 Primary Health Center</t>
  </si>
  <si>
    <t>oXD3VhttW9N</t>
  </si>
  <si>
    <t>Gwadenye Primary Health Center</t>
  </si>
  <si>
    <t>UsL1KSoB9rp</t>
  </si>
  <si>
    <t>Ikon Allah Iroh Hospital</t>
  </si>
  <si>
    <t>Ze1KoeUk22P</t>
  </si>
  <si>
    <t>Imani Clinic</t>
  </si>
  <si>
    <t>CpAIWDZlics</t>
  </si>
  <si>
    <t>Imon Primary Health Center</t>
  </si>
  <si>
    <t>djfbPI3n1OQ</t>
  </si>
  <si>
    <t>Kyakele Primary Health Center</t>
  </si>
  <si>
    <t>R9rQ6tffALE</t>
  </si>
  <si>
    <t>Mother and Child Welfare Clinic 1</t>
  </si>
  <si>
    <t>KrNjWYgoaIe</t>
  </si>
  <si>
    <t>Obi Primary Health Care Center - Agyragu</t>
  </si>
  <si>
    <t>kNVBrpSSarY</t>
  </si>
  <si>
    <t>Ome Primary Health Center</t>
  </si>
  <si>
    <t>THPqBF5gJq3</t>
  </si>
  <si>
    <t>Tudun Adabu Primary Health Center</t>
  </si>
  <si>
    <t>yBFTsDiVfQ4</t>
  </si>
  <si>
    <t>Katakpa Primary Health Center</t>
  </si>
  <si>
    <t>QFm0xFit39X</t>
  </si>
  <si>
    <t>Ukya Primary Health Center</t>
  </si>
  <si>
    <t>tIj8X5KcY1D</t>
  </si>
  <si>
    <t>Yelwa Primary Health Center</t>
  </si>
  <si>
    <t>GOjNa3mZAh9</t>
  </si>
  <si>
    <t>Sabo Primary Health Care Center</t>
  </si>
  <si>
    <t>zDMCQqdfBSs</t>
  </si>
  <si>
    <t>Federal Medical Center - Abeokuta</t>
  </si>
  <si>
    <t>cIelM4DwtGv</t>
  </si>
  <si>
    <t>Sacred Heart Catholic Hospital, Abeokuta</t>
  </si>
  <si>
    <t>DvOjpCpBtJj</t>
  </si>
  <si>
    <t>Ifo General Hospital</t>
  </si>
  <si>
    <t>CO28PVyyzuQ</t>
  </si>
  <si>
    <t>Olose Primary Health Center</t>
  </si>
  <si>
    <t>b1gbOD6Lw5A</t>
  </si>
  <si>
    <t>Ita-Alapo Primary Health Center</t>
  </si>
  <si>
    <t>tueCPc98YpF</t>
  </si>
  <si>
    <t>State Hospital - Ijebu Ode</t>
  </si>
  <si>
    <t>eg6CMvHMI9h</t>
  </si>
  <si>
    <t>Makun Primary Health Care</t>
  </si>
  <si>
    <t>d0enmAlNy7c</t>
  </si>
  <si>
    <t>Olabisi Onabanjo University Teaching Hospital</t>
  </si>
  <si>
    <t>KTVjcTH4JeG</t>
  </si>
  <si>
    <t>State Specialist Hospital - Ikare</t>
  </si>
  <si>
    <t>PVJ1iBCOkrp</t>
  </si>
  <si>
    <t>Iwaro-Oka General Hospital - Akoko</t>
  </si>
  <si>
    <t>zhu21WthI6C</t>
  </si>
  <si>
    <t>Arakale Comprehensive Health Center</t>
  </si>
  <si>
    <t>BobjH7xBdDI</t>
  </si>
  <si>
    <t>Oba-Ile Comprehensive Health Center</t>
  </si>
  <si>
    <t>wuh106bjAdL</t>
  </si>
  <si>
    <t>State Specialist Hospital - Akure</t>
  </si>
  <si>
    <t>yfLNltOE3ES</t>
  </si>
  <si>
    <t>Ore General Hospital</t>
  </si>
  <si>
    <t>SGlwI0BB3NM</t>
  </si>
  <si>
    <t>State Specialist Hospital - Ondo</t>
  </si>
  <si>
    <t>JKUabrYA2oL</t>
  </si>
  <si>
    <t>Federal Medical Center - Owo</t>
  </si>
  <si>
    <t>Lf5dipBTT0Z</t>
  </si>
  <si>
    <t>Ede Specialist Hospital</t>
  </si>
  <si>
    <t>qoiO0tapOKa</t>
  </si>
  <si>
    <t>Obafemi Awolowo University Teaching Hospital Complex</t>
  </si>
  <si>
    <t>u4jq9CmP9dk</t>
  </si>
  <si>
    <t>Seventh Day Adventist Hospital - Ile-Ife</t>
  </si>
  <si>
    <t>xGKk2hlvtUz</t>
  </si>
  <si>
    <t>Ila Orangun State Hospital</t>
  </si>
  <si>
    <t>hln2LIDV1Xl</t>
  </si>
  <si>
    <t>Obajoko Ila Primary Health Care</t>
  </si>
  <si>
    <t>U2KKudmpuCO</t>
  </si>
  <si>
    <t>Irojo Primary Health Center</t>
  </si>
  <si>
    <t>bB280BqYDAd</t>
  </si>
  <si>
    <t>Ikire Specialist Hospital</t>
  </si>
  <si>
    <t>gqn7FlDPWzJ</t>
  </si>
  <si>
    <t>Omoda Primary Health Care</t>
  </si>
  <si>
    <t>RtMSqsVqT2L</t>
  </si>
  <si>
    <t>State Hospital - Iwo</t>
  </si>
  <si>
    <t>RjMnBpvNTLM</t>
  </si>
  <si>
    <t>Ladoke Akintola Teaching Hospital - Oshogbo</t>
  </si>
  <si>
    <t>mgEojaVd0QS</t>
  </si>
  <si>
    <t>Dabibako Primary Health Center</t>
  </si>
  <si>
    <t>WXTrdUZkyke</t>
  </si>
  <si>
    <t>Kundu Primary Health Center</t>
  </si>
  <si>
    <t>OHu3MeJ3B6V</t>
  </si>
  <si>
    <t>Kwali General Hospital</t>
  </si>
  <si>
    <t>cp7lzrnlXEV</t>
  </si>
  <si>
    <t>Mai Kwari Primary Health Center</t>
  </si>
  <si>
    <t>rG51d4tulrT</t>
  </si>
  <si>
    <t>Pai Primary Health Center</t>
  </si>
  <si>
    <t>x4o2sPRYFUc</t>
  </si>
  <si>
    <t>Agyaga Primary Health Care Center</t>
  </si>
  <si>
    <t>uuaxZeTcd6q</t>
  </si>
  <si>
    <t>Akwanga General Hospital</t>
  </si>
  <si>
    <t>JSAYmpfl5jW</t>
  </si>
  <si>
    <t>Akwanga Primary Health Care Center</t>
  </si>
  <si>
    <t>Jj4IO088cM3</t>
  </si>
  <si>
    <t>Andaha Primary Health Care Center</t>
  </si>
  <si>
    <t>JqudjV9JqmP</t>
  </si>
  <si>
    <t>Angwan Jatau Primary Health Care Center</t>
  </si>
  <si>
    <t>io6LHdLaH4v</t>
  </si>
  <si>
    <t>Gudi Primary Health Care Center</t>
  </si>
  <si>
    <t>CfgHRysxMXP</t>
  </si>
  <si>
    <t>Moroa Primary Health Care Center</t>
  </si>
  <si>
    <t>Jr8X5lIzm3h</t>
  </si>
  <si>
    <t>Ninga Primary Health Care Center</t>
  </si>
  <si>
    <t>AS4Fo6AN4F1</t>
  </si>
  <si>
    <t>Nunku Primary Health Care Center</t>
  </si>
  <si>
    <t>R48oGDJNgnv</t>
  </si>
  <si>
    <t>Burumburum Primary Health Care Center</t>
  </si>
  <si>
    <t>FjtcTFHA0Ou</t>
  </si>
  <si>
    <t>Nasarawa Eggon General Hospital</t>
  </si>
  <si>
    <t>KMLMCZ5fC94</t>
  </si>
  <si>
    <t>Wowyen Primary Health Care Center</t>
  </si>
  <si>
    <t>EHgatkiTURs</t>
  </si>
  <si>
    <t>Arumchugbu Primary Health Care Center</t>
  </si>
  <si>
    <t>L7JDIgjJo7P</t>
  </si>
  <si>
    <t>Kwara Primary Health Care Center</t>
  </si>
  <si>
    <t>L9Nt5hHGFDe</t>
  </si>
  <si>
    <t>Mararaba Gongon Primary Health Center</t>
  </si>
  <si>
    <t>UBPvkBtKbgd</t>
  </si>
  <si>
    <t>Wamba General Hospital</t>
  </si>
  <si>
    <t>mfodk1V16v0</t>
  </si>
  <si>
    <t>Wamba Model Primary Health Center</t>
  </si>
  <si>
    <t>uD17LPdrAsp</t>
  </si>
  <si>
    <t>Wayo-Mati Primary Health Care Center</t>
  </si>
  <si>
    <t>bDPIWrfVX39</t>
  </si>
  <si>
    <t>Bankilong Primary Health Care Center</t>
  </si>
  <si>
    <t>PwjkeBtZz4Q</t>
  </si>
  <si>
    <t>Dengi General Hospital</t>
  </si>
  <si>
    <t>wZ4FJfYUSXp</t>
  </si>
  <si>
    <t>Gumsher Primary Health Care Center</t>
  </si>
  <si>
    <t>MRNcNOs1UT6</t>
  </si>
  <si>
    <t>Dawaki Primary Health Care Center</t>
  </si>
  <si>
    <t>OvInoMK6oef</t>
  </si>
  <si>
    <t>Kyankyang Primary Health Care Center</t>
  </si>
  <si>
    <t>eSv0mvAmyC2</t>
  </si>
  <si>
    <t>Mabudi Primary Health Care Center</t>
  </si>
  <si>
    <t>KSn1AS9deG0</t>
  </si>
  <si>
    <t>Wubang Primary Health Care Center</t>
  </si>
  <si>
    <t>zIBCQR2BIxA</t>
  </si>
  <si>
    <t>Garkawa II Primary Health Care Center</t>
  </si>
  <si>
    <t>zJjEv6wh2yR</t>
  </si>
  <si>
    <t>Tunkus General Hospital</t>
  </si>
  <si>
    <t>LAzfkJ5YZG1</t>
  </si>
</sst>
</file>

<file path=xl/styles.xml><?xml version="1.0" encoding="utf-8"?>
<styleSheet xmlns="http://schemas.openxmlformats.org/spreadsheetml/2006/main" xmlns:mc="http://schemas.openxmlformats.org/markup-compatibility/2006" xmlns:x14ac="http://schemas.microsoft.com/office/spreadsheetml/2009/9/ac" mc:Ignorable="x14ac">
  <numFmts count="1">
    <numFmt numFmtId="164" formatCode="0.0%"/>
  </numFmts>
  <fonts count="56">
    <font>
      <sz val="11"/>
      <color theme="1"/>
      <name val="Calibri"/>
      <family val="2"/>
      <scheme val="minor"/>
    </font>
    <font>
      <sz val="11"/>
      <color theme="1"/>
      <name val="Calibri"/>
      <family val="2"/>
      <scheme val="minor"/>
    </font>
    <font>
      <b/>
      <sz val="11"/>
      <color theme="1"/>
      <name val="Calibri"/>
      <family val="2"/>
      <scheme val="minor"/>
    </font>
    <font>
      <b/>
      <sz val="12"/>
      <color theme="1"/>
      <name val="Calibri"/>
      <family val="2"/>
      <scheme val="minor"/>
    </font>
    <font>
      <sz val="12"/>
      <color theme="1"/>
      <name val="Calibri"/>
      <family val="2"/>
      <scheme val="minor"/>
    </font>
    <font>
      <b/>
      <sz val="24"/>
      <color theme="1"/>
      <name val="Times New Roman"/>
      <family val="1"/>
    </font>
    <font>
      <b/>
      <sz val="18"/>
      <color theme="1"/>
      <name val="Times New Roman"/>
      <family val="1"/>
    </font>
    <font>
      <b/>
      <sz val="12"/>
      <color theme="1"/>
      <name val="Times New Roman"/>
      <family val="1"/>
    </font>
    <font>
      <sz val="18"/>
      <color theme="1"/>
      <name val="Times New Roman"/>
      <family val="1"/>
    </font>
    <font>
      <b/>
      <sz val="14"/>
      <color theme="1"/>
      <name val="Times New Roman"/>
      <family val="1"/>
    </font>
    <font>
      <b/>
      <sz val="22"/>
      <color theme="1"/>
      <name val="Times New Roman"/>
      <family val="1"/>
    </font>
    <font>
      <sz val="14"/>
      <color theme="1"/>
      <name val="Calibri"/>
      <family val="2"/>
      <scheme val="minor"/>
    </font>
    <font>
      <b/>
      <sz val="16"/>
      <color theme="1"/>
      <name val="Times New Roman"/>
      <family val="1"/>
    </font>
    <font>
      <sz val="17"/>
      <color theme="1"/>
      <name val="Times New Roman"/>
      <family val="1"/>
    </font>
    <font>
      <b/>
      <sz val="17"/>
      <color theme="1"/>
      <name val="Times New Roman"/>
      <family val="1"/>
    </font>
    <font>
      <sz val="16"/>
      <color theme="1"/>
      <name val="Times New Roman"/>
      <family val="1"/>
    </font>
    <font>
      <sz val="14"/>
      <color theme="1"/>
      <name val="Times New Roman"/>
      <family val="1"/>
    </font>
    <font>
      <b/>
      <i/>
      <sz val="14"/>
      <color theme="1"/>
      <name val="Times New Roman"/>
      <family val="1"/>
    </font>
    <font>
      <b/>
      <sz val="13"/>
      <color theme="1"/>
      <name val="Times New Roman"/>
      <family val="1"/>
    </font>
    <font>
      <sz val="12"/>
      <color theme="1"/>
      <name val="Times New Roman"/>
      <family val="1"/>
    </font>
    <font>
      <b/>
      <sz val="24"/>
      <color theme="1"/>
      <name val="Calibri"/>
      <family val="2"/>
      <scheme val="minor"/>
    </font>
    <font>
      <b/>
      <sz val="16"/>
      <color theme="1"/>
      <name val="Calibri"/>
      <family val="2"/>
      <scheme val="minor"/>
    </font>
    <font>
      <sz val="11"/>
      <color theme="1"/>
      <name val="Corbel"/>
      <family val="2"/>
    </font>
    <font>
      <b/>
      <sz val="12"/>
      <color theme="1"/>
      <name val="Corbel"/>
      <family val="2"/>
    </font>
    <font>
      <b/>
      <sz val="11"/>
      <color theme="1"/>
      <name val="Corbel"/>
      <family val="2"/>
    </font>
    <font>
      <b/>
      <sz val="16"/>
      <color theme="1"/>
      <name val="Corbel"/>
      <family val="2"/>
    </font>
    <font>
      <b/>
      <sz val="8"/>
      <color theme="1"/>
      <name val="Corbel"/>
      <family val="2"/>
    </font>
    <font>
      <b/>
      <sz val="14"/>
      <color theme="1"/>
      <name val="Corbel"/>
      <family val="2"/>
    </font>
    <font>
      <sz val="10"/>
      <name val="Arial"/>
      <family val="2"/>
    </font>
    <font>
      <b/>
      <sz val="12"/>
      <color rgb="FFC00000"/>
      <name val="Corbel"/>
      <family val="2"/>
    </font>
    <font>
      <b/>
      <sz val="11"/>
      <color rgb="FFC00000"/>
      <name val="Corbel"/>
      <family val="2"/>
    </font>
    <font>
      <sz val="11"/>
      <color theme="3" tint="0.79998168889431442"/>
      <name val="Calibri"/>
      <family val="2"/>
      <scheme val="minor"/>
    </font>
    <font>
      <sz val="11"/>
      <name val="Calibri"/>
      <family val="2"/>
      <scheme val="minor"/>
    </font>
    <font>
      <b/>
      <sz val="11"/>
      <name val="Calibri"/>
      <family val="2"/>
      <scheme val="minor"/>
    </font>
    <font>
      <b/>
      <sz val="14"/>
      <name val="Calibri"/>
      <family val="2"/>
      <scheme val="minor"/>
    </font>
    <font>
      <sz val="14"/>
      <color theme="3" tint="0.79998168889431442"/>
      <name val="Calibri"/>
      <family val="2"/>
      <scheme val="minor"/>
    </font>
    <font>
      <sz val="14"/>
      <name val="Calibri"/>
      <family val="2"/>
      <scheme val="minor"/>
    </font>
    <font>
      <sz val="11"/>
      <name val="Brush Script MT"/>
      <family val="4"/>
    </font>
    <font>
      <sz val="11"/>
      <color theme="1"/>
      <name val="Calibri Light"/>
      <family val="2"/>
      <scheme val="major"/>
    </font>
    <font>
      <b/>
      <sz val="11"/>
      <color theme="1"/>
      <name val="Calibri Light"/>
      <family val="2"/>
      <scheme val="major"/>
    </font>
    <font>
      <b/>
      <sz val="10"/>
      <name val="Calibri Light"/>
      <family val="2"/>
      <scheme val="major"/>
    </font>
    <font>
      <b/>
      <sz val="11"/>
      <name val="Calibri Light"/>
      <family val="2"/>
      <scheme val="major"/>
    </font>
    <font>
      <sz val="10"/>
      <color theme="1"/>
      <name val="Calibri Light"/>
      <family val="2"/>
      <scheme val="major"/>
    </font>
    <font>
      <b/>
      <sz val="10"/>
      <color theme="1"/>
      <name val="Calibri Light"/>
      <family val="2"/>
      <scheme val="major"/>
    </font>
    <font>
      <sz val="10"/>
      <name val="Calibri Light"/>
      <family val="2"/>
      <scheme val="major"/>
    </font>
    <font>
      <sz val="11"/>
      <name val="Calibri Light"/>
      <family val="2"/>
      <scheme val="major"/>
    </font>
    <font>
      <i/>
      <sz val="10"/>
      <color theme="1"/>
      <name val="Calibri Light"/>
      <family val="2"/>
      <scheme val="major"/>
    </font>
    <font>
      <b/>
      <sz val="22"/>
      <color theme="1"/>
      <name val="Corbel"/>
      <family val="2"/>
    </font>
    <font>
      <b/>
      <sz val="18"/>
      <color theme="1"/>
      <name val="Corbel"/>
      <family val="2"/>
    </font>
    <font>
      <sz val="14"/>
      <color theme="1"/>
      <name val="Corbel"/>
      <family val="2"/>
    </font>
    <font>
      <sz val="10"/>
      <color rgb="FF000000"/>
      <name val="Calibri Light"/>
      <family val="2"/>
      <scheme val="major"/>
    </font>
    <font>
      <i/>
      <sz val="11"/>
      <color theme="1"/>
      <name val="Calibri Light"/>
      <family val="2"/>
      <scheme val="major"/>
    </font>
    <font>
      <b/>
      <sz val="9"/>
      <color theme="1"/>
      <name val="Calibri Light"/>
      <family val="2"/>
      <scheme val="major"/>
    </font>
    <font>
      <b/>
      <sz val="11"/>
      <color theme="9" tint="0.79998168889431442"/>
      <name val="Calibri Light"/>
      <family val="2"/>
      <scheme val="major"/>
    </font>
    <font>
      <b/>
      <sz val="9"/>
      <color theme="9" tint="0.79998168889431442"/>
      <name val="Calibri Light"/>
      <family val="2"/>
      <scheme val="major"/>
    </font>
    <font>
      <b/>
      <sz val="11"/>
      <color rgb="FFFF0000"/>
      <name val="Calibri"/>
      <family val="2"/>
      <scheme val="minor"/>
    </font>
  </fonts>
  <fills count="20">
    <fill>
      <patternFill patternType="none"/>
    </fill>
    <fill>
      <patternFill patternType="gray125"/>
    </fill>
    <fill>
      <patternFill patternType="solid">
        <fgColor theme="9" tint="0.59999389629810485"/>
        <bgColor indexed="64"/>
      </patternFill>
    </fill>
    <fill>
      <patternFill patternType="solid">
        <fgColor rgb="FFFFFF00"/>
        <bgColor indexed="64"/>
      </patternFill>
    </fill>
    <fill>
      <patternFill patternType="solid">
        <fgColor theme="4"/>
        <bgColor indexed="64"/>
      </patternFill>
    </fill>
    <fill>
      <patternFill patternType="solid">
        <fgColor rgb="FFFFFFCC"/>
        <bgColor indexed="64"/>
      </patternFill>
    </fill>
    <fill>
      <patternFill patternType="solid">
        <fgColor theme="4" tint="0.79998168889431442"/>
        <bgColor indexed="64"/>
      </patternFill>
    </fill>
    <fill>
      <patternFill patternType="solid">
        <fgColor theme="0"/>
        <bgColor indexed="64"/>
      </patternFill>
    </fill>
    <fill>
      <patternFill patternType="darkGray">
        <fgColor auto="1"/>
        <bgColor auto="1"/>
      </patternFill>
    </fill>
    <fill>
      <patternFill patternType="solid">
        <fgColor theme="7" tint="0.79998168889431442"/>
        <bgColor indexed="64"/>
      </patternFill>
    </fill>
    <fill>
      <patternFill patternType="solid">
        <fgColor theme="4" tint="0.59999389629810485"/>
        <bgColor indexed="64"/>
      </patternFill>
    </fill>
    <fill>
      <patternFill patternType="solid">
        <fgColor rgb="FF92D050"/>
        <bgColor indexed="64"/>
      </patternFill>
    </fill>
    <fill>
      <patternFill patternType="solid">
        <fgColor theme="3" tint="0.79998168889431442"/>
        <bgColor indexed="64"/>
      </patternFill>
    </fill>
    <fill>
      <patternFill patternType="solid">
        <fgColor theme="0" tint="-0.499984740745262"/>
        <bgColor indexed="64"/>
      </patternFill>
    </fill>
    <fill>
      <patternFill patternType="solid">
        <fgColor theme="8" tint="0.79998168889431442"/>
        <bgColor indexed="64"/>
      </patternFill>
    </fill>
    <fill>
      <patternFill patternType="solid">
        <fgColor theme="9" tint="0.79998168889431442"/>
        <bgColor indexed="64"/>
      </patternFill>
    </fill>
    <fill>
      <patternFill patternType="solid">
        <fgColor theme="1"/>
        <bgColor indexed="64"/>
      </patternFill>
    </fill>
    <fill>
      <patternFill patternType="solid">
        <fgColor rgb="FFFFFFFF"/>
        <bgColor rgb="FF000000"/>
      </patternFill>
    </fill>
    <fill>
      <patternFill patternType="solid">
        <fgColor theme="1"/>
        <bgColor rgb="FF000000"/>
      </patternFill>
    </fill>
    <fill>
      <patternFill patternType="solid">
        <fgColor rgb="FFFF0000"/>
        <bgColor indexed="64"/>
      </patternFill>
    </fill>
  </fills>
  <borders count="78">
    <border>
      <left/>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top style="medium">
        <color indexed="64"/>
      </top>
      <bottom style="medium">
        <color indexed="64"/>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style="medium">
        <color indexed="64"/>
      </right>
      <top style="medium">
        <color indexed="64"/>
      </top>
      <bottom/>
      <diagonal/>
    </border>
    <border>
      <left/>
      <right style="thin">
        <color indexed="64"/>
      </right>
      <top style="medium">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medium">
        <color indexed="64"/>
      </right>
      <top/>
      <bottom style="medium">
        <color indexed="64"/>
      </bottom>
      <diagonal/>
    </border>
    <border>
      <left style="thin">
        <color indexed="64"/>
      </left>
      <right/>
      <top style="medium">
        <color indexed="64"/>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right style="medium">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top/>
      <bottom style="thin">
        <color indexed="64"/>
      </bottom>
      <diagonal/>
    </border>
    <border>
      <left style="medium">
        <color indexed="64"/>
      </left>
      <right style="thin">
        <color indexed="64"/>
      </right>
      <top style="thin">
        <color indexed="64"/>
      </top>
      <bottom style="thin">
        <color indexed="64"/>
      </bottom>
      <diagonal/>
    </border>
    <border>
      <left style="medium">
        <color indexed="64"/>
      </left>
      <right/>
      <top style="thin">
        <color indexed="64"/>
      </top>
      <bottom style="thin">
        <color indexed="64"/>
      </bottom>
      <diagonal/>
    </border>
    <border>
      <left/>
      <right/>
      <top style="thin">
        <color indexed="64"/>
      </top>
      <bottom style="thin">
        <color indexed="64"/>
      </bottom>
      <diagonal/>
    </border>
    <border>
      <left style="medium">
        <color indexed="64"/>
      </left>
      <right style="thin">
        <color indexed="64"/>
      </right>
      <top style="thin">
        <color indexed="64"/>
      </top>
      <bottom/>
      <diagonal/>
    </border>
    <border>
      <left style="thin">
        <color indexed="64"/>
      </left>
      <right style="thin">
        <color indexed="64"/>
      </right>
      <top style="thin">
        <color indexed="64"/>
      </top>
      <bottom/>
      <diagonal/>
    </border>
    <border>
      <left style="thin">
        <color indexed="64"/>
      </left>
      <right style="medium">
        <color indexed="64"/>
      </right>
      <top style="thin">
        <color indexed="64"/>
      </top>
      <bottom/>
      <diagonal/>
    </border>
    <border>
      <left/>
      <right style="medium">
        <color indexed="64"/>
      </right>
      <top style="thin">
        <color indexed="64"/>
      </top>
      <bottom/>
      <diagonal/>
    </border>
    <border>
      <left style="medium">
        <color indexed="64"/>
      </left>
      <right style="medium">
        <color indexed="64"/>
      </right>
      <top style="medium">
        <color indexed="64"/>
      </top>
      <bottom style="medium">
        <color indexed="64"/>
      </bottom>
      <diagonal/>
    </border>
    <border>
      <left style="medium">
        <color indexed="64"/>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medium">
        <color indexed="64"/>
      </left>
      <right/>
      <top style="thin">
        <color indexed="64"/>
      </top>
      <bottom style="medium">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medium">
        <color indexed="64"/>
      </right>
      <top/>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style="medium">
        <color indexed="64"/>
      </top>
      <bottom style="thin">
        <color indexed="64"/>
      </bottom>
      <diagonal/>
    </border>
    <border>
      <left/>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top style="thin">
        <color indexed="64"/>
      </top>
      <bottom style="medium">
        <color indexed="64"/>
      </bottom>
      <diagonal/>
    </border>
    <border>
      <left/>
      <right style="medium">
        <color indexed="64"/>
      </right>
      <top style="thin">
        <color indexed="64"/>
      </top>
      <bottom style="medium">
        <color indexed="64"/>
      </bottom>
      <diagonal/>
    </border>
    <border>
      <left/>
      <right style="medium">
        <color theme="1"/>
      </right>
      <top style="medium">
        <color indexed="64"/>
      </top>
      <bottom/>
      <diagonal/>
    </border>
    <border>
      <left style="medium">
        <color theme="1"/>
      </left>
      <right/>
      <top style="medium">
        <color indexed="64"/>
      </top>
      <bottom style="medium">
        <color indexed="64"/>
      </bottom>
      <diagonal/>
    </border>
    <border>
      <left style="medium">
        <color rgb="FFBFBFBF"/>
      </left>
      <right style="medium">
        <color rgb="FFBFBFBF"/>
      </right>
      <top style="medium">
        <color rgb="FFBFBFBF"/>
      </top>
      <bottom style="medium">
        <color rgb="FFBFBFBF"/>
      </bottom>
      <diagonal/>
    </border>
    <border>
      <left/>
      <right style="medium">
        <color rgb="FFBFBFBF"/>
      </right>
      <top style="medium">
        <color rgb="FFBFBFBF"/>
      </top>
      <bottom style="medium">
        <color rgb="FFBFBFBF"/>
      </bottom>
      <diagonal/>
    </border>
    <border>
      <left style="medium">
        <color rgb="FFBFBFBF"/>
      </left>
      <right style="medium">
        <color rgb="FFBFBFBF"/>
      </right>
      <top/>
      <bottom style="medium">
        <color rgb="FFBFBFBF"/>
      </bottom>
      <diagonal/>
    </border>
    <border>
      <left style="medium">
        <color rgb="FFBFBFBF"/>
      </left>
      <right style="medium">
        <color rgb="FFBFBFBF"/>
      </right>
      <top/>
      <bottom/>
      <diagonal/>
    </border>
    <border>
      <left/>
      <right style="medium">
        <color rgb="FFBFBFBF"/>
      </right>
      <top/>
      <bottom style="medium">
        <color rgb="FFBFBFBF"/>
      </bottom>
      <diagonal/>
    </border>
    <border>
      <left/>
      <right style="medium">
        <color rgb="FFBFBFBF"/>
      </right>
      <top/>
      <bottom/>
      <diagonal/>
    </border>
    <border>
      <left style="medium">
        <color rgb="FFBFBFBF"/>
      </left>
      <right style="medium">
        <color rgb="FFBFBFBF"/>
      </right>
      <top style="medium">
        <color rgb="FFBFBFBF"/>
      </top>
      <bottom/>
      <diagonal/>
    </border>
    <border>
      <left style="thin">
        <color indexed="64"/>
      </left>
      <right/>
      <top style="thin">
        <color indexed="64"/>
      </top>
      <bottom style="thin">
        <color indexed="64"/>
      </bottom>
      <diagonal/>
    </border>
    <border>
      <left/>
      <right/>
      <top style="thin">
        <color indexed="64"/>
      </top>
      <bottom/>
      <diagonal/>
    </border>
    <border>
      <left/>
      <right/>
      <top/>
      <bottom style="thin">
        <color indexed="64"/>
      </bottom>
      <diagonal/>
    </border>
    <border>
      <left/>
      <right style="thin">
        <color indexed="64"/>
      </right>
      <top/>
      <bottom/>
      <diagonal/>
    </border>
    <border>
      <left/>
      <right style="thin">
        <color indexed="64"/>
      </right>
      <top style="thin">
        <color indexed="64"/>
      </top>
      <bottom/>
      <diagonal/>
    </border>
    <border>
      <left/>
      <right style="thin">
        <color indexed="64"/>
      </right>
      <top/>
      <bottom style="thin">
        <color indexed="64"/>
      </bottom>
      <diagonal/>
    </border>
    <border>
      <left style="thin">
        <color indexed="64"/>
      </left>
      <right/>
      <top/>
      <bottom style="thin">
        <color indexed="64"/>
      </bottom>
      <diagonal/>
    </border>
    <border>
      <left/>
      <right style="thin">
        <color indexed="64"/>
      </right>
      <top style="thin">
        <color theme="0"/>
      </top>
      <bottom style="thin">
        <color indexed="64"/>
      </bottom>
      <diagonal/>
    </border>
    <border>
      <left style="thin">
        <color indexed="64"/>
      </left>
      <right/>
      <top/>
      <bottom/>
      <diagonal/>
    </border>
    <border>
      <left style="thin">
        <color indexed="64"/>
      </left>
      <right/>
      <top style="thin">
        <color theme="0"/>
      </top>
      <bottom style="thin">
        <color indexed="64"/>
      </bottom>
      <diagonal/>
    </border>
    <border>
      <left style="thin">
        <color indexed="64"/>
      </left>
      <right style="thin">
        <color indexed="64"/>
      </right>
      <top/>
      <bottom/>
      <diagonal/>
    </border>
    <border>
      <left/>
      <right style="medium">
        <color indexed="64"/>
      </right>
      <top/>
      <bottom style="thin">
        <color indexed="64"/>
      </bottom>
      <diagonal/>
    </border>
    <border>
      <left style="thin">
        <color indexed="64"/>
      </left>
      <right/>
      <top style="thin">
        <color indexed="64"/>
      </top>
      <bottom/>
      <diagonal/>
    </border>
    <border>
      <left style="thin">
        <color indexed="64"/>
      </left>
      <right/>
      <top style="thin">
        <color indexed="64"/>
      </top>
      <bottom style="thin">
        <color theme="0"/>
      </bottom>
      <diagonal/>
    </border>
    <border>
      <left/>
      <right style="thin">
        <color indexed="64"/>
      </right>
      <top style="thin">
        <color indexed="64"/>
      </top>
      <bottom style="thin">
        <color theme="0"/>
      </bottom>
      <diagonal/>
    </border>
    <border>
      <left style="thin">
        <color indexed="64"/>
      </left>
      <right/>
      <top/>
      <bottom style="thin">
        <color theme="0"/>
      </bottom>
      <diagonal/>
    </border>
    <border>
      <left/>
      <right style="thin">
        <color indexed="64"/>
      </right>
      <top/>
      <bottom style="thin">
        <color theme="0"/>
      </bottom>
      <diagonal/>
    </border>
  </borders>
  <cellStyleXfs count="4">
    <xf numFmtId="0" fontId="0" fillId="0" borderId="0"/>
    <xf numFmtId="0" fontId="28" fillId="0" borderId="0"/>
    <xf numFmtId="9" fontId="1" fillId="0" borderId="0"/>
    <xf numFmtId="9" fontId="28" fillId="0" borderId="0"/>
  </cellStyleXfs>
  <cellXfs count="487">
    <xf numFmtId="0" applyNumberFormat="1" fontId="0" applyFont="1" fillId="0" applyFill="1" borderId="0" applyBorder="1" xfId="0"/>
    <xf numFmtId="0" applyNumberFormat="1" fontId="28" applyFont="1" fillId="0" applyFill="1" borderId="0" applyBorder="1" xfId="1"/>
    <xf numFmtId="9" applyNumberFormat="1" fontId="1" applyFont="1" fillId="0" applyFill="1" borderId="0" applyBorder="1" xfId="2"/>
    <xf numFmtId="9" applyNumberFormat="1" fontId="28" applyFont="1" fillId="0" applyFill="1" borderId="0" applyBorder="1" xfId="3"/>
    <xf numFmtId="0" applyNumberFormat="1" fontId="3" applyFont="1" fillId="0" applyFill="1" borderId="0" applyBorder="1" xfId="0">
      <alignment horizontal="center" vertical="center"/>
      <protection locked="0"/>
    </xf>
    <xf numFmtId="0" applyNumberFormat="1" fontId="4" applyFont="1" fillId="0" applyFill="1" borderId="0" applyBorder="1" xfId="0">
      <alignment horizontal="left"/>
      <protection locked="0"/>
    </xf>
    <xf numFmtId="0" applyNumberFormat="1" fontId="4" applyFont="1" fillId="0" applyFill="1" borderId="0" applyBorder="1" xfId="0">
      <alignment vertical="center"/>
      <protection locked="0"/>
    </xf>
    <xf numFmtId="0" applyNumberFormat="1" fontId="4" applyFont="1" fillId="0" applyFill="1" borderId="0" applyBorder="1" xfId="0">
      <alignment horizontal="center" vertical="center"/>
      <protection locked="0"/>
    </xf>
    <xf numFmtId="9" applyNumberFormat="1" fontId="3" applyFont="1" fillId="0" applyFill="1" borderId="0" applyBorder="1" xfId="2">
      <alignment horizontal="center" vertical="center"/>
      <protection locked="0"/>
    </xf>
    <xf numFmtId="0" applyNumberFormat="1" fontId="3" applyFont="1" fillId="0" applyFill="1" borderId="0" applyBorder="1" xfId="0">
      <alignment horizontal="left" vertical="center"/>
      <protection locked="0"/>
    </xf>
    <xf numFmtId="0" applyNumberFormat="1" fontId="6" applyFont="1" fillId="2" applyFill="1" borderId="0" applyBorder="1" xfId="0">
      <alignment vertical="center"/>
    </xf>
    <xf numFmtId="0" applyNumberFormat="1" fontId="7" applyFont="1" fillId="2" applyFill="1" borderId="0" applyBorder="1" xfId="0">
      <alignment horizontal="center" vertical="center"/>
      <protection locked="0"/>
    </xf>
    <xf numFmtId="0" applyNumberFormat="1" fontId="6" applyFont="1" fillId="0" applyFill="1" borderId="7" applyBorder="1" xfId="0">
      <alignment vertical="center"/>
    </xf>
    <xf numFmtId="0" applyNumberFormat="1" fontId="6" applyFont="1" fillId="0" applyFill="1" borderId="9" applyBorder="1" xfId="0">
      <alignment vertical="center"/>
    </xf>
    <xf numFmtId="0" applyNumberFormat="1" fontId="3" applyFont="1" fillId="0" applyFill="1" borderId="7" applyBorder="1" xfId="0">
      <alignment horizontal="center" vertical="center"/>
    </xf>
    <xf numFmtId="0" applyNumberFormat="1" fontId="3" applyFont="1" fillId="0" applyFill="1" borderId="7" applyBorder="1" xfId="0">
      <alignment horizontal="center"/>
    </xf>
    <xf numFmtId="0" applyNumberFormat="1" fontId="9" applyFont="1" fillId="5" applyFill="1" borderId="17" applyBorder="1" xfId="0">
      <alignment horizontal="center" wrapText="1"/>
    </xf>
    <xf numFmtId="0" applyNumberFormat="1" fontId="4" applyFont="1" fillId="0" applyFill="1" borderId="0" applyBorder="1" xfId="0">
      <protection locked="0"/>
    </xf>
    <xf numFmtId="0" applyNumberFormat="1" fontId="7" applyFont="1" fillId="0" applyFill="1" borderId="7" applyBorder="1" xfId="0">
      <alignment horizontal="center" vertical="center"/>
    </xf>
    <xf numFmtId="0" applyNumberFormat="1" fontId="13" applyFont="1" fillId="0" applyFill="1" borderId="18" applyBorder="1" xfId="0">
      <alignment horizontal="left" vertical="center" wrapText="1"/>
    </xf>
    <xf numFmtId="38" applyNumberFormat="1" fontId="12" applyFont="1" fillId="5" applyFill="1" borderId="22" applyBorder="1" xfId="0">
      <alignment horizontal="center" vertical="center"/>
    </xf>
    <xf numFmtId="38" applyNumberFormat="1" fontId="15" applyFont="1" fillId="8" applyFill="1" borderId="2" applyBorder="1" xfId="0">
      <alignment vertical="center"/>
    </xf>
    <xf numFmtId="1" applyNumberFormat="1" fontId="15" applyFont="1" fillId="9" applyFill="1" borderId="14" applyBorder="1" xfId="2">
      <alignment horizontal="center" vertical="center"/>
      <protection locked="0"/>
    </xf>
    <xf numFmtId="38" applyNumberFormat="1" fontId="15" applyFont="1" fillId="8" applyFill="1" borderId="0" applyBorder="1" xfId="0">
      <alignment vertical="center"/>
    </xf>
    <xf numFmtId="38" applyNumberFormat="1" fontId="12" applyFont="1" fillId="5" applyFill="1" borderId="28" applyBorder="1" xfId="0">
      <alignment horizontal="center" vertical="center"/>
      <protection locked="0"/>
    </xf>
    <xf numFmtId="164" applyNumberFormat="1" fontId="12" applyFont="1" fillId="0" applyFill="1" borderId="29" applyBorder="1" xfId="2">
      <alignment horizontal="center" vertical="center"/>
    </xf>
    <xf numFmtId="38" applyNumberFormat="1" fontId="12" applyFont="1" fillId="5" applyFill="1" borderId="33" applyBorder="1" xfId="0">
      <alignment horizontal="center" vertical="center"/>
    </xf>
    <xf numFmtId="0" applyNumberFormat="1" fontId="14" applyFont="1" fillId="0" applyFill="1" borderId="18" applyBorder="1" xfId="0">
      <alignment horizontal="left" vertical="center" wrapText="1"/>
    </xf>
    <xf numFmtId="38" applyNumberFormat="1" fontId="12" applyFont="1" fillId="5" applyFill="1" borderId="34" applyBorder="1" xfId="0">
      <alignment horizontal="center" vertical="center"/>
    </xf>
    <xf numFmtId="38" applyNumberFormat="1" fontId="12" applyFont="1" fillId="5" applyFill="1" borderId="8" applyBorder="1" xfId="0">
      <alignment horizontal="center" vertical="center"/>
    </xf>
    <xf numFmtId="38" applyNumberFormat="1" fontId="12" applyFont="1" fillId="5" applyFill="1" borderId="38" applyBorder="1" xfId="0">
      <alignment horizontal="center" vertical="center"/>
      <protection locked="0"/>
    </xf>
    <xf numFmtId="38" applyNumberFormat="1" fontId="18" applyFont="1" fillId="10" applyFill="1" borderId="8" applyBorder="1" xfId="0">
      <alignment horizontal="center" vertical="center"/>
    </xf>
    <xf numFmtId="38" applyNumberFormat="1" fontId="19" applyFont="1" fillId="8" applyFill="1" borderId="0" applyBorder="1" xfId="0">
      <alignment vertical="center"/>
    </xf>
    <xf numFmtId="9" applyNumberFormat="1" fontId="19" applyFont="1" fillId="9" applyFill="1" borderId="0" applyBorder="1" xfId="2">
      <alignment vertical="center"/>
      <protection locked="0"/>
    </xf>
    <xf numFmtId="0" applyNumberFormat="1" fontId="4" applyFont="1" fillId="0" applyFill="1" borderId="0" applyBorder="1" xfId="0">
      <alignment vertical="center"/>
      <protection locked="0"/>
    </xf>
    <xf numFmtId="0" applyNumberFormat="1" fontId="7" applyFont="1" fillId="0" applyFill="1" borderId="7" applyBorder="1" xfId="0">
      <alignment horizontal="center"/>
    </xf>
    <xf numFmtId="9" applyNumberFormat="1" fontId="19" applyFont="1" fillId="9" applyFill="1" borderId="0" applyBorder="1" xfId="2">
      <protection locked="0"/>
    </xf>
    <xf numFmtId="0" applyNumberFormat="1" fontId="4" applyFont="1" fillId="0" applyFill="1" borderId="0" applyBorder="1" xfId="0">
      <protection locked="0"/>
    </xf>
    <xf numFmtId="0" applyNumberFormat="1" fontId="7" applyFont="1" fillId="0" applyFill="1" borderId="9" applyBorder="1" xfId="0">
      <alignment horizontal="center" vertical="center"/>
    </xf>
    <xf numFmtId="0" applyNumberFormat="1" fontId="3" applyFont="1" fillId="0" applyFill="1" borderId="0" applyBorder="1" xfId="0">
      <alignment vertical="center"/>
      <protection locked="0"/>
    </xf>
    <xf numFmtId="0" applyNumberFormat="1" fontId="3" applyFont="1" fillId="3" applyFill="1" borderId="34" applyBorder="1" xfId="0">
      <alignment vertical="center"/>
      <protection locked="0"/>
    </xf>
    <xf numFmtId="0" applyNumberFormat="1" fontId="21" applyFont="1" fillId="3" applyFill="1" borderId="0" applyBorder="1" xfId="0">
      <alignment horizontal="center" vertical="center"/>
      <protection locked="0"/>
    </xf>
    <xf numFmtId="0" applyNumberFormat="1" fontId="21" applyFont="1" fillId="0" applyFill="1" borderId="0" applyBorder="1" xfId="0">
      <alignment horizontal="center" vertical="center"/>
      <protection locked="0"/>
    </xf>
    <xf numFmtId="9" applyNumberFormat="1" fontId="21" applyFont="1" fillId="0" applyFill="1" borderId="0" applyBorder="1" xfId="2">
      <alignment horizontal="center" vertical="center"/>
      <protection locked="0"/>
    </xf>
    <xf numFmtId="0" applyNumberFormat="1" fontId="21" applyFont="1" fillId="0" applyFill="1" borderId="0" applyBorder="1" xfId="0">
      <alignment vertical="center"/>
      <protection locked="0"/>
    </xf>
    <xf numFmtId="0" applyNumberFormat="1" fontId="3" applyFont="1" fillId="3" applyFill="1" borderId="0" applyBorder="1" xfId="0">
      <alignment vertical="center"/>
      <protection locked="0"/>
    </xf>
    <xf numFmtId="0" applyNumberFormat="1" fontId="3" applyFont="1" fillId="3" applyFill="1" borderId="0" applyBorder="1" xfId="0">
      <alignment horizontal="center" vertical="center"/>
      <protection locked="0"/>
    </xf>
    <xf numFmtId="0" applyNumberFormat="1" fontId="3" applyFont="1" fillId="0" applyFill="1" borderId="0" applyBorder="1" xfId="0">
      <alignment horizontal="right" vertical="center"/>
      <protection locked="0"/>
    </xf>
    <xf numFmtId="0" applyNumberFormat="1" fontId="21" applyFont="1" fillId="0" applyFill="1" borderId="0" applyBorder="1" xfId="0">
      <alignment horizontal="right" vertical="center"/>
      <protection locked="0"/>
    </xf>
    <xf numFmtId="0" applyNumberFormat="1" fontId="21" applyFont="1" fillId="0" applyFill="1" borderId="0" applyBorder="1" xfId="0">
      <alignment vertical="center"/>
      <protection locked="0"/>
    </xf>
    <xf numFmtId="0" applyNumberFormat="1" fontId="21" applyFont="1" fillId="0" applyFill="1" borderId="0" applyBorder="1" xfId="0">
      <alignment horizontal="right" vertical="center"/>
      <protection locked="0"/>
    </xf>
    <xf numFmtId="0" applyNumberFormat="1" fontId="2" applyFont="1" fillId="0" applyFill="1" borderId="0" applyBorder="1" xfId="0"/>
    <xf numFmtId="0" applyNumberFormat="1" fontId="29" applyFont="1" fillId="0" applyFill="1" borderId="54" applyBorder="1" xfId="0">
      <alignment vertical="center" wrapText="1"/>
    </xf>
    <xf numFmtId="0" applyNumberFormat="1" fontId="30" applyFont="1" fillId="0" applyFill="1" borderId="55" applyBorder="1" xfId="0">
      <alignment vertical="center" wrapText="1"/>
    </xf>
    <xf numFmtId="0" applyNumberFormat="1" fontId="22" applyFont="1" fillId="0" applyFill="1" borderId="59" applyBorder="1" xfId="0">
      <alignment vertical="center" wrapText="1"/>
    </xf>
    <xf numFmtId="0" applyNumberFormat="1" fontId="22" applyFont="1" fillId="0" applyFill="1" borderId="58" applyBorder="1" xfId="0">
      <alignment vertical="center" wrapText="1"/>
    </xf>
    <xf numFmtId="0" applyNumberFormat="1" fontId="24" applyFont="1" fillId="0" applyFill="1" borderId="58" applyBorder="1" xfId="0">
      <alignment vertical="center" wrapText="1"/>
    </xf>
    <xf numFmtId="0" applyNumberFormat="1" fontId="22" applyFont="1" fillId="0" applyFill="1" borderId="58" applyBorder="1" xfId="0">
      <alignment vertical="top" wrapText="1"/>
    </xf>
    <xf numFmtId="0" applyNumberFormat="1" fontId="0" applyFont="1" fillId="0" applyFill="1" borderId="0" applyBorder="1" xfId="0">
      <alignment vertical="center" wrapText="1"/>
    </xf>
    <xf numFmtId="0" applyNumberFormat="1" fontId="0" applyFont="1" fillId="0" applyFill="1" borderId="0" applyBorder="1" xfId="0">
      <alignment vertical="center"/>
    </xf>
    <xf numFmtId="0" applyNumberFormat="1" fontId="2" applyFont="1" fillId="0" applyFill="1" borderId="0" applyBorder="1" xfId="0">
      <alignment vertical="center" wrapText="1"/>
    </xf>
    <xf numFmtId="0" applyNumberFormat="1" fontId="2" applyFont="1" fillId="15" applyFill="1" borderId="64" applyBorder="1" xfId="0">
      <alignment horizontal="right" vertical="center"/>
      <protection hidden="1"/>
    </xf>
    <xf numFmtId="0" applyNumberFormat="1" fontId="2" applyFont="1" fillId="15" applyFill="1" borderId="36" applyBorder="1" xfId="0">
      <alignment horizontal="right" vertical="center"/>
      <protection hidden="1"/>
    </xf>
    <xf numFmtId="0" applyNumberFormat="1" fontId="2" applyFont="1" fillId="15" applyFill="1" borderId="24" applyBorder="1" xfId="0">
      <alignment horizontal="right" vertical="center"/>
      <protection hidden="1"/>
    </xf>
    <xf numFmtId="0" applyNumberFormat="1" fontId="2" applyFont="1" fillId="15" applyFill="1" borderId="29" applyBorder="1" xfId="0">
      <alignment horizontal="center" vertical="center"/>
      <protection hidden="1"/>
    </xf>
    <xf numFmtId="17" applyNumberFormat="1" fontId="2" applyFont="1" fillId="15" applyFill="1" borderId="23" applyBorder="1" xfId="0">
      <alignment horizontal="center" vertical="center" wrapText="1"/>
      <protection hidden="1"/>
    </xf>
    <xf numFmtId="0" applyNumberFormat="1" fontId="0" applyFont="1" fillId="12" applyFill="1" borderId="0" applyBorder="1" xfId="0">
      <protection hidden="1"/>
    </xf>
    <xf numFmtId="0" applyNumberFormat="1" fontId="0" applyFont="1" fillId="0" applyFill="1" borderId="0" applyBorder="1" xfId="0">
      <protection hidden="1"/>
    </xf>
    <xf numFmtId="0" applyNumberFormat="1" fontId="0" applyFont="1" fillId="12" applyFill="1" borderId="0" applyBorder="1" xfId="0">
      <protection hidden="1"/>
    </xf>
    <xf numFmtId="1" applyNumberFormat="1" fontId="0" applyFont="1" fillId="12" applyFill="1" borderId="63" applyBorder="1" xfId="0">
      <protection hidden="1"/>
    </xf>
    <xf numFmtId="0" applyNumberFormat="1" fontId="2" applyFont="1" fillId="12" applyFill="1" borderId="63" applyBorder="1" xfId="0">
      <alignment horizontal="right"/>
      <protection hidden="1"/>
    </xf>
    <xf numFmtId="0" applyNumberFormat="1" fontId="0" applyFont="1" fillId="12" applyFill="1" borderId="63" applyBorder="1" xfId="0">
      <protection hidden="1"/>
    </xf>
    <xf numFmtId="0" applyNumberFormat="1" fontId="0" applyFont="1" fillId="12" applyFill="1" borderId="29" applyBorder="1" xfId="0">
      <protection hidden="1"/>
    </xf>
    <xf numFmtId="0" applyNumberFormat="1" fontId="0" applyFont="1" fillId="12" applyFill="1" borderId="64" applyBorder="1" xfId="0">
      <protection hidden="1"/>
    </xf>
    <xf numFmtId="1" applyNumberFormat="1" fontId="4" applyFont="1" fillId="7" applyFill="1" borderId="0" applyBorder="1" xfId="0">
      <alignment horizontal="center" vertical="center" wrapText="1"/>
      <protection hidden="1"/>
    </xf>
    <xf numFmtId="1" applyNumberFormat="1" fontId="4" applyFont="1" fillId="7" applyFill="1" borderId="64" applyBorder="1" xfId="0">
      <alignment horizontal="center" vertical="center" wrapText="1"/>
      <protection hidden="1"/>
    </xf>
    <xf numFmtId="38" applyNumberFormat="1" fontId="23" applyFont="1" fillId="11" applyFill="1" borderId="31" applyBorder="1" xfId="0">
      <alignment horizontal="center" vertical="center"/>
      <protection hidden="1"/>
    </xf>
    <xf numFmtId="164" applyNumberFormat="1" fontId="25" applyFont="1" fillId="14" applyFill="1" borderId="65" applyBorder="1" xfId="2">
      <alignment horizontal="center" vertical="center"/>
      <protection hidden="1"/>
    </xf>
    <xf numFmtId="38" applyNumberFormat="1" fontId="23" applyFont="1" fillId="11" applyFill="1" borderId="71" applyBorder="1" xfId="0">
      <alignment horizontal="center" vertical="center"/>
      <protection hidden="1"/>
    </xf>
    <xf numFmtId="164" applyNumberFormat="1" fontId="25" applyFont="1" fillId="14" applyFill="1" borderId="64" applyBorder="1" xfId="2">
      <alignment horizontal="center" vertical="center"/>
      <protection hidden="1"/>
    </xf>
    <xf numFmtId="1" applyNumberFormat="1" fontId="4" applyFont="1" fillId="7" applyFill="1" borderId="67" applyBorder="1" xfId="0">
      <alignment horizontal="center" vertical="center" wrapText="1"/>
      <protection hidden="1"/>
    </xf>
    <xf numFmtId="1" applyNumberFormat="1" fontId="4" applyFont="1" fillId="7" applyFill="1" borderId="63" applyBorder="1" xfId="0">
      <alignment horizontal="center" vertical="center" wrapText="1"/>
      <protection hidden="1"/>
    </xf>
    <xf numFmtId="1" applyNumberFormat="1" fontId="4" applyFont="1" fillId="7" applyFill="1" borderId="66" applyBorder="1" xfId="0">
      <alignment horizontal="center" vertical="center" wrapText="1"/>
      <protection hidden="1"/>
    </xf>
    <xf numFmtId="38" applyNumberFormat="1" fontId="23" applyFont="1" fillId="11" applyFill="1" borderId="36" applyBorder="1" xfId="0">
      <alignment horizontal="center" vertical="center"/>
      <protection hidden="1"/>
    </xf>
    <xf numFmtId="164" applyNumberFormat="1" fontId="25" applyFont="1" fillId="14" applyFill="1" borderId="66" applyBorder="1" xfId="2">
      <alignment horizontal="center" vertical="center"/>
      <protection hidden="1"/>
    </xf>
    <xf numFmtId="1" applyNumberFormat="1" fontId="4" applyFont="1" fillId="7" applyFill="1" borderId="61" applyBorder="1" xfId="0">
      <alignment horizontal="center" vertical="center" wrapText="1"/>
      <protection hidden="1"/>
    </xf>
    <xf numFmtId="1" applyNumberFormat="1" fontId="4" applyFont="1" fillId="7" applyFill="1" borderId="29" applyBorder="1" xfId="0">
      <alignment horizontal="center" vertical="center" wrapText="1"/>
      <protection hidden="1"/>
    </xf>
    <xf numFmtId="1" applyNumberFormat="1" fontId="4" applyFont="1" fillId="7" applyFill="1" borderId="23" applyBorder="1" xfId="0">
      <alignment horizontal="center" vertical="center" wrapText="1"/>
      <protection hidden="1"/>
    </xf>
    <xf numFmtId="38" applyNumberFormat="1" fontId="23" applyFont="1" fillId="11" applyFill="1" borderId="24" applyBorder="1" xfId="0">
      <alignment horizontal="center" vertical="center"/>
      <protection hidden="1"/>
    </xf>
    <xf numFmtId="164" applyNumberFormat="1" fontId="25" applyFont="1" fillId="14" applyFill="1" borderId="23" applyBorder="1" xfId="2">
      <alignment horizontal="center" vertical="center"/>
      <protection hidden="1"/>
    </xf>
    <xf numFmtId="1" applyNumberFormat="1" fontId="31" applyFont="1" fillId="12" applyFill="1" borderId="0" applyBorder="1" xfId="0">
      <protection hidden="1"/>
    </xf>
    <xf numFmtId="0" applyNumberFormat="1" fontId="31" applyFont="1" fillId="12" applyFill="1" borderId="0" applyBorder="1" xfId="0">
      <protection hidden="1"/>
    </xf>
    <xf numFmtId="0" applyNumberFormat="1" fontId="26" applyFont="1" fillId="12" applyFill="1" borderId="0" applyBorder="1" xfId="0">
      <alignment horizontal="left" vertical="center"/>
      <protection hidden="1"/>
    </xf>
    <xf numFmtId="17" applyNumberFormat="1" fontId="26" applyFont="1" fillId="12" applyFill="1" borderId="0" applyBorder="1" xfId="0">
      <alignment horizontal="left" vertical="center" wrapText="1"/>
      <protection hidden="1"/>
    </xf>
    <xf numFmtId="17" applyNumberFormat="1" fontId="27" applyFont="1" fillId="12" applyFill="1" borderId="0" applyBorder="1" xfId="0">
      <alignment vertical="center"/>
      <protection hidden="1"/>
    </xf>
    <xf numFmtId="1" applyNumberFormat="1" fontId="26" applyFont="1" fillId="12" applyFill="1" borderId="0" applyBorder="1" xfId="0">
      <alignment horizontal="left" vertical="center"/>
      <protection hidden="1"/>
    </xf>
    <xf numFmtId="1" applyNumberFormat="1" fontId="0" applyFont="1" fillId="12" applyFill="1" borderId="0" applyBorder="1" xfId="0">
      <protection hidden="1"/>
    </xf>
    <xf numFmtId="0" applyNumberFormat="1" fontId="0" applyFont="1" fillId="14" applyFill="1" borderId="0" applyBorder="1" xfId="0">
      <protection hidden="1"/>
    </xf>
    <xf numFmtId="0" applyNumberFormat="1" fontId="32" applyFont="1" fillId="0" applyFill="1" borderId="0" applyBorder="1" xfId="0"/>
    <xf numFmtId="0" applyNumberFormat="1" fontId="2" applyFont="1" fillId="12" applyFill="1" borderId="63" applyBorder="1" xfId="0">
      <protection hidden="1"/>
    </xf>
    <xf numFmtId="0" applyNumberFormat="1" fontId="38" applyFont="1" fillId="0" applyFill="1" borderId="0" applyBorder="1" xfId="0">
      <alignment horizontal="left"/>
    </xf>
    <xf numFmtId="0" applyNumberFormat="1" fontId="42" applyFont="1" fillId="0" applyFill="1" borderId="0" applyBorder="1" xfId="0">
      <alignment horizontal="left"/>
    </xf>
    <xf numFmtId="0" applyNumberFormat="1" fontId="38" applyFont="1" fillId="0" applyFill="1" borderId="0" applyBorder="1" xfId="0">
      <alignment horizontal="left" vertical="top"/>
    </xf>
    <xf numFmtId="0" applyNumberFormat="1" fontId="48" applyFont="1" fillId="0" applyFill="1" borderId="12" applyBorder="1" xfId="0">
      <alignment horizontal="right" vertical="center"/>
    </xf>
    <xf numFmtId="0" applyNumberFormat="1" fontId="25" applyFont="1" fillId="0" applyFill="1" borderId="12" applyBorder="1" xfId="0">
      <alignment vertical="center"/>
    </xf>
    <xf numFmtId="0" applyNumberFormat="1" fontId="27" applyFont="1" fillId="0" applyFill="1" borderId="19" applyBorder="1" xfId="0">
      <alignment horizontal="center" vertical="center"/>
    </xf>
    <xf numFmtId="0" applyNumberFormat="1" fontId="27" applyFont="1" fillId="0" applyFill="1" borderId="20" applyBorder="1" xfId="0">
      <alignment horizontal="center" vertical="center"/>
    </xf>
    <xf numFmtId="0" applyNumberFormat="1" fontId="49" applyFont="1" fillId="0" applyFill="1" borderId="20" applyBorder="1" xfId="0">
      <alignment horizontal="left" vertical="center" wrapText="1"/>
    </xf>
    <xf numFmtId="0" applyNumberFormat="1" fontId="27" applyFont="1" fillId="0" applyFill="1" borderId="27" applyBorder="1" xfId="0">
      <alignment horizontal="center" vertical="center"/>
    </xf>
    <xf numFmtId="0" applyNumberFormat="1" fontId="27" applyFont="1" fillId="0" applyFill="1" borderId="24" applyBorder="1" xfId="0">
      <alignment horizontal="center" vertical="center"/>
    </xf>
    <xf numFmtId="0" applyNumberFormat="1" fontId="49" applyFont="1" fillId="0" applyFill="1" borderId="24" applyBorder="1" xfId="0">
      <alignment horizontal="left" vertical="center" wrapText="1"/>
    </xf>
    <xf numFmtId="0" applyNumberFormat="1" fontId="27" applyFont="1" fillId="0" applyFill="1" borderId="39" applyBorder="1" xfId="0">
      <alignment horizontal="center" vertical="center"/>
    </xf>
    <xf numFmtId="0" applyNumberFormat="1" fontId="27" applyFont="1" fillId="0" applyFill="1" borderId="40" applyBorder="1" xfId="0">
      <alignment horizontal="center" vertical="center"/>
    </xf>
    <xf numFmtId="0" applyNumberFormat="1" fontId="49" applyFont="1" fillId="0" applyFill="1" borderId="40" applyBorder="1" xfId="0">
      <alignment horizontal="left" vertical="center" wrapText="1"/>
    </xf>
    <xf numFmtId="0" applyNumberFormat="1" fontId="27" applyFont="1" fillId="0" applyFill="1" borderId="35" applyBorder="1" xfId="0">
      <alignment horizontal="center" vertical="center"/>
    </xf>
    <xf numFmtId="0" applyNumberFormat="1" fontId="27" applyFont="1" fillId="0" applyFill="1" borderId="36" applyBorder="1" xfId="0">
      <alignment horizontal="center" vertical="center"/>
    </xf>
    <xf numFmtId="0" applyNumberFormat="1" fontId="49" applyFont="1" fillId="0" applyFill="1" borderId="67" applyBorder="1" xfId="0">
      <alignment horizontal="left" vertical="center" wrapText="1"/>
    </xf>
    <xf numFmtId="0" applyNumberFormat="1" fontId="49" applyFont="1" fillId="0" applyFill="1" borderId="61" applyBorder="1" xfId="0">
      <alignment horizontal="left" vertical="center" wrapText="1"/>
    </xf>
    <xf numFmtId="0" applyNumberFormat="1" fontId="27" applyFont="1" fillId="0" applyFill="1" borderId="30" applyBorder="1" xfId="0">
      <alignment horizontal="center" vertical="center"/>
    </xf>
    <xf numFmtId="0" applyNumberFormat="1" fontId="27" applyFont="1" fillId="0" applyFill="1" borderId="31" applyBorder="1" xfId="0">
      <alignment horizontal="center" vertical="center"/>
    </xf>
    <xf numFmtId="0" applyNumberFormat="1" fontId="49" applyFont="1" fillId="0" applyFill="1" borderId="73" applyBorder="1" xfId="0">
      <alignment horizontal="left" vertical="center" wrapText="1"/>
    </xf>
    <xf numFmtId="0" applyNumberFormat="1" fontId="49" applyFont="1" fillId="0" applyFill="1" borderId="45" applyBorder="1" xfId="0">
      <alignment horizontal="left" vertical="center" wrapText="1"/>
    </xf>
    <xf numFmtId="0" applyNumberFormat="1" fontId="49" applyFont="1" fillId="0" applyFill="1" borderId="50" applyBorder="1" xfId="0">
      <alignment horizontal="left" vertical="center" wrapText="1"/>
    </xf>
    <xf numFmtId="0" applyNumberFormat="1" fontId="2" applyFont="1" fillId="15" applyFill="1" borderId="69" applyBorder="1" xfId="0">
      <alignment horizontal="right" vertical="center"/>
      <protection hidden="1"/>
    </xf>
    <xf numFmtId="0" applyNumberFormat="1" fontId="2" applyFont="1" fillId="15" applyFill="1" borderId="73" applyBorder="1" xfId="0">
      <alignment horizontal="right" vertical="center"/>
      <protection hidden="1"/>
    </xf>
    <xf numFmtId="1" applyNumberFormat="1" fontId="4" applyFont="1" fillId="7" applyFill="1" borderId="73" applyBorder="1" xfId="0">
      <alignment horizontal="center" vertical="center" wrapText="1"/>
      <protection hidden="1"/>
    </xf>
    <xf numFmtId="38" applyNumberFormat="1" fontId="23" applyFont="1" fillId="11" applyFill="1" borderId="69" applyBorder="1" xfId="0">
      <alignment horizontal="center" vertical="center"/>
      <protection hidden="1"/>
    </xf>
    <xf numFmtId="38" applyNumberFormat="1" fontId="23" applyFont="1" fillId="11" applyFill="1" borderId="73" applyBorder="1" xfId="0">
      <alignment horizontal="center" vertical="center"/>
      <protection hidden="1"/>
    </xf>
    <xf numFmtId="164" applyNumberFormat="1" fontId="25" applyFont="1" fillId="14" applyFill="1" borderId="31" applyBorder="1" xfId="2">
      <alignment horizontal="center" vertical="center"/>
      <protection hidden="1"/>
    </xf>
    <xf numFmtId="164" applyNumberFormat="1" fontId="25" applyFont="1" fillId="14" applyFill="1" borderId="69" applyBorder="1" xfId="2">
      <alignment horizontal="center" vertical="center"/>
      <protection hidden="1"/>
    </xf>
    <xf numFmtId="0" applyNumberFormat="1" fontId="2" applyFont="1" fillId="15" applyFill="1" borderId="67" applyBorder="1" xfId="0">
      <alignment horizontal="right" vertical="center"/>
      <protection hidden="1"/>
    </xf>
    <xf numFmtId="38" applyNumberFormat="1" fontId="23" applyFont="1" fillId="11" applyFill="1" borderId="67" applyBorder="1" xfId="0">
      <alignment horizontal="center" vertical="center"/>
      <protection hidden="1"/>
    </xf>
    <xf numFmtId="164" applyNumberFormat="1" fontId="25" applyFont="1" fillId="14" applyFill="1" borderId="36" applyBorder="1" xfId="2">
      <alignment horizontal="center" vertical="center"/>
      <protection hidden="1"/>
    </xf>
    <xf numFmtId="38" applyNumberFormat="1" fontId="23" applyFont="1" fillId="11" applyFill="1" borderId="61" applyBorder="1" xfId="0">
      <alignment horizontal="center" vertical="center"/>
      <protection hidden="1"/>
    </xf>
    <xf numFmtId="164" applyNumberFormat="1" fontId="25" applyFont="1" fillId="14" applyFill="1" borderId="24" applyBorder="1" xfId="2">
      <alignment horizontal="center" vertical="center"/>
      <protection hidden="1"/>
    </xf>
    <xf numFmtId="0" applyNumberFormat="1" fontId="2" applyFont="1" fillId="15" applyFill="1" borderId="31" applyBorder="1" xfId="0">
      <alignment horizontal="right" vertical="center"/>
      <protection hidden="1"/>
    </xf>
    <xf numFmtId="1" applyNumberFormat="1" fontId="4" applyFont="1" fillId="16" applyFill="1" borderId="63" applyBorder="1" xfId="0">
      <alignment horizontal="center" vertical="center" wrapText="1"/>
      <protection hidden="1"/>
    </xf>
    <xf numFmtId="1" applyNumberFormat="1" fontId="4" applyFont="1" fillId="16" applyFill="1" borderId="66" applyBorder="1" xfId="0">
      <alignment horizontal="center" vertical="center" wrapText="1"/>
      <protection hidden="1"/>
    </xf>
    <xf numFmtId="1" applyNumberFormat="1" fontId="4" applyFont="1" fillId="16" applyFill="1" borderId="69" applyBorder="1" xfId="0">
      <alignment horizontal="center" vertical="center" wrapText="1"/>
      <protection hidden="1"/>
    </xf>
    <xf numFmtId="1" applyNumberFormat="1" fontId="4" applyFont="1" fillId="16" applyFill="1" borderId="0" applyBorder="1" xfId="0">
      <alignment horizontal="center" vertical="center" wrapText="1"/>
      <protection hidden="1"/>
    </xf>
    <xf numFmtId="0" applyNumberFormat="1" fontId="0" applyFont="1" fillId="0" applyFill="1" borderId="0" applyBorder="1" xfId="0"/>
    <xf numFmtId="38" applyNumberFormat="1" fontId="2" applyFont="1" fillId="11" applyFill="1" borderId="44" applyBorder="1" xfId="0">
      <alignment horizontal="center" vertical="center"/>
    </xf>
    <xf numFmtId="164" applyNumberFormat="1" fontId="2" applyFont="1" fillId="14" applyFill="1" borderId="21" applyBorder="1" xfId="2">
      <alignment horizontal="center" vertical="center"/>
    </xf>
    <xf numFmtId="164" applyNumberFormat="1" fontId="2" applyFont="1" fillId="14" applyFill="1" borderId="25" applyBorder="1" xfId="2">
      <alignment horizontal="center" vertical="center"/>
    </xf>
    <xf numFmtId="164" applyNumberFormat="1" fontId="2" applyFont="1" fillId="14" applyFill="1" borderId="41" applyBorder="1" xfId="2">
      <alignment horizontal="center" vertical="center"/>
    </xf>
    <xf numFmtId="38" applyNumberFormat="1" fontId="2" applyFont="1" fillId="11" applyFill="1" borderId="72" applyBorder="1" xfId="0">
      <alignment horizontal="center" vertical="center"/>
    </xf>
    <xf numFmtId="164" applyNumberFormat="1" fontId="2" applyFont="1" fillId="14" applyFill="1" borderId="72" applyBorder="1" xfId="2">
      <alignment horizontal="center" vertical="center"/>
    </xf>
    <xf numFmtId="164" applyNumberFormat="1" fontId="2" applyFont="1" fillId="14" applyFill="1" borderId="22" applyBorder="1" xfId="2">
      <alignment horizontal="center" vertical="center"/>
    </xf>
    <xf numFmtId="38" applyNumberFormat="1" fontId="2" applyFont="1" fillId="11" applyFill="1" borderId="22" applyBorder="1" xfId="0">
      <alignment horizontal="center" vertical="center"/>
    </xf>
    <xf numFmtId="38" applyNumberFormat="1" fontId="2" applyFont="1" fillId="11" applyFill="1" borderId="33" applyBorder="1" xfId="0">
      <alignment horizontal="center" vertical="center"/>
    </xf>
    <xf numFmtId="164" applyNumberFormat="1" fontId="2" applyFont="1" fillId="14" applyFill="1" borderId="33" applyBorder="1" xfId="2">
      <alignment horizontal="center" vertical="center"/>
    </xf>
    <xf numFmtId="38" applyNumberFormat="1" fontId="2" applyFont="1" fillId="11" applyFill="1" borderId="20" applyBorder="1" xfId="0">
      <alignment horizontal="center" vertical="center"/>
    </xf>
    <xf numFmtId="38" applyNumberFormat="1" fontId="2" applyFont="1" fillId="11" applyFill="1" borderId="40" applyBorder="1" xfId="0">
      <alignment horizontal="center" vertical="center"/>
    </xf>
    <xf numFmtId="0" applyNumberFormat="1" fontId="33" applyFont="1" fillId="0" applyFill="1" borderId="7" applyBorder="1" xfId="0">
      <alignment horizontal="center" vertical="center"/>
    </xf>
    <xf numFmtId="17" applyNumberFormat="1" fontId="33" applyFont="1" fillId="7" applyFill="1" borderId="12" applyBorder="1" xfId="0">
      <alignment horizontal="center" vertical="center" wrapText="1"/>
    </xf>
    <xf numFmtId="1" applyNumberFormat="1" fontId="32" applyFont="1" fillId="0" applyFill="1" borderId="20" applyBorder="1" xfId="0">
      <alignment horizontal="center" vertical="center" wrapText="1"/>
    </xf>
    <xf numFmtId="1" applyNumberFormat="1" fontId="32" applyFont="1" fillId="0" applyFill="1" borderId="21" applyBorder="1" xfId="0">
      <alignment horizontal="center" vertical="center" wrapText="1"/>
    </xf>
    <xf numFmtId="1" applyNumberFormat="1" fontId="32" applyFont="1" fillId="0" applyFill="1" borderId="19" applyBorder="1" xfId="0">
      <alignment horizontal="center" vertical="center" wrapText="1"/>
    </xf>
    <xf numFmtId="1" applyNumberFormat="1" fontId="32" applyFont="1" fillId="16" applyFill="1" borderId="24" applyBorder="1" xfId="0">
      <alignment horizontal="center" vertical="center" wrapText="1"/>
    </xf>
    <xf numFmtId="1" applyNumberFormat="1" fontId="32" applyFont="1" fillId="0" applyFill="1" borderId="24" applyBorder="1" xfId="0">
      <alignment horizontal="center" vertical="center" wrapText="1"/>
    </xf>
    <xf numFmtId="1" applyNumberFormat="1" fontId="32" applyFont="1" fillId="16" applyFill="1" borderId="25" applyBorder="1" xfId="0">
      <alignment horizontal="center" vertical="center" wrapText="1"/>
    </xf>
    <xf numFmtId="1" applyNumberFormat="1" fontId="32" applyFont="1" fillId="16" applyFill="1" borderId="27" applyBorder="1" xfId="0">
      <alignment horizontal="center" vertical="center" wrapText="1"/>
    </xf>
    <xf numFmtId="1" applyNumberFormat="1" fontId="32" applyFont="1" fillId="0" applyFill="1" borderId="25" applyBorder="1" xfId="0">
      <alignment horizontal="center" vertical="center" wrapText="1"/>
    </xf>
    <xf numFmtId="1" applyNumberFormat="1" fontId="32" applyFont="1" fillId="0" applyFill="1" borderId="27" applyBorder="1" xfId="0">
      <alignment horizontal="center" vertical="center" wrapText="1"/>
    </xf>
    <xf numFmtId="1" applyNumberFormat="1" fontId="32" applyFont="1" fillId="7" applyFill="1" borderId="24" applyBorder="1" xfId="0">
      <alignment horizontal="center" vertical="center" wrapText="1"/>
    </xf>
    <xf numFmtId="1" applyNumberFormat="1" fontId="32" applyFont="1" fillId="7" applyFill="1" borderId="25" applyBorder="1" xfId="0">
      <alignment horizontal="center" vertical="center" wrapText="1"/>
    </xf>
    <xf numFmtId="1" applyNumberFormat="1" fontId="32" applyFont="1" fillId="7" applyFill="1" borderId="27" applyBorder="1" xfId="0">
      <alignment horizontal="center" vertical="center" wrapText="1"/>
    </xf>
    <xf numFmtId="1" applyNumberFormat="1" fontId="32" applyFont="1" fillId="16" applyFill="1" borderId="40" applyBorder="1" xfId="0">
      <alignment horizontal="center" vertical="center" wrapText="1"/>
    </xf>
    <xf numFmtId="1" applyNumberFormat="1" fontId="32" applyFont="1" fillId="0" applyFill="1" borderId="40" applyBorder="1" xfId="0">
      <alignment horizontal="center" vertical="center" wrapText="1"/>
    </xf>
    <xf numFmtId="1" applyNumberFormat="1" fontId="32" applyFont="1" fillId="16" applyFill="1" borderId="41" applyBorder="1" xfId="0">
      <alignment horizontal="center" vertical="center" wrapText="1"/>
    </xf>
    <xf numFmtId="1" applyNumberFormat="1" fontId="32" applyFont="1" fillId="16" applyFill="1" borderId="39" applyBorder="1" xfId="0">
      <alignment horizontal="center" vertical="center" wrapText="1"/>
    </xf>
    <xf numFmtId="1" applyNumberFormat="1" fontId="32" applyFont="1" fillId="7" applyFill="1" borderId="40" applyBorder="1" xfId="0">
      <alignment horizontal="center" vertical="center" wrapText="1"/>
    </xf>
    <xf numFmtId="1" applyNumberFormat="1" fontId="32" applyFont="1" fillId="0" applyFill="1" borderId="35" applyBorder="1" xfId="0">
      <alignment horizontal="center" vertical="center" wrapText="1"/>
    </xf>
    <xf numFmtId="1" applyNumberFormat="1" fontId="32" applyFont="1" fillId="0" applyFill="1" borderId="36" applyBorder="1" xfId="0">
      <alignment horizontal="center" vertical="center" wrapText="1"/>
    </xf>
    <xf numFmtId="1" applyNumberFormat="1" fontId="32" applyFont="1" fillId="0" applyFill="1" borderId="37" applyBorder="1" xfId="0">
      <alignment horizontal="center" vertical="center" wrapText="1"/>
    </xf>
    <xf numFmtId="1" applyNumberFormat="1" fontId="32" applyFont="1" fillId="17" applyFill="1" borderId="35" applyBorder="1" xfId="0">
      <alignment horizontal="center" vertical="center" wrapText="1"/>
    </xf>
    <xf numFmtId="1" applyNumberFormat="1" fontId="32" applyFont="1" fillId="17" applyFill="1" borderId="36" applyBorder="1" xfId="0">
      <alignment horizontal="center" vertical="center" wrapText="1"/>
    </xf>
    <xf numFmtId="1" applyNumberFormat="1" fontId="32" applyFont="1" fillId="17" applyFill="1" borderId="37" applyBorder="1" xfId="0">
      <alignment horizontal="center" vertical="center" wrapText="1"/>
    </xf>
    <xf numFmtId="1" applyNumberFormat="1" fontId="32" applyFont="1" fillId="17" applyFill="1" borderId="66" applyBorder="1" xfId="0">
      <alignment horizontal="center" vertical="center" wrapText="1"/>
    </xf>
    <xf numFmtId="1" applyNumberFormat="1" fontId="32" applyFont="1" fillId="0" applyFill="1" borderId="24" applyBorder="1" xfId="0">
      <alignment horizontal="center" vertical="center" wrapText="1"/>
    </xf>
    <xf numFmtId="1" applyNumberFormat="1" fontId="32" applyFont="1" fillId="0" applyFill="1" borderId="25" applyBorder="1" xfId="0">
      <alignment horizontal="center" vertical="center" wrapText="1"/>
    </xf>
    <xf numFmtId="1" applyNumberFormat="1" fontId="32" applyFont="1" fillId="18" applyFill="1" borderId="27" applyBorder="1" xfId="0">
      <alignment horizontal="center" vertical="center" wrapText="1"/>
    </xf>
    <xf numFmtId="1" applyNumberFormat="1" fontId="32" applyFont="1" fillId="18" applyFill="1" borderId="24" applyBorder="1" xfId="0">
      <alignment horizontal="center" vertical="center" wrapText="1"/>
    </xf>
    <xf numFmtId="1" applyNumberFormat="1" fontId="32" applyFont="1" fillId="17" applyFill="1" borderId="24" applyBorder="1" xfId="0">
      <alignment horizontal="center" vertical="center" wrapText="1"/>
    </xf>
    <xf numFmtId="1" applyNumberFormat="1" fontId="32" applyFont="1" fillId="17" applyFill="1" borderId="25" applyBorder="1" xfId="0">
      <alignment horizontal="center" vertical="center" wrapText="1"/>
    </xf>
    <xf numFmtId="1" applyNumberFormat="1" fontId="32" applyFont="1" fillId="18" applyFill="1" borderId="23" applyBorder="1" xfId="0">
      <alignment horizontal="center" vertical="center" wrapText="1"/>
    </xf>
    <xf numFmtId="1" applyNumberFormat="1" fontId="32" applyFont="1" fillId="0" applyFill="1" borderId="27" applyBorder="1" xfId="0">
      <alignment horizontal="center" vertical="center" wrapText="1"/>
    </xf>
    <xf numFmtId="1" applyNumberFormat="1" fontId="32" applyFont="1" fillId="17" applyFill="1" borderId="27" applyBorder="1" xfId="0">
      <alignment horizontal="center" vertical="center" wrapText="1"/>
    </xf>
    <xf numFmtId="1" applyNumberFormat="1" fontId="32" applyFont="1" fillId="17" applyFill="1" borderId="23" applyBorder="1" xfId="0">
      <alignment horizontal="center" vertical="center" wrapText="1"/>
    </xf>
    <xf numFmtId="1" applyNumberFormat="1" fontId="32" applyFont="1" fillId="7" applyFill="1" borderId="23" applyBorder="1" xfId="0">
      <alignment horizontal="center" vertical="center" wrapText="1"/>
    </xf>
    <xf numFmtId="1" applyNumberFormat="1" fontId="32" applyFont="1" fillId="0" applyFill="1" borderId="30" applyBorder="1" xfId="0">
      <alignment horizontal="center" vertical="center" wrapText="1"/>
    </xf>
    <xf numFmtId="1" applyNumberFormat="1" fontId="32" applyFont="1" fillId="0" applyFill="1" borderId="31" applyBorder="1" xfId="0">
      <alignment horizontal="center" vertical="center" wrapText="1"/>
    </xf>
    <xf numFmtId="1" applyNumberFormat="1" fontId="32" applyFont="1" fillId="0" applyFill="1" borderId="32" applyBorder="1" xfId="0">
      <alignment horizontal="center" vertical="center" wrapText="1"/>
    </xf>
    <xf numFmtId="1" applyNumberFormat="1" fontId="32" applyFont="1" fillId="7" applyFill="1" borderId="30" applyBorder="1" xfId="0">
      <alignment horizontal="center" vertical="center" wrapText="1"/>
    </xf>
    <xf numFmtId="1" applyNumberFormat="1" fontId="32" applyFont="1" fillId="7" applyFill="1" borderId="31" applyBorder="1" xfId="0">
      <alignment horizontal="center" vertical="center" wrapText="1"/>
    </xf>
    <xf numFmtId="1" applyNumberFormat="1" fontId="32" applyFont="1" fillId="7" applyFill="1" borderId="32" applyBorder="1" xfId="0">
      <alignment horizontal="center" vertical="center" wrapText="1"/>
    </xf>
    <xf numFmtId="1" applyNumberFormat="1" fontId="32" applyFont="1" fillId="7" applyFill="1" borderId="65" applyBorder="1" xfId="0">
      <alignment horizontal="center" vertical="center" wrapText="1"/>
    </xf>
    <xf numFmtId="1" applyNumberFormat="1" fontId="32" applyFont="1" fillId="7" applyFill="1" borderId="21" applyBorder="1" xfId="0">
      <alignment horizontal="center" vertical="center" wrapText="1"/>
    </xf>
    <xf numFmtId="1" applyNumberFormat="1" fontId="32" applyFont="1" fillId="7" applyFill="1" borderId="19" applyBorder="1" xfId="0">
      <alignment horizontal="center" vertical="center" wrapText="1"/>
    </xf>
    <xf numFmtId="1" applyNumberFormat="1" fontId="32" applyFont="1" fillId="7" applyFill="1" borderId="20" applyBorder="1" xfId="0">
      <alignment horizontal="center" vertical="center" wrapText="1"/>
    </xf>
    <xf numFmtId="1" applyNumberFormat="1" fontId="32" applyFont="1" fillId="7" applyFill="1" borderId="44" applyBorder="1" xfId="0">
      <alignment horizontal="center" vertical="center" wrapText="1"/>
    </xf>
    <xf numFmtId="1" applyNumberFormat="1" fontId="32" applyFont="1" fillId="0" applyFill="1" borderId="39" applyBorder="1" xfId="0">
      <alignment horizontal="center" vertical="center" wrapText="1"/>
    </xf>
    <xf numFmtId="1" applyNumberFormat="1" fontId="32" applyFont="1" fillId="0" applyFill="1" borderId="41" applyBorder="1" xfId="2">
      <alignment horizontal="center" vertical="center" wrapText="1"/>
    </xf>
    <xf numFmtId="38" applyNumberFormat="1" fontId="32" applyFont="1" fillId="0" applyFill="1" borderId="39" applyBorder="1" xfId="0">
      <alignment horizontal="center" vertical="center" wrapText="1"/>
    </xf>
    <xf numFmtId="38" applyNumberFormat="1" fontId="32" applyFont="1" fillId="0" applyFill="1" borderId="40" applyBorder="1" xfId="0">
      <alignment horizontal="center" vertical="center" wrapText="1"/>
    </xf>
    <xf numFmtId="38" applyNumberFormat="1" fontId="32" applyFont="1" fillId="0" applyFill="1" borderId="49" applyBorder="1" xfId="0">
      <alignment horizontal="center" vertical="center" wrapText="1"/>
    </xf>
    <xf numFmtId="0" applyNumberFormat="1" fontId="32" applyFont="1" fillId="0" applyFill="1" borderId="0" applyBorder="1" xfId="0"/>
    <xf numFmtId="0" applyNumberFormat="1" fontId="39" applyFont="1" fillId="0" applyFill="1" borderId="0" applyBorder="1" xfId="0">
      <alignment horizontal="left"/>
      <protection hidden="1"/>
    </xf>
    <xf numFmtId="0" applyNumberFormat="1" fontId="11" applyFont="1" fillId="12" applyFill="1" borderId="63" applyBorder="1" xfId="0">
      <protection hidden="1"/>
    </xf>
    <xf numFmtId="0" applyNumberFormat="1" fontId="34" applyFont="1" fillId="12" applyFill="1" borderId="63" applyBorder="1" xfId="0">
      <alignment horizontal="right"/>
      <protection hidden="1"/>
    </xf>
    <xf numFmtId="0" applyNumberFormat="1" fontId="35" applyFont="1" fillId="12" applyFill="1" borderId="63" applyBorder="1" xfId="0">
      <protection hidden="1"/>
    </xf>
    <xf numFmtId="0" applyNumberFormat="1" fontId="32" applyFont="1" fillId="12" applyFill="1" borderId="63" applyBorder="1" xfId="0">
      <protection hidden="1"/>
    </xf>
    <xf numFmtId="0" applyNumberFormat="1" fontId="36" applyFont="1" fillId="12" applyFill="1" borderId="63" applyBorder="1" xfId="0">
      <protection hidden="1"/>
    </xf>
    <xf numFmtId="0" applyNumberFormat="1" fontId="0" applyFont="1" fillId="0" applyFill="1" borderId="0" applyBorder="1" xfId="0"/>
    <xf numFmtId="0" applyNumberFormat="1" fontId="2" applyFont="1" fillId="12" applyFill="1" borderId="0" applyBorder="1" xfId="0">
      <alignment vertical="center"/>
      <protection hidden="1"/>
    </xf>
    <xf numFmtId="0" applyNumberFormat="1" fontId="0" applyFont="1" fillId="12" applyFill="1" borderId="0" applyBorder="1" xfId="0">
      <alignment vertical="center" wrapText="1"/>
      <protection hidden="1"/>
    </xf>
    <xf numFmtId="0" applyNumberFormat="1" fontId="0" applyFont="1" fillId="12" applyFill="1" borderId="0" applyBorder="1" xfId="0">
      <alignment vertical="center"/>
      <protection hidden="1"/>
    </xf>
    <xf numFmtId="0" applyNumberFormat="1" fontId="0" applyFont="1" fillId="0" applyFill="1" borderId="0" applyBorder="1" xfId="0">
      <alignment vertical="center"/>
      <protection hidden="1"/>
    </xf>
    <xf numFmtId="0" applyNumberFormat="1" fontId="0" applyFont="1" fillId="0" applyFill="1" borderId="0" applyBorder="1" xfId="0">
      <alignment vertical="center" wrapText="1"/>
      <protection hidden="1"/>
    </xf>
    <xf numFmtId="0" applyNumberFormat="1" fontId="38" applyFont="1" fillId="0" applyFill="1" borderId="61" applyBorder="1" xfId="0">
      <alignment wrapText="1"/>
      <protection hidden="1"/>
    </xf>
    <xf numFmtId="0" applyNumberFormat="1" fontId="39" applyFont="1" fillId="15" applyFill="1" borderId="24" applyBorder="1" xfId="0">
      <alignment horizontal="right" vertical="center"/>
      <protection hidden="1"/>
    </xf>
    <xf numFmtId="0" applyNumberFormat="1" fontId="43" applyFont="1" fillId="15" applyFill="1" borderId="24" applyBorder="1" xfId="0">
      <alignment vertical="center" wrapText="1"/>
      <protection hidden="1"/>
    </xf>
    <xf numFmtId="1" applyNumberFormat="1" fontId="41" applyFont="1" fillId="15" applyFill="1" borderId="73" applyBorder="1" xfId="0">
      <alignment horizontal="center" vertical="center"/>
      <protection hidden="1"/>
    </xf>
    <xf numFmtId="1" applyNumberFormat="1" fontId="41" applyFont="1" fillId="15" applyFill="1" borderId="29" applyBorder="1" xfId="0">
      <alignment horizontal="center" vertical="center"/>
      <protection hidden="1"/>
    </xf>
    <xf numFmtId="1" applyNumberFormat="1" fontId="41" applyFont="1" fillId="15" applyFill="1" borderId="23" applyBorder="1" xfId="0">
      <alignment horizontal="center" vertical="center"/>
      <protection hidden="1"/>
    </xf>
    <xf numFmtId="0" applyNumberFormat="1" fontId="0" applyFont="1" fillId="0" applyFill="1" borderId="0" applyBorder="1" xfId="0">
      <alignment horizontal="left"/>
      <protection hidden="1"/>
    </xf>
    <xf numFmtId="0" applyNumberFormat="1" fontId="38" applyFont="1" fillId="0" applyFill="1" borderId="61" applyBorder="1" xfId="0">
      <protection hidden="1"/>
    </xf>
    <xf numFmtId="0" applyNumberFormat="1" fontId="39" applyFont="1" fillId="15" applyFill="1" borderId="31" applyBorder="1" xfId="0">
      <alignment vertical="center"/>
      <protection hidden="1"/>
    </xf>
    <xf numFmtId="0" applyNumberFormat="1" fontId="43" applyFont="1" fillId="15" applyFill="1" borderId="29" applyBorder="1" xfId="0">
      <alignment vertical="center" wrapText="1"/>
      <protection hidden="1"/>
    </xf>
    <xf numFmtId="0" applyNumberFormat="1" fontId="43" applyFont="1" fillId="15" applyFill="1" borderId="66" applyBorder="1" xfId="0">
      <alignment vertical="center" wrapText="1"/>
      <protection hidden="1"/>
    </xf>
    <xf numFmtId="0" applyNumberFormat="1" fontId="53" applyFont="1" fillId="15" applyFill="1" borderId="71" applyBorder="1" xfId="0">
      <alignment vertical="center"/>
      <protection hidden="1"/>
    </xf>
    <xf numFmtId="0" applyNumberFormat="1" fontId="43" applyFont="1" fillId="15" applyFill="1" borderId="23" applyBorder="1" xfId="0">
      <alignment vertical="center" wrapText="1"/>
      <protection hidden="1"/>
    </xf>
    <xf numFmtId="0" applyNumberFormat="1" fontId="43" applyFont="1" fillId="15" applyFill="1" borderId="0" applyBorder="1" xfId="0">
      <alignment vertical="center" wrapText="1"/>
      <protection hidden="1"/>
    </xf>
    <xf numFmtId="0" applyNumberFormat="1" fontId="53" applyFont="1" fillId="15" applyFill="1" borderId="36" applyBorder="1" xfId="0">
      <alignment vertical="center"/>
      <protection hidden="1"/>
    </xf>
    <xf numFmtId="0" applyNumberFormat="1" fontId="43" applyFont="1" fillId="15" applyFill="1" borderId="63" applyBorder="1" xfId="0">
      <alignment vertical="center" wrapText="1"/>
      <protection hidden="1"/>
    </xf>
    <xf numFmtId="0" applyNumberFormat="1" fontId="43" applyFont="1" fillId="15" applyFill="1" borderId="63" applyBorder="1" xfId="0">
      <alignment horizontal="center" vertical="center" wrapText="1"/>
      <protection hidden="1"/>
    </xf>
    <xf numFmtId="0" applyNumberFormat="1" fontId="43" applyFont="1" fillId="15" applyFill="1" borderId="66" applyBorder="1" xfId="0">
      <alignment horizontal="center" vertical="center" wrapText="1"/>
      <protection hidden="1"/>
    </xf>
    <xf numFmtId="0" applyNumberFormat="1" fontId="40" applyFont="1" fillId="19" applyFill="1" borderId="24" applyBorder="1" xfId="0">
      <alignment horizontal="center" vertical="center" wrapText="1"/>
      <protection hidden="1"/>
    </xf>
    <xf numFmtId="0" applyNumberFormat="1" fontId="38" applyFont="1" fillId="15" applyFill="1" borderId="24" applyBorder="1" xfId="0">
      <alignment horizontal="right" vertical="center"/>
      <protection hidden="1"/>
    </xf>
    <xf numFmtId="0" applyNumberFormat="1" fontId="46" applyFont="1" fillId="15" applyFill="1" borderId="36" applyBorder="1" xfId="0">
      <alignment vertical="center"/>
      <protection hidden="1"/>
    </xf>
    <xf numFmtId="0" applyNumberFormat="1" fontId="40" applyFont="1" fillId="15" applyFill="1" borderId="36" applyBorder="1" xfId="0">
      <alignment horizontal="center" vertical="center"/>
      <protection hidden="1"/>
    </xf>
    <xf numFmtId="0" applyNumberFormat="1" fontId="40" applyFont="1" fillId="15" applyFill="1" borderId="24" applyBorder="1" xfId="0">
      <alignment horizontal="center" vertical="center"/>
      <protection hidden="1"/>
    </xf>
    <xf numFmtId="0" applyNumberFormat="1" fontId="42" applyFont="1" fillId="15" applyFill="1" borderId="24" applyBorder="1" xfId="0">
      <alignment vertical="center" wrapText="1"/>
      <protection hidden="1"/>
    </xf>
    <xf numFmtId="0" applyNumberFormat="1" fontId="50" applyFont="1" fillId="15" applyFill="1" borderId="24" applyBorder="1" xfId="0">
      <alignment vertical="center"/>
      <protection hidden="1"/>
    </xf>
    <xf numFmtId="1" applyNumberFormat="1" fontId="44" applyFont="1" fillId="0" applyFill="1" borderId="24" applyBorder="1" xfId="0">
      <alignment horizontal="center" vertical="center"/>
      <protection hidden="1"/>
    </xf>
    <xf numFmtId="0" applyNumberFormat="1" fontId="51" applyFont="1" fillId="15" applyFill="1" borderId="61" applyBorder="1" xfId="0">
      <alignment vertical="center"/>
      <protection hidden="1"/>
    </xf>
    <xf numFmtId="1" applyNumberFormat="1" fontId="44" applyFont="1" fillId="15" applyFill="1" borderId="29" applyBorder="1" xfId="0">
      <alignment horizontal="center" vertical="center"/>
      <protection hidden="1"/>
    </xf>
    <xf numFmtId="1" applyNumberFormat="1" fontId="44" applyFont="1" fillId="15" applyFill="1" borderId="23" applyBorder="1" xfId="0">
      <alignment horizontal="center" vertical="center"/>
      <protection hidden="1"/>
    </xf>
    <xf numFmtId="0" applyNumberFormat="1" fontId="43" applyFont="1" fillId="15" applyFill="1" borderId="24" applyBorder="1" xfId="0">
      <alignment vertical="center"/>
      <protection hidden="1"/>
    </xf>
    <xf numFmtId="9" applyNumberFormat="1" fontId="44" applyFont="1" fillId="15" applyFill="1" borderId="24" applyBorder="1" xfId="2">
      <alignment horizontal="center" vertical="center"/>
      <protection hidden="1"/>
    </xf>
    <xf numFmtId="0" applyNumberFormat="1" fontId="2" applyFont="1" fillId="0" applyFill="1" borderId="0" applyBorder="1" xfId="0">
      <protection hidden="1"/>
    </xf>
    <xf numFmtId="0" applyNumberFormat="1" fontId="38" applyFont="1" fillId="0" applyFill="1" borderId="24" applyBorder="1" xfId="0">
      <alignment horizontal="right" vertical="center"/>
      <protection hidden="1"/>
    </xf>
    <xf numFmtId="0" applyNumberFormat="1" fontId="42" applyFont="1" fillId="0" applyFill="1" borderId="24" applyBorder="1" xfId="0">
      <alignment vertical="center" wrapText="1"/>
      <protection hidden="1"/>
    </xf>
    <xf numFmtId="1" applyNumberFormat="1" fontId="44" applyFont="1" fillId="0" applyFill="1" borderId="31" applyBorder="1" xfId="0">
      <alignment horizontal="center" vertical="center"/>
      <protection hidden="1"/>
    </xf>
    <xf numFmtId="1" applyNumberFormat="1" fontId="44" applyFont="1" fillId="0" applyFill="1" borderId="24" applyBorder="1" xfId="0">
      <alignment horizontal="center" vertical="center"/>
      <protection hidden="1"/>
    </xf>
    <xf numFmtId="0" applyNumberFormat="1" fontId="52" applyFont="1" fillId="15" applyFill="1" borderId="31" applyBorder="1" xfId="0">
      <alignment vertical="center"/>
      <protection hidden="1"/>
    </xf>
    <xf numFmtId="0" applyNumberFormat="1" fontId="43" applyFont="1" fillId="15" applyFill="1" borderId="29" applyBorder="1" xfId="0">
      <alignment vertical="center"/>
      <protection hidden="1"/>
    </xf>
    <xf numFmtId="0" applyNumberFormat="1" fontId="54" applyFont="1" fillId="15" applyFill="1" borderId="71" applyBorder="1" xfId="0">
      <alignment vertical="center"/>
      <protection hidden="1"/>
    </xf>
    <xf numFmtId="0" applyNumberFormat="1" fontId="43" applyFont="1" fillId="15" applyFill="1" borderId="65" applyBorder="1" xfId="0">
      <alignment vertical="center" wrapText="1"/>
      <protection hidden="1"/>
    </xf>
    <xf numFmtId="0" applyNumberFormat="1" fontId="54" applyFont="1" fillId="15" applyFill="1" borderId="36" applyBorder="1" xfId="0">
      <alignment vertical="center"/>
      <protection hidden="1"/>
    </xf>
    <xf numFmtId="0" applyNumberFormat="1" fontId="43" applyFont="1" fillId="15" applyFill="1" borderId="61" applyBorder="1" xfId="0">
      <alignment vertical="center" wrapText="1"/>
      <protection hidden="1"/>
    </xf>
    <xf numFmtId="0" applyNumberFormat="1" fontId="43" applyFont="1" fillId="15" applyFill="1" borderId="23" applyBorder="1" xfId="0">
      <alignment horizontal="center" vertical="center" wrapText="1"/>
      <protection hidden="1"/>
    </xf>
    <xf numFmtId="0" applyNumberFormat="1" fontId="46" applyFont="1" fillId="15" applyFill="1" borderId="24" applyBorder="1" xfId="0">
      <alignment vertical="center"/>
      <protection hidden="1"/>
    </xf>
    <xf numFmtId="0" applyNumberFormat="1" fontId="38" applyFont="1" fillId="0" applyFill="1" borderId="61" applyBorder="1" xfId="0">
      <alignment horizontal="right"/>
      <protection hidden="1"/>
    </xf>
    <xf numFmtId="0" applyNumberFormat="1" fontId="50" applyFont="1" fillId="15" applyFill="1" borderId="24" applyBorder="1" xfId="0">
      <alignment vertical="center" wrapText="1"/>
      <protection hidden="1"/>
    </xf>
    <xf numFmtId="0" applyNumberFormat="1" fontId="43" applyFont="1" fillId="0" applyFill="1" borderId="0" applyBorder="1" xfId="0">
      <alignment horizontal="left"/>
      <protection hidden="1"/>
    </xf>
    <xf numFmtId="1" applyNumberFormat="1" fontId="40" applyFont="1" fillId="15" applyFill="1" borderId="36" applyBorder="1" xfId="0">
      <alignment horizontal="center" vertical="center"/>
      <protection hidden="1"/>
    </xf>
    <xf numFmtId="1" applyNumberFormat="1" fontId="40" applyFont="1" fillId="15" applyFill="1" borderId="24" applyBorder="1" xfId="0">
      <alignment horizontal="center" vertical="center"/>
      <protection hidden="1"/>
    </xf>
    <xf numFmtId="0" applyNumberFormat="1" fontId="44" applyFont="1" fillId="15" applyFill="1" borderId="24" applyBorder="1" xfId="0">
      <alignment vertical="center" wrapText="1"/>
      <protection hidden="1"/>
    </xf>
    <xf numFmtId="0" applyNumberFormat="1" fontId="0" applyFont="1" fillId="0" applyFill="1" borderId="0" applyBorder="1" xfId="0">
      <protection hidden="1"/>
    </xf>
    <xf numFmtId="0" applyNumberFormat="1" fontId="42" applyFont="1" fillId="0" applyFill="1" borderId="24" applyBorder="1" xfId="0">
      <alignment vertical="center" wrapText="1"/>
      <protection hidden="1"/>
    </xf>
    <xf numFmtId="1" applyNumberFormat="1" fontId="44" applyFont="1" fillId="0" applyFill="1" borderId="31" applyBorder="1" xfId="0">
      <alignment horizontal="center" vertical="center"/>
      <protection hidden="1"/>
    </xf>
    <xf numFmtId="0" applyNumberFormat="1" fontId="0" applyFont="1" fillId="15" applyFill="1" borderId="24" applyBorder="1" xfId="0">
      <alignment vertical="center"/>
      <protection hidden="1"/>
    </xf>
    <xf numFmtId="0" applyNumberFormat="1" fontId="38" applyFont="1" fillId="0" applyFill="1" borderId="31" applyBorder="1" xfId="0">
      <alignment horizontal="right" vertical="center"/>
      <protection hidden="1"/>
    </xf>
    <xf numFmtId="0" applyNumberFormat="1" fontId="43" applyFont="1" fillId="15" applyFill="1" borderId="29" applyBorder="1" xfId="0">
      <alignment horizontal="center" vertical="center" wrapText="1"/>
      <protection hidden="1"/>
    </xf>
    <xf numFmtId="0" applyNumberFormat="1" fontId="46" applyFont="1" fillId="15" applyFill="1" borderId="24" applyBorder="1" xfId="0">
      <alignment vertical="center" wrapText="1"/>
      <protection hidden="1"/>
    </xf>
    <xf numFmtId="0" applyNumberFormat="1" fontId="43" applyFont="1" fillId="0" applyFill="1" borderId="24" applyBorder="1" xfId="0">
      <alignment vertical="center" wrapText="1"/>
      <protection hidden="1"/>
    </xf>
    <xf numFmtId="1" applyNumberFormat="1" fontId="45" applyFont="1" fillId="0" applyFill="1" borderId="31" applyBorder="1" xfId="0">
      <alignment horizontal="center" vertical="center"/>
      <protection hidden="1"/>
    </xf>
    <xf numFmtId="1" applyNumberFormat="1" fontId="45" applyFont="1" fillId="0" applyFill="1" borderId="24" applyBorder="1" xfId="0">
      <alignment horizontal="center" vertical="center"/>
      <protection hidden="1"/>
    </xf>
    <xf numFmtId="0" applyNumberFormat="1" fontId="39" applyFont="1" fillId="15" applyFill="1" borderId="24" applyBorder="1" xfId="0">
      <alignment vertical="center"/>
      <protection hidden="1"/>
    </xf>
    <xf numFmtId="0" applyNumberFormat="1" fontId="53" applyFont="1" fillId="15" applyFill="1" borderId="24" applyBorder="1" xfId="0">
      <alignment vertical="center"/>
      <protection hidden="1"/>
    </xf>
    <xf numFmtId="0" applyNumberFormat="1" fontId="42" applyFont="1" fillId="15" applyFill="1" borderId="24" applyBorder="1" xfId="0">
      <alignment vertical="center"/>
      <protection hidden="1"/>
    </xf>
    <xf numFmtId="9" applyNumberFormat="1" fontId="44" applyFont="1" fillId="15" applyFill="1" borderId="24" applyBorder="1" xfId="2">
      <alignment horizontal="center" vertical="center" wrapText="1"/>
      <protection hidden="1"/>
    </xf>
    <xf numFmtId="0" applyNumberFormat="1" fontId="38" applyFont="1" fillId="0" applyFill="1" borderId="0" applyBorder="1" xfId="0">
      <protection hidden="1"/>
    </xf>
    <xf numFmtId="0" applyNumberFormat="1" fontId="39" applyFont="1" fillId="0" applyFill="1" borderId="0" applyBorder="1" xfId="0">
      <alignment horizontal="left" vertical="top"/>
      <protection hidden="1"/>
    </xf>
    <xf numFmtId="0" applyNumberFormat="1" fontId="0" applyFont="1" fillId="0" applyFill="1" borderId="0" applyBorder="1" xfId="0">
      <alignment horizontal="left"/>
      <protection hidden="1"/>
    </xf>
    <xf numFmtId="0" applyNumberFormat="1" fontId="0" applyFont="1" fillId="0" applyFill="1" borderId="0" applyBorder="1" xfId="0">
      <alignment horizontal="left" vertical="center"/>
      <protection hidden="1"/>
    </xf>
    <xf numFmtId="0" applyNumberFormat="1" fontId="0" applyFont="1" fillId="0" applyFill="1" borderId="0" applyBorder="1" xfId="0">
      <alignment vertical="center"/>
      <protection hidden="1"/>
    </xf>
    <xf numFmtId="0" applyNumberFormat="1" fontId="0" applyFont="1" fillId="0" applyFill="1" borderId="23" applyBorder="1" xfId="0">
      <alignment vertical="center"/>
      <protection hidden="1"/>
    </xf>
    <xf numFmtId="0" applyNumberFormat="1" fontId="0" applyFont="1" fillId="0" applyFill="1" borderId="24" applyBorder="1" xfId="0">
      <alignment vertical="center"/>
      <protection hidden="1"/>
    </xf>
    <xf numFmtId="0" applyNumberFormat="1" fontId="0" applyFont="1" fillId="12" applyFill="1" borderId="24" applyBorder="1" xfId="0">
      <alignment vertical="center"/>
      <protection hidden="1"/>
    </xf>
    <xf numFmtId="0" applyNumberFormat="1" fontId="0" applyFont="1" fillId="0" applyFill="1" borderId="0" applyBorder="1" xfId="0">
      <protection hidden="1"/>
    </xf>
    <xf numFmtId="0" applyNumberFormat="1" fontId="0" applyFont="1" fillId="0" applyFill="1" borderId="0" applyBorder="1" xfId="0">
      <protection hidden="1"/>
    </xf>
    <xf numFmtId="0" applyNumberFormat="1" fontId="2" applyFont="1" fillId="0" applyFill="1" borderId="0" applyBorder="1" xfId="0">
      <alignment horizontal="left"/>
      <protection hidden="1"/>
    </xf>
    <xf numFmtId="0" applyNumberFormat="1" fontId="0" applyFont="1" fillId="0" applyFill="1" borderId="0" applyBorder="1" xfId="0">
      <alignment horizontal="left" wrapText="1"/>
      <protection hidden="1"/>
    </xf>
    <xf numFmtId="0" applyNumberFormat="1" fontId="0" applyFont="1" fillId="0" applyFill="1" borderId="0" applyBorder="1" xfId="0">
      <alignment wrapText="1"/>
      <protection hidden="1"/>
    </xf>
    <xf numFmtId="0" applyNumberFormat="1" fontId="0" applyFont="1" fillId="13" applyFill="1" borderId="0" applyBorder="1" xfId="0">
      <alignment horizontal="left"/>
      <protection hidden="1"/>
    </xf>
    <xf numFmtId="0" applyNumberFormat="1" fontId="0" applyFont="1" fillId="13" applyFill="1" borderId="0" applyBorder="1" xfId="0">
      <protection hidden="1"/>
    </xf>
    <xf numFmtId="0" applyNumberFormat="1" fontId="40" applyFont="1" fillId="0" applyFill="1" borderId="24" applyBorder="1" xfId="0">
      <alignment horizontal="center" vertical="center" wrapText="1"/>
      <protection locked="0" hidden="1"/>
    </xf>
    <xf numFmtId="0" applyNumberFormat="1" fontId="44" applyFont="1" fillId="0" applyFill="1" borderId="24" applyBorder="1" xfId="0">
      <alignment horizontal="center" vertical="center" wrapText="1"/>
      <protection locked="0" hidden="1"/>
    </xf>
    <xf numFmtId="1" applyNumberFormat="1" fontId="44" applyFont="1" fillId="0" applyFill="1" borderId="24" applyBorder="1" xfId="0">
      <alignment horizontal="center" vertical="center"/>
      <protection locked="0" hidden="1"/>
    </xf>
    <xf numFmtId="1" applyNumberFormat="1" fontId="32" applyFont="1" fillId="0" applyFill="1" borderId="40" applyBorder="1" xfId="2">
      <alignment horizontal="center" vertical="center" wrapText="1"/>
    </xf>
    <xf numFmtId="0" applyNumberFormat="1" fontId="33" applyFont="1" fillId="12" applyFill="1" borderId="0" applyBorder="1" xfId="0">
      <alignment horizontal="right"/>
      <protection hidden="1"/>
    </xf>
    <xf numFmtId="0" applyNumberFormat="1" fontId="2" applyFont="1" fillId="15" applyFill="1" borderId="61" applyBorder="1" xfId="0">
      <alignment horizontal="center" vertical="center"/>
      <protection hidden="1"/>
    </xf>
    <xf numFmtId="1" applyNumberFormat="1" fontId="2" applyFont="1" fillId="12" applyFill="1" borderId="63" applyBorder="1" xfId="0">
      <alignment horizontal="right"/>
      <protection hidden="1"/>
    </xf>
    <xf numFmtId="1" applyNumberFormat="1" fontId="0" applyFont="1" fillId="0" applyFill="1" borderId="0" applyBorder="1" xfId="0"/>
    <xf numFmtId="1" applyNumberFormat="1" fontId="0" applyFont="1" fillId="12" applyFill="1" borderId="63" applyBorder="1" xfId="0">
      <protection locked="0" hidden="1"/>
    </xf>
    <xf numFmtId="0" applyNumberFormat="1" fontId="11" applyFont="1" fillId="12" applyFill="1" borderId="63" applyBorder="1" xfId="0">
      <protection locked="0" hidden="1"/>
    </xf>
    <xf numFmtId="0" applyNumberFormat="1" fontId="37" applyFont="1" fillId="12" applyFill="1" borderId="63" applyBorder="1" xfId="0">
      <protection locked="0" hidden="1"/>
    </xf>
    <xf numFmtId="15" applyNumberFormat="1" fontId="36" applyFont="1" fillId="12" applyFill="1" borderId="63" applyBorder="1" xfId="0">
      <protection locked="0" hidden="1"/>
    </xf>
    <xf numFmtId="0" applyNumberFormat="1" fontId="32" applyFont="1" fillId="12" applyFill="1" borderId="63" applyBorder="1" xfId="0">
      <protection locked="0" hidden="1"/>
    </xf>
    <xf numFmtId="1" applyNumberFormat="1" fontId="2" applyFont="1" fillId="0" applyFill="1" borderId="0" applyBorder="1" xfId="0"/>
    <xf numFmtId="1" applyNumberFormat="1" fontId="0" applyFont="1" fillId="0" applyFill="1" borderId="0" applyBorder="1" xfId="0"/>
    <xf numFmtId="0" applyNumberFormat="1" fontId="48" applyFont="1" fillId="15" applyFill="1" borderId="1" applyBorder="1" xfId="0">
      <alignment horizontal="right"/>
    </xf>
    <xf numFmtId="0" applyNumberFormat="1" fontId="48" applyFont="1" fillId="15" applyFill="1" borderId="2" applyBorder="1" xfId="0">
      <alignment horizontal="right"/>
    </xf>
    <xf numFmtId="0" applyNumberFormat="1" fontId="48" applyFont="1" fillId="15" applyFill="1" borderId="52" applyBorder="1" xfId="0">
      <alignment horizontal="right"/>
    </xf>
    <xf numFmtId="1" applyNumberFormat="1" fontId="33" applyFont="1" fillId="7" applyFill="1" borderId="53" applyBorder="1" xfId="0">
      <alignment horizontal="center" vertical="center"/>
    </xf>
    <xf numFmtId="0" applyNumberFormat="1" fontId="33" applyFont="1" fillId="7" applyFill="1" borderId="6" applyBorder="1" xfId="0">
      <alignment horizontal="center" vertical="center"/>
    </xf>
    <xf numFmtId="0" applyNumberFormat="1" fontId="33" applyFont="1" fillId="7" applyFill="1" borderId="5" applyBorder="1" xfId="0">
      <alignment horizontal="center" vertical="center"/>
    </xf>
    <xf numFmtId="0" applyNumberFormat="1" fontId="33" applyFont="1" fillId="15" applyFill="1" borderId="4" applyBorder="1" xfId="0">
      <alignment horizontal="right"/>
    </xf>
    <xf numFmtId="0" applyNumberFormat="1" fontId="33" applyFont="1" fillId="15" applyFill="1" borderId="6" applyBorder="1" xfId="0">
      <alignment horizontal="right"/>
    </xf>
    <xf numFmtId="0" applyNumberFormat="1" fontId="2" applyFont="1" fillId="7" applyFill="1" borderId="4" applyBorder="1" xfId="0">
      <alignment horizontal="center" vertical="center"/>
    </xf>
    <xf numFmtId="0" applyNumberFormat="1" fontId="2" applyFont="1" fillId="7" applyFill="1" borderId="6" applyBorder="1" xfId="0">
      <alignment horizontal="center" vertical="center"/>
    </xf>
    <xf numFmtId="0" applyNumberFormat="1" fontId="2" applyFont="1" fillId="7" applyFill="1" borderId="5" applyBorder="1" xfId="0">
      <alignment horizontal="center" vertical="center"/>
    </xf>
    <xf numFmtId="0" applyNumberFormat="1" fontId="47" applyFont="1" fillId="2" applyFill="1" borderId="4" applyBorder="1" xfId="0">
      <alignment horizontal="center" vertical="center"/>
    </xf>
    <xf numFmtId="0" applyNumberFormat="1" fontId="47" applyFont="1" fillId="2" applyFill="1" borderId="6" applyBorder="1" xfId="0">
      <alignment horizontal="center" vertical="center"/>
    </xf>
    <xf numFmtId="0" applyNumberFormat="1" fontId="47" applyFont="1" fillId="2" applyFill="1" borderId="5" applyBorder="1" xfId="0">
      <alignment horizontal="center" vertical="center"/>
    </xf>
    <xf numFmtId="0" applyNumberFormat="1" fontId="2" applyFont="1" fillId="14" applyFill="1" borderId="12" applyBorder="1" xfId="0">
      <alignment horizontal="center" vertical="center" wrapText="1"/>
    </xf>
    <xf numFmtId="0" applyNumberFormat="1" fontId="2" applyFont="1" fillId="14" applyFill="1" borderId="42" applyBorder="1" xfId="0">
      <alignment horizontal="center" vertical="center" wrapText="1"/>
    </xf>
    <xf numFmtId="0" applyNumberFormat="1" fontId="25" applyFont="1" fillId="0" applyFill="1" borderId="12" applyBorder="1" xfId="0">
      <alignment horizontal="center"/>
    </xf>
    <xf numFmtId="0" applyNumberFormat="1" fontId="25" applyFont="1" fillId="0" applyFill="1" borderId="42" applyBorder="1" xfId="0">
      <alignment horizontal="center"/>
    </xf>
    <xf numFmtId="17" applyNumberFormat="1" fontId="33" applyFont="1" fillId="0" applyFill="1" borderId="4" applyBorder="1" xfId="0">
      <alignment horizontal="center" vertical="center"/>
    </xf>
    <xf numFmtId="17" applyNumberFormat="1" fontId="33" applyFont="1" fillId="0" applyFill="1" borderId="6" applyBorder="1" xfId="0">
      <alignment horizontal="center" vertical="center"/>
    </xf>
    <xf numFmtId="17" applyNumberFormat="1" fontId="33" applyFont="1" fillId="0" applyFill="1" borderId="5" applyBorder="1" xfId="0">
      <alignment horizontal="center" vertical="center"/>
    </xf>
    <xf numFmtId="0" applyNumberFormat="1" fontId="33" applyFont="1" fillId="0" applyFill="1" borderId="6" applyBorder="1" xfId="0">
      <alignment horizontal="center" vertical="center"/>
    </xf>
    <xf numFmtId="0" applyNumberFormat="1" fontId="33" applyFont="1" fillId="0" applyFill="1" borderId="5" applyBorder="1" xfId="0">
      <alignment horizontal="center" vertical="center"/>
    </xf>
    <xf numFmtId="0" applyNumberFormat="1" fontId="2" applyFont="1" fillId="11" applyFill="1" borderId="12" applyBorder="1" xfId="0">
      <alignment horizontal="center" vertical="center" wrapText="1"/>
    </xf>
    <xf numFmtId="0" applyNumberFormat="1" fontId="2" applyFont="1" fillId="11" applyFill="1" borderId="42" applyBorder="1" xfId="0">
      <alignment horizontal="center" vertical="center" wrapText="1"/>
    </xf>
    <xf numFmtId="0" applyNumberFormat="1" fontId="2" applyFont="1" fillId="3" applyFill="1" borderId="61" applyBorder="1" xfId="0">
      <alignment horizontal="center" vertical="center"/>
      <protection hidden="1"/>
    </xf>
    <xf numFmtId="0" applyNumberFormat="1" fontId="2" applyFont="1" fillId="3" applyFill="1" borderId="23" applyBorder="1" xfId="0">
      <alignment horizontal="center" vertical="center"/>
      <protection hidden="1"/>
    </xf>
    <xf numFmtId="1" applyNumberFormat="1" fontId="2" applyFont="1" fillId="12" applyFill="1" borderId="63" applyBorder="1" xfId="0">
      <alignment horizontal="right"/>
      <protection hidden="1"/>
    </xf>
    <xf numFmtId="0" applyNumberFormat="1" fontId="55" applyFont="1" fillId="12" applyFill="1" borderId="0" applyBorder="1" xfId="0">
      <alignment horizontal="left" wrapText="1"/>
      <protection hidden="1"/>
    </xf>
    <xf numFmtId="0" applyNumberFormat="1" fontId="2" applyFont="1" fillId="15" applyFill="1" borderId="31" applyBorder="1" xfId="0">
      <alignment horizontal="center" vertical="center" wrapText="1"/>
      <protection hidden="1"/>
    </xf>
    <xf numFmtId="0" applyNumberFormat="1" fontId="2" applyFont="1" fillId="15" applyFill="1" borderId="64" applyBorder="1" xfId="0">
      <alignment horizontal="center" vertical="center" wrapText="1"/>
      <protection hidden="1"/>
    </xf>
    <xf numFmtId="0" applyNumberFormat="1" fontId="2" applyFont="1" fillId="15" applyFill="1" borderId="71" applyBorder="1" xfId="0">
      <alignment horizontal="center" vertical="center" wrapText="1"/>
      <protection hidden="1"/>
    </xf>
    <xf numFmtId="0" applyNumberFormat="1" fontId="2" applyFont="1" fillId="15" applyFill="1" borderId="61" applyBorder="1" xfId="0">
      <alignment horizontal="center" vertical="center"/>
      <protection hidden="1"/>
    </xf>
    <xf numFmtId="0" applyNumberFormat="1" fontId="2" applyFont="1" fillId="15" applyFill="1" borderId="23" applyBorder="1" xfId="0">
      <alignment horizontal="center" vertical="center"/>
      <protection hidden="1"/>
    </xf>
    <xf numFmtId="0" applyNumberFormat="1" fontId="2" applyFont="1" fillId="15" applyFill="1" borderId="24" applyBorder="1" xfId="0">
      <alignment horizontal="right"/>
      <protection hidden="1"/>
    </xf>
    <xf numFmtId="0" applyNumberFormat="1" fontId="0" applyFont="1" fillId="0" applyFill="1" borderId="74" applyBorder="1" xfId="0">
      <alignment horizontal="left" vertical="center" wrapText="1"/>
      <protection hidden="1"/>
    </xf>
    <xf numFmtId="0" applyNumberFormat="1" fontId="0" applyFont="1" fillId="0" applyFill="1" borderId="75" applyBorder="1" xfId="0">
      <alignment horizontal="left" vertical="center" wrapText="1"/>
      <protection hidden="1"/>
    </xf>
    <xf numFmtId="0" applyNumberFormat="1" fontId="0" applyFont="1" fillId="0" applyFill="1" borderId="70" applyBorder="1" xfId="0">
      <alignment horizontal="left" vertical="center" wrapText="1"/>
      <protection hidden="1"/>
    </xf>
    <xf numFmtId="0" applyNumberFormat="1" fontId="0" applyFont="1" fillId="0" applyFill="1" borderId="68" applyBorder="1" xfId="0">
      <alignment horizontal="left" vertical="center" wrapText="1"/>
      <protection hidden="1"/>
    </xf>
    <xf numFmtId="17" applyNumberFormat="1" fontId="2" applyFont="1" fillId="15" applyFill="1" borderId="61" applyBorder="1" xfId="0">
      <alignment horizontal="center" vertical="center"/>
      <protection hidden="1"/>
    </xf>
    <xf numFmtId="17" applyNumberFormat="1" fontId="2" applyFont="1" fillId="15" applyFill="1" borderId="29" applyBorder="1" xfId="0">
      <alignment horizontal="center" vertical="center"/>
      <protection hidden="1"/>
    </xf>
    <xf numFmtId="17" applyNumberFormat="1" fontId="2" applyFont="1" fillId="15" applyFill="1" borderId="23" applyBorder="1" xfId="0">
      <alignment horizontal="center" vertical="center"/>
      <protection hidden="1"/>
    </xf>
    <xf numFmtId="0" applyNumberFormat="1" fontId="2" applyFont="1" fillId="12" applyFill="1" borderId="0" applyBorder="1" xfId="0">
      <alignment horizontal="right"/>
      <protection hidden="1"/>
    </xf>
    <xf numFmtId="0" applyNumberFormat="1" fontId="33" applyFont="1" fillId="12" applyFill="1" borderId="0" applyBorder="1" xfId="0">
      <alignment horizontal="right"/>
      <protection hidden="1"/>
    </xf>
    <xf numFmtId="0" applyNumberFormat="1" fontId="0" applyFont="1" fillId="0" applyFill="1" borderId="61" applyBorder="1" xfId="0">
      <alignment horizontal="left" vertical="center" wrapText="1"/>
      <protection hidden="1"/>
    </xf>
    <xf numFmtId="0" applyNumberFormat="1" fontId="0" applyFont="1" fillId="0" applyFill="1" borderId="23" applyBorder="1" xfId="0">
      <alignment horizontal="left" vertical="center" wrapText="1"/>
      <protection hidden="1"/>
    </xf>
    <xf numFmtId="0" applyNumberFormat="1" fontId="0" applyFont="1" fillId="0" applyFill="1" borderId="67" applyBorder="1" xfId="0">
      <alignment horizontal="left" vertical="center" wrapText="1"/>
      <protection hidden="1"/>
    </xf>
    <xf numFmtId="0" applyNumberFormat="1" fontId="0" applyFont="1" fillId="0" applyFill="1" borderId="66" applyBorder="1" xfId="0">
      <alignment horizontal="left" vertical="center" wrapText="1"/>
      <protection hidden="1"/>
    </xf>
    <xf numFmtId="0" applyNumberFormat="1" fontId="2" applyFont="1" fillId="12" applyFill="1" borderId="0" applyBorder="1" xfId="0">
      <alignment horizontal="right"/>
      <protection hidden="1"/>
    </xf>
    <xf numFmtId="0" applyNumberFormat="1" fontId="0" applyFont="1" fillId="0" applyFill="1" borderId="29" applyBorder="1" xfId="0">
      <alignment horizontal="left" vertical="center" wrapText="1"/>
      <protection hidden="1"/>
    </xf>
    <xf numFmtId="0" applyNumberFormat="1" fontId="0" applyFont="1" fillId="0" applyFill="1" borderId="76" applyBorder="1" xfId="0">
      <alignment horizontal="left" vertical="center" wrapText="1"/>
      <protection hidden="1"/>
    </xf>
    <xf numFmtId="0" applyNumberFormat="1" fontId="0" applyFont="1" fillId="0" applyFill="1" borderId="77" applyBorder="1" xfId="0">
      <alignment horizontal="left" vertical="center" wrapText="1"/>
      <protection hidden="1"/>
    </xf>
    <xf numFmtId="0" applyNumberFormat="1" fontId="0" applyFont="1" fillId="0" applyFill="1" borderId="73" applyBorder="1" xfId="0">
      <alignment horizontal="left" vertical="center" wrapText="1"/>
      <protection hidden="1"/>
    </xf>
    <xf numFmtId="0" applyNumberFormat="1" fontId="0" applyFont="1" fillId="0" applyFill="1" borderId="62" applyBorder="1" xfId="0">
      <alignment horizontal="left" vertical="center" wrapText="1"/>
      <protection hidden="1"/>
    </xf>
    <xf numFmtId="0" applyNumberFormat="1" fontId="0" applyFont="1" fillId="0" applyFill="1" borderId="69" applyBorder="1" xfId="0">
      <alignment horizontal="left" vertical="center" wrapText="1"/>
      <protection hidden="1"/>
    </xf>
    <xf numFmtId="0" applyNumberFormat="1" fontId="0" applyFont="1" fillId="0" applyFill="1" borderId="0" applyBorder="1" xfId="0">
      <alignment horizontal="left" vertical="center" wrapText="1"/>
      <protection hidden="1"/>
    </xf>
    <xf numFmtId="0" applyNumberFormat="1" fontId="0" applyFont="1" fillId="0" applyFill="1" borderId="63" applyBorder="1" xfId="0">
      <alignment horizontal="left" vertical="center" wrapText="1"/>
      <protection hidden="1"/>
    </xf>
    <xf numFmtId="0" applyNumberFormat="1" fontId="20" applyFont="1" fillId="3" applyFill="1" borderId="0" applyBorder="1" xfId="0">
      <alignment horizontal="right" vertical="center"/>
      <protection locked="0"/>
    </xf>
    <xf numFmtId="0" applyNumberFormat="1" fontId="3" applyFont="1" fillId="3" applyFill="1" borderId="7" applyBorder="1" xfId="0">
      <alignment horizontal="right" vertical="center"/>
      <protection locked="0"/>
    </xf>
    <xf numFmtId="0" applyNumberFormat="1" fontId="3" applyFont="1" fillId="3" applyFill="1" borderId="8" applyBorder="1" xfId="0">
      <alignment horizontal="right" vertical="center"/>
      <protection locked="0"/>
    </xf>
    <xf numFmtId="0" applyNumberFormat="1" fontId="3" applyFont="1" fillId="3" applyFill="1" borderId="4" applyBorder="1" xfId="0">
      <alignment horizontal="center" vertical="center"/>
      <protection locked="0"/>
    </xf>
    <xf numFmtId="0" applyNumberFormat="1" fontId="3" applyFont="1" fillId="3" applyFill="1" borderId="6" applyBorder="1" xfId="0">
      <alignment horizontal="center" vertical="center"/>
      <protection locked="0"/>
    </xf>
    <xf numFmtId="0" applyNumberFormat="1" fontId="3" applyFont="1" fillId="3" applyFill="1" borderId="5" applyBorder="1" xfId="0">
      <alignment horizontal="center" vertical="center"/>
      <protection locked="0"/>
    </xf>
    <xf numFmtId="0" applyNumberFormat="1" fontId="20" applyFont="1" fillId="3" applyFill="1" borderId="0" applyBorder="1" xfId="0">
      <alignment horizontal="right" vertical="center" wrapText="1"/>
      <protection locked="0"/>
    </xf>
    <xf numFmtId="0" applyNumberFormat="1" fontId="20" applyFont="1" fillId="3" applyFill="1" borderId="8" applyBorder="1" xfId="0">
      <alignment horizontal="right" vertical="center" wrapText="1"/>
      <protection locked="0"/>
    </xf>
    <xf numFmtId="38" applyNumberFormat="1" fontId="12" applyFont="1" fillId="7" applyFill="1" borderId="50" applyBorder="1" xfId="0">
      <alignment horizontal="center" vertical="center"/>
      <protection locked="0"/>
    </xf>
    <xf numFmtId="38" applyNumberFormat="1" fontId="12" applyFont="1" fillId="7" applyFill="1" borderId="49" applyBorder="1" xfId="0">
      <alignment horizontal="center" vertical="center"/>
      <protection locked="0"/>
    </xf>
    <xf numFmtId="38" applyNumberFormat="1" fontId="12" applyFont="1" fillId="7" applyFill="1" borderId="51" applyBorder="1" xfId="0">
      <alignment horizontal="center" vertical="center"/>
      <protection locked="0"/>
    </xf>
    <xf numFmtId="164" applyNumberFormat="1" fontId="12" applyFont="1" fillId="9" applyFill="1" borderId="38" applyBorder="1" xfId="2">
      <alignment horizontal="center" vertical="center"/>
    </xf>
    <xf numFmtId="164" applyNumberFormat="1" fontId="12" applyFont="1" fillId="9" applyFill="1" borderId="51" applyBorder="1" xfId="2">
      <alignment horizontal="center" vertical="center"/>
    </xf>
    <xf numFmtId="0" applyNumberFormat="1" fontId="21" applyFont="1" fillId="0" applyFill="1" borderId="0" applyBorder="1" xfId="0">
      <alignment horizontal="left" vertical="center"/>
      <protection locked="0"/>
    </xf>
    <xf numFmtId="38" applyNumberFormat="1" fontId="9" applyFont="1" fillId="6" applyFill="1" borderId="47" applyBorder="1" xfId="0">
      <alignment horizontal="center" wrapText="1"/>
    </xf>
    <xf numFmtId="38" applyNumberFormat="1" fontId="9" applyFont="1" fillId="6" applyFill="1" borderId="44" applyBorder="1" xfId="0">
      <alignment horizontal="center" wrapText="1"/>
    </xf>
    <xf numFmtId="38" applyNumberFormat="1" fontId="9" applyFont="1" fillId="6" applyFill="1" borderId="45" applyBorder="1" xfId="0">
      <alignment horizontal="center" wrapText="1"/>
    </xf>
    <xf numFmtId="38" applyNumberFormat="1" fontId="9" applyFont="1" fillId="6" applyFill="1" borderId="46" applyBorder="1" xfId="0">
      <alignment horizontal="center" wrapText="1"/>
    </xf>
    <xf numFmtId="9" applyNumberFormat="1" fontId="19" applyFont="1" fillId="0" applyFill="1" borderId="12" applyBorder="1" xfId="2">
      <alignment horizontal="left" vertical="top"/>
      <protection locked="0"/>
    </xf>
    <xf numFmtId="9" applyNumberFormat="1" fontId="19" applyFont="1" fillId="0" applyFill="1" borderId="15" applyBorder="1" xfId="2">
      <alignment horizontal="left" vertical="top"/>
      <protection locked="0"/>
    </xf>
    <xf numFmtId="9" applyNumberFormat="1" fontId="16" applyFont="1" fillId="0" applyFill="1" borderId="23" applyBorder="1" xfId="2">
      <alignment horizontal="center" vertical="top" wrapText="1"/>
      <protection locked="0"/>
    </xf>
    <xf numFmtId="9" applyNumberFormat="1" fontId="16" applyFont="1" fillId="0" applyFill="1" borderId="24" applyBorder="1" xfId="2">
      <alignment horizontal="center" vertical="top" wrapText="1"/>
      <protection locked="0"/>
    </xf>
    <xf numFmtId="9" applyNumberFormat="1" fontId="16" applyFont="1" fillId="0" applyFill="1" borderId="25" applyBorder="1" xfId="2">
      <alignment horizontal="center" vertical="top" wrapText="1"/>
      <protection locked="0"/>
    </xf>
    <xf numFmtId="0" applyNumberFormat="1" fontId="13" applyFont="1" fillId="0" applyFill="1" borderId="12" applyBorder="1" xfId="0">
      <alignment horizontal="left" vertical="center" wrapText="1"/>
    </xf>
    <xf numFmtId="0" applyNumberFormat="1" fontId="13" applyFont="1" fillId="0" applyFill="1" borderId="42" applyBorder="1" xfId="0">
      <alignment horizontal="left" vertical="center" wrapText="1"/>
    </xf>
    <xf numFmtId="0" applyNumberFormat="1" fontId="13" applyFont="1" fillId="0" applyFill="1" borderId="15" applyBorder="1" xfId="0">
      <alignment horizontal="left" vertical="center" wrapText="1"/>
    </xf>
    <xf numFmtId="38" applyNumberFormat="1" fontId="17" applyFont="1" fillId="10" applyFill="1" borderId="4" applyBorder="1" xfId="0">
      <alignment horizontal="center" vertical="center"/>
    </xf>
    <xf numFmtId="38" applyNumberFormat="1" fontId="17" applyFont="1" fillId="10" applyFill="1" borderId="10" applyBorder="1" xfId="0">
      <alignment horizontal="center" vertical="center"/>
    </xf>
    <xf numFmtId="38" applyNumberFormat="1" fontId="17" applyFont="1" fillId="10" applyFill="1" borderId="11" applyBorder="1" xfId="0">
      <alignment horizontal="center" vertical="center"/>
    </xf>
    <xf numFmtId="38" applyNumberFormat="1" fontId="16" applyFont="1" fillId="8" applyFill="1" borderId="42" applyBorder="1" xfId="0">
      <alignment horizontal="center" vertical="center"/>
    </xf>
    <xf numFmtId="38" applyNumberFormat="1" fontId="16" applyFont="1" fillId="8" applyFill="1" borderId="15" applyBorder="1" xfId="0">
      <alignment horizontal="center" vertical="center"/>
    </xf>
    <xf numFmtId="38" applyNumberFormat="1" fontId="17" applyFont="1" fillId="10" applyFill="1" borderId="9" applyBorder="1" xfId="0">
      <alignment horizontal="center" vertical="center"/>
    </xf>
    <xf numFmtId="38" applyNumberFormat="1" fontId="17" applyFont="1" fillId="10" applyFill="1" borderId="6" applyBorder="1" xfId="0">
      <alignment horizontal="center" vertical="center"/>
    </xf>
    <xf numFmtId="38" applyNumberFormat="1" fontId="9" applyFont="1" fillId="6" applyFill="1" borderId="43" applyBorder="1" xfId="0">
      <alignment horizontal="center" wrapText="1"/>
    </xf>
    <xf numFmtId="0" applyNumberFormat="1" fontId="6" applyFont="1" fillId="7" applyFill="1" borderId="39" applyBorder="1" xfId="0">
      <alignment horizontal="center" vertical="center" wrapText="1"/>
    </xf>
    <xf numFmtId="0" applyNumberFormat="1" fontId="6" applyFont="1" fillId="7" applyFill="1" borderId="40" applyBorder="1" xfId="0">
      <alignment horizontal="center" vertical="center" wrapText="1"/>
    </xf>
    <xf numFmtId="38" applyNumberFormat="1" fontId="12" applyFont="1" fillId="0" applyFill="1" borderId="40" applyBorder="1" xfId="0">
      <alignment horizontal="center" vertical="center"/>
      <protection locked="0"/>
    </xf>
    <xf numFmtId="0" applyNumberFormat="1" fontId="6" applyFont="1" fillId="7" applyFill="1" borderId="41" applyBorder="1" xfId="0">
      <alignment horizontal="center" vertical="center" wrapText="1"/>
    </xf>
    <xf numFmtId="38" applyNumberFormat="1" fontId="12" applyFont="1" fillId="7" applyFill="1" borderId="48" applyBorder="1" xfId="0">
      <alignment horizontal="center" vertical="center"/>
      <protection locked="0"/>
    </xf>
    <xf numFmtId="0" applyNumberFormat="1" fontId="6" applyFont="1" fillId="7" applyFill="1" borderId="35" applyBorder="1" xfId="0">
      <alignment horizontal="center" vertical="center" wrapText="1"/>
    </xf>
    <xf numFmtId="0" applyNumberFormat="1" fontId="6" applyFont="1" fillId="7" applyFill="1" borderId="36" applyBorder="1" xfId="0">
      <alignment horizontal="center" vertical="center" wrapText="1"/>
    </xf>
    <xf numFmtId="38" applyNumberFormat="1" fontId="12" applyFont="1" fillId="0" applyFill="1" borderId="36" applyBorder="1" xfId="0">
      <alignment horizontal="center" vertical="center"/>
      <protection locked="0"/>
    </xf>
    <xf numFmtId="0" applyNumberFormat="1" fontId="6" applyFont="1" fillId="7" applyFill="1" borderId="37" applyBorder="1" xfId="0">
      <alignment horizontal="center" vertical="center" wrapText="1"/>
    </xf>
    <xf numFmtId="38" applyNumberFormat="1" fontId="12" applyFont="1" fillId="0" applyFill="1" borderId="4" applyBorder="1" xfId="0">
      <alignment horizontal="center" vertical="center"/>
    </xf>
    <xf numFmtId="38" applyNumberFormat="1" fontId="12" applyFont="1" fillId="0" applyFill="1" borderId="5" applyBorder="1" xfId="0">
      <alignment horizontal="center" vertical="center"/>
    </xf>
    <xf numFmtId="38" applyNumberFormat="1" fontId="12" applyFont="1" fillId="0" applyFill="1" borderId="6" applyBorder="1" xfId="0">
      <alignment horizontal="center" vertical="center"/>
    </xf>
    <xf numFmtId="0" applyNumberFormat="1" fontId="6" applyFont="1" fillId="7" applyFill="1" borderId="30" applyBorder="1" xfId="0">
      <alignment horizontal="center" vertical="center" wrapText="1"/>
    </xf>
    <xf numFmtId="0" applyNumberFormat="1" fontId="6" applyFont="1" fillId="7" applyFill="1" borderId="31" applyBorder="1" xfId="0">
      <alignment horizontal="center" vertical="center" wrapText="1"/>
    </xf>
    <xf numFmtId="38" applyNumberFormat="1" fontId="12" applyFont="1" fillId="0" applyFill="1" borderId="31" applyBorder="1" xfId="0">
      <alignment horizontal="center" vertical="center"/>
      <protection locked="0"/>
    </xf>
    <xf numFmtId="0" applyNumberFormat="1" fontId="6" applyFont="1" fillId="7" applyFill="1" borderId="32" applyBorder="1" xfId="0">
      <alignment horizontal="center" vertical="center" wrapText="1"/>
    </xf>
    <xf numFmtId="0" applyNumberFormat="1" fontId="6" applyFont="1" fillId="7" applyFill="1" borderId="27" applyBorder="1" xfId="0">
      <alignment horizontal="center" vertical="center" wrapText="1"/>
    </xf>
    <xf numFmtId="0" applyNumberFormat="1" fontId="6" applyFont="1" fillId="7" applyFill="1" borderId="24" applyBorder="1" xfId="0">
      <alignment horizontal="center" vertical="center" wrapText="1"/>
    </xf>
    <xf numFmtId="38" applyNumberFormat="1" fontId="12" applyFont="1" fillId="0" applyFill="1" borderId="24" applyBorder="1" xfId="0">
      <alignment horizontal="center" vertical="center"/>
      <protection locked="0"/>
    </xf>
    <xf numFmtId="0" applyNumberFormat="1" fontId="6" applyFont="1" fillId="7" applyFill="1" borderId="25" applyBorder="1" xfId="0">
      <alignment horizontal="center" vertical="center" wrapText="1"/>
    </xf>
    <xf numFmtId="0" applyNumberFormat="1" fontId="6" applyFont="1" fillId="7" applyFill="1" borderId="20" applyBorder="1" xfId="0">
      <alignment horizontal="center" vertical="center" wrapText="1"/>
    </xf>
    <xf numFmtId="0" applyNumberFormat="1" fontId="6" applyFont="1" fillId="7" applyFill="1" borderId="21" applyBorder="1" xfId="0">
      <alignment horizontal="center" vertical="center" wrapText="1"/>
    </xf>
    <xf numFmtId="38" applyNumberFormat="1" fontId="15" applyFont="1" fillId="8" applyFill="1" borderId="1" applyBorder="1" xfId="0">
      <alignment horizontal="center" vertical="center"/>
    </xf>
    <xf numFmtId="38" applyNumberFormat="1" fontId="15" applyFont="1" fillId="8" applyFill="1" borderId="26" applyBorder="1" xfId="0">
      <alignment horizontal="center" vertical="center"/>
    </xf>
    <xf numFmtId="0" applyNumberFormat="1" fontId="6" applyFont="1" fillId="7" applyFill="1" borderId="19" applyBorder="1" xfId="0">
      <alignment horizontal="center" vertical="center" wrapText="1"/>
    </xf>
    <xf numFmtId="38" applyNumberFormat="1" fontId="12" applyFont="1" fillId="0" applyFill="1" borderId="20" applyBorder="1" xfId="0">
      <alignment horizontal="center" vertical="center"/>
      <protection locked="0"/>
    </xf>
    <xf numFmtId="0" applyNumberFormat="1" fontId="6" applyFont="1" fillId="7" applyFill="1" borderId="4" applyBorder="1" xfId="0">
      <alignment horizontal="center" vertical="center" wrapText="1"/>
    </xf>
    <xf numFmtId="0" applyNumberFormat="1" fontId="6" applyFont="1" fillId="7" applyFill="1" borderId="13" applyBorder="1" xfId="0">
      <alignment horizontal="center" vertical="center" wrapText="1"/>
    </xf>
    <xf numFmtId="0" applyNumberFormat="1" fontId="6" applyFont="1" fillId="0" applyFill="1" borderId="16" applyBorder="1" xfId="0">
      <alignment horizontal="center" vertical="center" wrapText="1"/>
    </xf>
    <xf numFmtId="0" applyNumberFormat="1" fontId="6" applyFont="1" fillId="0" applyFill="1" borderId="6" applyBorder="1" xfId="0">
      <alignment horizontal="center" vertical="center" wrapText="1"/>
    </xf>
    <xf numFmtId="0" applyNumberFormat="1" fontId="6" applyFont="1" fillId="0" applyFill="1" borderId="13" applyBorder="1" xfId="0">
      <alignment horizontal="center" vertical="center" wrapText="1"/>
    </xf>
    <xf numFmtId="0" applyNumberFormat="1" fontId="6" applyFont="1" fillId="0" applyFill="1" borderId="5" applyBorder="1" xfId="0">
      <alignment horizontal="center" vertical="center" wrapText="1"/>
    </xf>
    <xf numFmtId="0" applyNumberFormat="1" fontId="6" applyFont="1" fillId="4" applyFill="1" borderId="9" applyBorder="1" xfId="0">
      <alignment horizontal="right" vertical="center"/>
    </xf>
    <xf numFmtId="0" applyNumberFormat="1" fontId="6" applyFont="1" fillId="4" applyFill="1" borderId="11" applyBorder="1" xfId="0">
      <alignment horizontal="right" vertical="center"/>
    </xf>
    <xf numFmtId="0" applyNumberFormat="1" fontId="8" applyFont="1" fillId="4" applyFill="1" borderId="4" applyBorder="1" xfId="0">
      <alignment horizontal="left" vertical="center" indent="3"/>
      <protection locked="0"/>
    </xf>
    <xf numFmtId="0" applyNumberFormat="1" fontId="8" applyFont="1" fillId="4" applyFill="1" borderId="6" applyBorder="1" xfId="0">
      <alignment horizontal="left" vertical="center" indent="3"/>
      <protection locked="0"/>
    </xf>
    <xf numFmtId="0" applyNumberFormat="1" fontId="8" applyFont="1" fillId="4" applyFill="1" borderId="5" applyBorder="1" xfId="0">
      <alignment horizontal="left" vertical="center" indent="3"/>
      <protection locked="0"/>
    </xf>
    <xf numFmtId="0" applyNumberFormat="1" fontId="6" applyFont="1" fillId="4" applyFill="1" borderId="4" applyBorder="1" xfId="0">
      <alignment horizontal="right" vertical="center"/>
    </xf>
    <xf numFmtId="0" applyNumberFormat="1" fontId="6" applyFont="1" fillId="4" applyFill="1" borderId="6" applyBorder="1" xfId="0">
      <alignment horizontal="right" vertical="center"/>
    </xf>
    <xf numFmtId="0" applyNumberFormat="1" fontId="6" applyFont="1" fillId="4" applyFill="1" borderId="5" applyBorder="1" xfId="0">
      <alignment horizontal="right" vertical="center"/>
    </xf>
    <xf numFmtId="0" applyNumberFormat="1" fontId="8" applyFont="1" fillId="4" applyFill="1" borderId="7" applyBorder="1" xfId="0">
      <alignment horizontal="left" vertical="center" indent="4"/>
      <protection locked="0"/>
    </xf>
    <xf numFmtId="0" applyNumberFormat="1" fontId="8" applyFont="1" fillId="4" applyFill="1" borderId="0" applyBorder="1" xfId="0">
      <alignment horizontal="left" vertical="center" indent="4"/>
      <protection locked="0"/>
    </xf>
    <xf numFmtId="0" applyNumberFormat="1" fontId="8" applyFont="1" fillId="4" applyFill="1" borderId="8" applyBorder="1" xfId="0">
      <alignment horizontal="left" vertical="center" indent="4"/>
      <protection locked="0"/>
    </xf>
    <xf numFmtId="0" applyNumberFormat="1" fontId="6" applyFont="1" fillId="0" applyFill="1" borderId="12" applyBorder="1" xfId="0">
      <alignment horizontal="center" vertical="center"/>
    </xf>
    <xf numFmtId="0" applyNumberFormat="1" fontId="6" applyFont="1" fillId="0" applyFill="1" borderId="14" applyBorder="1" xfId="0">
      <alignment horizontal="center" vertical="center"/>
    </xf>
    <xf numFmtId="0" applyNumberFormat="1" fontId="9" applyFont="1" fillId="5" applyFill="1" borderId="12" applyBorder="1" xfId="0">
      <alignment horizontal="center" vertical="center" wrapText="1"/>
    </xf>
    <xf numFmtId="0" applyNumberFormat="1" fontId="9" applyFont="1" fillId="5" applyFill="1" borderId="15" applyBorder="1" xfId="0">
      <alignment horizontal="center" vertical="center" wrapText="1"/>
    </xf>
    <xf numFmtId="0" applyNumberFormat="1" fontId="10" applyFont="1" fillId="6" applyFill="1" borderId="2" applyBorder="1" xfId="0">
      <alignment horizontal="center" vertical="center"/>
    </xf>
    <xf numFmtId="0" applyNumberFormat="1" fontId="10" applyFont="1" fillId="6" applyFill="1" borderId="13" applyBorder="1" xfId="0">
      <alignment horizontal="center" vertical="center"/>
    </xf>
    <xf numFmtId="9" applyNumberFormat="1" fontId="9" applyFont="1" fillId="0" applyFill="1" borderId="12" applyBorder="1" xfId="2">
      <alignment horizontal="center" vertical="center" wrapText="1"/>
    </xf>
    <xf numFmtId="9" applyNumberFormat="1" fontId="9" applyFont="1" fillId="0" applyFill="1" borderId="11" applyBorder="1" xfId="2">
      <alignment horizontal="center" vertical="center" wrapText="1"/>
    </xf>
    <xf numFmtId="0" applyNumberFormat="1" fontId="11" applyFont="1" fillId="0" applyFill="1" borderId="12" applyBorder="1" xfId="0">
      <alignment horizontal="center" vertical="center" wrapText="1"/>
      <protection locked="0"/>
    </xf>
    <xf numFmtId="0" applyNumberFormat="1" fontId="11" applyFont="1" fillId="0" applyFill="1" borderId="15" applyBorder="1" xfId="0">
      <alignment horizontal="center" vertical="center"/>
      <protection locked="0"/>
    </xf>
    <xf numFmtId="0" applyNumberFormat="1" fontId="12" applyFont="1" fillId="0" applyFill="1" borderId="2" applyBorder="1" xfId="0">
      <alignment horizontal="center" vertical="center" wrapText="1"/>
    </xf>
    <xf numFmtId="0" applyNumberFormat="1" fontId="12" applyFont="1" fillId="0" applyFill="1" borderId="3" applyBorder="1" xfId="0">
      <alignment horizontal="center" vertical="center" wrapText="1"/>
    </xf>
    <xf numFmtId="0" applyNumberFormat="1" fontId="12" applyFont="1" fillId="0" applyFill="1" borderId="0" applyBorder="1" xfId="0">
      <alignment horizontal="center" vertical="center" wrapText="1"/>
    </xf>
    <xf numFmtId="0" applyNumberFormat="1" fontId="12" applyFont="1" fillId="0" applyFill="1" borderId="8" applyBorder="1" xfId="0">
      <alignment horizontal="center" vertical="center" wrapText="1"/>
    </xf>
    <xf numFmtId="0" applyNumberFormat="1" fontId="6" applyFont="1" fillId="4" applyFill="1" borderId="4" applyBorder="1" xfId="0">
      <alignment horizontal="left" vertical="center" indent="3"/>
      <protection locked="0"/>
    </xf>
    <xf numFmtId="0" applyNumberFormat="1" fontId="6" applyFont="1" fillId="4" applyFill="1" borderId="6" applyBorder="1" xfId="0">
      <alignment horizontal="left" vertical="center" indent="3"/>
      <protection locked="0"/>
    </xf>
    <xf numFmtId="0" applyNumberFormat="1" fontId="6" applyFont="1" fillId="4" applyFill="1" borderId="5" applyBorder="1" xfId="0">
      <alignment horizontal="left" vertical="center" indent="3"/>
      <protection locked="0"/>
    </xf>
    <xf numFmtId="0" applyNumberFormat="1" fontId="8" applyFont="1" fillId="4" applyFill="1" borderId="4" applyBorder="1" xfId="0">
      <alignment horizontal="left" vertical="center" indent="4"/>
      <protection locked="0"/>
    </xf>
    <xf numFmtId="0" applyNumberFormat="1" fontId="8" applyFont="1" fillId="4" applyFill="1" borderId="6" applyBorder="1" xfId="0">
      <alignment horizontal="left" vertical="center" indent="4"/>
      <protection locked="0"/>
    </xf>
    <xf numFmtId="0" applyNumberFormat="1" fontId="8" applyFont="1" fillId="4" applyFill="1" borderId="5" applyBorder="1" xfId="0">
      <alignment horizontal="left" vertical="center" indent="4"/>
      <protection locked="0"/>
    </xf>
    <xf numFmtId="0" applyNumberFormat="1" fontId="5" applyFont="1" fillId="2" applyFill="1" borderId="1" applyBorder="1" xfId="0">
      <alignment horizontal="center" vertical="center"/>
    </xf>
    <xf numFmtId="0" applyNumberFormat="1" fontId="5" applyFont="1" fillId="2" applyFill="1" borderId="2" applyBorder="1" xfId="0">
      <alignment horizontal="center" vertical="center"/>
    </xf>
    <xf numFmtId="0" applyNumberFormat="1" fontId="5" applyFont="1" fillId="2" applyFill="1" borderId="3" applyBorder="1" xfId="0">
      <alignment horizontal="center" vertical="center"/>
    </xf>
    <xf numFmtId="0" applyNumberFormat="1" fontId="6" applyFont="1" fillId="3" applyFill="1" borderId="4" applyBorder="1" xfId="0">
      <alignment horizontal="right" vertical="center"/>
    </xf>
    <xf numFmtId="0" applyNumberFormat="1" fontId="6" applyFont="1" fillId="3" applyFill="1" borderId="5" applyBorder="1" xfId="0">
      <alignment horizontal="right" vertical="center"/>
    </xf>
    <xf numFmtId="0" applyNumberFormat="1" fontId="8" applyFont="1" fillId="3" applyFill="1" borderId="4" applyBorder="1" xfId="0">
      <alignment horizontal="left" vertical="center" indent="3"/>
      <protection locked="0"/>
    </xf>
    <xf numFmtId="0" applyNumberFormat="1" fontId="8" applyFont="1" fillId="3" applyFill="1" borderId="6" applyBorder="1" xfId="0">
      <alignment horizontal="left" vertical="center" indent="3"/>
      <protection locked="0"/>
    </xf>
    <xf numFmtId="0" applyNumberFormat="1" fontId="8" applyFont="1" fillId="3" applyFill="1" borderId="5" applyBorder="1" xfId="0">
      <alignment horizontal="left" vertical="center" indent="3"/>
      <protection locked="0"/>
    </xf>
    <xf numFmtId="0" applyNumberFormat="1" fontId="6" applyFont="1" fillId="4" applyFill="1" borderId="7" applyBorder="1" xfId="0">
      <alignment horizontal="right" vertical="center"/>
    </xf>
    <xf numFmtId="0" applyNumberFormat="1" fontId="6" applyFont="1" fillId="4" applyFill="1" borderId="8" applyBorder="1" xfId="0">
      <alignment horizontal="right" vertical="center"/>
    </xf>
    <xf numFmtId="0" applyNumberFormat="1" fontId="8" applyFont="1" fillId="4" applyFill="1" borderId="9" applyBorder="1" xfId="0">
      <alignment horizontal="left" vertical="center" indent="3"/>
      <protection locked="0"/>
    </xf>
    <xf numFmtId="0" applyNumberFormat="1" fontId="8" applyFont="1" fillId="4" applyFill="1" borderId="10" applyBorder="1" xfId="0">
      <alignment horizontal="left" vertical="center" indent="3"/>
      <protection locked="0"/>
    </xf>
    <xf numFmtId="0" applyNumberFormat="1" fontId="8" applyFont="1" fillId="4" applyFill="1" borderId="11" applyBorder="1" xfId="0">
      <alignment horizontal="left" vertical="center" indent="3"/>
      <protection locked="0"/>
    </xf>
    <xf numFmtId="0" applyNumberFormat="1" fontId="6" applyFont="1" fillId="4" applyFill="1" borderId="0" applyBorder="1" xfId="0">
      <alignment horizontal="right" vertical="center"/>
    </xf>
    <xf numFmtId="0" applyNumberFormat="1" fontId="22" applyFont="1" fillId="0" applyFill="1" borderId="60" applyBorder="1" xfId="0">
      <alignment vertical="center" wrapText="1"/>
    </xf>
    <xf numFmtId="0" applyNumberFormat="1" fontId="22" applyFont="1" fillId="0" applyFill="1" borderId="57" applyBorder="1" xfId="0">
      <alignment vertical="center" wrapText="1"/>
    </xf>
    <xf numFmtId="0" applyNumberFormat="1" fontId="22" applyFont="1" fillId="0" applyFill="1" borderId="56" applyBorder="1" xfId="0">
      <alignment vertical="center" wrapText="1"/>
    </xf>
    <xf numFmtId="0" applyNumberFormat="1" fontId="24" applyFont="1" fillId="0" applyFill="1" borderId="60" applyBorder="1" xfId="0">
      <alignment vertical="center" wrapText="1"/>
    </xf>
    <xf numFmtId="0" applyNumberFormat="1" fontId="24" applyFont="1" fillId="0" applyFill="1" borderId="57" applyBorder="1" xfId="0">
      <alignment vertical="center" wrapText="1"/>
    </xf>
    <xf numFmtId="0" applyNumberFormat="1" fontId="24" applyFont="1" fillId="0" applyFill="1" borderId="56" applyBorder="1" xfId="0">
      <alignment vertical="center" wrapText="1"/>
    </xf>
  </cellXfs>
  <cellStyles count="4">
    <cellStyle name="Normal" xfId="0" builtinId="0"/>
    <cellStyle name="Normal 2" xfId="1"/>
    <cellStyle name="Percent" xfId="2" builtinId="5"/>
    <cellStyle name="Percent 2" xfId="3"/>
  </cellStyles>
  <dxfs count="93">
    <dxf>
      <font>
        <color rgb="FFFF0000"/>
      </font>
      <fill>
        <patternFill patternType="none">
          <bgColor auto="1"/>
        </patternFill>
      </fill>
    </dxf>
    <dxf>
      <fill>
        <patternFill>
          <bgColor theme="4"/>
        </patternFill>
      </fill>
    </dxf>
    <dxf>
      <font>
        <color theme="0" tint="-0.24994659260841701"/>
      </font>
      <fill>
        <patternFill>
          <bgColor theme="4"/>
        </patternFill>
      </fill>
    </dxf>
    <dxf>
      <fill>
        <patternFill>
          <bgColor theme="4"/>
        </patternFill>
      </fill>
    </dxf>
    <dxf>
      <font>
        <color theme="0" tint="-0.24994659260841701"/>
      </font>
      <fill>
        <patternFill>
          <bgColor theme="4"/>
        </patternFill>
      </fill>
    </dxf>
    <dxf>
      <font>
        <color theme="0" tint="-0.24994659260841701"/>
      </font>
    </dxf>
    <dxf>
      <font>
        <b val="0"/>
        <i val="0"/>
      </font>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theme="0" tint="-0.24994659260841701"/>
      </font>
    </dxf>
    <dxf>
      <font>
        <b val="0"/>
        <i val="0"/>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theme="0" tint="-0.24994659260841701"/>
      </font>
    </dxf>
    <dxf>
      <font>
        <b val="0"/>
        <i val="0"/>
      </font>
    </dxf>
    <dxf>
      <font>
        <color rgb="FFFF0000"/>
      </font>
      <fill>
        <patternFill patternType="none">
          <bgColor auto="1"/>
        </patternFill>
      </fill>
    </dxf>
    <dxf>
      <fill>
        <patternFill>
          <bgColor theme="4"/>
        </patternFill>
      </fill>
    </dxf>
    <dxf>
      <font>
        <color theme="0" tint="-0.24994659260841701"/>
      </font>
      <fill>
        <patternFill>
          <bgColor theme="4"/>
        </patternFill>
      </fill>
    </dxf>
    <dxf>
      <fill>
        <patternFill>
          <bgColor theme="4"/>
        </patternFill>
      </fill>
    </dxf>
    <dxf>
      <font>
        <color theme="0" tint="-0.24994659260841701"/>
      </font>
      <fill>
        <patternFill>
          <bgColor theme="4"/>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theme="7" tint="0.79998168889431442"/>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theme="2" tint="-9.9948118533890809E-2"/>
      </font>
      <fill>
        <patternFill>
          <bgColor theme="4"/>
        </patternFill>
      </fill>
    </dxf>
    <dxf>
      <font>
        <color theme="0" tint="-0.24994659260841701"/>
      </font>
    </dxf>
    <dxf>
      <font>
        <b val="0"/>
        <i val="0"/>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theme="0" tint="-0.24994659260841701"/>
      </font>
    </dxf>
    <dxf>
      <font>
        <b val="0"/>
        <i val="0"/>
      </font>
    </dxf>
    <dxf>
      <font>
        <color rgb="FFFF0000"/>
      </font>
      <fill>
        <patternFill patternType="none">
          <bgColor auto="1"/>
        </patternFill>
      </fill>
    </dxf>
    <dxf>
      <font>
        <color theme="0" tint="-0.24994659260841701"/>
      </font>
    </dxf>
    <dxf>
      <font>
        <b val="0"/>
        <i val="0"/>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Relationships xmlns="http://schemas.openxmlformats.org/package/2006/relationships"><Relationship Id="rId8" Type="http://schemas.openxmlformats.org/officeDocument/2006/relationships/externalLink" Target="externalLinks/externalLink2.xml"/><Relationship Id="rId15"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externalLink" Target="externalLinks/externalLink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externalLink" Target="externalLinks/externalLink3.xml"/><Relationship Id="rId14" Type="http://schemas.microsoft.com/office/2006/relationships/vbaProject" Target="vbaProject.bin"/></Relationships>
</file>

<file path=xl/charts/_rels/chart1.xml.rels><?xml version="1.0" encoding="UTF-8" standalone="yes"?><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2000"/>
              <a:t>Data</a:t>
            </a:r>
            <a:r>
              <a:rPr lang="en-US" sz="2000" baseline="0"/>
              <a:t> Quality Assessment Summary Chart</a:t>
            </a:r>
          </a:p>
          <a:p>
            <a:pPr>
              <a:defRPr/>
            </a:pP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8.35545159796202E-2"/>
          <c:y val="0.11743558904778907"/>
          <c:w val="0.85293802686428899"/>
          <c:h val="0.8651519365568564"/>
        </c:manualLayout>
      </c:layout>
      <c:radarChart>
        <c:radarStyle val="marker"/>
        <c:varyColors val="0"/>
        <c:ser>
          <c:idx val="0"/>
          <c:order val="0"/>
          <c:tx>
            <c:strRef>
              <c:f>Worksheet!$O$23</c:f>
              <c:strCache>
                <c:ptCount val="1"/>
                <c:pt idx="0">
                  <c:v>Oct-16</c:v>
                </c:pt>
              </c:strCache>
            </c:strRef>
          </c:tx>
          <c:spPr>
            <a:ln w="28575" cap="rnd">
              <a:solidFill>
                <a:schemeClr val="accent1"/>
              </a:solidFill>
              <a:round/>
            </a:ln>
            <a:effectLst/>
          </c:spPr>
          <c:marker>
            <c:symbol val="none"/>
          </c:marker>
          <c:cat>
            <c:strRef>
              <c:f>Worksheet!$P$22:$T$22</c:f>
              <c:strCache>
                <c:ptCount val="5"/>
                <c:pt idx="0">
                  <c:v>Completeness</c:v>
                </c:pt>
                <c:pt idx="1">
                  <c:v>Consistency </c:v>
                </c:pt>
                <c:pt idx="2">
                  <c:v>Precision </c:v>
                </c:pt>
                <c:pt idx="3">
                  <c:v>Integrity </c:v>
                </c:pt>
                <c:pt idx="4">
                  <c:v>Validty </c:v>
                </c:pt>
              </c:strCache>
            </c:strRef>
          </c:cat>
          <c:val>
            <c:numRef>
              <c:f>Worksheet!$P$23:$T$23</c:f>
              <c:numCache>
                <c:formatCode>0</c:formatCode>
                <c:ptCount val="5"/>
                <c:pt idx="0">
                  <c:v>14</c:v>
                </c:pt>
                <c:pt idx="1">
                  <c:v>5.40625</c:v>
                </c:pt>
                <c:pt idx="2">
                  <c:v>9.8787878787878789</c:v>
                </c:pt>
                <c:pt idx="3">
                  <c:v>14.63125</c:v>
                </c:pt>
                <c:pt idx="4">
                  <c:v>18.833333333333332</c:v>
                </c:pt>
              </c:numCache>
            </c:numRef>
          </c:val>
          <c:extLst xmlns:c16r2="http://schemas.microsoft.com/office/drawing/2015/06/chart">
            <c:ext xmlns:c16="http://schemas.microsoft.com/office/drawing/2014/chart" uri="{C3380CC4-5D6E-409C-BE32-E72D297353CC}">
              <c16:uniqueId val="{00000000-AD1C-4289-9A31-30EEF286BC71}"/>
            </c:ext>
          </c:extLst>
        </c:ser>
        <c:ser>
          <c:idx val="1"/>
          <c:order val="1"/>
          <c:tx>
            <c:strRef>
              <c:f>Worksheet!$O$24</c:f>
              <c:strCache>
                <c:ptCount val="1"/>
                <c:pt idx="0">
                  <c:v>Nov-16</c:v>
                </c:pt>
              </c:strCache>
            </c:strRef>
          </c:tx>
          <c:spPr>
            <a:ln w="28575" cap="rnd">
              <a:solidFill>
                <a:schemeClr val="accent2"/>
              </a:solidFill>
              <a:round/>
            </a:ln>
            <a:effectLst/>
          </c:spPr>
          <c:marker>
            <c:symbol val="none"/>
          </c:marker>
          <c:cat>
            <c:strRef>
              <c:f>Worksheet!$P$22:$T$22</c:f>
              <c:strCache>
                <c:ptCount val="5"/>
                <c:pt idx="0">
                  <c:v>Completeness</c:v>
                </c:pt>
                <c:pt idx="1">
                  <c:v>Consistency </c:v>
                </c:pt>
                <c:pt idx="2">
                  <c:v>Precision </c:v>
                </c:pt>
                <c:pt idx="3">
                  <c:v>Integrity </c:v>
                </c:pt>
                <c:pt idx="4">
                  <c:v>Validty </c:v>
                </c:pt>
              </c:strCache>
            </c:strRef>
          </c:cat>
          <c:val>
            <c:numRef>
              <c:f>Worksheet!$P$24:$T$24</c:f>
              <c:numCache>
                <c:formatCode>0</c:formatCode>
                <c:ptCount val="5"/>
                <c:pt idx="0">
                  <c:v>12.5625</c:v>
                </c:pt>
                <c:pt idx="1">
                  <c:v>3.6458333333333335</c:v>
                </c:pt>
                <c:pt idx="2">
                  <c:v>8.4848484848484844</c:v>
                </c:pt>
                <c:pt idx="3">
                  <c:v>12.725</c:v>
                </c:pt>
                <c:pt idx="4">
                  <c:v>19</c:v>
                </c:pt>
              </c:numCache>
            </c:numRef>
          </c:val>
          <c:extLst xmlns:c16r2="http://schemas.microsoft.com/office/drawing/2015/06/chart">
            <c:ext xmlns:c16="http://schemas.microsoft.com/office/drawing/2014/chart" uri="{C3380CC4-5D6E-409C-BE32-E72D297353CC}">
              <c16:uniqueId val="{00000001-AD1C-4289-9A31-30EEF286BC71}"/>
            </c:ext>
          </c:extLst>
        </c:ser>
        <c:ser>
          <c:idx val="2"/>
          <c:order val="2"/>
          <c:tx>
            <c:strRef>
              <c:f>Worksheet!$O$25</c:f>
              <c:strCache>
                <c:ptCount val="1"/>
                <c:pt idx="0">
                  <c:v>Dec-16</c:v>
                </c:pt>
              </c:strCache>
            </c:strRef>
          </c:tx>
          <c:spPr>
            <a:ln w="28575" cap="rnd">
              <a:solidFill>
                <a:schemeClr val="accent3"/>
              </a:solidFill>
              <a:round/>
            </a:ln>
            <a:effectLst/>
          </c:spPr>
          <c:marker>
            <c:symbol val="none"/>
          </c:marker>
          <c:cat>
            <c:strRef>
              <c:f>Worksheet!$P$22:$T$22</c:f>
              <c:strCache>
                <c:ptCount val="5"/>
                <c:pt idx="0">
                  <c:v>Completeness</c:v>
                </c:pt>
                <c:pt idx="1">
                  <c:v>Consistency </c:v>
                </c:pt>
                <c:pt idx="2">
                  <c:v>Precision </c:v>
                </c:pt>
                <c:pt idx="3">
                  <c:v>Integrity </c:v>
                </c:pt>
                <c:pt idx="4">
                  <c:v>Validty </c:v>
                </c:pt>
              </c:strCache>
            </c:strRef>
          </c:cat>
          <c:val>
            <c:numRef>
              <c:f>Worksheet!$P$25:$T$25</c:f>
              <c:numCache>
                <c:formatCode>0</c:formatCode>
                <c:ptCount val="5"/>
                <c:pt idx="0">
                  <c:v>9.7249999999999996</c:v>
                </c:pt>
                <c:pt idx="1">
                  <c:v>4.208333333333333</c:v>
                </c:pt>
                <c:pt idx="2">
                  <c:v>7.7575757575757569</c:v>
                </c:pt>
                <c:pt idx="3">
                  <c:v>10.5625</c:v>
                </c:pt>
                <c:pt idx="4">
                  <c:v>15.111111111111111</c:v>
                </c:pt>
              </c:numCache>
            </c:numRef>
          </c:val>
          <c:extLst xmlns:c16r2="http://schemas.microsoft.com/office/drawing/2015/06/chart">
            <c:ext xmlns:c16="http://schemas.microsoft.com/office/drawing/2014/chart" uri="{C3380CC4-5D6E-409C-BE32-E72D297353CC}">
              <c16:uniqueId val="{00000002-AD1C-4289-9A31-30EEF286BC71}"/>
            </c:ext>
          </c:extLst>
        </c:ser>
        <c:dLbls>
          <c:showLegendKey val="0"/>
          <c:showVal val="0"/>
          <c:showCatName val="0"/>
          <c:showSerName val="0"/>
          <c:showPercent val="0"/>
          <c:showBubbleSize val="0"/>
        </c:dLbls>
        <c:axId val="1604515056"/>
        <c:axId val="1604526480"/>
      </c:radarChart>
      <c:catAx>
        <c:axId val="160451505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1604526480"/>
        <c:crosses val="autoZero"/>
        <c:auto val="1"/>
        <c:lblAlgn val="ctr"/>
        <c:lblOffset val="100"/>
        <c:noMultiLvlLbl val="0"/>
      </c:catAx>
      <c:valAx>
        <c:axId val="1604526480"/>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04515056"/>
        <c:crosses val="autoZero"/>
        <c:crossBetween val="between"/>
      </c:valAx>
      <c:spPr>
        <a:noFill/>
        <a:ln>
          <a:noFill/>
        </a:ln>
        <a:effectLst/>
      </c:spPr>
    </c:plotArea>
    <c:legend>
      <c:legendPos val="t"/>
      <c:layout>
        <c:manualLayout>
          <c:xMode val="edge"/>
          <c:yMode val="edge"/>
          <c:x val="0.74671282892917079"/>
          <c:y val="0.18377204199296404"/>
          <c:w val="0.20915036235224696"/>
          <c:h val="2.967488393558243E-2"/>
        </c:manualLayout>
      </c:layout>
      <c:overlay val="0"/>
      <c:spPr>
        <a:noFill/>
        <a:ln>
          <a:noFill/>
        </a:ln>
        <a:effectLst/>
      </c:spPr>
      <c:txPr>
        <a:bodyPr rot="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31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drawings/_rels/drawing1.xml.rels><?xml version="1.0" encoding="UTF-8" standalone="yes"?><Relationships xmlns="http://schemas.openxmlformats.org/package/2006/relationships"><Relationship Id="rId1" Type="http://schemas.openxmlformats.org/officeDocument/2006/relationships/chart" Target="../charts/chart1.xml"/></Relationships>
</file>

<file path=xl/drawings/_rels/drawing2.xml.rels><?xml version="1.0" encoding="UTF-8" standalone="yes"?><Relationships xmlns="http://schemas.openxmlformats.org/package/2006/relationships"><Relationship Id="rId1" Type="http://schemas.openxmlformats.org/officeDocument/2006/relationships/image" Target="../media/image1.jpg"/></Relationships>
</file>

<file path=xl/drawings/drawing1.xml><?xml version="1.0" encoding="utf-8"?>
<xdr:wsDr xmlns:xdr="http://schemas.openxmlformats.org/drawingml/2006/spreadsheetDrawing" xmlns:a="http://schemas.openxmlformats.org/drawingml/2006/main">
  <xdr:twoCellAnchor>
    <xdr:from>
      <xdr:col>12</xdr:col>
      <xdr:colOff>1581150</xdr:colOff>
      <xdr:row>19</xdr:row>
      <xdr:rowOff>368300</xdr:rowOff>
    </xdr:from>
    <xdr:to>
      <xdr:col>23</xdr:col>
      <xdr:colOff>679450</xdr:colOff>
      <xdr:row>37</xdr:row>
      <xdr:rowOff>342900</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xdr:from>
          <xdr:col>9</xdr:col>
          <xdr:colOff>819150</xdr:colOff>
          <xdr:row>1</xdr:row>
          <xdr:rowOff>38100</xdr:rowOff>
        </xdr:from>
        <xdr:to>
          <xdr:col>11</xdr:col>
          <xdr:colOff>0</xdr:colOff>
          <xdr:row>2</xdr:row>
          <xdr:rowOff>12700</xdr:rowOff>
        </xdr:to>
        <xdr:sp macro="" textlink="">
          <xdr:nvSpPr>
            <xdr:cNvPr id="9217" name="Button 1" descr="Complete" hidden="1">
              <a:extLst>
                <a:ext uri="{63B3BB69-23CF-44E3-9099-C40C66FF867C}">
                  <a14:compatExt spid="_x0000_s9217"/>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400" b="0" i="0" u="none" strike="noStrike" baseline="0">
                  <a:solidFill>
                    <a:srgbClr val="000000"/>
                  </a:solidFill>
                  <a:latin typeface="Calibri"/>
                  <a:cs typeface="Calibri"/>
                </a:rPr>
                <a:t>Complete</a:t>
              </a:r>
            </a:p>
            <a:p>
              <a:pPr algn="ctr" rtl="0">
                <a:defRPr sz="1000"/>
              </a:pPr>
              <a:r>
                <a:rPr lang="en-US" sz="1400" b="0" i="0" u="none" strike="noStrike" baseline="0">
                  <a:solidFill>
                    <a:srgbClr val="000000"/>
                  </a:solidFill>
                  <a:latin typeface="Calibri"/>
                  <a:cs typeface="Calibri"/>
                </a:rPr>
                <a:t>n 2</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1</xdr:col>
      <xdr:colOff>395288</xdr:colOff>
      <xdr:row>2</xdr:row>
      <xdr:rowOff>38101</xdr:rowOff>
    </xdr:from>
    <xdr:to>
      <xdr:col>2</xdr:col>
      <xdr:colOff>1104900</xdr:colOff>
      <xdr:row>3</xdr:row>
      <xdr:rowOff>66675</xdr:rowOff>
    </xdr:to>
    <xdr:pic>
      <xdr:nvPicPr>
        <xdr:cNvPr id="2" name="Picture 1"/>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985838" y="447676"/>
          <a:ext cx="1295400" cy="751114"/>
        </a:xfrm>
        <a:prstGeom prst="rect">
          <a:avLst/>
        </a:prstGeom>
      </xdr:spPr>
    </xdr:pic>
    <xdr:clientData/>
  </xdr:twoCellAnchor>
</xdr:wsDr>
</file>

<file path=xl/externalLinks/_rels/externalLink1.xml.rels><?xml version="1.0" encoding="UTF-8" standalone="yes"?><Relationships xmlns="http://schemas.openxmlformats.org/package/2006/relationships"><Relationship Id="rId1" Type="http://schemas.openxmlformats.org/officeDocument/2006/relationships/externalLinkPath" Target="file:///Z:\Documents%20and%20Settings\amadiegwus\Local%20Settings\Temporary%20Internet%20Files\Content.Outlook\AE5SGS77\APR10%20DCT%20v2%2027Sept2010.xls" TargetMode="External"/></Relationships>
</file>

<file path=xl/externalLinks/_rels/externalLink2.xml.rels><?xml version="1.0" encoding="UTF-8" standalone="yes"?><Relationships xmlns="http://schemas.openxmlformats.org/package/2006/relationships"><Relationship Id="rId1" Type="http://schemas.openxmlformats.org/officeDocument/2006/relationships/externalLinkPath" Target="file:///C:\Users\caniekwe\Desktop\DQA\DQA%20Draft%204.v2.3%20(17thFeb).xlsm" TargetMode="External"/></Relationships>
</file>

<file path=xl/externalLinks/_rels/externalLink3.xml.rels><?xml version="1.0" encoding="UTF-8" standalone="yes"?><Relationships xmlns="http://schemas.openxmlformats.org/package/2006/relationships"><Relationship Id="rId1" Type="http://schemas.openxmlformats.org/officeDocument/2006/relationships/externalLinkPath" Target="file:///C:\Users\krn7\Desktop\DQA%20pack%20from%20desktop\Final%20DQA%20Tool_PEPFAR_v2%200_January_11_16.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nstructions"/>
      <sheetName val="Quick Tips and NOT a reference "/>
      <sheetName val="APR10"/>
      <sheetName val="IP List"/>
    </sheetNames>
    <sheetDataSet>
      <sheetData sheetId="0"/>
      <sheetData sheetId="1"/>
      <sheetData sheetId="2"/>
      <sheetData sheetId="3">
        <row r="2">
          <cell r="A2" t="str">
            <v>CDC</v>
          </cell>
          <cell r="B2" t="str">
            <v>ABELINK</v>
          </cell>
        </row>
        <row r="3">
          <cell r="A3" t="str">
            <v>DoD</v>
          </cell>
          <cell r="B3" t="str">
            <v>AED</v>
          </cell>
        </row>
        <row r="4">
          <cell r="A4" t="str">
            <v>USAID</v>
          </cell>
          <cell r="B4" t="str">
            <v>Africare</v>
          </cell>
        </row>
        <row r="5">
          <cell r="B5" t="str">
            <v>AIDSRelief</v>
          </cell>
        </row>
        <row r="6">
          <cell r="B6" t="str">
            <v>AIDSTAR_OVC</v>
          </cell>
        </row>
        <row r="7">
          <cell r="B7" t="str">
            <v>AIDSTAR_Prev</v>
          </cell>
        </row>
        <row r="8">
          <cell r="B8" t="str">
            <v>AIHA</v>
          </cell>
        </row>
        <row r="9">
          <cell r="B9" t="str">
            <v>APHL</v>
          </cell>
        </row>
        <row r="10">
          <cell r="B10" t="str">
            <v>APIN</v>
          </cell>
        </row>
        <row r="11">
          <cell r="B11" t="str">
            <v>APS</v>
          </cell>
        </row>
        <row r="12">
          <cell r="B12" t="str">
            <v>ASCP</v>
          </cell>
        </row>
        <row r="13">
          <cell r="B13" t="str">
            <v>ASM</v>
          </cell>
        </row>
        <row r="14">
          <cell r="B14" t="str">
            <v>Axios</v>
          </cell>
        </row>
        <row r="15">
          <cell r="B15" t="str">
            <v>C Change</v>
          </cell>
        </row>
        <row r="16">
          <cell r="B16" t="str">
            <v>CDC</v>
          </cell>
        </row>
        <row r="17">
          <cell r="B17" t="str">
            <v>CEDPA</v>
          </cell>
        </row>
        <row r="18">
          <cell r="B18" t="str">
            <v>CHAN</v>
          </cell>
        </row>
        <row r="19">
          <cell r="B19" t="str">
            <v>Children of Hope</v>
          </cell>
        </row>
        <row r="20">
          <cell r="B20" t="str">
            <v>Choices VCT-Nigeria</v>
          </cell>
        </row>
        <row r="21">
          <cell r="B21" t="str">
            <v>Christian Aid1</v>
          </cell>
        </row>
        <row r="22">
          <cell r="B22" t="str">
            <v>Christian Aid2</v>
          </cell>
        </row>
        <row r="23">
          <cell r="B23" t="str">
            <v>CLSI</v>
          </cell>
        </row>
        <row r="24">
          <cell r="B24" t="str">
            <v>Community Reach</v>
          </cell>
        </row>
        <row r="25">
          <cell r="B25" t="str">
            <v>COMPASS</v>
          </cell>
        </row>
        <row r="26">
          <cell r="B26" t="str">
            <v>CRS 7D</v>
          </cell>
        </row>
        <row r="27">
          <cell r="B27" t="str">
            <v>CRS OVC</v>
          </cell>
        </row>
        <row r="28">
          <cell r="B28" t="str">
            <v>CSN</v>
          </cell>
        </row>
        <row r="29">
          <cell r="B29" t="str">
            <v>CUB</v>
          </cell>
        </row>
        <row r="30">
          <cell r="B30" t="str">
            <v>DOD</v>
          </cell>
        </row>
        <row r="31">
          <cell r="B31" t="str">
            <v>Don Bosco</v>
          </cell>
        </row>
        <row r="32">
          <cell r="B32" t="str">
            <v>ECEWS</v>
          </cell>
        </row>
        <row r="33">
          <cell r="B33" t="str">
            <v>EUCORD</v>
          </cell>
        </row>
        <row r="34">
          <cell r="B34" t="str">
            <v>FGH</v>
          </cell>
        </row>
        <row r="35">
          <cell r="B35" t="str">
            <v>Food4Hungry</v>
          </cell>
        </row>
        <row r="36">
          <cell r="B36" t="str">
            <v>GECHAAN</v>
          </cell>
        </row>
        <row r="37">
          <cell r="B37" t="str">
            <v>GHAIN</v>
          </cell>
        </row>
        <row r="38">
          <cell r="B38" t="str">
            <v>Harvard</v>
          </cell>
        </row>
        <row r="39">
          <cell r="B39" t="str">
            <v>Health 20/20</v>
          </cell>
        </row>
        <row r="40">
          <cell r="B40" t="str">
            <v>Heartland Alliance</v>
          </cell>
        </row>
        <row r="41">
          <cell r="B41" t="str">
            <v>HopeWWN</v>
          </cell>
        </row>
        <row r="42">
          <cell r="B42" t="str">
            <v>ICAP</v>
          </cell>
        </row>
        <row r="43">
          <cell r="B43" t="str">
            <v>IFESH</v>
          </cell>
        </row>
        <row r="44">
          <cell r="B44" t="str">
            <v>IHVN</v>
          </cell>
        </row>
        <row r="45">
          <cell r="B45" t="str">
            <v>IYCN</v>
          </cell>
        </row>
        <row r="46">
          <cell r="B46" t="str">
            <v>Johns Hopkins</v>
          </cell>
        </row>
        <row r="47">
          <cell r="B47" t="str">
            <v>LMS - PLAN Health</v>
          </cell>
        </row>
        <row r="48">
          <cell r="B48" t="str">
            <v>LMS - ProACT</v>
          </cell>
        </row>
        <row r="49">
          <cell r="B49" t="str">
            <v>Macro</v>
          </cell>
        </row>
        <row r="50">
          <cell r="B50" t="str">
            <v>Markets</v>
          </cell>
        </row>
        <row r="51">
          <cell r="B51" t="str">
            <v>Measure</v>
          </cell>
        </row>
        <row r="52">
          <cell r="B52" t="str">
            <v>MMIS</v>
          </cell>
        </row>
        <row r="53">
          <cell r="B53" t="str">
            <v>MSH/CUBS</v>
          </cell>
        </row>
        <row r="54">
          <cell r="B54" t="str">
            <v>NBTS</v>
          </cell>
        </row>
        <row r="55">
          <cell r="B55" t="str">
            <v>NELA</v>
          </cell>
        </row>
        <row r="56">
          <cell r="B56" t="str">
            <v xml:space="preserve">NYSDOH-AIDS INSTITUTE </v>
          </cell>
        </row>
        <row r="57">
          <cell r="B57" t="str">
            <v>Olive Leaf Charity Foundation</v>
          </cell>
        </row>
        <row r="58">
          <cell r="B58" t="str">
            <v>Partners4Dev</v>
          </cell>
        </row>
        <row r="59">
          <cell r="B59" t="str">
            <v>PAS</v>
          </cell>
        </row>
        <row r="60">
          <cell r="B60" t="str">
            <v>Pathfinder</v>
          </cell>
        </row>
        <row r="61">
          <cell r="B61" t="str">
            <v>Pop Council CDC</v>
          </cell>
        </row>
        <row r="62">
          <cell r="B62" t="str">
            <v>Pop Council USAID</v>
          </cell>
        </row>
        <row r="63">
          <cell r="B63" t="str">
            <v>Pro Health CDC</v>
          </cell>
        </row>
        <row r="64">
          <cell r="B64" t="str">
            <v>Pro Health USAID</v>
          </cell>
        </row>
        <row r="65">
          <cell r="B65" t="str">
            <v>Save the Children</v>
          </cell>
        </row>
        <row r="66">
          <cell r="B66" t="str">
            <v>SBFAF</v>
          </cell>
        </row>
        <row r="67">
          <cell r="B67" t="str">
            <v>SCMS</v>
          </cell>
        </row>
        <row r="68">
          <cell r="B68" t="str">
            <v>Sesame</v>
          </cell>
        </row>
        <row r="69">
          <cell r="B69" t="str">
            <v>SFH</v>
          </cell>
        </row>
        <row r="70">
          <cell r="B70" t="str">
            <v>TB CAP</v>
          </cell>
        </row>
        <row r="71">
          <cell r="B71" t="str">
            <v>URC</v>
          </cell>
        </row>
        <row r="72">
          <cell r="B72" t="str">
            <v>USAID</v>
          </cell>
        </row>
        <row r="73">
          <cell r="B73" t="str">
            <v>Vanderbilt</v>
          </cell>
        </row>
        <row r="74">
          <cell r="B74" t="str">
            <v>Winrock</v>
          </cell>
        </row>
        <row r="75">
          <cell r="B75" t="str">
            <v>YWCA</v>
          </cell>
        </row>
      </sheetData>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DC DQA"/>
      <sheetName val="DQ Dimensions"/>
      <sheetName val="Summary Page"/>
      <sheetName val="Data entry"/>
      <sheetName val="Worksheet"/>
      <sheetName val="Data_donotedit"/>
      <sheetName val="DQA Draft 4.v2.3 (17thFeb)"/>
    </sheetNames>
    <sheetDataSet>
      <sheetData sheetId="0"/>
      <sheetData sheetId="1"/>
      <sheetData sheetId="2"/>
      <sheetData sheetId="3"/>
      <sheetData sheetId="4"/>
      <sheetData sheetId="5">
        <row r="2">
          <cell r="AY2" t="str">
            <v>Ota</v>
          </cell>
          <cell r="AZ2" t="str">
            <v>RuXsXz3hhGC</v>
          </cell>
        </row>
        <row r="3">
          <cell r="AY3" t="str">
            <v>Ota</v>
          </cell>
          <cell r="AZ3" t="str">
            <v>fCB9EIDg0lM</v>
          </cell>
        </row>
        <row r="4">
          <cell r="AY4" t="str">
            <v>Ota</v>
          </cell>
          <cell r="AZ4" t="str">
            <v>jrlSMIy4Udi</v>
          </cell>
        </row>
        <row r="5">
          <cell r="AY5" t="str">
            <v>Idi Iroko General Hospital</v>
          </cell>
          <cell r="AZ5" t="str">
            <v>Ded9l89WnBh</v>
          </cell>
        </row>
        <row r="6">
          <cell r="AY6" t="str">
            <v>Tube Primary Health Center</v>
          </cell>
          <cell r="AZ6" t="str">
            <v>H39LYhr70Ip</v>
          </cell>
        </row>
        <row r="7">
          <cell r="AY7" t="str">
            <v>Ayetoro General Hospital</v>
          </cell>
          <cell r="AZ7" t="str">
            <v>muPgi07IQTK</v>
          </cell>
        </row>
        <row r="8">
          <cell r="AY8" t="str">
            <v>Ibile Primary Health Center</v>
          </cell>
          <cell r="AZ8" t="str">
            <v>PPgLTt5B6Kq</v>
          </cell>
        </row>
        <row r="9">
          <cell r="AY9" t="str">
            <v>Isaga Owode Health Center</v>
          </cell>
          <cell r="AZ9" t="str">
            <v>VGPZqV1kLlD</v>
          </cell>
        </row>
        <row r="10">
          <cell r="AY10" t="str">
            <v>Specialist Hospital - Ilaro</v>
          </cell>
          <cell r="AZ10" t="str">
            <v>WnA94tQ9PZu</v>
          </cell>
        </row>
        <row r="11">
          <cell r="AY11" t="str">
            <v>Ago-Are Model Primary Health Center</v>
          </cell>
          <cell r="AZ11" t="str">
            <v>t1MU2cswLjx</v>
          </cell>
        </row>
        <row r="12">
          <cell r="AY12" t="str">
            <v>Ago-Are Primary Health Center</v>
          </cell>
          <cell r="AZ12" t="str">
            <v>axwoQCMRKH4</v>
          </cell>
        </row>
        <row r="13">
          <cell r="AY13" t="str">
            <v>Irawo Ile Primary Health Center</v>
          </cell>
          <cell r="AZ13" t="str">
            <v>okth7hjdnDl</v>
          </cell>
        </row>
        <row r="14">
          <cell r="AY14" t="str">
            <v>Ofiki Primary Health Center</v>
          </cell>
          <cell r="AZ14" t="str">
            <v>WWsRxxlA1kT</v>
          </cell>
        </row>
        <row r="15">
          <cell r="AY15" t="str">
            <v>Tede Comprehensive Health Center</v>
          </cell>
          <cell r="AZ15" t="str">
            <v>g7duV6lW7oO</v>
          </cell>
        </row>
        <row r="16">
          <cell r="AY16" t="str">
            <v>Tede General Hospital</v>
          </cell>
          <cell r="AZ16" t="str">
            <v>CDiho2YnFlh</v>
          </cell>
        </row>
        <row r="17">
          <cell r="AY17" t="str">
            <v>Agade Primary Health Center</v>
          </cell>
          <cell r="AZ17" t="str">
            <v>qOFvUyNQCHC</v>
          </cell>
        </row>
        <row r="18">
          <cell r="AY18" t="str">
            <v>Kisi General Hospital</v>
          </cell>
          <cell r="AZ18" t="str">
            <v>l7D0Lku4ECe</v>
          </cell>
        </row>
        <row r="19">
          <cell r="AY19" t="str">
            <v>Koso Primary Health Center- Irepo</v>
          </cell>
          <cell r="AZ19" t="str">
            <v>MrDTe8quPHV</v>
          </cell>
        </row>
        <row r="20">
          <cell r="AY20" t="str">
            <v>Olorunsogo Model Primary Health Center</v>
          </cell>
          <cell r="AZ20" t="str">
            <v>CHOLZ7N4Nbp</v>
          </cell>
        </row>
        <row r="21">
          <cell r="AY21" t="str">
            <v>Ado Awaye Primary Health Center</v>
          </cell>
          <cell r="AZ21" t="str">
            <v>n3AczRXojfF</v>
          </cell>
        </row>
        <row r="22">
          <cell r="AY22" t="str">
            <v>Faramora Primary Health Center</v>
          </cell>
          <cell r="AZ22" t="str">
            <v>XTVUI9SkNTF</v>
          </cell>
        </row>
        <row r="23">
          <cell r="AY23" t="str">
            <v>Isalu Primary Health Center</v>
          </cell>
          <cell r="AZ23" t="str">
            <v>oPNBYFlO4a7</v>
          </cell>
        </row>
        <row r="24">
          <cell r="AY24" t="str">
            <v>Iseyin General Hospital</v>
          </cell>
          <cell r="AZ24" t="str">
            <v>o9zWHFjhquv</v>
          </cell>
        </row>
        <row r="25">
          <cell r="AY25" t="str">
            <v>Koso Primary Health Center- Iseyin</v>
          </cell>
          <cell r="AZ25" t="str">
            <v>nF4cgzRSodW</v>
          </cell>
        </row>
        <row r="26">
          <cell r="AY26" t="str">
            <v>Ode-Oba Primary Health Center</v>
          </cell>
          <cell r="AZ26" t="str">
            <v>FOYn0ByRPa9</v>
          </cell>
        </row>
        <row r="27">
          <cell r="AY27" t="str">
            <v>Igana General Hospital</v>
          </cell>
          <cell r="AZ27" t="str">
            <v>csjgQDX70UY</v>
          </cell>
        </row>
        <row r="28">
          <cell r="AY28" t="str">
            <v>Igana Primary Health Center</v>
          </cell>
          <cell r="AZ28" t="str">
            <v>LrhTC0vQwl8</v>
          </cell>
        </row>
        <row r="29">
          <cell r="AY29" t="str">
            <v>Ijio Primary Health Center</v>
          </cell>
          <cell r="AZ29" t="str">
            <v>vjXeF7I4U0G</v>
          </cell>
        </row>
        <row r="30">
          <cell r="AY30" t="str">
            <v>Agbagi Primary Health Center</v>
          </cell>
          <cell r="AZ30" t="str">
            <v>Y7y7ALiafAi</v>
          </cell>
        </row>
        <row r="31">
          <cell r="AY31" t="str">
            <v>Baptist Medical Centre - Ilefo</v>
          </cell>
          <cell r="AZ31" t="str">
            <v>ZOFawdldLxn</v>
          </cell>
        </row>
        <row r="32">
          <cell r="AY32" t="str">
            <v>Gbonje Primary Health Center</v>
          </cell>
          <cell r="AZ32" t="str">
            <v>YgDUJxPEAqX</v>
          </cell>
        </row>
        <row r="33">
          <cell r="AY33" t="str">
            <v>Ijo Primary Health Center</v>
          </cell>
          <cell r="AZ33" t="str">
            <v>Z3TYZfI2lwQ</v>
          </cell>
        </row>
        <row r="34">
          <cell r="AY34" t="str">
            <v>Okeho General Hospital</v>
          </cell>
          <cell r="AZ34" t="str">
            <v>L0SpXvHcxlr</v>
          </cell>
        </row>
        <row r="35">
          <cell r="AY35" t="str">
            <v>Ajaawa Primary Health Center</v>
          </cell>
          <cell r="AZ35" t="str">
            <v>fD14mGxPP3L</v>
          </cell>
        </row>
        <row r="36">
          <cell r="AY36" t="str">
            <v>Odo-Oba Primary Health Center</v>
          </cell>
          <cell r="AZ36" t="str">
            <v>oOLAYH0WZI8</v>
          </cell>
        </row>
        <row r="37">
          <cell r="AY37" t="str">
            <v>Dogo-LEEMP Primary Health Center</v>
          </cell>
          <cell r="AZ37" t="str">
            <v>PI26NbjCCVn</v>
          </cell>
        </row>
        <row r="38">
          <cell r="AY38" t="str">
            <v>Igbeti General Hospital</v>
          </cell>
          <cell r="AZ38" t="str">
            <v>ty9jMW3us5b</v>
          </cell>
        </row>
        <row r="39">
          <cell r="AY39" t="str">
            <v>Bonni Primary Health Center</v>
          </cell>
          <cell r="AZ39" t="str">
            <v>RikNQmXQLvM</v>
          </cell>
        </row>
        <row r="40">
          <cell r="AY40" t="str">
            <v>Igboho General Hospital</v>
          </cell>
          <cell r="AZ40" t="str">
            <v>oXanQ9NfzcJ</v>
          </cell>
        </row>
        <row r="41">
          <cell r="AY41" t="str">
            <v>Ikoyi-Ile Primary Health Center</v>
          </cell>
          <cell r="AZ41" t="str">
            <v>jN3f776qJBx</v>
          </cell>
        </row>
        <row r="42">
          <cell r="AY42" t="str">
            <v>Agbonle Primary Health Center</v>
          </cell>
          <cell r="AZ42" t="str">
            <v>axW6IWUePhH</v>
          </cell>
        </row>
        <row r="43">
          <cell r="AY43" t="str">
            <v>Ogboro Primary Health Center</v>
          </cell>
          <cell r="AZ43" t="str">
            <v>dhw13NZ1dXs</v>
          </cell>
        </row>
        <row r="44">
          <cell r="AY44" t="str">
            <v>Oje Owode Primary Health Center</v>
          </cell>
          <cell r="AZ44" t="str">
            <v>sH7hx1wlgBV</v>
          </cell>
        </row>
        <row r="45">
          <cell r="AY45" t="str">
            <v>Aboru Primary Health Center</v>
          </cell>
          <cell r="AZ45" t="str">
            <v>c3KK4r0ApCl</v>
          </cell>
        </row>
        <row r="46">
          <cell r="AY46" t="str">
            <v>Agape Hospital</v>
          </cell>
          <cell r="AZ46" t="str">
            <v>zWL7dZOFW9z</v>
          </cell>
        </row>
        <row r="47">
          <cell r="AY47" t="str">
            <v>Agbado Primary Health Center</v>
          </cell>
          <cell r="AZ47" t="str">
            <v>e0sBYzUQ6fO</v>
          </cell>
        </row>
        <row r="48">
          <cell r="AY48" t="str">
            <v>Agbelekale Primary Health Center</v>
          </cell>
          <cell r="AZ48" t="str">
            <v>ISrqCAopMYv</v>
          </cell>
        </row>
        <row r="49">
          <cell r="AY49" t="str">
            <v>Agodo Primary Health Center</v>
          </cell>
          <cell r="AZ49" t="str">
            <v>jccw648JEyd</v>
          </cell>
        </row>
        <row r="50">
          <cell r="AY50" t="str">
            <v>Akinogun Primary Health Center</v>
          </cell>
          <cell r="AZ50" t="str">
            <v>Hbb8fFmfgbP</v>
          </cell>
        </row>
        <row r="51">
          <cell r="AY51" t="str">
            <v>Akinyele Primary Health Center</v>
          </cell>
          <cell r="AZ51" t="str">
            <v>lYHVH7igttv</v>
          </cell>
        </row>
        <row r="52">
          <cell r="AY52" t="str">
            <v>Akonwonjo Primary Health Center</v>
          </cell>
          <cell r="AZ52" t="str">
            <v>Mq45WIHMbhI</v>
          </cell>
        </row>
        <row r="53">
          <cell r="AY53" t="str">
            <v>Alimosho General Hospital</v>
          </cell>
          <cell r="AZ53" t="str">
            <v>jMnxdoXrX0B</v>
          </cell>
        </row>
        <row r="54">
          <cell r="AY54" t="str">
            <v>Amikanle Primary Health Center</v>
          </cell>
          <cell r="AZ54" t="str">
            <v>sLvtY9JbCbl</v>
          </cell>
        </row>
        <row r="55">
          <cell r="AY55" t="str">
            <v>Aregbesola Primary Health Center</v>
          </cell>
          <cell r="AZ55" t="str">
            <v>LNguEy0vjvR</v>
          </cell>
        </row>
        <row r="56">
          <cell r="AY56" t="str">
            <v>Ayobo Primary Health Center</v>
          </cell>
          <cell r="AZ56" t="str">
            <v>iQOwAevKYiJ</v>
          </cell>
        </row>
        <row r="57">
          <cell r="AY57" t="str">
            <v>Bada Primary Health Center</v>
          </cell>
          <cell r="AZ57" t="str">
            <v>dcXk89Cs5Ba</v>
          </cell>
        </row>
        <row r="58">
          <cell r="AY58" t="str">
            <v>Baruwa Primary Health Center</v>
          </cell>
          <cell r="AZ58" t="str">
            <v>ZZFCxHwhiCw</v>
          </cell>
        </row>
        <row r="59">
          <cell r="AY59" t="str">
            <v>Bee-Hess Hospital</v>
          </cell>
          <cell r="AZ59" t="str">
            <v>KZIu3ReUZOf</v>
          </cell>
        </row>
        <row r="60">
          <cell r="AY60" t="str">
            <v>Bissalam Hospital</v>
          </cell>
          <cell r="AZ60" t="str">
            <v>LS44Gy0hPt9</v>
          </cell>
        </row>
        <row r="61">
          <cell r="AY61" t="str">
            <v>Cele Apata Primary Health Center</v>
          </cell>
          <cell r="AZ61" t="str">
            <v>ws51lSMCyPH</v>
          </cell>
        </row>
        <row r="62">
          <cell r="AY62" t="str">
            <v>Crystal Specialist Hospital</v>
          </cell>
          <cell r="AZ62" t="str">
            <v>U4PYh3OVqQf</v>
          </cell>
        </row>
        <row r="63">
          <cell r="AY63" t="str">
            <v>Egan Primary Health Center</v>
          </cell>
          <cell r="AZ63" t="str">
            <v>hQ808SWIPV2</v>
          </cell>
        </row>
        <row r="64">
          <cell r="AY64" t="str">
            <v>Hamkad Hospital</v>
          </cell>
          <cell r="AZ64" t="str">
            <v>ya5aVehGJhU</v>
          </cell>
        </row>
        <row r="65">
          <cell r="AY65" t="str">
            <v>Helen Aderonke (Egbe Idimu) Primary Health Center</v>
          </cell>
          <cell r="AZ65" t="str">
            <v>bAeQxzIqls2</v>
          </cell>
        </row>
        <row r="66">
          <cell r="AY66" t="str">
            <v>Ikola Primary Health Center</v>
          </cell>
          <cell r="AZ66" t="str">
            <v>Y5kAcxYCJtJ</v>
          </cell>
        </row>
        <row r="67">
          <cell r="AY67" t="str">
            <v>Ikotun Primary Health Center</v>
          </cell>
          <cell r="AZ67" t="str">
            <v>R3X9MttmeAb</v>
          </cell>
        </row>
        <row r="68">
          <cell r="AY68" t="str">
            <v>Ipaja Primary Health Center</v>
          </cell>
          <cell r="AZ68" t="str">
            <v>iJX8pwklfN3</v>
          </cell>
        </row>
        <row r="69">
          <cell r="AY69" t="str">
            <v>Ishefun Primary Health Center</v>
          </cell>
          <cell r="AZ69" t="str">
            <v>NGcOdU567cM</v>
          </cell>
        </row>
        <row r="70">
          <cell r="AY70" t="str">
            <v>Isheri Oshun Primary Health Center</v>
          </cell>
          <cell r="AZ70" t="str">
            <v>jgHQAN6DXzD</v>
          </cell>
        </row>
        <row r="71">
          <cell r="AY71" t="str">
            <v>Isheri Primary Health Center</v>
          </cell>
          <cell r="AZ71" t="str">
            <v>iW0gyLDnttQ</v>
          </cell>
        </row>
        <row r="72">
          <cell r="AY72" t="str">
            <v>Light Hospital</v>
          </cell>
          <cell r="AZ72" t="str">
            <v>jkohclo02rj</v>
          </cell>
        </row>
        <row r="73">
          <cell r="AY73" t="str">
            <v>Longing Medical Center</v>
          </cell>
          <cell r="AZ73" t="str">
            <v>r0nMODWpO19</v>
          </cell>
        </row>
        <row r="74">
          <cell r="AY74" t="str">
            <v>Meiran Primary Health Center</v>
          </cell>
          <cell r="AZ74" t="str">
            <v>owB333UT2qz</v>
          </cell>
        </row>
        <row r="75">
          <cell r="AY75" t="str">
            <v>Ogbomoshotedo Primary Health Center</v>
          </cell>
          <cell r="AZ75" t="str">
            <v>BmfDTA3dEh1</v>
          </cell>
        </row>
        <row r="76">
          <cell r="AY76" t="str">
            <v>Ogundimu Primary Health Center</v>
          </cell>
          <cell r="AZ76" t="str">
            <v>V7TMHLKzkBM</v>
          </cell>
        </row>
        <row r="77">
          <cell r="AY77" t="str">
            <v>Oke odo Primary Health Center</v>
          </cell>
          <cell r="AZ77" t="str">
            <v>JxUscCJtDLV</v>
          </cell>
        </row>
        <row r="78">
          <cell r="AY78" t="str">
            <v>Okerube Primary Health Center</v>
          </cell>
          <cell r="AZ78" t="str">
            <v>CJimJqWhcMm</v>
          </cell>
        </row>
        <row r="79">
          <cell r="AY79" t="str">
            <v>Oki Primary Health Center</v>
          </cell>
          <cell r="AZ79" t="str">
            <v>RAvl5HsvuzW</v>
          </cell>
        </row>
        <row r="80">
          <cell r="AY80" t="str">
            <v>Okokumo Primary Health Center</v>
          </cell>
          <cell r="AZ80" t="str">
            <v>fmyeOYjZpui</v>
          </cell>
        </row>
        <row r="81">
          <cell r="AY81" t="str">
            <v>Olota Primary Health Center</v>
          </cell>
          <cell r="AZ81" t="str">
            <v>M205lvV2EMK</v>
          </cell>
        </row>
        <row r="82">
          <cell r="AY82" t="str">
            <v>Orisunbare Primary Health Center</v>
          </cell>
          <cell r="AZ82" t="str">
            <v>i2hdvExuY3s</v>
          </cell>
        </row>
        <row r="83">
          <cell r="AY83" t="str">
            <v>Subol Hospital</v>
          </cell>
          <cell r="AZ83" t="str">
            <v>jMBwuIXxYQb</v>
          </cell>
        </row>
        <row r="84">
          <cell r="AY84" t="str">
            <v>Surulere Primary Health Center</v>
          </cell>
          <cell r="AZ84" t="str">
            <v>IbVBi2EBk8K</v>
          </cell>
        </row>
        <row r="85">
          <cell r="AY85" t="str">
            <v>Veta Hospital</v>
          </cell>
          <cell r="AZ85" t="str">
            <v>ih6pNkvFysn</v>
          </cell>
        </row>
        <row r="86">
          <cell r="AY86" t="str">
            <v>Agboju Primary Health Center</v>
          </cell>
          <cell r="AZ86" t="str">
            <v>V9F0fejCYiz</v>
          </cell>
        </row>
        <row r="87">
          <cell r="AY87" t="str">
            <v>AMC Hospital</v>
          </cell>
          <cell r="AZ87" t="str">
            <v>S2LeWmLumda</v>
          </cell>
        </row>
        <row r="88">
          <cell r="AY88" t="str">
            <v>Bola Ahmed Tinubu Primary Health Center</v>
          </cell>
          <cell r="AZ88" t="str">
            <v>EZB6jSsaHsL</v>
          </cell>
        </row>
        <row r="89">
          <cell r="AY89" t="str">
            <v>Festac Primary Health Center</v>
          </cell>
          <cell r="AZ89" t="str">
            <v>DaQnVxhTwge</v>
          </cell>
        </row>
        <row r="90">
          <cell r="AY90" t="str">
            <v>Igbologun Primary Health Center</v>
          </cell>
          <cell r="AZ90" t="str">
            <v>NK1aIh1gWE4</v>
          </cell>
        </row>
        <row r="91">
          <cell r="AY91" t="str">
            <v>Sabokaji Primary Health Center</v>
          </cell>
          <cell r="AZ91" t="str">
            <v>i64phEv67WC</v>
          </cell>
        </row>
        <row r="92">
          <cell r="AY92" t="str">
            <v>Satellite Primary Health Center</v>
          </cell>
          <cell r="AZ92" t="str">
            <v>lUS1f60wUKB</v>
          </cell>
        </row>
        <row r="93">
          <cell r="AY93" t="str">
            <v>St. Joseph Mission Clinic Kirikiri</v>
          </cell>
          <cell r="AZ93" t="str">
            <v>wsaK58gH5tH</v>
          </cell>
        </row>
        <row r="94">
          <cell r="AY94" t="str">
            <v>The Hossana Hospital</v>
          </cell>
          <cell r="AZ94" t="str">
            <v>uC71uAUWa8F</v>
          </cell>
        </row>
        <row r="95">
          <cell r="AY95" t="str">
            <v>Agbowa Primary Health Center</v>
          </cell>
          <cell r="AZ95" t="str">
            <v>IAiSCdtL1sX</v>
          </cell>
        </row>
        <row r="96">
          <cell r="AY96" t="str">
            <v>Epe Primary Health Center</v>
          </cell>
          <cell r="AZ96" t="str">
            <v>snJpXItWn78</v>
          </cell>
        </row>
        <row r="97">
          <cell r="AY97" t="str">
            <v>Eredo Primary Health Center</v>
          </cell>
          <cell r="AZ97" t="str">
            <v>mTGLo1Qim95</v>
          </cell>
        </row>
        <row r="98">
          <cell r="AY98" t="str">
            <v>Odomola Primary Health Center</v>
          </cell>
          <cell r="AZ98" t="str">
            <v>nzKmHXFrW9C</v>
          </cell>
        </row>
        <row r="99">
          <cell r="AY99" t="str">
            <v>Best Care Hospital</v>
          </cell>
          <cell r="AZ99" t="str">
            <v>S1QQnkPHGna</v>
          </cell>
        </row>
        <row r="100">
          <cell r="AY100" t="str">
            <v>Falomo Police Hospital</v>
          </cell>
          <cell r="AZ100" t="str">
            <v>K4fl4VyS1Qp</v>
          </cell>
        </row>
        <row r="101">
          <cell r="AY101" t="str">
            <v>Ikate Primary Health Center</v>
          </cell>
          <cell r="AZ101" t="str">
            <v>W8ZrdhS5bgo</v>
          </cell>
        </row>
        <row r="102">
          <cell r="AY102" t="str">
            <v>Ikota Primary Health Center</v>
          </cell>
          <cell r="AZ102" t="str">
            <v>PDDXfKVCTWm</v>
          </cell>
        </row>
        <row r="103">
          <cell r="AY103" t="str">
            <v>Ikoyi Primary Health Center</v>
          </cell>
          <cell r="AZ103" t="str">
            <v>AyhmKzryWuV</v>
          </cell>
        </row>
        <row r="104">
          <cell r="AY104" t="str">
            <v>Obalende Primary Health Center</v>
          </cell>
          <cell r="AZ104" t="str">
            <v>eLEoDNrlVO7</v>
          </cell>
        </row>
        <row r="105">
          <cell r="AY105" t="str">
            <v>Okun Mapo Primary Health Center</v>
          </cell>
          <cell r="AZ105" t="str">
            <v>zE2drV5oTj6</v>
          </cell>
        </row>
        <row r="106">
          <cell r="AY106" t="str">
            <v>Lekki</v>
          </cell>
          <cell r="AZ106" t="str">
            <v>rybzkBaDCOT</v>
          </cell>
        </row>
        <row r="107">
          <cell r="AY107" t="str">
            <v>Lekki</v>
          </cell>
          <cell r="AZ107" t="str">
            <v>KmKzDT9YmmR</v>
          </cell>
        </row>
        <row r="108">
          <cell r="AY108" t="str">
            <v>Lekki</v>
          </cell>
          <cell r="AZ108" t="str">
            <v>rB2YmkEyVMe</v>
          </cell>
        </row>
        <row r="109">
          <cell r="AY109" t="str">
            <v>Lekki</v>
          </cell>
          <cell r="AZ109" t="str">
            <v>xu4mnSBhh65</v>
          </cell>
        </row>
        <row r="110">
          <cell r="AY110" t="str">
            <v>Adesola Primary Health Center</v>
          </cell>
          <cell r="AZ110" t="str">
            <v>S9BtjrXBreK</v>
          </cell>
        </row>
        <row r="111">
          <cell r="AY111" t="str">
            <v>Agbado Kola Primary Health Center</v>
          </cell>
          <cell r="AZ111" t="str">
            <v>WNZk7unzn4x</v>
          </cell>
        </row>
        <row r="112">
          <cell r="AY112" t="str">
            <v>Ajegunle-Ilo Primary Health Center</v>
          </cell>
          <cell r="AZ112" t="str">
            <v>NJdwm5iuUxe</v>
          </cell>
        </row>
        <row r="113">
          <cell r="AY113" t="str">
            <v>Ancilla Catholic Hospital</v>
          </cell>
          <cell r="AZ113" t="str">
            <v>CtKYcZmtnBQ</v>
          </cell>
        </row>
        <row r="114">
          <cell r="AY114" t="str">
            <v>Ayodele Medical Center</v>
          </cell>
          <cell r="AZ114" t="str">
            <v>DGLOiFO0XhL</v>
          </cell>
        </row>
        <row r="115">
          <cell r="AY115" t="str">
            <v>Ifako Ijaiye General Hospital</v>
          </cell>
          <cell r="AZ115" t="str">
            <v>OWOckBlm9Du</v>
          </cell>
        </row>
        <row r="116">
          <cell r="AY116" t="str">
            <v>Ifako Primary Health Center</v>
          </cell>
          <cell r="AZ116" t="str">
            <v>W7hscr3wKtm</v>
          </cell>
        </row>
        <row r="117">
          <cell r="AY117" t="str">
            <v>Isokan Primary Health Center</v>
          </cell>
          <cell r="AZ117" t="str">
            <v>qroS3gZWvU2</v>
          </cell>
        </row>
        <row r="118">
          <cell r="AY118" t="str">
            <v>Jefis Specialist Hospital</v>
          </cell>
          <cell r="AZ118" t="str">
            <v>AaN3R7sqGYf</v>
          </cell>
        </row>
        <row r="119">
          <cell r="AY119" t="str">
            <v>Longe Medical Center</v>
          </cell>
          <cell r="AZ119" t="str">
            <v>VIgbUF6H4ma</v>
          </cell>
        </row>
        <row r="120">
          <cell r="AY120" t="str">
            <v>Ojokoro Primary Health Center</v>
          </cell>
          <cell r="AZ120" t="str">
            <v>WUAXNFlS8S0</v>
          </cell>
        </row>
        <row r="121">
          <cell r="AY121" t="str">
            <v>Uptown Medical Center</v>
          </cell>
          <cell r="AZ121" t="str">
            <v>LDLrZHe5kW6</v>
          </cell>
        </row>
        <row r="122">
          <cell r="AY122" t="str">
            <v>Adefemi Hospital</v>
          </cell>
          <cell r="AZ122" t="str">
            <v>bo5LL25UZr1</v>
          </cell>
        </row>
        <row r="123">
          <cell r="AY123" t="str">
            <v>Adeniyi Jones Millennium Development Goal (MDG) Primary Health Center</v>
          </cell>
          <cell r="AZ123" t="str">
            <v>FmYJEmrM0XN</v>
          </cell>
        </row>
        <row r="124">
          <cell r="AY124" t="str">
            <v>Aguda Primary Health Center</v>
          </cell>
          <cell r="AZ124" t="str">
            <v>JOF4KxxChPl</v>
          </cell>
        </row>
        <row r="125">
          <cell r="AY125" t="str">
            <v>Akiode Primary Health Center</v>
          </cell>
          <cell r="AZ125" t="str">
            <v>LsJjeyhrrj8</v>
          </cell>
        </row>
        <row r="126">
          <cell r="AY126" t="str">
            <v>Beko Ransome-Kuti Primary Health Center</v>
          </cell>
          <cell r="AZ126" t="str">
            <v>jnOAbplL5YG</v>
          </cell>
        </row>
        <row r="127">
          <cell r="AY127" t="str">
            <v>County Hospital</v>
          </cell>
          <cell r="AZ127" t="str">
            <v>WYEdzcETfEC</v>
          </cell>
        </row>
        <row r="128">
          <cell r="AY128" t="str">
            <v>Duro Soleye Hospital</v>
          </cell>
          <cell r="AZ128" t="str">
            <v>b8C3q6aXIHX</v>
          </cell>
        </row>
        <row r="129">
          <cell r="AY129" t="str">
            <v>Lagos State University Teaching Hospital</v>
          </cell>
          <cell r="AZ129" t="str">
            <v>y5TzOvctmba</v>
          </cell>
        </row>
        <row r="130">
          <cell r="AY130" t="str">
            <v>Obawole Primary Health Center</v>
          </cell>
          <cell r="AZ130" t="str">
            <v>JJLlHAIHW8T</v>
          </cell>
        </row>
        <row r="131">
          <cell r="AY131" t="str">
            <v>Ojodu Primary Health Care</v>
          </cell>
          <cell r="AZ131" t="str">
            <v>zkYOojlUFww</v>
          </cell>
        </row>
        <row r="132">
          <cell r="AY132" t="str">
            <v>Oke Ira Powerline Primary Health Center</v>
          </cell>
          <cell r="AZ132" t="str">
            <v>XSeH6VOw1fh</v>
          </cell>
        </row>
        <row r="133">
          <cell r="AY133" t="str">
            <v>Oke-Ira Primary Health Center</v>
          </cell>
          <cell r="AZ133" t="str">
            <v>u2gno9ABCWb</v>
          </cell>
        </row>
        <row r="134">
          <cell r="AY134" t="str">
            <v>Olusosun Primary Health Center</v>
          </cell>
          <cell r="AZ134" t="str">
            <v>RnXXh2sgzX5</v>
          </cell>
        </row>
        <row r="135">
          <cell r="AY135" t="str">
            <v>Onilekere Primary Health Center</v>
          </cell>
          <cell r="AZ135" t="str">
            <v>Ot3avYZ7tV1</v>
          </cell>
        </row>
        <row r="136">
          <cell r="AY136" t="str">
            <v>Opebi Primary Health Center</v>
          </cell>
          <cell r="AZ136" t="str">
            <v>sjyWVZMA3W5</v>
          </cell>
        </row>
        <row r="137">
          <cell r="AY137" t="str">
            <v>Wasimi Primary Health Center</v>
          </cell>
          <cell r="AZ137" t="str">
            <v>LaT8akDWnud</v>
          </cell>
        </row>
        <row r="138">
          <cell r="AY138" t="str">
            <v>Agbede Primary Health Center</v>
          </cell>
          <cell r="AZ138" t="str">
            <v>YbTvBy2QPE7</v>
          </cell>
        </row>
        <row r="139">
          <cell r="AY139" t="str">
            <v>Emmanuel Primary Health Center</v>
          </cell>
          <cell r="AZ139" t="str">
            <v>HS1cDiYf7gf</v>
          </cell>
        </row>
        <row r="140">
          <cell r="AY140" t="str">
            <v>Haruna Ogun Memorial Hospital</v>
          </cell>
          <cell r="AZ140" t="str">
            <v>i090T1hI6X0</v>
          </cell>
        </row>
        <row r="141">
          <cell r="AY141" t="str">
            <v>Igbogbo Primary Health Center</v>
          </cell>
          <cell r="AZ141" t="str">
            <v>rH7xalmwpYB</v>
          </cell>
        </row>
        <row r="142">
          <cell r="AY142" t="str">
            <v>Ijede Health Center</v>
          </cell>
          <cell r="AZ142" t="str">
            <v>qrRePxE2vHI</v>
          </cell>
        </row>
        <row r="143">
          <cell r="AY143" t="str">
            <v>Ijede Primary Health Center</v>
          </cell>
          <cell r="AZ143" t="str">
            <v>z70ck0KZc4d</v>
          </cell>
        </row>
        <row r="144">
          <cell r="AY144" t="str">
            <v>Ita Elewe Primary Health Center</v>
          </cell>
          <cell r="AZ144" t="str">
            <v>U4YdfwmVnPI</v>
          </cell>
        </row>
        <row r="145">
          <cell r="AY145" t="str">
            <v>Losi oba Primary Health Center</v>
          </cell>
          <cell r="AZ145" t="str">
            <v>jmsbhbzvFjI</v>
          </cell>
        </row>
        <row r="146">
          <cell r="AY146" t="str">
            <v>Olorunda Primary Health Center</v>
          </cell>
          <cell r="AZ146" t="str">
            <v>J6ZAOJRzjmi</v>
          </cell>
        </row>
        <row r="147">
          <cell r="AY147" t="str">
            <v>Ajeabo Primary Health Center</v>
          </cell>
          <cell r="AZ147" t="str">
            <v>PdTC8ihrFRQ</v>
          </cell>
        </row>
        <row r="148">
          <cell r="AY148" t="str">
            <v>Alves Primary Health Center</v>
          </cell>
          <cell r="AZ148" t="str">
            <v>JgBwr0COYz2</v>
          </cell>
        </row>
        <row r="149">
          <cell r="AY149" t="str">
            <v>Anikulapo Primary Health Center</v>
          </cell>
          <cell r="AZ149" t="str">
            <v>pvWuqIIsWQA</v>
          </cell>
        </row>
        <row r="150">
          <cell r="AY150" t="str">
            <v>Ayantuga Primary Health Center</v>
          </cell>
          <cell r="AZ150" t="str">
            <v>a9EDyKYjIlc</v>
          </cell>
        </row>
        <row r="151">
          <cell r="AY151" t="str">
            <v>BMM Hospital</v>
          </cell>
          <cell r="AZ151" t="str">
            <v>loSnnXHIly8</v>
          </cell>
        </row>
        <row r="152">
          <cell r="AY152" t="str">
            <v>Coker Primary Health Center</v>
          </cell>
          <cell r="AZ152" t="str">
            <v>Abx7H0yRizH</v>
          </cell>
        </row>
        <row r="153">
          <cell r="AY153" t="str">
            <v>Hill Star Hospital</v>
          </cell>
          <cell r="AZ153" t="str">
            <v>BZoXtTzACja</v>
          </cell>
        </row>
        <row r="154">
          <cell r="AY154" t="str">
            <v>Isolo Road Primary Health Center</v>
          </cell>
          <cell r="AZ154" t="str">
            <v>S8op2ZXvedF</v>
          </cell>
        </row>
        <row r="155">
          <cell r="AY155" t="str">
            <v>Itire Ijesa Primary Health Center</v>
          </cell>
          <cell r="AZ155" t="str">
            <v>I2cEhPn5UJh</v>
          </cell>
        </row>
        <row r="156">
          <cell r="AY156" t="str">
            <v>Kajola Primary Health Center</v>
          </cell>
          <cell r="AZ156" t="str">
            <v>Q17Ty0GqXhn</v>
          </cell>
        </row>
        <row r="157">
          <cell r="AY157" t="str">
            <v>Lagos University Teaching Hospital (LUTH)</v>
          </cell>
          <cell r="AZ157" t="str">
            <v>WlXQVJSBvrn</v>
          </cell>
        </row>
        <row r="158">
          <cell r="AY158" t="str">
            <v>Mushin General Hospital</v>
          </cell>
          <cell r="AZ158" t="str">
            <v>bjExvCDZVsB</v>
          </cell>
        </row>
        <row r="159">
          <cell r="AY159" t="str">
            <v>Palm Avenue Primary Health Center</v>
          </cell>
          <cell r="AZ159" t="str">
            <v>LZC72BhBZBd</v>
          </cell>
        </row>
        <row r="160">
          <cell r="AY160" t="str">
            <v>Regina Mundi Hospital</v>
          </cell>
          <cell r="AZ160" t="str">
            <v>CPztYnaQ83c</v>
          </cell>
        </row>
        <row r="161">
          <cell r="AY161" t="str">
            <v>Ayo Ni Primary Health Center</v>
          </cell>
          <cell r="AZ161" t="str">
            <v>AhZsImJgTK3</v>
          </cell>
        </row>
        <row r="162">
          <cell r="AY162" t="str">
            <v>Bose Specialist Hospital</v>
          </cell>
          <cell r="AZ162" t="str">
            <v>bTPVQYxwLS7</v>
          </cell>
        </row>
        <row r="163">
          <cell r="AY163" t="str">
            <v>Divine Grace Medical Center</v>
          </cell>
          <cell r="AZ163" t="str">
            <v>Mopy9urk8W8</v>
          </cell>
        </row>
        <row r="164">
          <cell r="AY164" t="str">
            <v>Dolu Hospital</v>
          </cell>
          <cell r="AZ164" t="str">
            <v>HAFfPJ6ZnN7</v>
          </cell>
        </row>
        <row r="165">
          <cell r="AY165" t="str">
            <v>Edmac Hospital</v>
          </cell>
          <cell r="AZ165" t="str">
            <v>IkRDBIujlYH</v>
          </cell>
        </row>
        <row r="166">
          <cell r="AY166" t="str">
            <v>Ewetuntun Primary Health Center</v>
          </cell>
          <cell r="AZ166" t="str">
            <v>TNjO0V8WSOM</v>
          </cell>
        </row>
        <row r="167">
          <cell r="AY167" t="str">
            <v>Ilasa Primary Health Center</v>
          </cell>
          <cell r="AZ167" t="str">
            <v>GOVwdQYj2ix</v>
          </cell>
        </row>
        <row r="168">
          <cell r="AY168" t="str">
            <v>Iyana Ejigbo Primary Health Center</v>
          </cell>
          <cell r="AZ168" t="str">
            <v>cslZ1cjjBW9</v>
          </cell>
        </row>
        <row r="169">
          <cell r="AY169" t="str">
            <v>Jakande Primary Health Center</v>
          </cell>
          <cell r="AZ169" t="str">
            <v>FR5nDgcO1g7</v>
          </cell>
        </row>
        <row r="170">
          <cell r="AY170" t="str">
            <v>Jericho Hospital</v>
          </cell>
          <cell r="AZ170" t="str">
            <v>nj9kyJNpeS0</v>
          </cell>
        </row>
        <row r="171">
          <cell r="AY171" t="str">
            <v>Oshodi Primary Health Center</v>
          </cell>
          <cell r="AZ171" t="str">
            <v>kF7zcKqeIwG</v>
          </cell>
        </row>
        <row r="172">
          <cell r="AY172" t="str">
            <v>Pinecrest Hospital</v>
          </cell>
          <cell r="AZ172" t="str">
            <v>vBY9Zlv9MCY</v>
          </cell>
        </row>
        <row r="173">
          <cell r="AY173" t="str">
            <v>Sentinel Hospital</v>
          </cell>
          <cell r="AZ173" t="str">
            <v>YLQbsdHKHu4</v>
          </cell>
        </row>
        <row r="174">
          <cell r="AY174" t="str">
            <v>St. Raphael Hospital</v>
          </cell>
          <cell r="AZ174" t="str">
            <v>qpgHF9b1g2e</v>
          </cell>
        </row>
        <row r="175">
          <cell r="AY175" t="str">
            <v>Ilora Primary Health Center</v>
          </cell>
          <cell r="AZ175" t="str">
            <v>nf8iMC6uQjS</v>
          </cell>
        </row>
        <row r="176">
          <cell r="AY176" t="str">
            <v>Moniya Primary Health Center</v>
          </cell>
          <cell r="AZ176" t="str">
            <v>o9UJUeIeW6P</v>
          </cell>
        </row>
        <row r="177">
          <cell r="AY177" t="str">
            <v>Aafin Primary Health Center</v>
          </cell>
          <cell r="AZ177" t="str">
            <v>VFHmekMPH7g</v>
          </cell>
        </row>
        <row r="178">
          <cell r="AY178" t="str">
            <v>Adeoyo Maternity Hospital</v>
          </cell>
          <cell r="AZ178" t="str">
            <v>MamvPxaqiTG</v>
          </cell>
        </row>
        <row r="179">
          <cell r="AY179" t="str">
            <v>Bashorun Oluwonla Primary Health Center</v>
          </cell>
          <cell r="AZ179" t="str">
            <v>IDTbUHFAKfU</v>
          </cell>
        </row>
        <row r="180">
          <cell r="AY180" t="str">
            <v>Idi Ogungun Primary Health Center</v>
          </cell>
          <cell r="AZ180" t="str">
            <v>lUK0PY9z0dH</v>
          </cell>
        </row>
        <row r="181">
          <cell r="AY181" t="str">
            <v>Oniyanrin Primary Health Center</v>
          </cell>
          <cell r="AZ181" t="str">
            <v>D5KBMs5woXi</v>
          </cell>
        </row>
        <row r="182">
          <cell r="AY182" t="str">
            <v>University College Hospital</v>
          </cell>
          <cell r="AZ182" t="str">
            <v>QdL8RSYxeLg</v>
          </cell>
        </row>
        <row r="183">
          <cell r="AY183" t="str">
            <v>Alafara Oje Primary Health Center</v>
          </cell>
          <cell r="AZ183" t="str">
            <v>du2NydHQODD</v>
          </cell>
        </row>
        <row r="184">
          <cell r="AY184" t="str">
            <v>Iwo Road Primary Health Center</v>
          </cell>
          <cell r="AZ184" t="str">
            <v>WSxGzRDVpuS</v>
          </cell>
        </row>
        <row r="185">
          <cell r="AY185" t="str">
            <v>Adifase-Apata Primary Health Center</v>
          </cell>
          <cell r="AZ185" t="str">
            <v>Xoshbh1bKhK</v>
          </cell>
        </row>
        <row r="186">
          <cell r="AY186" t="str">
            <v>Ori Eru Primary Health Center</v>
          </cell>
          <cell r="AZ186" t="str">
            <v>SEiQ0JeZ4ZN</v>
          </cell>
        </row>
        <row r="187">
          <cell r="AY187" t="str">
            <v>Agbongbon Health Center</v>
          </cell>
          <cell r="AZ187" t="str">
            <v>Ysu6t7ZAvE1</v>
          </cell>
        </row>
        <row r="188">
          <cell r="AY188" t="str">
            <v>Boluwaji Primary Health Center</v>
          </cell>
          <cell r="AZ188" t="str">
            <v>KQkFrGHr2F3</v>
          </cell>
        </row>
        <row r="189">
          <cell r="AY189" t="str">
            <v>Mapo Primary Health Center</v>
          </cell>
          <cell r="AZ189" t="str">
            <v>X3vkz3uVNVC</v>
          </cell>
        </row>
        <row r="190">
          <cell r="AY190" t="str">
            <v>Odinjo Primary Health Center</v>
          </cell>
          <cell r="AZ190" t="str">
            <v>BQvikCG40GE</v>
          </cell>
        </row>
        <row r="191">
          <cell r="AY191" t="str">
            <v>Oranyan Primary Health Center</v>
          </cell>
          <cell r="AZ191" t="str">
            <v>ljnFSN5dej3</v>
          </cell>
        </row>
        <row r="192">
          <cell r="AY192" t="str">
            <v>St. Mary's Catholic Hospital - Eleta</v>
          </cell>
          <cell r="AZ192" t="str">
            <v>jyHRtpRCr7M</v>
          </cell>
        </row>
        <row r="193">
          <cell r="AY193" t="str">
            <v>Jericho Specialist Hospital</v>
          </cell>
          <cell r="AZ193" t="str">
            <v>DpCYi3E6I4c</v>
          </cell>
        </row>
        <row r="194">
          <cell r="AY194" t="str">
            <v>Ring Road State Hospital</v>
          </cell>
          <cell r="AZ194" t="str">
            <v>oCR09FpTFh9</v>
          </cell>
        </row>
        <row r="195">
          <cell r="AY195" t="str">
            <v>Igbo-Ora General Hospital</v>
          </cell>
          <cell r="AZ195" t="str">
            <v>NKj88oJ9ACq</v>
          </cell>
        </row>
        <row r="196">
          <cell r="AY196" t="str">
            <v>Apete Primary Health Center</v>
          </cell>
          <cell r="AZ196" t="str">
            <v>uU3mfYyerBo</v>
          </cell>
        </row>
        <row r="197">
          <cell r="AY197" t="str">
            <v>Ipapo Primary Health Center</v>
          </cell>
          <cell r="AZ197" t="str">
            <v>uvGJGWY57wX</v>
          </cell>
        </row>
        <row r="198">
          <cell r="AY198" t="str">
            <v>Otu Comprehensive Health Center</v>
          </cell>
          <cell r="AZ198" t="str">
            <v>lTEWZfKTz3X</v>
          </cell>
        </row>
        <row r="199">
          <cell r="AY199" t="str">
            <v>Ejioku Primary Health Center - Lagelu</v>
          </cell>
          <cell r="AZ199" t="str">
            <v>ZYX4EObhvxY</v>
          </cell>
        </row>
        <row r="200">
          <cell r="AY200" t="str">
            <v>Monatan Primary Health Center</v>
          </cell>
          <cell r="AZ200" t="str">
            <v>QqqVjzHrEys</v>
          </cell>
        </row>
        <row r="201">
          <cell r="AY201" t="str">
            <v>Abogunde Baaki Health Center</v>
          </cell>
          <cell r="AZ201" t="str">
            <v>POQZq9yYHfm</v>
          </cell>
        </row>
        <row r="202">
          <cell r="AY202" t="str">
            <v>Ojaigbo (Ibrahim Taiwo) Primary Health Center</v>
          </cell>
          <cell r="AZ202" t="str">
            <v>ZpK48TCuLAi</v>
          </cell>
        </row>
        <row r="203">
          <cell r="AY203" t="str">
            <v>Ogbomosho State Hospital</v>
          </cell>
          <cell r="AZ203" t="str">
            <v>fjiKMWnNBwn</v>
          </cell>
        </row>
        <row r="204">
          <cell r="AY204" t="str">
            <v>Adaramagbo Olomi Primary Health Center</v>
          </cell>
          <cell r="AZ204" t="str">
            <v>gp5xo74SqKO</v>
          </cell>
        </row>
        <row r="205">
          <cell r="AY205" t="str">
            <v>Aba Emu Primary Health Center</v>
          </cell>
          <cell r="AZ205" t="str">
            <v>K6oAJAHYX6N</v>
          </cell>
        </row>
        <row r="206">
          <cell r="AY206" t="str">
            <v>Awotunde Olosunde Primary Health Center</v>
          </cell>
          <cell r="AZ206" t="str">
            <v>ymkPngayI7r</v>
          </cell>
        </row>
        <row r="207">
          <cell r="AY207" t="str">
            <v>Oba Adeyemi Primary Health Center</v>
          </cell>
          <cell r="AZ207" t="str">
            <v>fYmoCLvfEcv</v>
          </cell>
        </row>
        <row r="208">
          <cell r="AY208" t="str">
            <v>Iseke Maternity Center</v>
          </cell>
          <cell r="AZ208" t="str">
            <v>kgPjVzCl0lb</v>
          </cell>
        </row>
        <row r="209">
          <cell r="AY209" t="str">
            <v>Baptist Medical Center - Saki</v>
          </cell>
          <cell r="AZ209" t="str">
            <v>x6uBaUpHFXY</v>
          </cell>
        </row>
        <row r="210">
          <cell r="AY210" t="str">
            <v>Iresa Adu Primary Health Center</v>
          </cell>
          <cell r="AZ210" t="str">
            <v>O6s6kaLSgEx</v>
          </cell>
        </row>
        <row r="211">
          <cell r="AY211" t="str">
            <v>Barkin Ladi General Hospital</v>
          </cell>
          <cell r="AZ211" t="str">
            <v>HbuBf1D4gmG</v>
          </cell>
        </row>
        <row r="212">
          <cell r="AY212" t="str">
            <v>Seventh Day Adventist (SDA) Hospital - Jengre</v>
          </cell>
          <cell r="AZ212" t="str">
            <v>Le18r1aY7bi</v>
          </cell>
        </row>
        <row r="213">
          <cell r="AY213" t="str">
            <v>Angware General Hospital</v>
          </cell>
          <cell r="AZ213" t="str">
            <v>Ci4IlJo0THV</v>
          </cell>
        </row>
        <row r="214">
          <cell r="AY214" t="str">
            <v>Naton Fusa Primary Health Center</v>
          </cell>
          <cell r="AZ214" t="str">
            <v>fN0gVuMbXSg</v>
          </cell>
        </row>
        <row r="215">
          <cell r="AY215" t="str">
            <v>Bingham University Teaching Hospital</v>
          </cell>
          <cell r="AZ215" t="str">
            <v>VyC5Ah2sxMg</v>
          </cell>
        </row>
        <row r="216">
          <cell r="AY216" t="str">
            <v>Faith Alive Foundation</v>
          </cell>
          <cell r="AZ216" t="str">
            <v>CvVzWAc0dLb</v>
          </cell>
        </row>
        <row r="217">
          <cell r="AY217" t="str">
            <v>Jos University Teaching Hospital</v>
          </cell>
          <cell r="AZ217" t="str">
            <v>dtgqizrS1Me</v>
          </cell>
        </row>
        <row r="218">
          <cell r="AY218" t="str">
            <v>Our Lady of Apostle (OLA) Hospital - Jos</v>
          </cell>
          <cell r="AZ218" t="str">
            <v>gIwyL7hTdGY</v>
          </cell>
        </row>
        <row r="219">
          <cell r="AY219" t="str">
            <v>Plateau State Specialist Hospital</v>
          </cell>
          <cell r="AZ219" t="str">
            <v>ugfwVdwIuIj</v>
          </cell>
        </row>
        <row r="220">
          <cell r="AY220" t="str">
            <v>Solat Women Hospital</v>
          </cell>
          <cell r="AZ220" t="str">
            <v>OdFD1NyelFa</v>
          </cell>
        </row>
        <row r="221">
          <cell r="AY221" t="str">
            <v>Tundun Wada Primary Health Center</v>
          </cell>
          <cell r="AZ221" t="str">
            <v>cdyDfwVgnJF</v>
          </cell>
        </row>
        <row r="222">
          <cell r="AY222" t="str">
            <v>Bukuru Central Primary Health Center</v>
          </cell>
          <cell r="AZ222" t="str">
            <v>SdHMY0gtXVc</v>
          </cell>
        </row>
        <row r="223">
          <cell r="AY223" t="str">
            <v>Bukuru Express Primary Health Center</v>
          </cell>
          <cell r="AZ223" t="str">
            <v>wyclwPixYHK</v>
          </cell>
        </row>
        <row r="224">
          <cell r="AY224" t="str">
            <v>Rayfield Primary Health Center</v>
          </cell>
          <cell r="AZ224" t="str">
            <v>Xbj7dbNE0vR</v>
          </cell>
        </row>
        <row r="225">
          <cell r="AY225" t="str">
            <v>Vom Christian Hospital</v>
          </cell>
          <cell r="AZ225" t="str">
            <v>fEPSauwf6T7</v>
          </cell>
        </row>
        <row r="226">
          <cell r="AY226" t="str">
            <v>Zamko Comprehensive Health Center</v>
          </cell>
          <cell r="AZ226" t="str">
            <v>c1sMFxI54cS</v>
          </cell>
        </row>
        <row r="227">
          <cell r="AY227" t="str">
            <v>CCDP Hospital - Panyam</v>
          </cell>
          <cell r="AZ227" t="str">
            <v>n7H11XCfDQT</v>
          </cell>
        </row>
        <row r="228">
          <cell r="AY228" t="str">
            <v>Church of Christ in Nigeria (COCIN) Hospital and Rehabilitation Center</v>
          </cell>
          <cell r="AZ228" t="str">
            <v>Ylm55YT8Uc6</v>
          </cell>
        </row>
        <row r="229">
          <cell r="AY229" t="str">
            <v>Mangu General Hospital</v>
          </cell>
          <cell r="AZ229" t="str">
            <v>eAM9CE6xQD6</v>
          </cell>
        </row>
        <row r="230">
          <cell r="AY230" t="str">
            <v>Pankshin General Hospital</v>
          </cell>
          <cell r="AZ230" t="str">
            <v>a9QRiuuNaRv</v>
          </cell>
        </row>
        <row r="231">
          <cell r="AY231" t="str">
            <v>Town Clinic Primary Health Center</v>
          </cell>
          <cell r="AZ231" t="str">
            <v>kQOwyChcUxY</v>
          </cell>
        </row>
        <row r="232">
          <cell r="AY232" t="str">
            <v>Kwalla General Hospital</v>
          </cell>
          <cell r="AZ232" t="str">
            <v>Axs1Yufa0Pp</v>
          </cell>
        </row>
        <row r="233">
          <cell r="AY233" t="str">
            <v>Bene Clinic</v>
          </cell>
          <cell r="AZ233" t="str">
            <v>b3FFJlCczQ4</v>
          </cell>
        </row>
        <row r="234">
          <cell r="AY234" t="str">
            <v>May Hospital - Shendam</v>
          </cell>
          <cell r="AZ234" t="str">
            <v>TGsy8pKsBgj</v>
          </cell>
        </row>
        <row r="235">
          <cell r="AY235" t="str">
            <v>Shendam General Hospital</v>
          </cell>
          <cell r="AZ235" t="str">
            <v>kvwUsWWt1z5</v>
          </cell>
        </row>
        <row r="236">
          <cell r="AY236" t="str">
            <v>Federal Teaching Hospital (FETHA) - Abakaliki</v>
          </cell>
          <cell r="AZ236" t="str">
            <v>UAO4dzZ5mBJ</v>
          </cell>
        </row>
        <row r="237">
          <cell r="AY237" t="str">
            <v>Mercy Hospital and Maternity</v>
          </cell>
          <cell r="AZ237" t="str">
            <v>Jn7rmqNmnQ3</v>
          </cell>
        </row>
        <row r="238">
          <cell r="AY238" t="str">
            <v>National Obstetric Fistula Center</v>
          </cell>
          <cell r="AZ238" t="str">
            <v>mE4mda4tyaC</v>
          </cell>
        </row>
        <row r="239">
          <cell r="AY239" t="str">
            <v>Nkwagu Model Primary Health Center</v>
          </cell>
          <cell r="AZ239" t="str">
            <v>G1EXGGuDNsu</v>
          </cell>
        </row>
        <row r="240">
          <cell r="AY240" t="str">
            <v>Offia Oji Health Center</v>
          </cell>
          <cell r="AZ240" t="str">
            <v>uvHg7BaT9P2</v>
          </cell>
        </row>
        <row r="241">
          <cell r="AY241" t="str">
            <v>Onuebonyi Millenium Development Goal (MDG) Health Center</v>
          </cell>
          <cell r="AZ241" t="str">
            <v>NIEFNp6GH4s</v>
          </cell>
        </row>
        <row r="242">
          <cell r="AY242" t="str">
            <v>Police Clinic - Abakaliki</v>
          </cell>
          <cell r="AZ242" t="str">
            <v>xrbOagnSTSa</v>
          </cell>
        </row>
        <row r="243">
          <cell r="AY243" t="str">
            <v>Afikpo Medical Center</v>
          </cell>
          <cell r="AZ243" t="str">
            <v>bgG3fQnDfLj</v>
          </cell>
        </row>
        <row r="244">
          <cell r="AY244" t="str">
            <v>Chinemerem Maternity</v>
          </cell>
          <cell r="AZ244" t="str">
            <v>ItfMcDWOQO3</v>
          </cell>
        </row>
        <row r="245">
          <cell r="AY245" t="str">
            <v>His Grace Hospital</v>
          </cell>
          <cell r="AZ245" t="str">
            <v>UEuNoLKt7kv</v>
          </cell>
        </row>
        <row r="246">
          <cell r="AY246" t="str">
            <v>Mater Misericordiae Hospital - Afikpo</v>
          </cell>
          <cell r="AZ246" t="str">
            <v>tSACH3nizA8</v>
          </cell>
        </row>
        <row r="247">
          <cell r="AY247" t="str">
            <v>Poperi Health Center</v>
          </cell>
          <cell r="AZ247" t="str">
            <v>I7WLJ0rvWnq</v>
          </cell>
        </row>
        <row r="248">
          <cell r="AY248" t="str">
            <v>Romec Hospital and Maternity</v>
          </cell>
          <cell r="AZ248" t="str">
            <v>w0b6qJ2rZVK</v>
          </cell>
        </row>
        <row r="249">
          <cell r="AY249" t="str">
            <v>St. Charles Clinic</v>
          </cell>
          <cell r="AZ249" t="str">
            <v>rOZ5kjLKn5D</v>
          </cell>
        </row>
        <row r="250">
          <cell r="AY250" t="str">
            <v>Unwana Health Center</v>
          </cell>
          <cell r="AZ250" t="str">
            <v>rhVlxog6wSX</v>
          </cell>
        </row>
        <row r="251">
          <cell r="AY251" t="str">
            <v>Life Care Clinic</v>
          </cell>
          <cell r="AZ251" t="str">
            <v>xeWUSkYnLzj</v>
          </cell>
        </row>
        <row r="252">
          <cell r="AY252" t="str">
            <v>Presbyterian Joint Hospital Ekoli</v>
          </cell>
          <cell r="AZ252" t="str">
            <v>TQ2GQqQSeVq</v>
          </cell>
        </row>
        <row r="253">
          <cell r="AY253" t="str">
            <v>Chidera Maternity</v>
          </cell>
          <cell r="AZ253" t="str">
            <v>LkLqrwn4DOE</v>
          </cell>
        </row>
        <row r="254">
          <cell r="AY254" t="str">
            <v>Chidinma Health Clinic and Maternity</v>
          </cell>
          <cell r="AZ254" t="str">
            <v>wau4y2bXLCP</v>
          </cell>
        </row>
        <row r="255">
          <cell r="AY255" t="str">
            <v>Chinenye Maternity</v>
          </cell>
          <cell r="AZ255" t="str">
            <v>v55ttPzgyCz</v>
          </cell>
        </row>
        <row r="256">
          <cell r="AY256" t="str">
            <v>Divine Mercy Health Clinic and Maternity</v>
          </cell>
          <cell r="AZ256" t="str">
            <v>gLAsVQuuVC2</v>
          </cell>
        </row>
        <row r="257">
          <cell r="AY257" t="str">
            <v>Nigerian Prisons Clinic - Abakaliki</v>
          </cell>
          <cell r="AZ257" t="str">
            <v>AFUZQqVBU1Y</v>
          </cell>
        </row>
        <row r="258">
          <cell r="AY258" t="str">
            <v>St. Patrick Mile 4 Hospital - Abakaliki</v>
          </cell>
          <cell r="AZ258" t="str">
            <v>XY2n4EEGGG1</v>
          </cell>
        </row>
        <row r="259">
          <cell r="AY259" t="str">
            <v>Amaeze Health Center</v>
          </cell>
          <cell r="AZ259" t="str">
            <v>tbZ9d57pEmL</v>
          </cell>
        </row>
        <row r="260">
          <cell r="AY260" t="str">
            <v>Blessed Hospital</v>
          </cell>
          <cell r="AZ260" t="str">
            <v>N5OLwDjjg5Q</v>
          </cell>
        </row>
        <row r="261">
          <cell r="AY261" t="str">
            <v>Ishiagu General Hospital</v>
          </cell>
          <cell r="AZ261" t="str">
            <v>jsoN8WHN499</v>
          </cell>
        </row>
        <row r="262">
          <cell r="AY262" t="str">
            <v>Iyioji Health Center - Akaeze</v>
          </cell>
          <cell r="AZ262" t="str">
            <v>ai45xujaicQ</v>
          </cell>
        </row>
        <row r="263">
          <cell r="AY263" t="str">
            <v>Nzerem Okue Millenium Development Goal (MDG) Health Center</v>
          </cell>
          <cell r="AZ263" t="str">
            <v>wgPSPhrbn6T</v>
          </cell>
        </row>
        <row r="264">
          <cell r="AY264" t="str">
            <v>Ogwor Health Center</v>
          </cell>
          <cell r="AZ264" t="str">
            <v>EvZDhvUnWRx</v>
          </cell>
        </row>
        <row r="265">
          <cell r="AY265" t="str">
            <v>St. Vincent Hospital - Ndubia</v>
          </cell>
          <cell r="AZ265" t="str">
            <v>SLZYHlSnmLo</v>
          </cell>
        </row>
        <row r="266">
          <cell r="AY266" t="str">
            <v>Sudan United Mission Hospital - Iboko</v>
          </cell>
          <cell r="AZ266" t="str">
            <v>ATj51Kup2on</v>
          </cell>
        </row>
        <row r="267">
          <cell r="AY267" t="str">
            <v>Sudan United Mission Hospital - Onuenyim</v>
          </cell>
          <cell r="AZ267" t="str">
            <v>LJ5RmLC13xl</v>
          </cell>
        </row>
        <row r="268">
          <cell r="AY268" t="str">
            <v>Okposi General Hospital</v>
          </cell>
          <cell r="AZ268" t="str">
            <v>sYjMgFpgXKZ</v>
          </cell>
        </row>
        <row r="269">
          <cell r="AY269" t="str">
            <v>Standard Specialist Hospital</v>
          </cell>
          <cell r="AZ269" t="str">
            <v>dhLFxT2Osv2</v>
          </cell>
        </row>
        <row r="270">
          <cell r="AY270" t="str">
            <v>Udoka Maternity</v>
          </cell>
          <cell r="AZ270" t="str">
            <v>H08C2CCR5VS</v>
          </cell>
        </row>
        <row r="271">
          <cell r="AY271" t="str">
            <v>Umunuka Health Center</v>
          </cell>
          <cell r="AZ271" t="str">
            <v>XWWpLgOdOlO</v>
          </cell>
        </row>
        <row r="272">
          <cell r="AY272" t="str">
            <v>Urban Health Center - Okposi</v>
          </cell>
          <cell r="AZ272" t="str">
            <v>SCGG8879ZTY</v>
          </cell>
        </row>
        <row r="273">
          <cell r="AY273" t="str">
            <v>Charity Maternity</v>
          </cell>
          <cell r="AZ273" t="str">
            <v>IdZ8YkqgLnR</v>
          </cell>
        </row>
        <row r="274">
          <cell r="AY274" t="str">
            <v>Chima Maternity</v>
          </cell>
          <cell r="AZ274" t="str">
            <v>OE32ywojY59</v>
          </cell>
        </row>
        <row r="275">
          <cell r="AY275" t="str">
            <v>Ezzangbo General Hospital</v>
          </cell>
          <cell r="AZ275" t="str">
            <v>GvSyA0rgxcx</v>
          </cell>
        </row>
        <row r="276">
          <cell r="AY276" t="str">
            <v>Little Seed Hospital</v>
          </cell>
          <cell r="AZ276" t="str">
            <v>ZJbKmwJnPqp</v>
          </cell>
        </row>
        <row r="277">
          <cell r="AY277" t="str">
            <v>Sudan United Mission Hospital - Effium</v>
          </cell>
          <cell r="AZ277" t="str">
            <v>HYVaO3i4zzT</v>
          </cell>
        </row>
        <row r="278">
          <cell r="AY278" t="str">
            <v>Anike Health Post</v>
          </cell>
          <cell r="AZ278" t="str">
            <v>ZAWXn9MDeia</v>
          </cell>
        </row>
        <row r="279">
          <cell r="AY279" t="str">
            <v>Mgbom Health Center</v>
          </cell>
          <cell r="AZ279" t="str">
            <v>U8cZ5RXEPf8</v>
          </cell>
        </row>
        <row r="280">
          <cell r="AY280" t="str">
            <v>Nwadinafo Maternity</v>
          </cell>
          <cell r="AZ280" t="str">
            <v>i6uhoOE7uzY</v>
          </cell>
        </row>
        <row r="281">
          <cell r="AY281" t="str">
            <v>Onuani Health Post</v>
          </cell>
          <cell r="AZ281" t="str">
            <v>NGXFTmAJbrt</v>
          </cell>
        </row>
        <row r="282">
          <cell r="AY282" t="str">
            <v>Annunciation Specialist Hospital- Emene</v>
          </cell>
          <cell r="AZ282" t="str">
            <v>qDxr0sPGxet</v>
          </cell>
        </row>
        <row r="283">
          <cell r="AY283" t="str">
            <v>Chukwuagoziem Maternity</v>
          </cell>
          <cell r="AZ283" t="str">
            <v>DRldceWCo7N</v>
          </cell>
        </row>
        <row r="284">
          <cell r="AY284" t="str">
            <v>Chukwuasokam Hospital and Maternity- Emene</v>
          </cell>
          <cell r="AZ284" t="str">
            <v>EKQJ6oMY7G0</v>
          </cell>
        </row>
        <row r="285">
          <cell r="AY285" t="str">
            <v>Eastern Nigeria Medical Center</v>
          </cell>
          <cell r="AZ285" t="str">
            <v>QiypT8ow3mI</v>
          </cell>
        </row>
        <row r="286">
          <cell r="AY286" t="str">
            <v>Holy Family Hospital</v>
          </cell>
          <cell r="AZ286" t="str">
            <v>FfJmMMjIooI</v>
          </cell>
        </row>
        <row r="287">
          <cell r="AY287" t="str">
            <v>Iji Nike Cottage Hospital</v>
          </cell>
          <cell r="AZ287" t="str">
            <v>uQbpdclPuRf</v>
          </cell>
        </row>
        <row r="288">
          <cell r="AY288" t="str">
            <v>Kenechukwu Specialist Hospital and Maternity</v>
          </cell>
          <cell r="AZ288" t="str">
            <v>rygvlJxLYn4</v>
          </cell>
        </row>
        <row r="289">
          <cell r="AY289" t="str">
            <v>Redeemers Hospital and Maternity</v>
          </cell>
          <cell r="AZ289" t="str">
            <v>IJDi3fIfbCY</v>
          </cell>
        </row>
        <row r="290">
          <cell r="AY290" t="str">
            <v>Semino Hospital and Maternity</v>
          </cell>
          <cell r="AZ290" t="str">
            <v>zsCwucJyCdJ</v>
          </cell>
        </row>
        <row r="291">
          <cell r="AY291" t="str">
            <v>St. Theresa Hospital</v>
          </cell>
          <cell r="AZ291" t="str">
            <v>Kx8QEa0Iy7l</v>
          </cell>
        </row>
        <row r="292">
          <cell r="AY292" t="str">
            <v>Asata Health Center</v>
          </cell>
          <cell r="AZ292" t="str">
            <v>u0pQhZEoIgC</v>
          </cell>
        </row>
        <row r="293">
          <cell r="AY293" t="str">
            <v>Asata Poly Clinic (Sub District Hospital)</v>
          </cell>
          <cell r="AZ293" t="str">
            <v>MrDvUf2PGh6</v>
          </cell>
        </row>
        <row r="294">
          <cell r="AY294" t="str">
            <v>Enugu State University Teaching Hospital  (Parklane Specialist Hospital)</v>
          </cell>
          <cell r="AZ294" t="str">
            <v>r0oeAcBd6iU</v>
          </cell>
        </row>
        <row r="295">
          <cell r="AY295" t="str">
            <v>First Metrodame Specialist Hospital</v>
          </cell>
          <cell r="AZ295" t="str">
            <v>eKJ1XYFLu3f</v>
          </cell>
        </row>
        <row r="296">
          <cell r="AY296" t="str">
            <v>Mother of Christ Specialist Hospital</v>
          </cell>
          <cell r="AZ296" t="str">
            <v>a3HwE6yZKfa</v>
          </cell>
        </row>
        <row r="297">
          <cell r="AY297" t="str">
            <v>St. Patrick Hospital</v>
          </cell>
          <cell r="AZ297" t="str">
            <v>HCdY0SxXq1o</v>
          </cell>
        </row>
        <row r="298">
          <cell r="AY298" t="str">
            <v>Balm of Gilead Hospital</v>
          </cell>
          <cell r="AZ298" t="str">
            <v>MFZkaHFsJYM</v>
          </cell>
        </row>
        <row r="299">
          <cell r="AY299" t="str">
            <v>Divine Grace Hospital</v>
          </cell>
          <cell r="AZ299" t="str">
            <v>OzQ9wRMqKsL</v>
          </cell>
        </row>
        <row r="300">
          <cell r="AY300" t="str">
            <v>Goodnews Hospital - Gariki</v>
          </cell>
          <cell r="AZ300" t="str">
            <v>ONnkA6XSXab</v>
          </cell>
        </row>
        <row r="301">
          <cell r="AY301" t="str">
            <v>Ibezim Medical Clinic</v>
          </cell>
          <cell r="AZ301" t="str">
            <v>ZeJVEO6jvzA</v>
          </cell>
        </row>
        <row r="302">
          <cell r="AY302" t="str">
            <v>The Good Shepherd Hospital - Uwani</v>
          </cell>
          <cell r="AZ302" t="str">
            <v>PSGe2plmEBF</v>
          </cell>
        </row>
        <row r="303">
          <cell r="AY303" t="str">
            <v>Uwani Cottage Hospital</v>
          </cell>
          <cell r="AZ303" t="str">
            <v>PF7rZSDbsrP</v>
          </cell>
        </row>
        <row r="304">
          <cell r="AY304" t="str">
            <v>Attah Memorial Hospital</v>
          </cell>
          <cell r="AZ304" t="str">
            <v>OIVDJZfYeKR</v>
          </cell>
        </row>
        <row r="305">
          <cell r="AY305" t="str">
            <v>Ekwegbe Comprehensive Health Center</v>
          </cell>
          <cell r="AZ305" t="str">
            <v>nbvfGugUUMm</v>
          </cell>
        </row>
        <row r="306">
          <cell r="AY306" t="str">
            <v>Elechi Medical Clinic - Ukehe</v>
          </cell>
          <cell r="AZ306" t="str">
            <v>rcA1FNgTpoV</v>
          </cell>
        </row>
        <row r="307">
          <cell r="AY307" t="str">
            <v>Idoha Health Center</v>
          </cell>
          <cell r="AZ307" t="str">
            <v>RBflr2Nb0Sc</v>
          </cell>
        </row>
        <row r="308">
          <cell r="AY308" t="str">
            <v>Ogbede Cottage Hospital</v>
          </cell>
          <cell r="AZ308" t="str">
            <v>DFQVSROSe9i</v>
          </cell>
        </row>
        <row r="309">
          <cell r="AY309" t="str">
            <v>Aji Health Center</v>
          </cell>
          <cell r="AZ309" t="str">
            <v>dUqXnH0OkYo</v>
          </cell>
        </row>
        <row r="310">
          <cell r="AY310" t="str">
            <v>Chima Hospital And Maternity</v>
          </cell>
          <cell r="AZ310" t="str">
            <v>I1Aikl4XYdx</v>
          </cell>
        </row>
        <row r="311">
          <cell r="AY311" t="str">
            <v>Enugu-Ezike District Hospital</v>
          </cell>
          <cell r="AZ311" t="str">
            <v>mQP9uTmEuSi</v>
          </cell>
        </row>
        <row r="312">
          <cell r="AY312" t="str">
            <v>Odogu Memorial Hospital</v>
          </cell>
          <cell r="AZ312" t="str">
            <v>DMCqDp1mBkM</v>
          </cell>
        </row>
        <row r="313">
          <cell r="AY313" t="str">
            <v>St. Mary Hospital</v>
          </cell>
          <cell r="AZ313" t="str">
            <v>HQR2syKJuap</v>
          </cell>
        </row>
        <row r="314">
          <cell r="AY314" t="str">
            <v>Uda Health Center</v>
          </cell>
          <cell r="AZ314" t="str">
            <v>cyCO6jnNj6A</v>
          </cell>
        </row>
        <row r="315">
          <cell r="AY315" t="str">
            <v>Umuida Clinic</v>
          </cell>
          <cell r="AZ315" t="str">
            <v>k4p32ZjcjJt</v>
          </cell>
        </row>
        <row r="316">
          <cell r="AY316" t="str">
            <v>Ibagwa Aka Comprehensive Health Center</v>
          </cell>
          <cell r="AZ316" t="str">
            <v>lm1vboyzlKr</v>
          </cell>
        </row>
        <row r="317">
          <cell r="AY317" t="str">
            <v>Our Lady's Clinic</v>
          </cell>
          <cell r="AZ317" t="str">
            <v>z4oawJRLczZ</v>
          </cell>
        </row>
        <row r="318">
          <cell r="AY318" t="str">
            <v>Uhunowerre Health Center</v>
          </cell>
          <cell r="AZ318" t="str">
            <v>DFFucADViuk</v>
          </cell>
        </row>
        <row r="319">
          <cell r="AY319" t="str">
            <v>Akpoga Mbu Health Center</v>
          </cell>
          <cell r="AZ319" t="str">
            <v>FSXzVxNfNsb</v>
          </cell>
        </row>
        <row r="320">
          <cell r="AY320" t="str">
            <v>Ikem District Hospital</v>
          </cell>
          <cell r="AZ320" t="str">
            <v>dgr9l2tlpq2</v>
          </cell>
        </row>
        <row r="321">
          <cell r="AY321" t="str">
            <v>Mgbuji Health Center</v>
          </cell>
          <cell r="AZ321" t="str">
            <v>QruuLIQjAiq</v>
          </cell>
        </row>
        <row r="322">
          <cell r="AY322" t="str">
            <v>Onueme Neke Health Center</v>
          </cell>
          <cell r="AZ322" t="str">
            <v>ivv2cXPhslm</v>
          </cell>
        </row>
        <row r="323">
          <cell r="AY323" t="str">
            <v>Umuhu Health Center</v>
          </cell>
          <cell r="AZ323" t="str">
            <v>RaFjwVxIN5r</v>
          </cell>
        </row>
        <row r="324">
          <cell r="AY324" t="str">
            <v>Amechi Idodo Health Center</v>
          </cell>
          <cell r="AZ324" t="str">
            <v>qwrdRoDFbju</v>
          </cell>
        </row>
        <row r="325">
          <cell r="AY325" t="str">
            <v>Amurri 1 Health Center</v>
          </cell>
          <cell r="AZ325" t="str">
            <v>EieEFMENYmf</v>
          </cell>
        </row>
        <row r="326">
          <cell r="AY326" t="str">
            <v>Ozalla Model Primary Health Center</v>
          </cell>
          <cell r="AZ326" t="str">
            <v>qXOOw3THQkw</v>
          </cell>
        </row>
        <row r="327">
          <cell r="AY327" t="str">
            <v>University Of Nigeria Teaching Hospital (UNTH)</v>
          </cell>
          <cell r="AZ327" t="str">
            <v>sOlMR20VFFC</v>
          </cell>
        </row>
        <row r="328">
          <cell r="AY328" t="str">
            <v>Akulue Memorial Hospital - Nsukka</v>
          </cell>
          <cell r="AZ328" t="str">
            <v>OnaoguPuzmD</v>
          </cell>
        </row>
        <row r="329">
          <cell r="AY329" t="str">
            <v>Chinemelu Hospital and Maternity - Nsukka</v>
          </cell>
          <cell r="AZ329" t="str">
            <v>qem9I2paX97</v>
          </cell>
        </row>
        <row r="330">
          <cell r="AY330" t="str">
            <v>Faith Foundation Mission Hospital - Nsukka</v>
          </cell>
          <cell r="AZ330" t="str">
            <v>AbypQzl7VfW</v>
          </cell>
        </row>
        <row r="331">
          <cell r="AY331" t="str">
            <v>Nsukka District Hospital</v>
          </cell>
          <cell r="AZ331" t="str">
            <v>Cwp4udMiIjP</v>
          </cell>
        </row>
        <row r="332">
          <cell r="AY332" t="str">
            <v>Nsukka Health Center</v>
          </cell>
          <cell r="AZ332" t="str">
            <v>huzNvV569hz</v>
          </cell>
        </row>
        <row r="333">
          <cell r="AY333" t="str">
            <v>Nsukka Medical Clinic</v>
          </cell>
          <cell r="AZ333" t="str">
            <v>YZwaBPBKePo</v>
          </cell>
        </row>
        <row r="334">
          <cell r="AY334" t="str">
            <v>Nussy Sadiq Memorial Hospital - Nsukka</v>
          </cell>
          <cell r="AZ334" t="str">
            <v>FwfSWmRNUSx</v>
          </cell>
        </row>
        <row r="335">
          <cell r="AY335" t="str">
            <v>Opi Health Center</v>
          </cell>
          <cell r="AZ335" t="str">
            <v>W4RzKrUhRMh</v>
          </cell>
        </row>
        <row r="336">
          <cell r="AY336" t="str">
            <v>Osondu Hospital and Maternity Opi</v>
          </cell>
          <cell r="AZ336" t="str">
            <v>DKqnAax9nm6</v>
          </cell>
        </row>
        <row r="337">
          <cell r="AY337" t="str">
            <v>The Good Shepherd Hospital - Nsukka</v>
          </cell>
          <cell r="AZ337" t="str">
            <v>nD3KsCJ7cA7</v>
          </cell>
        </row>
        <row r="338">
          <cell r="AY338" t="str">
            <v>Daughters of Divine Love - Ehalumona</v>
          </cell>
          <cell r="AZ338" t="str">
            <v>hIF3m3kzL4C</v>
          </cell>
        </row>
        <row r="339">
          <cell r="AY339" t="str">
            <v>Mater Dei Hospital</v>
          </cell>
          <cell r="AZ339" t="str">
            <v>pzaqcF0wOBs</v>
          </cell>
        </row>
        <row r="340">
          <cell r="AY340" t="str">
            <v>Mater-Amabelis Maternity</v>
          </cell>
          <cell r="AZ340" t="str">
            <v>Pdw00VyRsjt</v>
          </cell>
        </row>
        <row r="341">
          <cell r="AY341" t="str">
            <v>Nwa-Ossai Hospital</v>
          </cell>
          <cell r="AZ341" t="str">
            <v>HVACiSqziaH</v>
          </cell>
        </row>
        <row r="342">
          <cell r="AY342" t="str">
            <v>Obollo Affor Health Center</v>
          </cell>
          <cell r="AZ342" t="str">
            <v>JltqyoYVQCQ</v>
          </cell>
        </row>
        <row r="343">
          <cell r="AY343" t="str">
            <v>St. Bridgets Hospital</v>
          </cell>
          <cell r="AZ343" t="str">
            <v>JLItuAY50Rh</v>
          </cell>
        </row>
        <row r="344">
          <cell r="AY344" t="str">
            <v>St. Theresa's Hospital - Obollo Afor</v>
          </cell>
          <cell r="AZ344" t="str">
            <v>OExYg6k0QLh</v>
          </cell>
        </row>
        <row r="345">
          <cell r="AY345" t="str">
            <v>Summit Hospital - Obollo Afor</v>
          </cell>
          <cell r="AZ345" t="str">
            <v>XN0CenmXRRX</v>
          </cell>
        </row>
        <row r="346">
          <cell r="AY346" t="str">
            <v>Tochino Hospital and Maternity</v>
          </cell>
          <cell r="AZ346" t="str">
            <v>gk8oEh3fcBe</v>
          </cell>
        </row>
        <row r="347">
          <cell r="AY347" t="str">
            <v>Aboh Mbaise General Hospital</v>
          </cell>
          <cell r="AZ347" t="str">
            <v>qGQliH5UA4W</v>
          </cell>
        </row>
        <row r="348">
          <cell r="AY348" t="str">
            <v>Amuzu Primary Health Center</v>
          </cell>
          <cell r="AZ348" t="str">
            <v>iv0qlMT9FCJ</v>
          </cell>
        </row>
        <row r="349">
          <cell r="AY349" t="str">
            <v>Holy Rosary Hospital Ogbor Nguru</v>
          </cell>
          <cell r="AZ349" t="str">
            <v>vidxf7Mjwn0</v>
          </cell>
        </row>
        <row r="350">
          <cell r="AY350" t="str">
            <v>Mbutu Primary Health Center</v>
          </cell>
          <cell r="AZ350" t="str">
            <v>NiviaoJZNyh</v>
          </cell>
        </row>
        <row r="351">
          <cell r="AY351" t="str">
            <v>Nkworgwu Health Center</v>
          </cell>
          <cell r="AZ351" t="str">
            <v>ccEqDMosxj8</v>
          </cell>
        </row>
        <row r="352">
          <cell r="AY352" t="str">
            <v>Ekwereazu Town Primary Health Center</v>
          </cell>
          <cell r="AZ352" t="str">
            <v>jRwU6kFKmtR</v>
          </cell>
        </row>
        <row r="353">
          <cell r="AY353" t="str">
            <v>Nnariambia Primary Health Center</v>
          </cell>
          <cell r="AZ353" t="str">
            <v>ssrXK0edvoQ</v>
          </cell>
        </row>
        <row r="354">
          <cell r="AY354" t="str">
            <v>Umuokirika Primary Health Center</v>
          </cell>
          <cell r="AZ354" t="str">
            <v>NaG6FuzlAnL</v>
          </cell>
        </row>
        <row r="355">
          <cell r="AY355" t="str">
            <v>Chokoneze Ndutu Primary Health Center</v>
          </cell>
          <cell r="AZ355" t="str">
            <v>j6z2xybgRB0</v>
          </cell>
        </row>
        <row r="356">
          <cell r="AY356" t="str">
            <v>Itu Primary Health Care</v>
          </cell>
          <cell r="AZ356" t="str">
            <v>EIYp2D17a1J</v>
          </cell>
        </row>
        <row r="357">
          <cell r="AY357" t="str">
            <v>Onicha Primary Health Center</v>
          </cell>
          <cell r="AZ357" t="str">
            <v>CUmBDlr0IHC</v>
          </cell>
        </row>
        <row r="358">
          <cell r="AY358" t="str">
            <v>Immaculate Hospital - Urualla</v>
          </cell>
          <cell r="AZ358" t="str">
            <v>or6uZUxBj2u</v>
          </cell>
        </row>
        <row r="359">
          <cell r="AY359" t="str">
            <v>Mater Amabili Catholic Hospital - Akokwa</v>
          </cell>
          <cell r="AZ359" t="str">
            <v>d5JWAnFMior</v>
          </cell>
        </row>
        <row r="360">
          <cell r="AY360" t="str">
            <v>Osina Community Hospital</v>
          </cell>
          <cell r="AZ360" t="str">
            <v>FPRuTh36U56</v>
          </cell>
        </row>
        <row r="361">
          <cell r="AY361" t="str">
            <v>Owerre Health Center</v>
          </cell>
          <cell r="AZ361" t="str">
            <v>nUnMURpXuvc</v>
          </cell>
        </row>
        <row r="362">
          <cell r="AY362" t="str">
            <v>Umuezeaga Health Center</v>
          </cell>
          <cell r="AZ362" t="str">
            <v>AWHV3JM4zeH</v>
          </cell>
        </row>
        <row r="363">
          <cell r="AY363" t="str">
            <v>Ogboko Health Ideato South</v>
          </cell>
          <cell r="AZ363" t="str">
            <v>UWdEApuTobi</v>
          </cell>
        </row>
        <row r="364">
          <cell r="AY364" t="str">
            <v>Amaimo Primary Health Center</v>
          </cell>
          <cell r="AZ364" t="str">
            <v>Of2XxJh71lU</v>
          </cell>
        </row>
        <row r="365">
          <cell r="AY365" t="str">
            <v>Atta Primary Health Center</v>
          </cell>
          <cell r="AZ365" t="str">
            <v>D1NMrAUkymP</v>
          </cell>
        </row>
        <row r="366">
          <cell r="AY366" t="str">
            <v>Iho Basic Health Center</v>
          </cell>
          <cell r="AZ366" t="str">
            <v>xYAJgjPnORf</v>
          </cell>
        </row>
        <row r="367">
          <cell r="AY367" t="str">
            <v>Ebenato Ekwe Health Center</v>
          </cell>
          <cell r="AZ367" t="str">
            <v>tmTTFjnghHW</v>
          </cell>
        </row>
        <row r="368">
          <cell r="AY368" t="str">
            <v>Nnerim Primary Health Center</v>
          </cell>
          <cell r="AZ368" t="str">
            <v>c2jv8zIEbuv</v>
          </cell>
        </row>
        <row r="369">
          <cell r="AY369" t="str">
            <v>Ulano Primary Health Center</v>
          </cell>
          <cell r="AZ369" t="str">
            <v>MCrPcWoC7F0</v>
          </cell>
        </row>
        <row r="370">
          <cell r="AY370" t="str">
            <v>Mbieri General Hospital</v>
          </cell>
          <cell r="AZ370" t="str">
            <v>aMKXrfGkE1q</v>
          </cell>
        </row>
        <row r="371">
          <cell r="AY371" t="str">
            <v>Nworieubi Primary Health Center</v>
          </cell>
          <cell r="AZ371" t="str">
            <v>QkG3k13nmsV</v>
          </cell>
        </row>
        <row r="372">
          <cell r="AY372" t="str">
            <v>Ogwa General Hospital</v>
          </cell>
          <cell r="AZ372" t="str">
            <v>goe5odmMRiC</v>
          </cell>
        </row>
        <row r="373">
          <cell r="AY373" t="str">
            <v>Umuneato Isiogwa Primary Health Center</v>
          </cell>
          <cell r="AZ373" t="str">
            <v>zSTewg15QUb</v>
          </cell>
        </row>
        <row r="374">
          <cell r="AY374" t="str">
            <v>Elelem Primary Health Center</v>
          </cell>
          <cell r="AZ374" t="str">
            <v>qY7BsSDw1Cq</v>
          </cell>
        </row>
        <row r="375">
          <cell r="AY375" t="str">
            <v>Ngor Okpala General Hospital</v>
          </cell>
          <cell r="AZ375" t="str">
            <v>giBK8kuxNmo</v>
          </cell>
        </row>
        <row r="376">
          <cell r="AY376" t="str">
            <v>Umuneke Primary Health Center</v>
          </cell>
          <cell r="AZ376" t="str">
            <v>Rla7gN0vgoQ</v>
          </cell>
        </row>
        <row r="377">
          <cell r="AY377" t="str">
            <v>Umuohiagu Primary Health Center</v>
          </cell>
          <cell r="AZ377" t="str">
            <v>Q216VTUvdtu</v>
          </cell>
        </row>
        <row r="378">
          <cell r="AY378" t="str">
            <v>Ibele Health Center</v>
          </cell>
          <cell r="AZ378" t="str">
            <v>kkOnGhpxLhD</v>
          </cell>
        </row>
        <row r="379">
          <cell r="AY379" t="str">
            <v>Ndukwu Hospital</v>
          </cell>
          <cell r="AZ379" t="str">
            <v>gvwz0e7bZSs</v>
          </cell>
        </row>
        <row r="380">
          <cell r="AY380" t="str">
            <v>Nkwere Maternal and Child Health Clinic</v>
          </cell>
          <cell r="AZ380" t="str">
            <v>M7TglGINY24</v>
          </cell>
        </row>
        <row r="381">
          <cell r="AY381" t="str">
            <v>Owerre Nkworji Health Center</v>
          </cell>
          <cell r="AZ381" t="str">
            <v>uwlIdZCiLo5</v>
          </cell>
        </row>
        <row r="382">
          <cell r="AY382" t="str">
            <v>Umudi Health Center</v>
          </cell>
          <cell r="AZ382" t="str">
            <v>zJAxIsslnTe</v>
          </cell>
        </row>
        <row r="383">
          <cell r="AY383" t="str">
            <v>Umugara Health Center</v>
          </cell>
          <cell r="AZ383" t="str">
            <v>vTQryxJAF1X</v>
          </cell>
        </row>
        <row r="384">
          <cell r="AY384" t="str">
            <v>Umukabia Health Center</v>
          </cell>
          <cell r="AZ384" t="str">
            <v>VvecKNOYAnA</v>
          </cell>
        </row>
        <row r="385">
          <cell r="AY385" t="str">
            <v>Agbaja Primary Health Care</v>
          </cell>
          <cell r="AZ385" t="str">
            <v>lSdzvxy52gz</v>
          </cell>
        </row>
        <row r="386">
          <cell r="AY386" t="str">
            <v>Dimnanume Health Center</v>
          </cell>
          <cell r="AZ386" t="str">
            <v>fCYr8svhaBR</v>
          </cell>
        </row>
        <row r="387">
          <cell r="AY387" t="str">
            <v>St. Mary Joint Hospital - Amaigbo</v>
          </cell>
          <cell r="AZ387" t="str">
            <v>GRNvujtMkBW</v>
          </cell>
        </row>
        <row r="388">
          <cell r="AY388" t="str">
            <v>Akabo Health Center</v>
          </cell>
          <cell r="AZ388" t="str">
            <v>wgbiuYyunTU</v>
          </cell>
        </row>
        <row r="389">
          <cell r="AY389" t="str">
            <v>Egbuoma Health Center</v>
          </cell>
          <cell r="AZ389" t="str">
            <v>xxdjXslNZVI</v>
          </cell>
        </row>
        <row r="390">
          <cell r="AY390" t="str">
            <v>Enuigbo Abata Health Center</v>
          </cell>
          <cell r="AZ390" t="str">
            <v>LChphYuy66R</v>
          </cell>
        </row>
        <row r="391">
          <cell r="AY391" t="str">
            <v>Mgbala Primary Health Center</v>
          </cell>
          <cell r="AZ391" t="str">
            <v>bfG97xTc2Nj</v>
          </cell>
        </row>
        <row r="392">
          <cell r="AY392" t="str">
            <v>Obudi Aro Primary Health Center</v>
          </cell>
          <cell r="AZ392" t="str">
            <v>SJz5sGEhrMj</v>
          </cell>
        </row>
        <row r="393">
          <cell r="AY393" t="str">
            <v>Egbema</v>
          </cell>
          <cell r="AZ393" t="str">
            <v>B9b0kLB5WLW</v>
          </cell>
        </row>
        <row r="394">
          <cell r="AY394" t="str">
            <v>Egbema</v>
          </cell>
          <cell r="AZ394" t="str">
            <v>rQWlevEDIYK</v>
          </cell>
        </row>
        <row r="395">
          <cell r="AY395" t="str">
            <v>Egbema</v>
          </cell>
          <cell r="AZ395" t="str">
            <v>cXN58l7fdGH</v>
          </cell>
        </row>
        <row r="396">
          <cell r="AY396" t="str">
            <v>Egbema</v>
          </cell>
          <cell r="AZ396" t="str">
            <v>o6YhejQrXrD</v>
          </cell>
        </row>
        <row r="397">
          <cell r="AY397" t="str">
            <v>Egbema</v>
          </cell>
          <cell r="AZ397" t="str">
            <v>GziCtj703RW</v>
          </cell>
        </row>
        <row r="398">
          <cell r="AY398" t="str">
            <v>Ezioha Amaifeke Health Center</v>
          </cell>
          <cell r="AZ398" t="str">
            <v>LHtx7tlBgii</v>
          </cell>
        </row>
        <row r="399">
          <cell r="AY399" t="str">
            <v>Imo State University Teaching Hospital</v>
          </cell>
          <cell r="AZ399" t="str">
            <v>nN2Ume37GLM</v>
          </cell>
        </row>
        <row r="400">
          <cell r="AY400" t="str">
            <v>Ndukwu Hospital and Maternity Amaifeke</v>
          </cell>
          <cell r="AZ400" t="str">
            <v>NYRtPzldgyg</v>
          </cell>
        </row>
        <row r="401">
          <cell r="AY401" t="str">
            <v>Okwuabala Health Center</v>
          </cell>
          <cell r="AZ401" t="str">
            <v>t7d1Jafn7pn</v>
          </cell>
        </row>
        <row r="402">
          <cell r="AY402" t="str">
            <v>Umuzike Health Center</v>
          </cell>
          <cell r="AZ402" t="str">
            <v>ADnimjqO4cN</v>
          </cell>
        </row>
        <row r="403">
          <cell r="AY403" t="str">
            <v>Ebenator Health Center</v>
          </cell>
          <cell r="AZ403" t="str">
            <v>g1UrVmQHvzq</v>
          </cell>
        </row>
        <row r="404">
          <cell r="AY404" t="str">
            <v>Amaji Health Center Awo</v>
          </cell>
          <cell r="AZ404" t="str">
            <v>R4H3IujZs6Y</v>
          </cell>
        </row>
        <row r="405">
          <cell r="AY405" t="str">
            <v>Amiri Health Center</v>
          </cell>
          <cell r="AZ405" t="str">
            <v>TA9QfMYeaJ2</v>
          </cell>
        </row>
        <row r="406">
          <cell r="AY406" t="str">
            <v>Awo Omamma General Hospital</v>
          </cell>
          <cell r="AZ406" t="str">
            <v>f2qyEIuAJVS</v>
          </cell>
        </row>
        <row r="407">
          <cell r="AY407" t="str">
            <v>Onuma Maternal and Child Health</v>
          </cell>
          <cell r="AZ407" t="str">
            <v>q0XSY6P3pH7</v>
          </cell>
        </row>
        <row r="408">
          <cell r="AY408" t="str">
            <v>Umuokwe Primary Health Center</v>
          </cell>
          <cell r="AZ408" t="str">
            <v>iXDUO24HtSX</v>
          </cell>
        </row>
        <row r="409">
          <cell r="AY409" t="str">
            <v>Ibiasoegbe Health Center</v>
          </cell>
          <cell r="AZ409" t="str">
            <v>NjwSOkyHfkb</v>
          </cell>
        </row>
        <row r="410">
          <cell r="AY410" t="str">
            <v>Amanda Hospital</v>
          </cell>
          <cell r="AZ410" t="str">
            <v>Do0PgBgsx5O</v>
          </cell>
        </row>
        <row r="411">
          <cell r="AY411" t="str">
            <v>Federal Medical Center - Owerri</v>
          </cell>
          <cell r="AZ411" t="str">
            <v>agbAWTBDp3E</v>
          </cell>
        </row>
        <row r="412">
          <cell r="AY412" t="str">
            <v>International Christian Hospital</v>
          </cell>
          <cell r="AZ412" t="str">
            <v>AapYzclGSfX</v>
          </cell>
        </row>
        <row r="413">
          <cell r="AY413" t="str">
            <v>St. David Hospital</v>
          </cell>
          <cell r="AZ413" t="str">
            <v>XZ1ZMeWfpUp</v>
          </cell>
        </row>
        <row r="414">
          <cell r="AY414" t="str">
            <v>Umeizuruike Hospital - Owerri</v>
          </cell>
          <cell r="AZ414" t="str">
            <v>QyJz9kmdSBU</v>
          </cell>
        </row>
        <row r="415">
          <cell r="AY415" t="str">
            <v>Akwakuma Health Center</v>
          </cell>
          <cell r="AZ415" t="str">
            <v>iNAUwryamCV</v>
          </cell>
        </row>
        <row r="416">
          <cell r="AY416" t="str">
            <v>Ekobi Health Center</v>
          </cell>
          <cell r="AZ416" t="str">
            <v>aFdnxZo7IzW</v>
          </cell>
        </row>
        <row r="417">
          <cell r="AY417" t="str">
            <v>Holy Rosary Hospital - Emekuku</v>
          </cell>
          <cell r="AZ417" t="str">
            <v>uRxRCcfJZfW</v>
          </cell>
        </row>
        <row r="418">
          <cell r="AY418" t="str">
            <v>Ihitte-Ogada Health Center</v>
          </cell>
          <cell r="AZ418" t="str">
            <v>pqZOGfwliKS</v>
          </cell>
        </row>
        <row r="419">
          <cell r="AY419" t="str">
            <v>Naze Health Center</v>
          </cell>
          <cell r="AZ419" t="str">
            <v>zfdD2sjZ6zu</v>
          </cell>
        </row>
        <row r="420">
          <cell r="AY420" t="str">
            <v>Irette Health Center</v>
          </cell>
          <cell r="AZ420" t="str">
            <v>Vjs3x72yU8j</v>
          </cell>
        </row>
        <row r="421">
          <cell r="AY421" t="str">
            <v>Orogwe Health Center</v>
          </cell>
          <cell r="AZ421" t="str">
            <v>Ox2Glqe1fZD</v>
          </cell>
        </row>
        <row r="422">
          <cell r="AY422" t="str">
            <v>Oyeoshima Memorial Hospital - Obagaji</v>
          </cell>
          <cell r="AZ422" t="str">
            <v>GsDaIB34rvZ</v>
          </cell>
        </row>
        <row r="423">
          <cell r="AY423" t="str">
            <v>Nongu u Kristu ke Sudan hen Tiv (NKST) Comprehensive Health Center - Garagbohol</v>
          </cell>
          <cell r="AZ423" t="str">
            <v>Rf1yYN2IDWc</v>
          </cell>
        </row>
        <row r="424">
          <cell r="AY424" t="str">
            <v>St. Martha's Clinic and Maternity - Ugbema</v>
          </cell>
          <cell r="AZ424" t="str">
            <v>ylQ6RLXvHHJ</v>
          </cell>
        </row>
        <row r="425">
          <cell r="AY425" t="str">
            <v>St. Paul's Primary Health Center - Ashamena</v>
          </cell>
          <cell r="AZ425" t="str">
            <v>Mb5HQ1iM2ci</v>
          </cell>
        </row>
        <row r="426">
          <cell r="AY426" t="str">
            <v>Nongu u Kristu ke Sudan hen Tiv (NKST) Clinic - Genyi Yandev</v>
          </cell>
          <cell r="AZ426" t="str">
            <v>iXF6l0KcQDv</v>
          </cell>
        </row>
        <row r="427">
          <cell r="AY427" t="str">
            <v>Nongu u Kristu ke Sudan hen Tiv (NKST) Comprehensive Health Center - Isherev</v>
          </cell>
          <cell r="AZ427" t="str">
            <v>t5kQRj3Oqrp</v>
          </cell>
        </row>
        <row r="428">
          <cell r="AY428" t="str">
            <v>St. Michael's Clinic - Agasha</v>
          </cell>
          <cell r="AZ428" t="str">
            <v>UD9kpV91uHO</v>
          </cell>
        </row>
        <row r="429">
          <cell r="AY429" t="str">
            <v>St. Vincents Hospital</v>
          </cell>
          <cell r="AZ429" t="str">
            <v>IZyzmuDFVIJ</v>
          </cell>
        </row>
        <row r="430">
          <cell r="AY430" t="str">
            <v>Fr. Mathias Clinic</v>
          </cell>
          <cell r="AZ430" t="str">
            <v>KWB8RTTIeya</v>
          </cell>
        </row>
        <row r="431">
          <cell r="AY431" t="str">
            <v>St. Francis Primary Health Center - Agagbe</v>
          </cell>
          <cell r="AZ431" t="str">
            <v>mfPtKtcH3hA</v>
          </cell>
        </row>
        <row r="432">
          <cell r="AY432" t="str">
            <v>St. Peters Primary Health Center - Aondonaa</v>
          </cell>
          <cell r="AZ432" t="str">
            <v>hVzKZ1wF5v1</v>
          </cell>
        </row>
        <row r="433">
          <cell r="AY433" t="str">
            <v>Nongu u Kristu ke Sudan hen Tiv (NKST) Primary Health Center - Anber</v>
          </cell>
          <cell r="AZ433" t="str">
            <v>fqQMHzXeExZ</v>
          </cell>
        </row>
        <row r="434">
          <cell r="AY434" t="str">
            <v>Nongu u Kristu ke Sudan hen Tiv (NKST) Primary Health Center - Kasar</v>
          </cell>
          <cell r="AZ434" t="str">
            <v>bD3Z7sBYAkk</v>
          </cell>
        </row>
        <row r="435">
          <cell r="AY435" t="str">
            <v>Nongu u Kristu ke Sudan hen Tiv (NKST) Primary Health Center - Ubaya</v>
          </cell>
          <cell r="AZ435" t="str">
            <v>jKMtJUeZG6T</v>
          </cell>
        </row>
        <row r="436">
          <cell r="AY436" t="str">
            <v>St. Mary's Primary Health Center - Tor Donga</v>
          </cell>
          <cell r="AZ436" t="str">
            <v>ph0DmxOzLrH</v>
          </cell>
        </row>
        <row r="437">
          <cell r="AY437" t="str">
            <v>El Shaddai Clinic - Achocho</v>
          </cell>
          <cell r="AZ437" t="str">
            <v>rkmUcjVWIEG</v>
          </cell>
        </row>
        <row r="438">
          <cell r="AY438" t="str">
            <v>Mimidoo Clinic and Maternity - Gungul</v>
          </cell>
          <cell r="AZ438" t="str">
            <v>uE7DozqVDx3</v>
          </cell>
        </row>
        <row r="439">
          <cell r="AY439" t="str">
            <v>Nongu u Kristu ke Sudan hen Tiv (NKST) Clinic - Iber</v>
          </cell>
          <cell r="AZ439" t="str">
            <v>KG41U70wckT</v>
          </cell>
        </row>
        <row r="440">
          <cell r="AY440" t="str">
            <v>Nongu u Kristu ke Sudan hen Tiv (NKST) Clinic - Ishua</v>
          </cell>
          <cell r="AZ440" t="str">
            <v>tmdPeVe2bj9</v>
          </cell>
        </row>
        <row r="441">
          <cell r="AY441" t="str">
            <v>Nongu u Kristu ke Sudan hen Tiv (NKST) Primary Health Center - Mbaakpur</v>
          </cell>
          <cell r="AZ441" t="str">
            <v>pf5zlZ3n4eZ</v>
          </cell>
        </row>
        <row r="442">
          <cell r="AY442" t="str">
            <v>36 Matyrs Clinic- Mbape</v>
          </cell>
          <cell r="AZ442" t="str">
            <v>T8MofW5CkkU</v>
          </cell>
        </row>
        <row r="443">
          <cell r="AY443" t="str">
            <v>Nongu u Kristu ke Sudan hen Tiv (NKST) Hospital - Jato Aka</v>
          </cell>
          <cell r="AZ443" t="str">
            <v>NrQyKoUUTjl</v>
          </cell>
        </row>
        <row r="444">
          <cell r="AY444" t="str">
            <v>Nongu u Kristu ke Sudan hen Tiv (NKST) Primary Health Center - Ahobee</v>
          </cell>
          <cell r="AZ444" t="str">
            <v>vhponVEgOwi</v>
          </cell>
        </row>
        <row r="445">
          <cell r="AY445" t="str">
            <v>St. Monica's Hospital - Adikpo</v>
          </cell>
          <cell r="AZ445" t="str">
            <v>ZOw5RCxEDrh</v>
          </cell>
        </row>
        <row r="446">
          <cell r="AY446" t="str">
            <v>Nongu u Kristu ke Sudan hen Tiv (NKST) Hospital - Anyiin</v>
          </cell>
          <cell r="AZ446" t="str">
            <v>VqKuYd50P6Z</v>
          </cell>
        </row>
        <row r="447">
          <cell r="AY447" t="str">
            <v>Ugba Comprehensive Health Center</v>
          </cell>
          <cell r="AZ447" t="str">
            <v>QQLKjN6lqf7</v>
          </cell>
        </row>
        <row r="448">
          <cell r="AY448" t="str">
            <v>Bishop Murray Medical Center</v>
          </cell>
          <cell r="AZ448" t="str">
            <v>xbHk6A9M5Ah</v>
          </cell>
        </row>
        <row r="449">
          <cell r="AY449" t="str">
            <v>Alfa Clinic</v>
          </cell>
          <cell r="AZ449" t="str">
            <v>PUgQr3FrIgs</v>
          </cell>
        </row>
        <row r="450">
          <cell r="AY450" t="str">
            <v>Holy Name Clinic - Ugbokolo</v>
          </cell>
          <cell r="AZ450" t="str">
            <v>jkTZCfjUJSI</v>
          </cell>
        </row>
        <row r="451">
          <cell r="AY451" t="str">
            <v>St. Mary's Hospital - Okpoga</v>
          </cell>
          <cell r="AZ451" t="str">
            <v>BX3EuUL4p5y</v>
          </cell>
        </row>
        <row r="452">
          <cell r="AY452" t="str">
            <v>St James Health Centre Ogboju-Ogobia</v>
          </cell>
          <cell r="AZ452" t="str">
            <v>zuehjuhNlcJ</v>
          </cell>
        </row>
        <row r="453">
          <cell r="AY453" t="str">
            <v>St. Charles' Hospital</v>
          </cell>
          <cell r="AZ453" t="str">
            <v>jwRjWD3wLjp</v>
          </cell>
        </row>
        <row r="454">
          <cell r="AY454" t="str">
            <v>St. Joseph's Hospital-Ogobia</v>
          </cell>
          <cell r="AZ454" t="str">
            <v>sIqd320H5pa</v>
          </cell>
        </row>
        <row r="455">
          <cell r="AY455" t="str">
            <v>Nongu u Kristu ke Sudan hen Tiv (NKST) Health Center - Asukunya</v>
          </cell>
          <cell r="AZ455" t="str">
            <v>G82knieoyf2</v>
          </cell>
        </row>
        <row r="456">
          <cell r="AY456" t="str">
            <v>Nongu u Kristu ke Sudan hen Tiv (NKST) Health Center - Uchi</v>
          </cell>
          <cell r="AZ456" t="str">
            <v>UbFbAGiSBNv</v>
          </cell>
        </row>
        <row r="457">
          <cell r="AY457" t="str">
            <v>Nongu u Kristu ke Sudan hen Tiv (NKST) Hospital- Zaki Biam</v>
          </cell>
          <cell r="AZ457" t="str">
            <v>vDwjnLtvE9E</v>
          </cell>
        </row>
        <row r="458">
          <cell r="AY458" t="str">
            <v>Nongu u Kristu ke Sudan hen Tiv (NKST) Primary Health Center - Pervkyaa</v>
          </cell>
          <cell r="AZ458" t="str">
            <v>AUxnTCxG8Hn</v>
          </cell>
        </row>
        <row r="459">
          <cell r="AY459" t="str">
            <v>St. Anthony's Hospital - Zaki Biam</v>
          </cell>
          <cell r="AZ459" t="str">
            <v>UwPzLQbX6z0</v>
          </cell>
        </row>
        <row r="460">
          <cell r="AY460" t="str">
            <v>First Clinic and Maternity - Lobbi</v>
          </cell>
          <cell r="AZ460" t="str">
            <v>RCNdVagYyNw</v>
          </cell>
        </row>
        <row r="461">
          <cell r="AY461" t="str">
            <v>Nongu u Kristu ke Sudan hen Tiv (NKST) Health Center - Gbe</v>
          </cell>
          <cell r="AZ461" t="str">
            <v>KNwYLS8wBMQ</v>
          </cell>
        </row>
        <row r="462">
          <cell r="AY462" t="str">
            <v>Nongu u Kristu ke Sudan hen Tiv (NKST) Health Center - Ifo Mbakuwa</v>
          </cell>
          <cell r="AZ462" t="str">
            <v>iCI3qip67kQ</v>
          </cell>
        </row>
        <row r="463">
          <cell r="AY463" t="str">
            <v>Nongu u Kristu ke Sudan hen Tiv (NKST) Health Center - Korinjo</v>
          </cell>
          <cell r="AZ463" t="str">
            <v>CiJA7pwWM1M</v>
          </cell>
        </row>
        <row r="464">
          <cell r="AY464" t="str">
            <v>Nongu u Kristu ke Sudan hen Tiv (NKST) Health Center - Lessel</v>
          </cell>
          <cell r="AZ464" t="str">
            <v>pVuatRaVnJu</v>
          </cell>
        </row>
        <row r="465">
          <cell r="AY465" t="str">
            <v>Nongu u Kristu ke Sudan hen Tiv (NKST) Health Center - Taangahaar</v>
          </cell>
          <cell r="AZ465" t="str">
            <v>kEUmib8n7Nk</v>
          </cell>
        </row>
        <row r="466">
          <cell r="AY466" t="str">
            <v>St. Mary's Primary Health Center - Alumuku</v>
          </cell>
          <cell r="AZ466" t="str">
            <v>MA3kXKHqF8L</v>
          </cell>
        </row>
        <row r="467">
          <cell r="AY467" t="str">
            <v>Nongu u Kristu ke Sudan hen Tiv (NKST) Comprehensive Health Center - Abwa</v>
          </cell>
          <cell r="AZ467" t="str">
            <v>gbdLx16PC7F</v>
          </cell>
        </row>
        <row r="468">
          <cell r="AY468" t="str">
            <v>Nongu u Kristu ke Sudan hen Tiv (NKST) Comprehensive Health Center - Shangbum</v>
          </cell>
          <cell r="AZ468" t="str">
            <v>cTOASc9flIi</v>
          </cell>
        </row>
        <row r="469">
          <cell r="AY469" t="str">
            <v>Nongu u Kristu ke Sudan hen Tiv (NKST) Hospital - Mbaakon</v>
          </cell>
          <cell r="AZ469" t="str">
            <v>fNNUQiVT6x3</v>
          </cell>
        </row>
        <row r="470">
          <cell r="AY470" t="str">
            <v>St. Paul's Clinic - Ikyaator</v>
          </cell>
          <cell r="AZ470" t="str">
            <v>rl5sKUJnKn3</v>
          </cell>
        </row>
        <row r="471">
          <cell r="AY471" t="str">
            <v>St. Paul's Clinic - Sambe</v>
          </cell>
          <cell r="AZ471" t="str">
            <v>Q47OYvdxPhQ</v>
          </cell>
        </row>
        <row r="472">
          <cell r="AY472" t="str">
            <v>St. Thomas Hospital - Ihugh</v>
          </cell>
          <cell r="AZ472" t="str">
            <v>r6flrs4ehWz</v>
          </cell>
        </row>
        <row r="473">
          <cell r="AY473" t="str">
            <v>St. Theresa's Catholic Hospital - Issele Uku</v>
          </cell>
          <cell r="AZ473" t="str">
            <v>YoNalkNNrRL</v>
          </cell>
        </row>
        <row r="474">
          <cell r="AY474" t="str">
            <v>Our Lady of Nigeria Clinic - Oghara</v>
          </cell>
          <cell r="AZ474" t="str">
            <v>aTSvjQIz6Ge</v>
          </cell>
        </row>
        <row r="475">
          <cell r="AY475" t="str">
            <v>St. Francis Catholic Hospital - Okpara Inland</v>
          </cell>
          <cell r="AZ475" t="str">
            <v>ZXt1KCneHT3</v>
          </cell>
        </row>
        <row r="476">
          <cell r="AY476" t="str">
            <v>St. Elizabeth Catholic Hospital - Sapele</v>
          </cell>
          <cell r="AZ476" t="str">
            <v>HcJMUzznNH2</v>
          </cell>
        </row>
        <row r="477">
          <cell r="AY477" t="str">
            <v>Assumption Catholic Hospital - Warri</v>
          </cell>
          <cell r="AZ477" t="str">
            <v>XLx2UT9cWWv</v>
          </cell>
        </row>
        <row r="478">
          <cell r="AY478" t="str">
            <v>Cornelian Maternity and Rural Health - Gidan Mangoro</v>
          </cell>
          <cell r="AZ478" t="str">
            <v>pp2AS0FyLHp</v>
          </cell>
        </row>
        <row r="479">
          <cell r="AY479" t="str">
            <v>Evangelical Church of West Africa (ECWA) Health Clinic - Kabusa</v>
          </cell>
          <cell r="AZ479" t="str">
            <v>GQIkBebg3SA</v>
          </cell>
        </row>
        <row r="480">
          <cell r="AY480" t="str">
            <v>Faith Medical Center - Karimo</v>
          </cell>
          <cell r="AZ480" t="str">
            <v>YUsdxekuYrY</v>
          </cell>
        </row>
        <row r="481">
          <cell r="AY481" t="str">
            <v>Sisters of Nativity Hospital (SON) - Jikwoyi</v>
          </cell>
          <cell r="AZ481" t="str">
            <v>Nq0hQeEYCAk</v>
          </cell>
        </row>
        <row r="482">
          <cell r="AY482" t="str">
            <v>Daughters of Charity (DOC) Hospital - Kubwa</v>
          </cell>
          <cell r="AZ482" t="str">
            <v>iJ6bV49PCve</v>
          </cell>
        </row>
        <row r="483">
          <cell r="AY483" t="str">
            <v>Our Lady of Fatima Hospital - Bwari</v>
          </cell>
          <cell r="AZ483" t="str">
            <v>aQlACyagbgy</v>
          </cell>
        </row>
        <row r="484">
          <cell r="AY484" t="str">
            <v>St. Andrews Anglican Hospital - Kubwa</v>
          </cell>
          <cell r="AZ484" t="str">
            <v>v3TkEm3tIOC</v>
          </cell>
        </row>
        <row r="485">
          <cell r="AY485" t="str">
            <v>Church of Christ in Nigeria (COCIN) Primary Health Center - Yelwa</v>
          </cell>
          <cell r="AZ485" t="str">
            <v>JgsxKbZy7Hb</v>
          </cell>
        </row>
        <row r="486">
          <cell r="AY486" t="str">
            <v>Hope for the Village Child</v>
          </cell>
          <cell r="AZ486" t="str">
            <v>uQx06yCByKI</v>
          </cell>
        </row>
        <row r="487">
          <cell r="AY487" t="str">
            <v>Salem Medical Center - Kafanchan</v>
          </cell>
          <cell r="AZ487" t="str">
            <v>f0wy9MgKtUx</v>
          </cell>
        </row>
        <row r="488">
          <cell r="AY488" t="str">
            <v>St. Gerald's Hospital - Kaduna</v>
          </cell>
          <cell r="AZ488" t="str">
            <v>yfPEukzMBhy</v>
          </cell>
        </row>
        <row r="489">
          <cell r="AY489" t="str">
            <v>Church of Christ in Nigeria (COCIN) Clinic and Maternity - Mararaba Kaduna</v>
          </cell>
          <cell r="AZ489" t="str">
            <v>bpGqH11T26K</v>
          </cell>
        </row>
        <row r="490">
          <cell r="AY490" t="str">
            <v>Evangelical Church of West Africa (ECWA) Comprehensive Health Center - Ungwan Bawa</v>
          </cell>
          <cell r="AZ490" t="str">
            <v>IO38n1uX0Z7</v>
          </cell>
        </row>
        <row r="491">
          <cell r="AY491" t="str">
            <v>Evangelical Church of West Africa (ECWA) Health Clinic - Mariri</v>
          </cell>
          <cell r="AZ491" t="str">
            <v>P6wb6qxR4rk</v>
          </cell>
        </row>
        <row r="492">
          <cell r="AY492" t="str">
            <v>Evangelical Reformed Church of Christ (ERCC) Primary Health Center - Karshi</v>
          </cell>
          <cell r="AZ492" t="str">
            <v>FSeEcYTr3h8</v>
          </cell>
        </row>
        <row r="493">
          <cell r="AY493" t="str">
            <v>Evangelical Church of West Africa (ECWA) Health Center - Kibori Atyap</v>
          </cell>
          <cell r="AZ493" t="str">
            <v>ERmFvnjnV03</v>
          </cell>
        </row>
        <row r="494">
          <cell r="AY494" t="str">
            <v>St. Louis Hospital - Zonkwa</v>
          </cell>
          <cell r="AZ494" t="str">
            <v>uYxACgpJgI9</v>
          </cell>
        </row>
        <row r="495">
          <cell r="AY495" t="str">
            <v>All Stars Clinic - Egume</v>
          </cell>
          <cell r="AZ495" t="str">
            <v>OJxr3xSwtVx</v>
          </cell>
        </row>
        <row r="496">
          <cell r="AY496" t="str">
            <v>Grimmard Hospital - Anyingba</v>
          </cell>
          <cell r="AZ496" t="str">
            <v>nlLwNEPKFnR</v>
          </cell>
        </row>
        <row r="497">
          <cell r="AY497" t="str">
            <v>St. Luke's Clinic - Egume</v>
          </cell>
          <cell r="AZ497" t="str">
            <v>HrGggd9x1os</v>
          </cell>
        </row>
        <row r="498">
          <cell r="AY498" t="str">
            <v>Shallom Clinic - Idah</v>
          </cell>
          <cell r="AZ498" t="str">
            <v>QYS2fK4rn2V</v>
          </cell>
        </row>
        <row r="499">
          <cell r="AY499" t="str">
            <v>Bunu</v>
          </cell>
          <cell r="AZ499" t="str">
            <v>EOO49s5EOt4</v>
          </cell>
        </row>
        <row r="500">
          <cell r="AY500" t="str">
            <v>Christ the King Catholic Hospital - Akowonjo</v>
          </cell>
          <cell r="AZ500" t="str">
            <v>RD3JhCrIpQg</v>
          </cell>
        </row>
        <row r="501">
          <cell r="AY501" t="str">
            <v>El-Rhema Vision Hospital - Gowon Estate</v>
          </cell>
          <cell r="AZ501" t="str">
            <v>qPbEWrcw3ce</v>
          </cell>
        </row>
        <row r="502">
          <cell r="AY502" t="str">
            <v>Gowon Estate Hospital - Ipaja</v>
          </cell>
          <cell r="AZ502" t="str">
            <v>D8fXWtqwMAU</v>
          </cell>
        </row>
        <row r="503">
          <cell r="AY503" t="str">
            <v>Mary the Queen Hospital - Akowonjo</v>
          </cell>
          <cell r="AZ503" t="str">
            <v>tscvxzvaPHe</v>
          </cell>
        </row>
        <row r="504">
          <cell r="AY504" t="str">
            <v>Mother Theresa Medical Center - Idimu</v>
          </cell>
          <cell r="AZ504" t="str">
            <v>dsYsl8bXYX0</v>
          </cell>
        </row>
        <row r="505">
          <cell r="AY505" t="str">
            <v>Holy Rosary Catholic Hospital - Ogba</v>
          </cell>
          <cell r="AZ505" t="str">
            <v>kYFJ6ppx9vV</v>
          </cell>
        </row>
        <row r="506">
          <cell r="AY506" t="str">
            <v>St. Leo Medical Centre</v>
          </cell>
          <cell r="AZ506" t="str">
            <v>ptxAOdQ5Tp8</v>
          </cell>
        </row>
        <row r="507">
          <cell r="AY507" t="str">
            <v>Our Lady of Apostles Hospital - Akwanga</v>
          </cell>
          <cell r="AZ507" t="str">
            <v>K57MkWyAj2Y</v>
          </cell>
        </row>
        <row r="508">
          <cell r="AY508" t="str">
            <v>Owoche Clinic and Maternity</v>
          </cell>
          <cell r="AZ508" t="str">
            <v>U5N1HnNpRM2</v>
          </cell>
        </row>
        <row r="509">
          <cell r="AY509" t="str">
            <v>Zumunta Yelwa Ediya Clinic</v>
          </cell>
          <cell r="AZ509" t="str">
            <v>bK8mKs9KWZ1</v>
          </cell>
        </row>
        <row r="510">
          <cell r="AY510" t="str">
            <v>Evangelical Reformed Church of Christ (ERCC) Clinic - Keffi</v>
          </cell>
          <cell r="AZ510" t="str">
            <v>lQuZB3TSI1r</v>
          </cell>
        </row>
        <row r="511">
          <cell r="AY511" t="str">
            <v>Diamond Clinic - Lafiya</v>
          </cell>
          <cell r="AZ511" t="str">
            <v>e5ZNLK1GbTi</v>
          </cell>
        </row>
        <row r="512">
          <cell r="AY512" t="str">
            <v>Graceland Clinic - Lafiya</v>
          </cell>
          <cell r="AZ512" t="str">
            <v>iJszAqdhmdK</v>
          </cell>
        </row>
        <row r="513">
          <cell r="AY513" t="str">
            <v>Catholic Maternity and Rural Health Center -Agwatashi</v>
          </cell>
          <cell r="AZ513" t="str">
            <v>PKIGGA1CoX9</v>
          </cell>
        </row>
        <row r="514">
          <cell r="AY514" t="str">
            <v>Evangelical Reformed Church of Christ (ERCC) Clinic - Murya</v>
          </cell>
          <cell r="AZ514" t="str">
            <v>UAiWkGylFj4</v>
          </cell>
        </row>
        <row r="515">
          <cell r="AY515" t="str">
            <v>Evangelical Reformed Church of Christ (ERCC) Primary Health Center - Daddare</v>
          </cell>
          <cell r="AZ515" t="str">
            <v>e794XingGvd</v>
          </cell>
        </row>
        <row r="516">
          <cell r="AY516" t="str">
            <v>St. Bernards Clinic - Akanga</v>
          </cell>
          <cell r="AZ516" t="str">
            <v>nHzMmotg0fA</v>
          </cell>
        </row>
        <row r="517">
          <cell r="AY517" t="str">
            <v>Jesus is Love and Power Catholic Hospital - Ifo</v>
          </cell>
          <cell r="AZ517" t="str">
            <v>rQsDr0APXzb</v>
          </cell>
        </row>
        <row r="518">
          <cell r="AY518" t="str">
            <v>Sacred Heart Hospital - Ayetoro</v>
          </cell>
          <cell r="AZ518" t="str">
            <v>sbA1L4DEbTT</v>
          </cell>
        </row>
        <row r="519">
          <cell r="AY519" t="str">
            <v>St. Catherine's Hospital - Iwaro-Oka</v>
          </cell>
          <cell r="AZ519" t="str">
            <v>GsMlnR6XQ5k</v>
          </cell>
        </row>
        <row r="520">
          <cell r="AY520" t="str">
            <v>St. Theresa's Catholic Health Center - Odo-Irele</v>
          </cell>
          <cell r="AZ520" t="str">
            <v>h2r9wlaKJ49</v>
          </cell>
        </row>
        <row r="521">
          <cell r="AY521" t="str">
            <v>Maria Mater Misericordiae Catholic Hospital - Oke-Idera</v>
          </cell>
          <cell r="AZ521" t="str">
            <v>QUYIJA1ZS8h</v>
          </cell>
        </row>
        <row r="522">
          <cell r="AY522" t="str">
            <v>St. Louis Hospital - Owo</v>
          </cell>
          <cell r="AZ522" t="str">
            <v>l7pPpxL9oXr</v>
          </cell>
        </row>
        <row r="523">
          <cell r="AY523" t="str">
            <v>Our Lady of Lourdes Hospital - Ipetumodun</v>
          </cell>
          <cell r="AZ523" t="str">
            <v>ikrzY7sZjRk</v>
          </cell>
        </row>
        <row r="524">
          <cell r="AY524" t="str">
            <v>Catholic Hospital and Maternity - Okeola</v>
          </cell>
          <cell r="AZ524" t="str">
            <v>NrAixqBOeRR</v>
          </cell>
        </row>
        <row r="525">
          <cell r="AY525" t="str">
            <v>St. Zeno Catholic Hospital - Iwo</v>
          </cell>
          <cell r="AZ525" t="str">
            <v>rcGc224XPYp</v>
          </cell>
        </row>
        <row r="526">
          <cell r="AY526" t="str">
            <v>St. Dominics Catholic Hospital - Ogungbade</v>
          </cell>
          <cell r="AZ526" t="str">
            <v>JzYcMwOP9J6</v>
          </cell>
        </row>
        <row r="527">
          <cell r="AY527" t="str">
            <v>Evangelical Church of West Africa (ECWA) Health Clinic - Miango</v>
          </cell>
          <cell r="AZ527" t="str">
            <v>zzxXMjcoHez</v>
          </cell>
        </row>
        <row r="528">
          <cell r="AY528" t="str">
            <v>Evangelical Church of West Africa (ECWA) Health Clinic - Rimi</v>
          </cell>
          <cell r="AZ528" t="str">
            <v>g19eVBilFP8</v>
          </cell>
        </row>
        <row r="529">
          <cell r="AY529" t="str">
            <v>Church of Christ in Nigeria (COCIN) Primary Health Center - Daffo</v>
          </cell>
          <cell r="AZ529" t="str">
            <v>U0lOcVhCtvX</v>
          </cell>
        </row>
        <row r="530">
          <cell r="AY530" t="str">
            <v>Our Lady of Apostles Clinic - Bokkos</v>
          </cell>
          <cell r="AZ530" t="str">
            <v>FwSq4UCcsBR</v>
          </cell>
        </row>
        <row r="531">
          <cell r="AY531" t="str">
            <v>Evangelical Church of West Africa (ECWA) Health Clinic - Tudun Wada</v>
          </cell>
          <cell r="AZ531" t="str">
            <v>gTSFUf3vFl3</v>
          </cell>
        </row>
        <row r="532">
          <cell r="AY532" t="str">
            <v>Evangelical Church of West Africa (ECWA) Health Clinic - Zabolo</v>
          </cell>
          <cell r="AZ532" t="str">
            <v>UJA7SoZC1Of</v>
          </cell>
        </row>
        <row r="533">
          <cell r="AY533" t="str">
            <v>Church of Christ in Nigeria (COCIN) Clinic - Gyel-Bukuru</v>
          </cell>
          <cell r="AZ533" t="str">
            <v>kXMpdZaDwxW</v>
          </cell>
        </row>
        <row r="534">
          <cell r="AY534" t="str">
            <v>Theological College of Northern Nigeria (TCNN) Clinic - Bukuru</v>
          </cell>
          <cell r="AZ534" t="str">
            <v>GvDGaThPFGi</v>
          </cell>
        </row>
        <row r="535">
          <cell r="AY535" t="str">
            <v>St. Virgillus Catholic Rural Health Center</v>
          </cell>
          <cell r="AZ535" t="str">
            <v>BQ6ZqTIJDra</v>
          </cell>
        </row>
        <row r="536">
          <cell r="AY536" t="str">
            <v>Church of Christ in Nigeria (COCIN) Primary Health Center - Shendam</v>
          </cell>
          <cell r="AZ536" t="str">
            <v>asNhmbLE45K</v>
          </cell>
        </row>
        <row r="537">
          <cell r="AY537" t="str">
            <v>Ajio Local Government Health Center</v>
          </cell>
          <cell r="AZ537" t="str">
            <v>kYQmzSgzCJX</v>
          </cell>
        </row>
        <row r="538">
          <cell r="AY538" t="str">
            <v>Uton Kon Comprehensive Health Center</v>
          </cell>
          <cell r="AZ538" t="str">
            <v>FFZfpSZjxhj</v>
          </cell>
        </row>
        <row r="539">
          <cell r="AY539" t="str">
            <v>Obagaji Agatu Comprehensive Health Center</v>
          </cell>
          <cell r="AZ539" t="str">
            <v>O8mETbtR3if</v>
          </cell>
        </row>
        <row r="540">
          <cell r="AY540" t="str">
            <v>New Concept Hospital</v>
          </cell>
          <cell r="AZ540" t="str">
            <v>vse3mtJJEmf</v>
          </cell>
        </row>
        <row r="541">
          <cell r="AY541" t="str">
            <v>Ukpogo Primary Health Center</v>
          </cell>
          <cell r="AZ541" t="str">
            <v>DBWPwvDC0AX</v>
          </cell>
        </row>
        <row r="542">
          <cell r="AY542" t="str">
            <v>Agwabi Primary Health Center</v>
          </cell>
          <cell r="AZ542" t="str">
            <v>nnocuY5Y1ve</v>
          </cell>
        </row>
        <row r="543">
          <cell r="AY543" t="str">
            <v>Ako Primary Health Center</v>
          </cell>
          <cell r="AZ543" t="str">
            <v>IJtXcAlf0Gw</v>
          </cell>
        </row>
        <row r="544">
          <cell r="AY544" t="str">
            <v>Anonghul Primary Health Center</v>
          </cell>
          <cell r="AZ544" t="str">
            <v>GVwSWUCUWPn</v>
          </cell>
        </row>
        <row r="545">
          <cell r="AY545" t="str">
            <v>Anvambe Primary Health Center</v>
          </cell>
          <cell r="AZ545" t="str">
            <v>nMO8qFMjftW</v>
          </cell>
        </row>
        <row r="546">
          <cell r="AY546" t="str">
            <v>Anzembe Clinic</v>
          </cell>
          <cell r="AZ546" t="str">
            <v>x0lTOYyB0Xq</v>
          </cell>
        </row>
        <row r="547">
          <cell r="AY547" t="str">
            <v>Apav Primary Health Center</v>
          </cell>
          <cell r="AZ547" t="str">
            <v>k8SOoKCsniT</v>
          </cell>
        </row>
        <row r="548">
          <cell r="AY548" t="str">
            <v>Doose Clinic</v>
          </cell>
          <cell r="AZ548" t="str">
            <v>NhrnFnjxx2Z</v>
          </cell>
        </row>
        <row r="549">
          <cell r="AY549" t="str">
            <v>Gbaja  Primary Health Center</v>
          </cell>
          <cell r="AZ549" t="str">
            <v>CyG4e1PNY2V</v>
          </cell>
        </row>
        <row r="550">
          <cell r="AY550" t="str">
            <v>General Hospital Buruku</v>
          </cell>
          <cell r="AZ550" t="str">
            <v>hWsBYXZwHiP</v>
          </cell>
        </row>
        <row r="551">
          <cell r="AY551" t="str">
            <v>Jingir Primary Health Center</v>
          </cell>
          <cell r="AZ551" t="str">
            <v>R76nShpbpxl</v>
          </cell>
        </row>
        <row r="552">
          <cell r="AY552" t="str">
            <v>Karakuso Clinic</v>
          </cell>
          <cell r="AZ552" t="str">
            <v>sKg8sSkZoMP</v>
          </cell>
        </row>
        <row r="553">
          <cell r="AY553" t="str">
            <v>Kendem Health Clinic</v>
          </cell>
          <cell r="AZ553" t="str">
            <v>n0FjNk2ued1</v>
          </cell>
        </row>
        <row r="554">
          <cell r="AY554" t="str">
            <v>Kur Primary Health Center</v>
          </cell>
          <cell r="AZ554" t="str">
            <v>bIMhLHumVOb</v>
          </cell>
        </row>
        <row r="555">
          <cell r="AY555" t="str">
            <v>Mazda Clinic</v>
          </cell>
          <cell r="AZ555" t="str">
            <v>zL6xGqY3SL7</v>
          </cell>
        </row>
        <row r="556">
          <cell r="AY556" t="str">
            <v>Mbagen Community Health Service - Ashibi</v>
          </cell>
          <cell r="AZ556" t="str">
            <v>rWLUwyvE2KL</v>
          </cell>
        </row>
        <row r="557">
          <cell r="AY557" t="str">
            <v>Mbagen Community Health Service - Nyamatsor</v>
          </cell>
          <cell r="AZ557" t="str">
            <v>E1cCmIs4B6J</v>
          </cell>
        </row>
        <row r="558">
          <cell r="AY558" t="str">
            <v>Mbagen Community Hospital - Abwa</v>
          </cell>
          <cell r="AZ558" t="str">
            <v>JVUE6hcwdYf</v>
          </cell>
        </row>
        <row r="559">
          <cell r="AY559" t="str">
            <v>Mbalaha Clinic</v>
          </cell>
          <cell r="AZ559" t="str">
            <v>rkFS5ZsTWsm</v>
          </cell>
        </row>
        <row r="560">
          <cell r="AY560" t="str">
            <v>Nongu u Kristu ke Sudan hen Tiv (NKST) Clinic - Uatsor</v>
          </cell>
          <cell r="AZ560" t="str">
            <v>w5XcPdO0vLh</v>
          </cell>
        </row>
        <row r="561">
          <cell r="AY561" t="str">
            <v>Nongu u Kristu ke Sudan hen Tiv (NKST) Primary Health Center - Agwabi Buruku</v>
          </cell>
          <cell r="AZ561" t="str">
            <v>p8k5u3mv6dH</v>
          </cell>
        </row>
        <row r="562">
          <cell r="AY562" t="str">
            <v>Nongu u Kristu ke Sudan hen Tiv (NKST) Primary Health Center - Biliji</v>
          </cell>
          <cell r="AZ562" t="str">
            <v>dOnbIETcQXX</v>
          </cell>
        </row>
        <row r="563">
          <cell r="AY563" t="str">
            <v>Sahara Clinic</v>
          </cell>
          <cell r="AZ563" t="str">
            <v>YqtrJF9sW3U</v>
          </cell>
        </row>
        <row r="564">
          <cell r="AY564" t="str">
            <v>Social Clinic</v>
          </cell>
          <cell r="AZ564" t="str">
            <v>f37GcokYWeu</v>
          </cell>
        </row>
        <row r="565">
          <cell r="AY565" t="str">
            <v>St. Martins De Porres Primary Health Center</v>
          </cell>
          <cell r="AZ565" t="str">
            <v>F5pWs5NRtpw</v>
          </cell>
        </row>
        <row r="566">
          <cell r="AY566" t="str">
            <v>St. Paul's Primary Health Center - Ashamena</v>
          </cell>
          <cell r="AZ566" t="str">
            <v>Mb5HQ1iM2ci</v>
          </cell>
        </row>
        <row r="567">
          <cell r="AY567" t="str">
            <v>Torkwembe Clinic</v>
          </cell>
          <cell r="AZ567" t="str">
            <v>dJz3RVewIzM</v>
          </cell>
        </row>
        <row r="568">
          <cell r="AY568" t="str">
            <v>Township Clinic</v>
          </cell>
          <cell r="AZ568" t="str">
            <v>FUKJdEDgVT8</v>
          </cell>
        </row>
        <row r="569">
          <cell r="AY569" t="str">
            <v>Tyowanye Primary Health Center</v>
          </cell>
          <cell r="AZ569" t="str">
            <v>kPGQXJlsGON</v>
          </cell>
        </row>
        <row r="570">
          <cell r="AY570" t="str">
            <v>Uga Primary Health Center</v>
          </cell>
          <cell r="AZ570" t="str">
            <v>bkw7eER1sQg</v>
          </cell>
        </row>
        <row r="571">
          <cell r="AY571" t="str">
            <v>Usen Tombo Primary Health Center</v>
          </cell>
          <cell r="AZ571" t="str">
            <v>XnHRGEEKQSR</v>
          </cell>
        </row>
        <row r="572">
          <cell r="AY572" t="str">
            <v>Utsombi Model Primary Health Center</v>
          </cell>
          <cell r="AZ572" t="str">
            <v>Tj6mOtw94Xz</v>
          </cell>
        </row>
        <row r="573">
          <cell r="AY573" t="str">
            <v>Yoosu Clinic</v>
          </cell>
          <cell r="AZ573" t="str">
            <v>dpnrTDJguOo</v>
          </cell>
        </row>
        <row r="574">
          <cell r="AY574" t="str">
            <v>Zua Primary Health Center</v>
          </cell>
          <cell r="AZ574" t="str">
            <v>dQECLkJP2dR</v>
          </cell>
        </row>
        <row r="575">
          <cell r="AY575" t="str">
            <v>Akaa Primary Health Center</v>
          </cell>
          <cell r="AZ575" t="str">
            <v>BIf4NpUc9tv</v>
          </cell>
        </row>
        <row r="576">
          <cell r="AY576" t="str">
            <v>Akpagher Primary Health Center</v>
          </cell>
          <cell r="AZ576" t="str">
            <v>hd4uvUNJmVb</v>
          </cell>
        </row>
        <row r="577">
          <cell r="AY577" t="str">
            <v>Amaladu Primary Health Center</v>
          </cell>
          <cell r="AZ577" t="str">
            <v>ZhI01U6OW27</v>
          </cell>
        </row>
        <row r="578">
          <cell r="AY578" t="str">
            <v>Atume Clinic and Maternity</v>
          </cell>
          <cell r="AZ578" t="str">
            <v>WMifDMychYH</v>
          </cell>
        </row>
        <row r="579">
          <cell r="AY579" t="str">
            <v>Atuna Clinic and Maternity</v>
          </cell>
          <cell r="AZ579" t="str">
            <v>szcn3Q559Dz</v>
          </cell>
        </row>
        <row r="580">
          <cell r="AY580" t="str">
            <v>Avande Primary Health Center</v>
          </cell>
          <cell r="AZ580" t="str">
            <v>boPVZvERiSO</v>
          </cell>
        </row>
        <row r="581">
          <cell r="AY581" t="str">
            <v>Baki Clinic</v>
          </cell>
          <cell r="AZ581" t="str">
            <v>I2YSBeACOiz</v>
          </cell>
        </row>
        <row r="582">
          <cell r="AY582" t="str">
            <v>Gboko East Comprehensive Health Center</v>
          </cell>
          <cell r="AZ582" t="str">
            <v>NKBX6MV18q7</v>
          </cell>
        </row>
        <row r="583">
          <cell r="AY583" t="str">
            <v>Gboko South Primary Health Center</v>
          </cell>
          <cell r="AZ583" t="str">
            <v>QW4jZGUGs0K</v>
          </cell>
        </row>
        <row r="584">
          <cell r="AY584" t="str">
            <v>Isundugh Model Primary Health Center</v>
          </cell>
          <cell r="AZ584" t="str">
            <v>LMbwSwAgEE7</v>
          </cell>
        </row>
        <row r="585">
          <cell r="AY585" t="str">
            <v>Mbaakanku Primary Health Center</v>
          </cell>
          <cell r="AZ585" t="str">
            <v>imhNpRaqgMO</v>
          </cell>
        </row>
        <row r="586">
          <cell r="AY586" t="str">
            <v>Mbagar Primary Health Center</v>
          </cell>
          <cell r="AZ586" t="str">
            <v>BNicZLMov3O</v>
          </cell>
        </row>
        <row r="587">
          <cell r="AY587" t="str">
            <v>Mbaswa Primary Health Center</v>
          </cell>
          <cell r="AZ587" t="str">
            <v>mqXUgQzdrim</v>
          </cell>
        </row>
        <row r="588">
          <cell r="AY588" t="str">
            <v>Mercy Hospital</v>
          </cell>
          <cell r="AZ588" t="str">
            <v>UKpHt1NMIzG</v>
          </cell>
        </row>
        <row r="589">
          <cell r="AY589" t="str">
            <v>Myom Hospital - Gboko</v>
          </cell>
          <cell r="AZ589" t="str">
            <v>KCeTZcNxHny</v>
          </cell>
        </row>
        <row r="590">
          <cell r="AY590" t="str">
            <v>Nongu u Kristu ke Sudan hen Tiv (NKST) - Anyogo Comprehensive Health Center - Gboko East</v>
          </cell>
          <cell r="AZ590" t="str">
            <v>RkCEl2a26MS</v>
          </cell>
        </row>
        <row r="591">
          <cell r="AY591" t="str">
            <v>Nongu u Kristu ke Sudan hen Tiv (NKST) Hospital - Mkar</v>
          </cell>
          <cell r="AZ591" t="str">
            <v>LQY80730nX8</v>
          </cell>
        </row>
        <row r="592">
          <cell r="AY592" t="str">
            <v>Pewaren Hospital</v>
          </cell>
          <cell r="AZ592" t="str">
            <v>lJi7cRmWTRT</v>
          </cell>
        </row>
        <row r="593">
          <cell r="AY593" t="str">
            <v>Sev-Av Foundation - Gboko</v>
          </cell>
          <cell r="AZ593" t="str">
            <v>ucA8oXS8NE4</v>
          </cell>
        </row>
        <row r="594">
          <cell r="AY594" t="str">
            <v>St. Veronica Health Center</v>
          </cell>
          <cell r="AZ594" t="str">
            <v>wmDk1IHm8kU</v>
          </cell>
        </row>
        <row r="595">
          <cell r="AY595" t="str">
            <v>Three Brothers Transport  Hospital - Gboko</v>
          </cell>
          <cell r="AZ595" t="str">
            <v>EyvD2SO18Ls</v>
          </cell>
        </row>
        <row r="596">
          <cell r="AY596" t="str">
            <v>Tse Akeme Primary Health Center</v>
          </cell>
          <cell r="AZ596" t="str">
            <v>iVDvygVrrDg</v>
          </cell>
        </row>
        <row r="597">
          <cell r="AY597" t="str">
            <v>Tse Kucha Primary Health Center</v>
          </cell>
          <cell r="AZ597" t="str">
            <v>BWwKy9VeLOM</v>
          </cell>
        </row>
        <row r="598">
          <cell r="AY598" t="str">
            <v>Victory Hospital - Gboko</v>
          </cell>
          <cell r="AZ598" t="str">
            <v>zR7wi1nIM3l</v>
          </cell>
        </row>
        <row r="599">
          <cell r="AY599" t="str">
            <v>Wih Abagen hospital</v>
          </cell>
          <cell r="AZ599" t="str">
            <v>Xi5cekzA2M0</v>
          </cell>
        </row>
        <row r="600">
          <cell r="AY600" t="str">
            <v>Abinisi Primary Health Center</v>
          </cell>
          <cell r="AZ600" t="str">
            <v>aDbNi9qbrTa</v>
          </cell>
        </row>
        <row r="601">
          <cell r="AY601" t="str">
            <v>Ginde Primary Health Center</v>
          </cell>
          <cell r="AZ601" t="str">
            <v>S5mDbNgcRku</v>
          </cell>
        </row>
        <row r="602">
          <cell r="AY602" t="str">
            <v>Ikyor Family Support Programme Clinic</v>
          </cell>
          <cell r="AZ602" t="str">
            <v>wzrz2POvwJO</v>
          </cell>
        </row>
        <row r="603">
          <cell r="AY603" t="str">
            <v>Imandedem Comprehensive Health Center</v>
          </cell>
          <cell r="AZ603" t="str">
            <v>o98TdVrqKre</v>
          </cell>
        </row>
        <row r="604">
          <cell r="AY604" t="str">
            <v>Tugudu Primary Health Center</v>
          </cell>
          <cell r="AZ604" t="str">
            <v>YlxyMD0zmCn</v>
          </cell>
        </row>
        <row r="605">
          <cell r="AY605" t="str">
            <v>Yelwata Comprehensive Health Center</v>
          </cell>
          <cell r="AZ605" t="str">
            <v>CdQh5ozbdJV</v>
          </cell>
        </row>
        <row r="606">
          <cell r="AY606" t="str">
            <v>Aliade General Hospital</v>
          </cell>
          <cell r="AZ606" t="str">
            <v>OPnJnEYeq1I</v>
          </cell>
        </row>
        <row r="607">
          <cell r="AY607" t="str">
            <v>Hossana Hospital - Aliade</v>
          </cell>
          <cell r="AZ607" t="str">
            <v>PSewXHXf7oY</v>
          </cell>
        </row>
        <row r="608">
          <cell r="AY608" t="str">
            <v>Igbor Primary Health Center</v>
          </cell>
          <cell r="AZ608" t="str">
            <v>VKDCUTo3uig</v>
          </cell>
        </row>
        <row r="609">
          <cell r="AY609" t="str">
            <v>St. Gregory Health Center</v>
          </cell>
          <cell r="AZ609" t="str">
            <v>ooVgKxaybti</v>
          </cell>
        </row>
        <row r="610">
          <cell r="AY610" t="str">
            <v>Taraku Primary Health Center</v>
          </cell>
          <cell r="AZ610" t="str">
            <v>anU88HoEhSo</v>
          </cell>
        </row>
        <row r="611">
          <cell r="AY611" t="str">
            <v>Aba Health Centre</v>
          </cell>
          <cell r="AZ611" t="str">
            <v>AXPIJPRXo5s</v>
          </cell>
        </row>
        <row r="612">
          <cell r="AY612" t="str">
            <v>Abiam Family Support Program Clinic</v>
          </cell>
          <cell r="AZ612" t="str">
            <v>ZRSpxqpZDVS</v>
          </cell>
        </row>
        <row r="613">
          <cell r="AY613" t="str">
            <v>Aondana Health Clinic</v>
          </cell>
          <cell r="AZ613" t="str">
            <v>YLapZuUgSyj</v>
          </cell>
        </row>
        <row r="614">
          <cell r="AY614" t="str">
            <v>Asanyi Clinic</v>
          </cell>
          <cell r="AZ614" t="str">
            <v>fZBILx9jrtX</v>
          </cell>
        </row>
        <row r="615">
          <cell r="AY615" t="str">
            <v>Bem Clinic</v>
          </cell>
          <cell r="AZ615" t="str">
            <v>mHwzBUYquF5</v>
          </cell>
        </row>
        <row r="616">
          <cell r="AY616" t="str">
            <v>Chris Clinic</v>
          </cell>
          <cell r="AZ616" t="str">
            <v>EmfiENvlCGq</v>
          </cell>
        </row>
        <row r="617">
          <cell r="AY617" t="str">
            <v>European Economic Community Health Clinic</v>
          </cell>
          <cell r="AZ617" t="str">
            <v>ugwMUWu3le4</v>
          </cell>
        </row>
        <row r="618">
          <cell r="AY618" t="str">
            <v>General Hospital Naka</v>
          </cell>
          <cell r="AZ618" t="str">
            <v>A6vVFRBdTaM</v>
          </cell>
        </row>
        <row r="619">
          <cell r="AY619" t="str">
            <v>Hope Clinic Naka</v>
          </cell>
          <cell r="AZ619" t="str">
            <v>L5uBSWixRWb</v>
          </cell>
        </row>
        <row r="620">
          <cell r="AY620" t="str">
            <v>Jimba Primary Health Center</v>
          </cell>
          <cell r="AZ620" t="str">
            <v>nn4VvQS8SqP</v>
          </cell>
        </row>
        <row r="621">
          <cell r="AY621" t="str">
            <v>Kwashon Primary Health Centre</v>
          </cell>
          <cell r="AZ621" t="str">
            <v>oN3LGtxIZlk</v>
          </cell>
        </row>
        <row r="622">
          <cell r="AY622" t="str">
            <v>Mbaakem Health Centre</v>
          </cell>
          <cell r="AZ622" t="str">
            <v>Guf2jRM5SyK</v>
          </cell>
        </row>
        <row r="623">
          <cell r="AY623" t="str">
            <v>Mbaier Health Centre</v>
          </cell>
          <cell r="AZ623" t="str">
            <v>EJQh7G0WPzD</v>
          </cell>
        </row>
        <row r="624">
          <cell r="AY624" t="str">
            <v>Mbaiywar Health Centre</v>
          </cell>
          <cell r="AZ624" t="str">
            <v>mDLjtcbbe1r</v>
          </cell>
        </row>
        <row r="625">
          <cell r="AY625" t="str">
            <v>Mbalosu Primary Health Centre</v>
          </cell>
          <cell r="AZ625" t="str">
            <v>CtqZO3PKNim</v>
          </cell>
        </row>
        <row r="626">
          <cell r="AY626" t="str">
            <v>Mbashija Primary Health Centre</v>
          </cell>
          <cell r="AZ626" t="str">
            <v>LVwYC7JU75B</v>
          </cell>
        </row>
        <row r="627">
          <cell r="AY627" t="str">
            <v>Nakar Gwer West Comprehensive Health Center</v>
          </cell>
          <cell r="AZ627" t="str">
            <v>Nfc7dRyjli0</v>
          </cell>
        </row>
        <row r="628">
          <cell r="AY628" t="str">
            <v>Nyadafa Health Centre</v>
          </cell>
          <cell r="AZ628" t="str">
            <v>Et4PNkcr5A0</v>
          </cell>
        </row>
        <row r="629">
          <cell r="AY629" t="str">
            <v>Tongov Primary Health Centre</v>
          </cell>
          <cell r="AZ629" t="str">
            <v>eeMmUo80f1k</v>
          </cell>
        </row>
        <row r="630">
          <cell r="AY630" t="str">
            <v>Yogbo Health Centre</v>
          </cell>
          <cell r="AZ630" t="str">
            <v>fYKQcVPVnyK</v>
          </cell>
        </row>
        <row r="631">
          <cell r="AY631" t="str">
            <v>Ada Comprehensive Health Center</v>
          </cell>
          <cell r="AZ631" t="str">
            <v>TYesyFL0PHW</v>
          </cell>
        </row>
        <row r="632">
          <cell r="AY632" t="str">
            <v>Adikpo General Hospital</v>
          </cell>
          <cell r="AZ632" t="str">
            <v>mvMjGraGxvu</v>
          </cell>
        </row>
        <row r="633">
          <cell r="AY633" t="str">
            <v>Begha Comprehensive Health Center</v>
          </cell>
          <cell r="AZ633" t="str">
            <v>YSxrwZzyYqu</v>
          </cell>
        </row>
        <row r="634">
          <cell r="AY634" t="str">
            <v>Div Primary Health Center</v>
          </cell>
          <cell r="AZ634" t="str">
            <v>CITzQ1NJK3r</v>
          </cell>
        </row>
        <row r="635">
          <cell r="AY635" t="str">
            <v>Gabriel Suswam Cottage Hospital - Tse Ugbena</v>
          </cell>
          <cell r="AZ635" t="str">
            <v>G9RIOzlKB5n</v>
          </cell>
        </row>
        <row r="636">
          <cell r="AY636" t="str">
            <v>Gube Primary Health Center</v>
          </cell>
          <cell r="AZ636" t="str">
            <v>d4xIrfed7jC</v>
          </cell>
        </row>
        <row r="637">
          <cell r="AY637" t="str">
            <v>Holy Child Clinic and Maternity</v>
          </cell>
          <cell r="AZ637" t="str">
            <v>ecDDJ8UV2tN</v>
          </cell>
        </row>
        <row r="638">
          <cell r="AY638" t="str">
            <v>Ikyogen Primary Health Center</v>
          </cell>
          <cell r="AZ638" t="str">
            <v>lHAkzMumFD8</v>
          </cell>
        </row>
        <row r="639">
          <cell r="AY639" t="str">
            <v>Koti Comprehensive Health Center</v>
          </cell>
          <cell r="AZ639" t="str">
            <v>Wk7369Mhsof</v>
          </cell>
        </row>
        <row r="640">
          <cell r="AY640" t="str">
            <v>Manyam Primary Health Center</v>
          </cell>
          <cell r="AZ640" t="str">
            <v>lgXwl4gfzgN</v>
          </cell>
        </row>
        <row r="641">
          <cell r="AY641" t="str">
            <v>Msonter Clinic and Maternity</v>
          </cell>
          <cell r="AZ641" t="str">
            <v>LOykIXc8jdW</v>
          </cell>
        </row>
        <row r="642">
          <cell r="AY642" t="str">
            <v>Nyihemba Primary Health Center</v>
          </cell>
          <cell r="AZ642" t="str">
            <v>GMznf7OBnIg</v>
          </cell>
        </row>
        <row r="643">
          <cell r="AY643" t="str">
            <v>Abeda Primary Health Center</v>
          </cell>
          <cell r="AZ643" t="str">
            <v>Awp6evwdKBu</v>
          </cell>
        </row>
        <row r="644">
          <cell r="AY644" t="str">
            <v>Abeda Shittille Primary Health Center</v>
          </cell>
          <cell r="AZ644" t="str">
            <v>H9hiuwR1BNn</v>
          </cell>
        </row>
        <row r="645">
          <cell r="AY645" t="str">
            <v>Afa Clinic</v>
          </cell>
          <cell r="AZ645" t="str">
            <v>h6ZtmhafF6I</v>
          </cell>
        </row>
        <row r="646">
          <cell r="AY646" t="str">
            <v>Agbungu Primary Health Center</v>
          </cell>
          <cell r="AZ646" t="str">
            <v>SOXiZPYNNxE</v>
          </cell>
        </row>
        <row r="647">
          <cell r="AY647" t="str">
            <v>Akumator Health Centre</v>
          </cell>
          <cell r="AZ647" t="str">
            <v>cePHHjZCGUB</v>
          </cell>
        </row>
        <row r="648">
          <cell r="AY648" t="str">
            <v>Anyiin Primary Health Center</v>
          </cell>
          <cell r="AZ648" t="str">
            <v>pwlvjbtM5oM</v>
          </cell>
        </row>
        <row r="649">
          <cell r="AY649" t="str">
            <v>Ayilamo Primary Health Center</v>
          </cell>
          <cell r="AZ649" t="str">
            <v>zBp4fj9LC7v</v>
          </cell>
        </row>
        <row r="650">
          <cell r="AY650" t="str">
            <v>Central Hospital Anyiin</v>
          </cell>
          <cell r="AZ650" t="str">
            <v>SLUh7AIPl3P</v>
          </cell>
        </row>
        <row r="651">
          <cell r="AY651" t="str">
            <v>Doodoo Clinic</v>
          </cell>
          <cell r="AZ651" t="str">
            <v>CbpO0v7XB53</v>
          </cell>
        </row>
        <row r="652">
          <cell r="AY652" t="str">
            <v>Dooshima Primary Health Centre</v>
          </cell>
          <cell r="AZ652" t="str">
            <v>Sg1lTBErQMf</v>
          </cell>
        </row>
        <row r="653">
          <cell r="AY653" t="str">
            <v>Farmter Clinic Abeda</v>
          </cell>
          <cell r="AZ653" t="str">
            <v>r2lBjhZUg8j</v>
          </cell>
        </row>
        <row r="654">
          <cell r="AY654" t="str">
            <v>Gboragayo Primary Health Centre</v>
          </cell>
          <cell r="AZ654" t="str">
            <v>emodKJruXyL</v>
          </cell>
        </row>
        <row r="655">
          <cell r="AY655" t="str">
            <v>Gonduzua Primary Health Center</v>
          </cell>
          <cell r="AZ655" t="str">
            <v>LAyyrDvKqGe</v>
          </cell>
        </row>
        <row r="656">
          <cell r="AY656" t="str">
            <v>Holy Ghost Clinic Abeda</v>
          </cell>
          <cell r="AZ656" t="str">
            <v>ElG4xY5VKhM</v>
          </cell>
        </row>
        <row r="657">
          <cell r="AY657" t="str">
            <v>Igboughol Local Government Health Clinic</v>
          </cell>
          <cell r="AZ657" t="str">
            <v>bsw3naXOOX1</v>
          </cell>
        </row>
        <row r="658">
          <cell r="AY658" t="str">
            <v>Ikyo Primary Health Center</v>
          </cell>
          <cell r="AZ658" t="str">
            <v>p744o3LL0jI</v>
          </cell>
        </row>
        <row r="659">
          <cell r="AY659" t="str">
            <v>Imande Adega Primary Health Centre</v>
          </cell>
          <cell r="AZ659" t="str">
            <v>MqP8hXfcXJy</v>
          </cell>
        </row>
        <row r="660">
          <cell r="AY660" t="str">
            <v>Iorza Primary Health Center</v>
          </cell>
          <cell r="AZ660" t="str">
            <v>zBwxOyfTqwm</v>
          </cell>
        </row>
        <row r="661">
          <cell r="AY661" t="str">
            <v>Jootal Primary Health Center</v>
          </cell>
          <cell r="AZ661" t="str">
            <v>VDDocMtkbIv</v>
          </cell>
        </row>
        <row r="662">
          <cell r="AY662" t="str">
            <v>Jun Primary Health Centre</v>
          </cell>
          <cell r="AZ662" t="str">
            <v>YrOi3vit8KV</v>
          </cell>
        </row>
        <row r="663">
          <cell r="AY663" t="str">
            <v>Kurungu Local Government Health Center</v>
          </cell>
          <cell r="AZ663" t="str">
            <v>O37JHTv6j6B</v>
          </cell>
        </row>
        <row r="664">
          <cell r="AY664" t="str">
            <v>Live Clinic</v>
          </cell>
          <cell r="AZ664" t="str">
            <v>RCVEsesYe2Z</v>
          </cell>
        </row>
        <row r="665">
          <cell r="AY665" t="str">
            <v>Maranatha Clinic Ugba</v>
          </cell>
          <cell r="AZ665" t="str">
            <v>mmlEZKqZ9Ag</v>
          </cell>
        </row>
        <row r="666">
          <cell r="AY666" t="str">
            <v>Mbaalom Primary Health Centre</v>
          </cell>
          <cell r="AZ666" t="str">
            <v>gKQPwJLWiih</v>
          </cell>
        </row>
        <row r="667">
          <cell r="AY667" t="str">
            <v>Mbakighir Primary Health Centre</v>
          </cell>
          <cell r="AZ667" t="str">
            <v>qRBYxXT5oNy</v>
          </cell>
        </row>
        <row r="668">
          <cell r="AY668" t="str">
            <v>Mchia Local Government Health Center</v>
          </cell>
          <cell r="AZ668" t="str">
            <v>TOL2FI5yOWq</v>
          </cell>
        </row>
        <row r="669">
          <cell r="AY669" t="str">
            <v>Meeeme Primary Health Centre</v>
          </cell>
          <cell r="AZ669" t="str">
            <v>GtLsyPEOY3j</v>
          </cell>
        </row>
        <row r="670">
          <cell r="AY670" t="str">
            <v>Odidi Clinic</v>
          </cell>
          <cell r="AZ670" t="str">
            <v>QisBl6A7KWv</v>
          </cell>
        </row>
        <row r="671">
          <cell r="AY671" t="str">
            <v>Tordoo Clinic</v>
          </cell>
          <cell r="AZ671" t="str">
            <v>wPBzr3bpuFY</v>
          </cell>
        </row>
        <row r="672">
          <cell r="AY672" t="str">
            <v>Ugba General Hospital</v>
          </cell>
          <cell r="AZ672" t="str">
            <v>bTwuESPkfSO</v>
          </cell>
        </row>
        <row r="673">
          <cell r="AY673" t="str">
            <v>Uzer Local Government Health Center</v>
          </cell>
          <cell r="AZ673" t="str">
            <v>ejgzakpM81n</v>
          </cell>
        </row>
        <row r="674">
          <cell r="AY674" t="str">
            <v>Wende Primary Health Center</v>
          </cell>
          <cell r="AZ674" t="str">
            <v>MYMZKfW4a4F</v>
          </cell>
        </row>
        <row r="675">
          <cell r="AY675" t="str">
            <v>Zamzam Primary Health Center</v>
          </cell>
          <cell r="AZ675" t="str">
            <v>IxCvwERm4RC</v>
          </cell>
        </row>
        <row r="676">
          <cell r="AY676" t="str">
            <v>Adaa Ukusu Primary Health Center</v>
          </cell>
          <cell r="AZ676" t="str">
            <v>Edu0gO2Pn5R</v>
          </cell>
        </row>
        <row r="677">
          <cell r="AY677" t="str">
            <v>Atighir Local Government Health Center</v>
          </cell>
          <cell r="AZ677" t="str">
            <v>UPvsRuG3lnz</v>
          </cell>
        </row>
        <row r="678">
          <cell r="AY678" t="str">
            <v>Awenebo Primary Health Center</v>
          </cell>
          <cell r="AZ678" t="str">
            <v>QDRtn4ErqLP</v>
          </cell>
        </row>
        <row r="679">
          <cell r="AY679" t="str">
            <v>Jor Maternal and Child Health Clinic</v>
          </cell>
          <cell r="AZ679" t="str">
            <v>SSj1HfTYnTs</v>
          </cell>
        </row>
        <row r="680">
          <cell r="AY680" t="str">
            <v>Onmba Aondo Comprehensive Health Center</v>
          </cell>
          <cell r="AZ680" t="str">
            <v>Ct8Iraz4Wwz</v>
          </cell>
        </row>
        <row r="681">
          <cell r="AY681" t="str">
            <v>Uchi Primary Health Center</v>
          </cell>
          <cell r="AZ681" t="str">
            <v>Wj6CKL5YwCL</v>
          </cell>
        </row>
        <row r="682">
          <cell r="AY682" t="str">
            <v>Adum West Primary Health Center</v>
          </cell>
          <cell r="AZ682" t="str">
            <v>HS64YOKuFY7</v>
          </cell>
        </row>
        <row r="683">
          <cell r="AY683" t="str">
            <v>Ekpong Primary Health Center</v>
          </cell>
          <cell r="AZ683" t="str">
            <v>lnaA8R6IVD1</v>
          </cell>
        </row>
        <row r="684">
          <cell r="AY684" t="str">
            <v>Itakpa Primary Health Care Center Clinic</v>
          </cell>
          <cell r="AZ684" t="str">
            <v>oTcXqQjjNzT</v>
          </cell>
        </row>
        <row r="685">
          <cell r="AY685" t="str">
            <v>Ojenya Primary Health Center</v>
          </cell>
          <cell r="AZ685" t="str">
            <v>Ku18aPUvKXU</v>
          </cell>
        </row>
        <row r="686">
          <cell r="AY686" t="str">
            <v>Okileme Primary Health Center</v>
          </cell>
          <cell r="AZ686" t="str">
            <v>uSeJS22p2r2</v>
          </cell>
        </row>
        <row r="687">
          <cell r="AY687" t="str">
            <v>Obu-Otukpa Primary Health Center</v>
          </cell>
          <cell r="AZ687" t="str">
            <v>KA8T2JoKOo4</v>
          </cell>
        </row>
        <row r="688">
          <cell r="AY688" t="str">
            <v>Omutele Primary Health Center</v>
          </cell>
          <cell r="AZ688" t="str">
            <v>lRYNS2wfuhr</v>
          </cell>
        </row>
        <row r="689">
          <cell r="AY689" t="str">
            <v>Onyangede Primary Health Center</v>
          </cell>
          <cell r="AZ689" t="str">
            <v>odUEWUJrxFJ</v>
          </cell>
        </row>
        <row r="690">
          <cell r="AY690" t="str">
            <v>Okopga General Hospital</v>
          </cell>
          <cell r="AZ690" t="str">
            <v>WqanRoYZhre</v>
          </cell>
        </row>
        <row r="691">
          <cell r="AY691" t="str">
            <v>Ugbokolo Comprehensive Health Center</v>
          </cell>
          <cell r="AZ691" t="str">
            <v>NEntA3EhuNV</v>
          </cell>
        </row>
        <row r="692">
          <cell r="AY692" t="str">
            <v>Akpegede Primary Health Center</v>
          </cell>
          <cell r="AZ692" t="str">
            <v>PcOkY82BR8s</v>
          </cell>
        </row>
        <row r="693">
          <cell r="AY693" t="str">
            <v>Eyokpa Primary Health Center</v>
          </cell>
          <cell r="AZ693" t="str">
            <v>s3bJiXQU0sG</v>
          </cell>
        </row>
        <row r="694">
          <cell r="AY694" t="str">
            <v>Maranatha Hospital - Otukpo</v>
          </cell>
          <cell r="AZ694" t="str">
            <v>IxpCotD8DPx</v>
          </cell>
        </row>
        <row r="695">
          <cell r="AY695" t="str">
            <v>Otobi Akpa Primary Health Center</v>
          </cell>
          <cell r="AZ695" t="str">
            <v>ykd4IuUGt3v</v>
          </cell>
        </row>
        <row r="696">
          <cell r="AY696" t="str">
            <v>Otukpo-Icho Primary Health Center</v>
          </cell>
          <cell r="AZ696" t="str">
            <v>gOVPork6fJY</v>
          </cell>
        </row>
        <row r="697">
          <cell r="AY697" t="str">
            <v>Oturkpo General Hospital</v>
          </cell>
          <cell r="AZ697" t="str">
            <v>sjKFIaqLXzI</v>
          </cell>
        </row>
        <row r="698">
          <cell r="AY698" t="str">
            <v>St. Theresa Hospital - Otukpo</v>
          </cell>
          <cell r="AZ698" t="str">
            <v>Anw44QfDgdC</v>
          </cell>
        </row>
        <row r="699">
          <cell r="AY699" t="str">
            <v>St. Veronica Clinic and Maternity - Oturkpo</v>
          </cell>
          <cell r="AZ699" t="str">
            <v>POuRUbKpyDl</v>
          </cell>
        </row>
        <row r="700">
          <cell r="AY700" t="str">
            <v>Aboho Primary Health Centre</v>
          </cell>
          <cell r="AZ700" t="str">
            <v>PyyoRwjaZ6Z</v>
          </cell>
        </row>
        <row r="701">
          <cell r="AY701" t="str">
            <v>Akoodo Primary Health Centre</v>
          </cell>
          <cell r="AZ701" t="str">
            <v>iBoiNFcGWNu</v>
          </cell>
        </row>
        <row r="702">
          <cell r="AY702" t="str">
            <v>Akpa Primary Health Centre</v>
          </cell>
          <cell r="AZ702" t="str">
            <v>nEGhloNqExo</v>
          </cell>
        </row>
        <row r="703">
          <cell r="AY703" t="str">
            <v>Aso Comprehensive Health Center</v>
          </cell>
          <cell r="AZ703" t="str">
            <v>kexwjLUlsZy</v>
          </cell>
        </row>
        <row r="704">
          <cell r="AY704" t="str">
            <v>Asukunya Primary Health Center</v>
          </cell>
          <cell r="AZ704" t="str">
            <v>InmLlQBslD6</v>
          </cell>
        </row>
        <row r="705">
          <cell r="AY705" t="str">
            <v>Azungur Primary Health Centre</v>
          </cell>
          <cell r="AZ705" t="str">
            <v>WD93HklJ2QC</v>
          </cell>
        </row>
        <row r="706">
          <cell r="AY706" t="str">
            <v>Gwarche Primary Health Centre</v>
          </cell>
          <cell r="AZ706" t="str">
            <v>uPRX8ftEmL5</v>
          </cell>
        </row>
        <row r="707">
          <cell r="AY707" t="str">
            <v>Jota Clinic</v>
          </cell>
          <cell r="AZ707" t="str">
            <v>LMZRrPsIaQH</v>
          </cell>
        </row>
        <row r="708">
          <cell r="AY708" t="str">
            <v>Kpe-Ambila Primary Health Centre</v>
          </cell>
          <cell r="AZ708" t="str">
            <v>G5eD8nBMRPO</v>
          </cell>
        </row>
        <row r="709">
          <cell r="AY709" t="str">
            <v>Nongu u Kristu ke Sudan hen Tiv (NKST) Clinic - Wannune</v>
          </cell>
          <cell r="AZ709" t="str">
            <v>aUsI0GxqwfK</v>
          </cell>
        </row>
        <row r="710">
          <cell r="AY710" t="str">
            <v>Salem Primary Health Centre</v>
          </cell>
          <cell r="AZ710" t="str">
            <v>p5jlZi85pLh</v>
          </cell>
        </row>
        <row r="711">
          <cell r="AY711" t="str">
            <v>St. Christopher Health Clinic - Wannune</v>
          </cell>
          <cell r="AZ711" t="str">
            <v>zJseTdMM6Ph</v>
          </cell>
        </row>
        <row r="712">
          <cell r="AY712" t="str">
            <v>St. Michaels Clinic</v>
          </cell>
          <cell r="AZ712" t="str">
            <v>SNb8IS5SukA</v>
          </cell>
        </row>
        <row r="713">
          <cell r="AY713" t="str">
            <v>Subbesa Clinic</v>
          </cell>
          <cell r="AZ713" t="str">
            <v>y5YbCaq6VFR</v>
          </cell>
        </row>
        <row r="714">
          <cell r="AY714" t="str">
            <v>Tiortyu Local Government Health Center</v>
          </cell>
          <cell r="AZ714" t="str">
            <v>nV2DKeGv8AQ</v>
          </cell>
        </row>
        <row r="715">
          <cell r="AY715" t="str">
            <v>Township Clinic - Wannune</v>
          </cell>
          <cell r="AZ715" t="str">
            <v>RlGe0zMvrra</v>
          </cell>
        </row>
        <row r="716">
          <cell r="AY716" t="str">
            <v>Tse-Akiishi Primary Health Center</v>
          </cell>
          <cell r="AZ716" t="str">
            <v>jUXd98nF6tO</v>
          </cell>
        </row>
        <row r="717">
          <cell r="AY717" t="str">
            <v>Tse-Tiah Primary Health Centre</v>
          </cell>
          <cell r="AZ717" t="str">
            <v>ZTPVFq6u1nN</v>
          </cell>
        </row>
        <row r="718">
          <cell r="AY718" t="str">
            <v>Wannune General Hospital</v>
          </cell>
          <cell r="AZ718" t="str">
            <v>tCLZNcfcMy3</v>
          </cell>
        </row>
        <row r="719">
          <cell r="AY719" t="str">
            <v>Wuatsa Family Support Program Clinic</v>
          </cell>
          <cell r="AZ719" t="str">
            <v>f2gdbSL4kqK</v>
          </cell>
        </row>
        <row r="720">
          <cell r="AY720" t="str">
            <v>Alabar Comprehensive Health Center</v>
          </cell>
          <cell r="AZ720" t="str">
            <v>xrktdSSHsk8</v>
          </cell>
        </row>
        <row r="721">
          <cell r="AY721" t="str">
            <v>Asambe Primary Health Center</v>
          </cell>
          <cell r="AZ721" t="str">
            <v>AptnTvyenuo</v>
          </cell>
        </row>
        <row r="722">
          <cell r="AY722" t="str">
            <v>Aterayange Comprehensive Health Center</v>
          </cell>
          <cell r="AZ722" t="str">
            <v>yoiyriXtW1G</v>
          </cell>
        </row>
        <row r="723">
          <cell r="AY723" t="str">
            <v>Ayati Primary Health Center</v>
          </cell>
          <cell r="AZ723" t="str">
            <v>Oexe9zs1Ehb</v>
          </cell>
        </row>
        <row r="724">
          <cell r="AY724" t="str">
            <v>Chito Local Government Health Center</v>
          </cell>
          <cell r="AZ724" t="str">
            <v>xHCRTxh1UoC</v>
          </cell>
        </row>
        <row r="725">
          <cell r="AY725" t="str">
            <v>Iorna Clinic</v>
          </cell>
          <cell r="AZ725" t="str">
            <v>vdABjhoRp53</v>
          </cell>
        </row>
        <row r="726">
          <cell r="AY726" t="str">
            <v>Kafa Clinic</v>
          </cell>
          <cell r="AZ726" t="str">
            <v>Ikw1ubU63ji</v>
          </cell>
        </row>
        <row r="727">
          <cell r="AY727" t="str">
            <v>King of Kings Clinic and Maternity</v>
          </cell>
          <cell r="AZ727" t="str">
            <v>r0E0bUsIjrC</v>
          </cell>
        </row>
        <row r="728">
          <cell r="AY728" t="str">
            <v>Melabu Comprehensive Health Center</v>
          </cell>
          <cell r="AZ728" t="str">
            <v>XP2njsDoK3u</v>
          </cell>
        </row>
        <row r="729">
          <cell r="AY729" t="str">
            <v>Salvation Hospital</v>
          </cell>
          <cell r="AZ729" t="str">
            <v>kOmUbf3xx0o</v>
          </cell>
        </row>
        <row r="730">
          <cell r="AY730" t="str">
            <v>Sankera Family Support Program Clinic</v>
          </cell>
          <cell r="AZ730" t="str">
            <v>EGG0mUGRKdC</v>
          </cell>
        </row>
        <row r="731">
          <cell r="AY731" t="str">
            <v>Sankera General Hospital</v>
          </cell>
          <cell r="AZ731" t="str">
            <v>qk2SW3ifeyo</v>
          </cell>
        </row>
        <row r="732">
          <cell r="AY732" t="str">
            <v>St. Mary Primary Health Center - Chito</v>
          </cell>
          <cell r="AZ732" t="str">
            <v>ROzMKxCUG62</v>
          </cell>
        </row>
        <row r="733">
          <cell r="AY733" t="str">
            <v>Tornajime Model Primary Health Center</v>
          </cell>
          <cell r="AZ733" t="str">
            <v>bNXkry2HvEv</v>
          </cell>
        </row>
        <row r="734">
          <cell r="AY734" t="str">
            <v>Vaase Local Government Health Center</v>
          </cell>
          <cell r="AZ734" t="str">
            <v>PYkGrLe6kRy</v>
          </cell>
        </row>
        <row r="735">
          <cell r="AY735" t="str">
            <v>Woma Clinic and Maternity</v>
          </cell>
          <cell r="AZ735" t="str">
            <v>j2rgCN38K5P</v>
          </cell>
        </row>
        <row r="736">
          <cell r="AY736" t="str">
            <v>Achough Primary Health Center</v>
          </cell>
          <cell r="AZ736" t="str">
            <v>JWrYkPsMtR3</v>
          </cell>
        </row>
        <row r="737">
          <cell r="AY737" t="str">
            <v>Adyorou Primary Health Center</v>
          </cell>
          <cell r="AZ737" t="str">
            <v>EAzxw7913s3</v>
          </cell>
        </row>
        <row r="738">
          <cell r="AY738" t="str">
            <v>Anongu Primary Health Center</v>
          </cell>
          <cell r="AZ738" t="str">
            <v>W0EYoKS92VC</v>
          </cell>
        </row>
        <row r="739">
          <cell r="AY739" t="str">
            <v>Gbabgongon Primary Health Center</v>
          </cell>
          <cell r="AZ739" t="str">
            <v>GtKJyoYuiDX</v>
          </cell>
        </row>
        <row r="740">
          <cell r="AY740" t="str">
            <v>Gbem Primary Health Center</v>
          </cell>
          <cell r="AZ740" t="str">
            <v>btDbYq12rAW</v>
          </cell>
        </row>
        <row r="741">
          <cell r="AY741" t="str">
            <v>Ihugh Primary Health Center</v>
          </cell>
          <cell r="AZ741" t="str">
            <v>oKaMsSZ4pzp</v>
          </cell>
        </row>
        <row r="742">
          <cell r="AY742" t="str">
            <v>Kishi Primary Health Center</v>
          </cell>
          <cell r="AZ742" t="str">
            <v>i7iD5DwvlZM</v>
          </cell>
        </row>
        <row r="743">
          <cell r="AY743" t="str">
            <v>Sev-Av Foundation - Vandeikya</v>
          </cell>
          <cell r="AZ743" t="str">
            <v>iU5WiOjaPBb</v>
          </cell>
        </row>
        <row r="744">
          <cell r="AY744" t="str">
            <v>Tsar Model Primary Health Center</v>
          </cell>
          <cell r="AZ744" t="str">
            <v>bPKw3iYUKCh</v>
          </cell>
        </row>
        <row r="745">
          <cell r="AY745" t="str">
            <v>Tyam Comprehensive Health Center</v>
          </cell>
          <cell r="AZ745" t="str">
            <v>WCHeWC7Nxsi</v>
          </cell>
        </row>
        <row r="746">
          <cell r="AY746" t="str">
            <v>Tyeminongu Local Government Health Center</v>
          </cell>
          <cell r="AZ746" t="str">
            <v>qJAETCelgyS</v>
          </cell>
        </row>
        <row r="747">
          <cell r="AY747" t="str">
            <v>Ukyaagu Clinic and Maternity</v>
          </cell>
          <cell r="AZ747" t="str">
            <v>ceWT53eKvUg</v>
          </cell>
        </row>
        <row r="748">
          <cell r="AY748" t="str">
            <v>Vandeikya General Hospital</v>
          </cell>
          <cell r="AZ748" t="str">
            <v>fCwe9dV4kjP</v>
          </cell>
        </row>
        <row r="749">
          <cell r="AY749" t="str">
            <v>Vandeikya Maternal and Child Health Clinic</v>
          </cell>
          <cell r="AZ749" t="str">
            <v>ooGtz2a99Oc</v>
          </cell>
        </row>
        <row r="750">
          <cell r="AY750" t="str">
            <v>Vandeikya Primary Health Center</v>
          </cell>
          <cell r="AZ750" t="str">
            <v>mtRcWAFc2BL</v>
          </cell>
        </row>
        <row r="751">
          <cell r="AY751" t="str">
            <v>Bam Bam Cottage Hospital</v>
          </cell>
          <cell r="AZ751" t="str">
            <v>yAtYirMpXuz</v>
          </cell>
        </row>
        <row r="752">
          <cell r="AY752" t="str">
            <v>Bam Bam Primary Health Center</v>
          </cell>
          <cell r="AZ752" t="str">
            <v>S1HZhbEmqUc</v>
          </cell>
        </row>
        <row r="753">
          <cell r="AY753" t="str">
            <v>Cham Primary Health Center</v>
          </cell>
          <cell r="AZ753" t="str">
            <v>tIEFDNyv2IV</v>
          </cell>
        </row>
        <row r="754">
          <cell r="AY754" t="str">
            <v>Gelengu Maternal and Child Health Clinic</v>
          </cell>
          <cell r="AZ754" t="str">
            <v>l02u6Bzmrza</v>
          </cell>
        </row>
        <row r="755">
          <cell r="AY755" t="str">
            <v>Ayaba Primary Health Center</v>
          </cell>
          <cell r="AZ755" t="str">
            <v>N5BdnybiHwr</v>
          </cell>
        </row>
        <row r="756">
          <cell r="AY756" t="str">
            <v>Billiri General Hospital</v>
          </cell>
          <cell r="AZ756" t="str">
            <v>ItQqTK4vrzT</v>
          </cell>
        </row>
        <row r="757">
          <cell r="AY757" t="str">
            <v>Kekkel Maternal and Child Health Clinic</v>
          </cell>
          <cell r="AZ757" t="str">
            <v>kqQUoQi76st</v>
          </cell>
        </row>
        <row r="758">
          <cell r="AY758" t="str">
            <v>Lafiya Clinic</v>
          </cell>
          <cell r="AZ758" t="str">
            <v>LTuv4a79XvG</v>
          </cell>
        </row>
        <row r="759">
          <cell r="AY759" t="str">
            <v>Dukku Comprehensive Health Center</v>
          </cell>
          <cell r="AZ759" t="str">
            <v>VvdGo3jc0D0</v>
          </cell>
        </row>
        <row r="760">
          <cell r="AY760" t="str">
            <v>Dukku General Hospital</v>
          </cell>
          <cell r="AZ760" t="str">
            <v>X8smKtvqUob</v>
          </cell>
        </row>
        <row r="761">
          <cell r="AY761" t="str">
            <v>Ashaka Cement Clinic</v>
          </cell>
          <cell r="AZ761" t="str">
            <v>XNy0j3RUrI6</v>
          </cell>
        </row>
        <row r="762">
          <cell r="AY762" t="str">
            <v>Bajoga General Hospital</v>
          </cell>
          <cell r="AZ762" t="str">
            <v>t0ulFJivm9P</v>
          </cell>
        </row>
        <row r="763">
          <cell r="AY763" t="str">
            <v>Jalingo Primary Health Center</v>
          </cell>
          <cell r="AZ763" t="str">
            <v>I9vA78jcthr</v>
          </cell>
        </row>
        <row r="764">
          <cell r="AY764" t="str">
            <v>301 Artillery Division Medical Reception Station</v>
          </cell>
          <cell r="AZ764" t="str">
            <v>MyXpX9ajtit</v>
          </cell>
        </row>
        <row r="765">
          <cell r="AY765" t="str">
            <v>Bolari Maternal and Child Health Clinic</v>
          </cell>
          <cell r="AZ765" t="str">
            <v>ve4UhhWPdtv</v>
          </cell>
        </row>
        <row r="766">
          <cell r="AY766" t="str">
            <v>Federal Medical Center - Gombe</v>
          </cell>
          <cell r="AZ766" t="str">
            <v>UeAxwJmzoPH</v>
          </cell>
        </row>
        <row r="767">
          <cell r="AY767" t="str">
            <v>Gabukka Maternal and Child Health Clinic</v>
          </cell>
          <cell r="AZ767" t="str">
            <v>xOjkh238G8g</v>
          </cell>
        </row>
        <row r="768">
          <cell r="AY768" t="str">
            <v>Gombe State Specialist Hospital</v>
          </cell>
          <cell r="AZ768" t="str">
            <v>kQSAihTQQep</v>
          </cell>
        </row>
        <row r="769">
          <cell r="AY769" t="str">
            <v>Herwagana Maternal and Child Health Clinic</v>
          </cell>
          <cell r="AZ769" t="str">
            <v>TinjgNiJrB4</v>
          </cell>
        </row>
        <row r="770">
          <cell r="AY770" t="str">
            <v>Kasuwan Mata Health Clinic</v>
          </cell>
          <cell r="AZ770" t="str">
            <v>y6Kk5VUXOX7</v>
          </cell>
        </row>
        <row r="771">
          <cell r="AY771" t="str">
            <v>Kumbiya Kumbiya Primary Health Center</v>
          </cell>
          <cell r="AZ771" t="str">
            <v>jkw8uV3T206</v>
          </cell>
        </row>
        <row r="772">
          <cell r="AY772" t="str">
            <v>London Maidorawa Health Clinic</v>
          </cell>
          <cell r="AZ772" t="str">
            <v>oso9UXCPxTW</v>
          </cell>
        </row>
        <row r="773">
          <cell r="AY773" t="str">
            <v>Nasarawo Maternal and Child Health Clinic</v>
          </cell>
          <cell r="AZ773" t="str">
            <v>tRkbi8NqKzg</v>
          </cell>
        </row>
        <row r="774">
          <cell r="AY774" t="str">
            <v>Pantami Primary Health Center</v>
          </cell>
          <cell r="AZ774" t="str">
            <v>pU92ZUAY68L</v>
          </cell>
        </row>
        <row r="775">
          <cell r="AY775" t="str">
            <v>State Low Cost Family Support Programme Clinic Gombe</v>
          </cell>
          <cell r="AZ775" t="str">
            <v>zKnglkayqmW</v>
          </cell>
        </row>
        <row r="776">
          <cell r="AY776" t="str">
            <v>Sunnah Hospital</v>
          </cell>
          <cell r="AZ776" t="str">
            <v>TiAwIXFMkLy</v>
          </cell>
        </row>
        <row r="777">
          <cell r="AY777" t="str">
            <v>Town Maternity Gombe</v>
          </cell>
          <cell r="AZ777" t="str">
            <v>aGOQB2fZ1Bt</v>
          </cell>
        </row>
        <row r="778">
          <cell r="AY778" t="str">
            <v>Tudun Wada Primary Health Center</v>
          </cell>
          <cell r="AZ778" t="str">
            <v>dxf5N2oFePK</v>
          </cell>
        </row>
        <row r="779">
          <cell r="AY779" t="str">
            <v>Amdo Medical Clinic</v>
          </cell>
          <cell r="AZ779" t="str">
            <v>kjkBvkvr0Rj</v>
          </cell>
        </row>
        <row r="780">
          <cell r="AY780" t="str">
            <v>Kagarawal Comprehensive Health Center</v>
          </cell>
          <cell r="AZ780" t="str">
            <v>ZQOlLOUnCeZ</v>
          </cell>
        </row>
        <row r="781">
          <cell r="AY781" t="str">
            <v>Kaltungo General Hospital</v>
          </cell>
          <cell r="AZ781" t="str">
            <v>CnFTZ4Yu5A8</v>
          </cell>
        </row>
        <row r="782">
          <cell r="AY782" t="str">
            <v>Lafiya Maternal and Child Health Clinic</v>
          </cell>
          <cell r="AZ782" t="str">
            <v>IYh928VUqNg</v>
          </cell>
        </row>
        <row r="783">
          <cell r="AY783" t="str">
            <v>Lakidir Health Clinic</v>
          </cell>
          <cell r="AZ783" t="str">
            <v>muKOLeXeQ6R</v>
          </cell>
        </row>
        <row r="784">
          <cell r="AY784" t="str">
            <v>Poshereng Health Clinic</v>
          </cell>
          <cell r="AZ784" t="str">
            <v>Z4dx6b95DsA</v>
          </cell>
        </row>
        <row r="785">
          <cell r="AY785" t="str">
            <v>Sabon Layi Awak Maternal and Child Health Clinic</v>
          </cell>
          <cell r="AZ785" t="str">
            <v>xBeiof3iPyM</v>
          </cell>
        </row>
        <row r="786">
          <cell r="AY786" t="str">
            <v>Kwami Comprehensive Primary Health Center</v>
          </cell>
          <cell r="AZ786" t="str">
            <v>gt2YjWoSXCy</v>
          </cell>
        </row>
        <row r="787">
          <cell r="AY787" t="str">
            <v>Mallam Sidi Cottage Hospital</v>
          </cell>
          <cell r="AZ787" t="str">
            <v>qjAHaXsYrWi</v>
          </cell>
        </row>
        <row r="788">
          <cell r="AY788" t="str">
            <v>Bajoga</v>
          </cell>
          <cell r="AZ788" t="str">
            <v>lc3zUkNVPV1</v>
          </cell>
        </row>
        <row r="789">
          <cell r="AY789" t="str">
            <v>Filiya Primary Health Center</v>
          </cell>
          <cell r="AZ789" t="str">
            <v>vaP8U6qfGIa</v>
          </cell>
        </row>
        <row r="790">
          <cell r="AY790" t="str">
            <v>Pero Primary Health Center</v>
          </cell>
          <cell r="AZ790" t="str">
            <v>udBc8MM1Szr</v>
          </cell>
        </row>
        <row r="791">
          <cell r="AY791" t="str">
            <v>Kasuwa Magani Primary Health Center</v>
          </cell>
          <cell r="AZ791" t="str">
            <v>JWZaYKHTAvt</v>
          </cell>
        </row>
        <row r="792">
          <cell r="AY792" t="str">
            <v>Kujama Primary Health Center</v>
          </cell>
          <cell r="AZ792" t="str">
            <v>nwcnPbXH2SR</v>
          </cell>
        </row>
        <row r="793">
          <cell r="AY793" t="str">
            <v>Nasarawa Primary Health Center</v>
          </cell>
          <cell r="AZ793" t="str">
            <v>qq4e0kfaUvb</v>
          </cell>
        </row>
        <row r="794">
          <cell r="AY794" t="str">
            <v>Romi Primary Health Center</v>
          </cell>
          <cell r="AZ794" t="str">
            <v>FLqvfq0KBA4</v>
          </cell>
        </row>
        <row r="795">
          <cell r="AY795" t="str">
            <v>Sabo Tsaha Primary Health Center</v>
          </cell>
          <cell r="AZ795" t="str">
            <v>i6Rcojd7d9S</v>
          </cell>
        </row>
        <row r="796">
          <cell r="AY796" t="str">
            <v>Sabon Tasha General Hospital</v>
          </cell>
          <cell r="AZ796" t="str">
            <v>Os1iE6RNSnx</v>
          </cell>
        </row>
        <row r="797">
          <cell r="AY797" t="str">
            <v>Jaji Comprehensive Health Center</v>
          </cell>
          <cell r="AZ797" t="str">
            <v>P2CO8dS7XTK</v>
          </cell>
        </row>
        <row r="798">
          <cell r="AY798" t="str">
            <v>Bitaro Primary Health Center</v>
          </cell>
          <cell r="AZ798" t="str">
            <v>USC9pf5wbqf</v>
          </cell>
        </row>
        <row r="799">
          <cell r="AY799" t="str">
            <v>Child Welfare Clinic - Kwoi</v>
          </cell>
          <cell r="AZ799" t="str">
            <v>OCrU5mRDC9C</v>
          </cell>
        </row>
        <row r="800">
          <cell r="AY800" t="str">
            <v>Galadima Health Clinic</v>
          </cell>
          <cell r="AZ800" t="str">
            <v>lVJyNgG5zpp</v>
          </cell>
        </row>
        <row r="801">
          <cell r="AY801" t="str">
            <v>Kwoi General Hospital</v>
          </cell>
          <cell r="AZ801" t="str">
            <v>b54iXGWcmCB</v>
          </cell>
        </row>
        <row r="802">
          <cell r="AY802" t="str">
            <v>Makama Chori Health Center</v>
          </cell>
          <cell r="AZ802" t="str">
            <v>exfJ24Nth7L</v>
          </cell>
        </row>
        <row r="803">
          <cell r="AY803" t="str">
            <v>Fadan Kagoma Primary Health Center</v>
          </cell>
          <cell r="AZ803" t="str">
            <v>O8aso3CNkNl</v>
          </cell>
        </row>
        <row r="804">
          <cell r="AY804" t="str">
            <v>Gidan Waya Primary Health Center</v>
          </cell>
          <cell r="AZ804" t="str">
            <v>zDhjewQr48h</v>
          </cell>
        </row>
        <row r="805">
          <cell r="AY805" t="str">
            <v>Godogodo Primary Health Center</v>
          </cell>
          <cell r="AZ805" t="str">
            <v>gOO2jNM0enh</v>
          </cell>
        </row>
        <row r="806">
          <cell r="AY806" t="str">
            <v>Jagindi Tasha Health Clinic</v>
          </cell>
          <cell r="AZ806" t="str">
            <v>Md3GGdU4n1S</v>
          </cell>
        </row>
        <row r="807">
          <cell r="AY807" t="str">
            <v>Kafanchan Family Health Unit</v>
          </cell>
          <cell r="AZ807" t="str">
            <v>yR3KYnURaLT</v>
          </cell>
        </row>
        <row r="808">
          <cell r="AY808" t="str">
            <v>Kafanchan General Hospital</v>
          </cell>
          <cell r="AZ808" t="str">
            <v>GPe3nnQbHA6</v>
          </cell>
        </row>
        <row r="809">
          <cell r="AY809" t="str">
            <v>Mailafiya Health Clinic</v>
          </cell>
          <cell r="AZ809" t="str">
            <v>uYOS4lYipBj</v>
          </cell>
        </row>
        <row r="810">
          <cell r="AY810" t="str">
            <v>New Era Maternity and Hospital</v>
          </cell>
          <cell r="AZ810" t="str">
            <v>tumi2lmViL2</v>
          </cell>
        </row>
        <row r="811">
          <cell r="AY811" t="str">
            <v>Paki I Health Clinic - Kagoma</v>
          </cell>
          <cell r="AZ811" t="str">
            <v>bgbttW5feAV</v>
          </cell>
        </row>
        <row r="812">
          <cell r="AY812" t="str">
            <v>Ungwan Fari Primary Health Center</v>
          </cell>
          <cell r="AZ812" t="str">
            <v>j0abrnQZSuL</v>
          </cell>
        </row>
        <row r="813">
          <cell r="AY813" t="str">
            <v>Crossing Primary Health Center</v>
          </cell>
          <cell r="AZ813" t="str">
            <v>u2YY3OW0w6X</v>
          </cell>
        </row>
        <row r="814">
          <cell r="AY814" t="str">
            <v>Kachia General Hospital</v>
          </cell>
          <cell r="AZ814" t="str">
            <v>bSDq2EfthjS</v>
          </cell>
        </row>
        <row r="815">
          <cell r="AY815" t="str">
            <v>Rijana Health Center</v>
          </cell>
          <cell r="AZ815" t="str">
            <v>J1oipuLuwaA</v>
          </cell>
        </row>
        <row r="816">
          <cell r="AY816" t="str">
            <v>Al-Munnir Hospital</v>
          </cell>
          <cell r="AZ816" t="str">
            <v>vpRIpHsK1EG</v>
          </cell>
        </row>
        <row r="817">
          <cell r="AY817" t="str">
            <v>Barau Dikko Specialist Hospital</v>
          </cell>
          <cell r="AZ817" t="str">
            <v>aQTk0pRk6eY</v>
          </cell>
        </row>
        <row r="818">
          <cell r="AY818" t="str">
            <v>Federation of Muslim Women Association of Nigeria (FOMWAN) Hospital</v>
          </cell>
          <cell r="AZ818" t="str">
            <v>dwAvWQFlxx2</v>
          </cell>
        </row>
        <row r="819">
          <cell r="AY819" t="str">
            <v>Kawo General Hospital</v>
          </cell>
          <cell r="AZ819" t="str">
            <v>ZD8SEdhkeTQ</v>
          </cell>
        </row>
        <row r="820">
          <cell r="AY820" t="str">
            <v>Rafin Guza Primary Health Center</v>
          </cell>
          <cell r="AZ820" t="str">
            <v>ZKGDUXMpiQh</v>
          </cell>
        </row>
        <row r="821">
          <cell r="AY821" t="str">
            <v>Tukur Malali Primary Health Center</v>
          </cell>
          <cell r="AZ821" t="str">
            <v>Gh18S2BxHKn</v>
          </cell>
        </row>
        <row r="822">
          <cell r="AY822" t="str">
            <v>Ungwan Rimi Primary Health Center</v>
          </cell>
          <cell r="AZ822" t="str">
            <v>TneCwxLrGSs</v>
          </cell>
        </row>
        <row r="823">
          <cell r="AY823" t="str">
            <v>Ungwan Shanu Primary Health Center</v>
          </cell>
          <cell r="AZ823" t="str">
            <v>hD3xRpPBnWf</v>
          </cell>
        </row>
        <row r="824">
          <cell r="AY824" t="str">
            <v>Barnawa Primary Health Center</v>
          </cell>
          <cell r="AZ824" t="str">
            <v>gZeeGIFJ9KY</v>
          </cell>
        </row>
        <row r="825">
          <cell r="AY825" t="str">
            <v>Biba Hospital</v>
          </cell>
          <cell r="AZ825" t="str">
            <v>ka5T5cXKFup</v>
          </cell>
        </row>
        <row r="826">
          <cell r="AY826" t="str">
            <v>Gwamna Awan General Hospital</v>
          </cell>
          <cell r="AZ826" t="str">
            <v>uq98eMvdS5R</v>
          </cell>
        </row>
        <row r="827">
          <cell r="AY827" t="str">
            <v>Kakuri 1 Primary Health Center</v>
          </cell>
          <cell r="AZ827" t="str">
            <v>OxxRG4OO0Ec</v>
          </cell>
        </row>
        <row r="828">
          <cell r="AY828" t="str">
            <v>Kakuri II Primary Health Center</v>
          </cell>
          <cell r="AZ828" t="str">
            <v>U862koFe8g5</v>
          </cell>
        </row>
        <row r="829">
          <cell r="AY829" t="str">
            <v>Kudenda Primary Health Center</v>
          </cell>
          <cell r="AZ829" t="str">
            <v>Xs1MosdNYO5</v>
          </cell>
        </row>
        <row r="830">
          <cell r="AY830" t="str">
            <v>Kurmi Mashi Primary Health Center</v>
          </cell>
          <cell r="AZ830" t="str">
            <v>oB3NepeAtXB</v>
          </cell>
        </row>
        <row r="831">
          <cell r="AY831" t="str">
            <v>Makera I Primary Health Center</v>
          </cell>
          <cell r="AZ831" t="str">
            <v>IzbxBJjD6IG</v>
          </cell>
        </row>
        <row r="832">
          <cell r="AY832" t="str">
            <v>Narayi Primary Health Center</v>
          </cell>
          <cell r="AZ832" t="str">
            <v>OF6w1FUfvSf</v>
          </cell>
        </row>
        <row r="833">
          <cell r="AY833" t="str">
            <v>Television Primary Health Center</v>
          </cell>
          <cell r="AZ833" t="str">
            <v>zVAiLsWRBQb</v>
          </cell>
        </row>
        <row r="834">
          <cell r="AY834" t="str">
            <v>Tudun Wada Family Health Unit</v>
          </cell>
          <cell r="AZ834" t="str">
            <v>BTfKBTk1iJ9</v>
          </cell>
        </row>
        <row r="835">
          <cell r="AY835" t="str">
            <v>Wilbasun Hospital</v>
          </cell>
          <cell r="AZ835" t="str">
            <v>D15V3TSkuVJ</v>
          </cell>
        </row>
        <row r="836">
          <cell r="AY836" t="str">
            <v>Yusuf Dantsoho Memorial Hospital</v>
          </cell>
          <cell r="AZ836" t="str">
            <v>pt20jaMEKHx</v>
          </cell>
        </row>
        <row r="837">
          <cell r="AY837" t="str">
            <v>Jere Primary Health Center</v>
          </cell>
          <cell r="AZ837" t="str">
            <v>k9ShWQ2CK5c</v>
          </cell>
        </row>
        <row r="838">
          <cell r="AY838" t="str">
            <v>Taffa Health Center</v>
          </cell>
          <cell r="AZ838" t="str">
            <v>uDPDgMxSdDU</v>
          </cell>
        </row>
        <row r="839">
          <cell r="AY839" t="str">
            <v>Mararaba Rido Primary Health Center</v>
          </cell>
          <cell r="AZ839" t="str">
            <v>Dg2qT9iJTaq</v>
          </cell>
        </row>
        <row r="840">
          <cell r="AY840" t="str">
            <v>Evangelical Church of West Africa (ECWA) Health Center - Kagoro</v>
          </cell>
          <cell r="AZ840" t="str">
            <v>Q08WuqBqOrs</v>
          </cell>
        </row>
        <row r="841">
          <cell r="AY841" t="str">
            <v>Garaje Primary Health Center</v>
          </cell>
          <cell r="AZ841" t="str">
            <v>sJcKAjJ1Qez</v>
          </cell>
        </row>
        <row r="842">
          <cell r="AY842" t="str">
            <v>Kaura Primary Health Center</v>
          </cell>
          <cell r="AZ842" t="str">
            <v>aESQbWBGkxc</v>
          </cell>
        </row>
        <row r="843">
          <cell r="AY843" t="str">
            <v>Laruth Health Facility</v>
          </cell>
          <cell r="AZ843" t="str">
            <v>VSapwRuy9o3</v>
          </cell>
        </row>
        <row r="844">
          <cell r="AY844" t="str">
            <v>Turaki Buga Memorial Hospital</v>
          </cell>
          <cell r="AZ844" t="str">
            <v>VYk8FuLG2G1</v>
          </cell>
        </row>
        <row r="845">
          <cell r="AY845" t="str">
            <v>Pambegua General Hospital</v>
          </cell>
          <cell r="AZ845" t="str">
            <v>PoIQpdF8RTG</v>
          </cell>
        </row>
        <row r="846">
          <cell r="AY846" t="str">
            <v>Aboro Primary Health Center</v>
          </cell>
          <cell r="AZ846" t="str">
            <v>ylV11DH0VUE</v>
          </cell>
        </row>
        <row r="847">
          <cell r="AY847" t="str">
            <v>Akwankwa Health Center</v>
          </cell>
          <cell r="AZ847" t="str">
            <v>BaBLiZhRPoS</v>
          </cell>
        </row>
        <row r="848">
          <cell r="AY848" t="str">
            <v>Gwantu General Hospital</v>
          </cell>
          <cell r="AZ848" t="str">
            <v>CXY35SPtbPf</v>
          </cell>
        </row>
        <row r="849">
          <cell r="AY849" t="str">
            <v>Gwantu Primary Health Center</v>
          </cell>
          <cell r="AZ849" t="str">
            <v>HwVtJkZK6mX</v>
          </cell>
        </row>
        <row r="850">
          <cell r="AY850" t="str">
            <v>Langa Health Center</v>
          </cell>
          <cell r="AZ850" t="str">
            <v>hHv6YuMBDin</v>
          </cell>
        </row>
        <row r="851">
          <cell r="AY851" t="str">
            <v>Mayir Primary Health Center</v>
          </cell>
          <cell r="AZ851" t="str">
            <v>iY9AWY5Juy5</v>
          </cell>
        </row>
        <row r="852">
          <cell r="AY852" t="str">
            <v>Nimbe Health Center</v>
          </cell>
          <cell r="AZ852" t="str">
            <v>tVjg7MfEpfY</v>
          </cell>
        </row>
        <row r="853">
          <cell r="AY853" t="str">
            <v>Wasa Primary Health Center</v>
          </cell>
          <cell r="AZ853" t="str">
            <v>U6TQt3XpAyS</v>
          </cell>
        </row>
        <row r="854">
          <cell r="AY854" t="str">
            <v>Soba Comprehensive Health Center</v>
          </cell>
          <cell r="AZ854" t="str">
            <v>ht9EJCuor0B</v>
          </cell>
        </row>
        <row r="855">
          <cell r="AY855" t="str">
            <v>Zango-Kataf General Hospital</v>
          </cell>
          <cell r="AZ855" t="str">
            <v>jHjDEUVD87x</v>
          </cell>
        </row>
        <row r="856">
          <cell r="AY856" t="str">
            <v>Gyelesu Primary Health Center</v>
          </cell>
          <cell r="AZ856" t="str">
            <v>R55qx0TWfCK</v>
          </cell>
        </row>
        <row r="857">
          <cell r="AY857" t="str">
            <v>Hajiya Gambo Sawaba Hospital</v>
          </cell>
          <cell r="AZ857" t="str">
            <v>V0IswqM1byH</v>
          </cell>
        </row>
        <row r="858">
          <cell r="AY858" t="str">
            <v>Tukur Tukur Primary Health Center</v>
          </cell>
          <cell r="AZ858" t="str">
            <v>o4cmDXLnMGz</v>
          </cell>
        </row>
        <row r="859">
          <cell r="AY859" t="str">
            <v>Aimoizza Clinic</v>
          </cell>
          <cell r="AZ859" t="str">
            <v>oyiQ8ltpF2c</v>
          </cell>
        </row>
        <row r="860">
          <cell r="AY860" t="str">
            <v>Oyinza Hospital - Inozomi</v>
          </cell>
          <cell r="AZ860" t="str">
            <v>UJHeUxC2dQK</v>
          </cell>
        </row>
        <row r="861">
          <cell r="AY861" t="str">
            <v>Ajaokuta Steel Medical Clinic</v>
          </cell>
          <cell r="AZ861" t="str">
            <v>CzwWiALrME8</v>
          </cell>
        </row>
        <row r="862">
          <cell r="AY862" t="str">
            <v>Acheka Medical Center - Ujielanyi</v>
          </cell>
          <cell r="AZ862" t="str">
            <v>gHx5gDYovCr</v>
          </cell>
        </row>
        <row r="863">
          <cell r="AY863" t="str">
            <v>Ankpa General Hospital</v>
          </cell>
          <cell r="AZ863" t="str">
            <v>mJgQrfBTx3f</v>
          </cell>
        </row>
        <row r="864">
          <cell r="AY864" t="str">
            <v>Bethel Hospital</v>
          </cell>
          <cell r="AZ864" t="str">
            <v>N2YrIzbDRkx</v>
          </cell>
        </row>
        <row r="865">
          <cell r="AY865" t="str">
            <v>Emere Primary Health Center</v>
          </cell>
          <cell r="AZ865" t="str">
            <v>wHuOS6cG6Sr</v>
          </cell>
        </row>
        <row r="866">
          <cell r="AY866" t="str">
            <v>Living Hope Hospital</v>
          </cell>
          <cell r="AZ866" t="str">
            <v>CFi2osDSAQt</v>
          </cell>
        </row>
        <row r="867">
          <cell r="AY867" t="str">
            <v>Madonna Hospital</v>
          </cell>
          <cell r="AZ867" t="str">
            <v>PYnrIREwfpU</v>
          </cell>
        </row>
        <row r="868">
          <cell r="AY868" t="str">
            <v>Mercy Clinic - Ankpa</v>
          </cell>
          <cell r="AZ868" t="str">
            <v>NvWgJ4g6plO</v>
          </cell>
        </row>
        <row r="869">
          <cell r="AY869" t="str">
            <v>Ayingba Comprehensive Health Center</v>
          </cell>
          <cell r="AZ869" t="str">
            <v>WwVbcxjtu79</v>
          </cell>
        </row>
        <row r="870">
          <cell r="AY870" t="str">
            <v>Blue House Hospital</v>
          </cell>
          <cell r="AZ870" t="str">
            <v>TguuBcW7SeK</v>
          </cell>
        </row>
        <row r="871">
          <cell r="AY871" t="str">
            <v>Dekina General Hospital</v>
          </cell>
          <cell r="AZ871" t="str">
            <v>p8ukk5eOdZA</v>
          </cell>
        </row>
        <row r="872">
          <cell r="AY872" t="str">
            <v>Kogi Diagnosis Referral Hospital</v>
          </cell>
          <cell r="AZ872" t="str">
            <v>Qiq81djsOyv</v>
          </cell>
        </row>
        <row r="873">
          <cell r="AY873" t="str">
            <v>Unale Primary Health Center</v>
          </cell>
          <cell r="AZ873" t="str">
            <v>zKPNFvGZBTs</v>
          </cell>
        </row>
        <row r="874">
          <cell r="AY874" t="str">
            <v>Idah General Hospital</v>
          </cell>
          <cell r="AZ874" t="str">
            <v>PawBgipJAZe</v>
          </cell>
        </row>
        <row r="875">
          <cell r="AY875" t="str">
            <v>Ajaka Primary Health Center</v>
          </cell>
          <cell r="AZ875" t="str">
            <v>g6NVwIeNfgD</v>
          </cell>
        </row>
        <row r="876">
          <cell r="AY876" t="str">
            <v>Gegu Beki Primary Health Center</v>
          </cell>
          <cell r="AZ876" t="str">
            <v>RWUuGmSxMC8</v>
          </cell>
        </row>
        <row r="877">
          <cell r="AY877" t="str">
            <v>Koton Karfe Family Support Programme Clinic</v>
          </cell>
          <cell r="AZ877" t="str">
            <v>sOqTjWgBF0L</v>
          </cell>
        </row>
        <row r="878">
          <cell r="AY878" t="str">
            <v>Okpareke Model Primary Health Center</v>
          </cell>
          <cell r="AZ878" t="str">
            <v>QKy6502l92X</v>
          </cell>
        </row>
        <row r="879">
          <cell r="AY879" t="str">
            <v>Kogi State Specialist Hospital</v>
          </cell>
          <cell r="AZ879" t="str">
            <v>Aq2CeR3h187</v>
          </cell>
        </row>
        <row r="880">
          <cell r="AY880" t="str">
            <v>Lokoja Federal Medical Center</v>
          </cell>
          <cell r="AZ880" t="str">
            <v>KsNbhiCMPvu</v>
          </cell>
        </row>
        <row r="881">
          <cell r="AY881" t="str">
            <v>Holley Memorial - Ochadamu</v>
          </cell>
          <cell r="AZ881" t="str">
            <v>aMZiWfMiJd9</v>
          </cell>
        </row>
        <row r="882">
          <cell r="AY882" t="str">
            <v>Umomi Primary Health Center</v>
          </cell>
          <cell r="AZ882" t="str">
            <v>YCVPwCuwdto</v>
          </cell>
        </row>
        <row r="883">
          <cell r="AY883" t="str">
            <v>Ihima Comprehensive Health Center</v>
          </cell>
          <cell r="AZ883" t="str">
            <v>Ddju5yOEYuE</v>
          </cell>
        </row>
        <row r="884">
          <cell r="AY884" t="str">
            <v>Obangede General Hospital</v>
          </cell>
          <cell r="AZ884" t="str">
            <v>YxjPfHv2bdg</v>
          </cell>
        </row>
        <row r="885">
          <cell r="AY885" t="str">
            <v>Calvary Maternity</v>
          </cell>
          <cell r="AZ885" t="str">
            <v>s6Aa4dmC9UU</v>
          </cell>
        </row>
        <row r="886">
          <cell r="AY886" t="str">
            <v>Modanba Clinic</v>
          </cell>
          <cell r="AZ886" t="str">
            <v>FikoZzzo2Os</v>
          </cell>
        </row>
        <row r="887">
          <cell r="AY887" t="str">
            <v>Okene General Hospital</v>
          </cell>
          <cell r="AZ887" t="str">
            <v>sKytXCdZsh5</v>
          </cell>
        </row>
        <row r="888">
          <cell r="AY888" t="str">
            <v>Etutekpe Primary Health Center</v>
          </cell>
          <cell r="AZ888" t="str">
            <v>egehzxYAhdC</v>
          </cell>
        </row>
        <row r="889">
          <cell r="AY889" t="str">
            <v>Ofante Primary Health Center</v>
          </cell>
          <cell r="AZ889" t="str">
            <v>HVfTTFlDSoL</v>
          </cell>
        </row>
        <row r="890">
          <cell r="AY890" t="str">
            <v>Okpo General Hospital</v>
          </cell>
          <cell r="AZ890" t="str">
            <v>h9drujCcifQ</v>
          </cell>
        </row>
        <row r="891">
          <cell r="AY891" t="str">
            <v>Abejukolo General Hospital</v>
          </cell>
          <cell r="AZ891" t="str">
            <v>PRHYgNR5CUO</v>
          </cell>
        </row>
        <row r="892">
          <cell r="AY892" t="str">
            <v>Abejukolo Primary Health Center</v>
          </cell>
          <cell r="AZ892" t="str">
            <v>SNFZcgRIGee</v>
          </cell>
        </row>
        <row r="893">
          <cell r="AY893" t="str">
            <v>Azunramura Health Center</v>
          </cell>
          <cell r="AZ893" t="str">
            <v>aF59FyzYbWA</v>
          </cell>
        </row>
        <row r="894">
          <cell r="AY894" t="str">
            <v>Amana Millennium Development Goal Health Center</v>
          </cell>
          <cell r="AZ894" t="str">
            <v>HxfTOfJ9f5B</v>
          </cell>
        </row>
        <row r="895">
          <cell r="AY895" t="str">
            <v>Onueke General Hospital</v>
          </cell>
          <cell r="AZ895" t="str">
            <v>wu7IcqeYFSB</v>
          </cell>
        </row>
        <row r="896">
          <cell r="AY896" t="str">
            <v>Stephens Medical Diagnostic Center</v>
          </cell>
          <cell r="AZ896" t="str">
            <v>gn4TauVu1px</v>
          </cell>
        </row>
        <row r="897">
          <cell r="AY897" t="str">
            <v>Effemgbabu Millennium Development Goal Health Center</v>
          </cell>
          <cell r="AZ897" t="str">
            <v>PeN51qAXotr</v>
          </cell>
        </row>
        <row r="898">
          <cell r="AY898" t="str">
            <v>Odomowo Basic Health Center</v>
          </cell>
          <cell r="AZ898" t="str">
            <v>nPzXIA4VZs3</v>
          </cell>
        </row>
        <row r="899">
          <cell r="AY899" t="str">
            <v>Uzochi Clinic and Maternity</v>
          </cell>
          <cell r="AZ899" t="str">
            <v>jwRGI4W2ZgL</v>
          </cell>
        </row>
        <row r="900">
          <cell r="AY900" t="str">
            <v>Ntezi Health Center</v>
          </cell>
          <cell r="AZ900" t="str">
            <v>IAQVcEN9b3H</v>
          </cell>
        </row>
        <row r="901">
          <cell r="AY901" t="str">
            <v>Onunweke Health Center</v>
          </cell>
          <cell r="AZ901" t="str">
            <v>I1qU6ZP7J95</v>
          </cell>
        </row>
        <row r="902">
          <cell r="AY902" t="str">
            <v>Ameke Oduma Health Center</v>
          </cell>
          <cell r="AZ902" t="str">
            <v>UF9COGQTY5X</v>
          </cell>
        </row>
        <row r="903">
          <cell r="AY903" t="str">
            <v>Emudo Uheze Health Center</v>
          </cell>
          <cell r="AZ903" t="str">
            <v>y13W7AFemxz</v>
          </cell>
        </row>
        <row r="904">
          <cell r="AY904" t="str">
            <v>Mpu Primary Health Center</v>
          </cell>
          <cell r="AZ904" t="str">
            <v>XJ9oG3RXZFR</v>
          </cell>
        </row>
        <row r="905">
          <cell r="AY905" t="str">
            <v>Ndeaboh Health Center</v>
          </cell>
          <cell r="AZ905" t="str">
            <v>c4g80RVzJQu</v>
          </cell>
        </row>
        <row r="906">
          <cell r="AY906" t="str">
            <v>Nenwe Cottage Hospital</v>
          </cell>
          <cell r="AZ906" t="str">
            <v>TVYjOfRHwnk</v>
          </cell>
        </row>
        <row r="907">
          <cell r="AY907" t="str">
            <v>Oduma Achara Health Center</v>
          </cell>
          <cell r="AZ907" t="str">
            <v>kZWUhYumVeQ</v>
          </cell>
        </row>
        <row r="908">
          <cell r="AY908" t="str">
            <v>Uhueze Obeagu Health Center</v>
          </cell>
          <cell r="AZ908" t="str">
            <v>gbAX0S4Mjbs</v>
          </cell>
        </row>
        <row r="909">
          <cell r="AY909" t="str">
            <v>Awgu District Hospital</v>
          </cell>
          <cell r="AZ909" t="str">
            <v>C5Y2GUHt4sf</v>
          </cell>
        </row>
        <row r="910">
          <cell r="AY910" t="str">
            <v>Awgu Maternal and Child Health Clinic</v>
          </cell>
          <cell r="AZ910" t="str">
            <v>WiWM55NAQf1</v>
          </cell>
        </row>
        <row r="911">
          <cell r="AY911" t="str">
            <v>Mgbowo Health Center</v>
          </cell>
          <cell r="AZ911" t="str">
            <v>MvmSeCaIGLY</v>
          </cell>
        </row>
        <row r="912">
          <cell r="AY912" t="str">
            <v>Mother of Mercy Hospital - Ihe</v>
          </cell>
          <cell r="AZ912" t="str">
            <v>I3LnmK0alcF</v>
          </cell>
        </row>
        <row r="913">
          <cell r="AY913" t="str">
            <v>Amansido Health Center</v>
          </cell>
          <cell r="AZ913" t="str">
            <v>uRhK3JFXrqG</v>
          </cell>
        </row>
        <row r="914">
          <cell r="AY914" t="str">
            <v>Obinofia Ndiagu Health Center</v>
          </cell>
          <cell r="AZ914" t="str">
            <v>ALUSkeUhax7</v>
          </cell>
        </row>
        <row r="915">
          <cell r="AY915" t="str">
            <v>Agbadala Health Center</v>
          </cell>
          <cell r="AZ915" t="str">
            <v>JuqXC7es8tF</v>
          </cell>
        </row>
        <row r="916">
          <cell r="AY916" t="str">
            <v>Inyi Cottage Hopsital</v>
          </cell>
          <cell r="AZ916" t="str">
            <v>v0goAniLeuC</v>
          </cell>
        </row>
        <row r="917">
          <cell r="AY917" t="str">
            <v>Oji River Sub District General Hospital</v>
          </cell>
          <cell r="AZ917" t="str">
            <v>mOMYjnbssAv</v>
          </cell>
        </row>
        <row r="918">
          <cell r="AY918" t="str">
            <v>Ugwuoba Health Center</v>
          </cell>
          <cell r="AZ918" t="str">
            <v>ILcKSLSBXR6</v>
          </cell>
        </row>
        <row r="919">
          <cell r="AY919" t="str">
            <v>Benem Hospital</v>
          </cell>
          <cell r="AZ919" t="str">
            <v>M1TKebqMd1J</v>
          </cell>
        </row>
        <row r="920">
          <cell r="AY920" t="str">
            <v>Ebe Health Center</v>
          </cell>
          <cell r="AZ920" t="str">
            <v>TgFjP5Ug5b1</v>
          </cell>
        </row>
        <row r="921">
          <cell r="AY921" t="str">
            <v>Eke Health Center</v>
          </cell>
          <cell r="AZ921" t="str">
            <v>eG3t2eB70vk</v>
          </cell>
        </row>
        <row r="922">
          <cell r="AY922" t="str">
            <v>Hope Child Maternity</v>
          </cell>
          <cell r="AZ922" t="str">
            <v>oFdx57tGvjs</v>
          </cell>
        </row>
        <row r="923">
          <cell r="AY923" t="str">
            <v>Nsude Health Center</v>
          </cell>
          <cell r="AZ923" t="str">
            <v>pPCEF3XJNgx</v>
          </cell>
        </row>
        <row r="924">
          <cell r="AY924" t="str">
            <v>Our Saviour Hospital and Maternity</v>
          </cell>
          <cell r="AZ924" t="str">
            <v>tPlnn4b3wGB</v>
          </cell>
        </row>
        <row r="925">
          <cell r="AY925" t="str">
            <v>Udi District Hospital</v>
          </cell>
          <cell r="AZ925" t="str">
            <v>h678jCLqkMn</v>
          </cell>
        </row>
        <row r="926">
          <cell r="AY926" t="str">
            <v>Ukana Health Center</v>
          </cell>
          <cell r="AZ926" t="str">
            <v>JIDIV9Q3a54</v>
          </cell>
        </row>
        <row r="927">
          <cell r="AY927" t="str">
            <v>Umulumgbe Health Center</v>
          </cell>
          <cell r="AZ927" t="str">
            <v>EIgrU1IIUAz</v>
          </cell>
        </row>
        <row r="928">
          <cell r="AY928" t="str">
            <v>Unity Hospital - Ngwo</v>
          </cell>
          <cell r="AZ928" t="str">
            <v>OZ9kLD4rbat</v>
          </cell>
        </row>
        <row r="929">
          <cell r="AY929" t="str">
            <v>Umuakagu Health Center</v>
          </cell>
          <cell r="AZ929" t="str">
            <v>nTEavHH6036</v>
          </cell>
        </row>
        <row r="930">
          <cell r="AY930" t="str">
            <v>Umueze 1 Umunanom Health Center</v>
          </cell>
          <cell r="AZ930" t="str">
            <v>tb1CoNjkies</v>
          </cell>
        </row>
        <row r="931">
          <cell r="AY931" t="str">
            <v>Umuezeala Owere Health Center</v>
          </cell>
          <cell r="AZ931" t="str">
            <v>UeLjyCRf41x</v>
          </cell>
        </row>
        <row r="932">
          <cell r="AY932" t="str">
            <v>Umunakanu Health Post</v>
          </cell>
          <cell r="AZ932" t="str">
            <v>aU2oSCCLmV2</v>
          </cell>
        </row>
        <row r="933">
          <cell r="AY933" t="str">
            <v>Uboma</v>
          </cell>
          <cell r="AZ933" t="str">
            <v>mCzi7WHsXYy</v>
          </cell>
        </row>
        <row r="934">
          <cell r="AY934" t="str">
            <v>Uboma</v>
          </cell>
          <cell r="AZ934" t="str">
            <v>QkEZjvzSdoF</v>
          </cell>
        </row>
        <row r="935">
          <cell r="AY935" t="str">
            <v>Uboma</v>
          </cell>
          <cell r="AZ935" t="str">
            <v>BFeirzq9CRR</v>
          </cell>
        </row>
        <row r="936">
          <cell r="AY936" t="str">
            <v>Osuh Primary Health Center</v>
          </cell>
          <cell r="AZ936" t="str">
            <v>HD4blJMxPjK</v>
          </cell>
        </row>
        <row r="937">
          <cell r="AY937" t="str">
            <v>Our Lady of Mercy - Obowo</v>
          </cell>
          <cell r="AZ937" t="str">
            <v>nELlSoRvjxw</v>
          </cell>
        </row>
        <row r="938">
          <cell r="AY938" t="str">
            <v>Umulogho Primary Health Center</v>
          </cell>
          <cell r="AZ938" t="str">
            <v>VodaSBfWH1S</v>
          </cell>
        </row>
        <row r="939">
          <cell r="AY939" t="str">
            <v>Okigwe General Hospital</v>
          </cell>
          <cell r="AZ939" t="str">
            <v>w5Q8AnPJWgs</v>
          </cell>
        </row>
        <row r="940">
          <cell r="AY940" t="str">
            <v>Okigwe Maternal and Child Health Clinic</v>
          </cell>
          <cell r="AZ940" t="str">
            <v>JizbTiXU2yr</v>
          </cell>
        </row>
        <row r="941">
          <cell r="AY941" t="str">
            <v>Umuawaibu 1 Health Center</v>
          </cell>
          <cell r="AZ941" t="str">
            <v>gTRfAjo8ytk</v>
          </cell>
        </row>
        <row r="942">
          <cell r="AY942" t="str">
            <v>Okwe Maternal and Child Health Clinic</v>
          </cell>
          <cell r="AZ942" t="str">
            <v>IhdNmjiCzMC</v>
          </cell>
        </row>
        <row r="943">
          <cell r="AY943" t="str">
            <v>Okwelle Primary Health Center</v>
          </cell>
          <cell r="AZ943" t="str">
            <v>YTl8KqGkHuW</v>
          </cell>
        </row>
        <row r="944">
          <cell r="AY944" t="str">
            <v>Bogo Model Primary Health Center</v>
          </cell>
          <cell r="AZ944" t="str">
            <v>hnu8aVM6eMV</v>
          </cell>
        </row>
        <row r="945">
          <cell r="AY945" t="str">
            <v>Kalshingi Primary Health Center</v>
          </cell>
          <cell r="AZ945" t="str">
            <v>EqwqkFZQNfH</v>
          </cell>
        </row>
        <row r="946">
          <cell r="AY946" t="str">
            <v>Kashere Cottage Hospital</v>
          </cell>
          <cell r="AZ946" t="str">
            <v>CLdT0B3G6p7</v>
          </cell>
        </row>
        <row r="947">
          <cell r="AY947" t="str">
            <v>Kashere General Hospital</v>
          </cell>
          <cell r="AZ947" t="str">
            <v>bW4cbw8Kloh</v>
          </cell>
        </row>
        <row r="948">
          <cell r="AY948" t="str">
            <v>Kumo Cottage Hospital</v>
          </cell>
          <cell r="AZ948" t="str">
            <v>MQd3xsfqPzT</v>
          </cell>
        </row>
        <row r="949">
          <cell r="AY949" t="str">
            <v>Kundullum Primary Health Center</v>
          </cell>
          <cell r="AZ949" t="str">
            <v>FVKwyxBzfHs</v>
          </cell>
        </row>
        <row r="950">
          <cell r="AY950" t="str">
            <v>Pindiga Cottage Hospital</v>
          </cell>
          <cell r="AZ950" t="str">
            <v>xqIQZPT6Fdf</v>
          </cell>
        </row>
        <row r="951">
          <cell r="AY951" t="str">
            <v>Pindiga Primary Health Center</v>
          </cell>
          <cell r="AZ951" t="str">
            <v>cBRkyZxkaPY</v>
          </cell>
        </row>
        <row r="952">
          <cell r="AY952" t="str">
            <v>Shango Maternity Clinic</v>
          </cell>
          <cell r="AZ952" t="str">
            <v>lfGN3aDRMZj</v>
          </cell>
        </row>
        <row r="953">
          <cell r="AY953" t="str">
            <v>Tumu Cottage Hospital</v>
          </cell>
          <cell r="AZ953" t="str">
            <v>gt5hRKlSQiC</v>
          </cell>
        </row>
        <row r="954">
          <cell r="AY954" t="str">
            <v>Tunfare Health Center</v>
          </cell>
          <cell r="AZ954" t="str">
            <v>Tp20jDfntkx</v>
          </cell>
        </row>
        <row r="955">
          <cell r="AY955" t="str">
            <v>Deba</v>
          </cell>
          <cell r="AZ955" t="str">
            <v>rrBhu5e1MfW</v>
          </cell>
        </row>
        <row r="956">
          <cell r="AY956" t="str">
            <v>Deba</v>
          </cell>
          <cell r="AZ956" t="str">
            <v>HwC7f1qYg2o</v>
          </cell>
        </row>
        <row r="957">
          <cell r="AY957" t="str">
            <v>Deba</v>
          </cell>
          <cell r="AZ957" t="str">
            <v>LwSI1JO6CRg</v>
          </cell>
        </row>
        <row r="958">
          <cell r="AY958" t="str">
            <v>Deba</v>
          </cell>
          <cell r="AZ958" t="str">
            <v>rRFHOH95mcF</v>
          </cell>
        </row>
        <row r="959">
          <cell r="AY959" t="str">
            <v>Deba</v>
          </cell>
          <cell r="AZ959" t="str">
            <v>P9815pFCx4Y</v>
          </cell>
        </row>
        <row r="960">
          <cell r="AY960" t="str">
            <v>Deba</v>
          </cell>
          <cell r="AZ960" t="str">
            <v>gd0wEyi6cac</v>
          </cell>
        </row>
        <row r="961">
          <cell r="AY961" t="str">
            <v>Deba</v>
          </cell>
          <cell r="AZ961" t="str">
            <v>QR7EfY7yNgb</v>
          </cell>
        </row>
        <row r="962">
          <cell r="AY962" t="str">
            <v>Deba</v>
          </cell>
          <cell r="AZ962" t="str">
            <v>lXDHEJLTcvA</v>
          </cell>
        </row>
        <row r="963">
          <cell r="AY963" t="str">
            <v>Deba</v>
          </cell>
          <cell r="AZ963" t="str">
            <v>h7Xccz3xPey</v>
          </cell>
        </row>
        <row r="964">
          <cell r="AY964" t="str">
            <v>Deba</v>
          </cell>
          <cell r="AZ964" t="str">
            <v>Ts9du2HmZC7</v>
          </cell>
        </row>
        <row r="965">
          <cell r="AY965" t="str">
            <v>Deba</v>
          </cell>
          <cell r="AZ965" t="str">
            <v>e3IPIkjbbRD</v>
          </cell>
        </row>
        <row r="966">
          <cell r="AY966" t="str">
            <v>Deba</v>
          </cell>
          <cell r="AZ966" t="str">
            <v>Ud9Ovt9pKfa</v>
          </cell>
        </row>
        <row r="967">
          <cell r="AY967" t="str">
            <v>Birningwari Maternal Child Health Care</v>
          </cell>
          <cell r="AZ967" t="str">
            <v>VTv6H1vQyde</v>
          </cell>
        </row>
        <row r="968">
          <cell r="AY968" t="str">
            <v>Damari Primary Health Center</v>
          </cell>
          <cell r="AZ968" t="str">
            <v>n0FZTZqHMI4</v>
          </cell>
        </row>
        <row r="969">
          <cell r="AY969" t="str">
            <v>Dogondawa Model Primary Health Centre</v>
          </cell>
          <cell r="AZ969" t="str">
            <v>icS1RRNGi9C</v>
          </cell>
        </row>
        <row r="970">
          <cell r="AY970" t="str">
            <v>Jibrin Maigwari General Hospital</v>
          </cell>
          <cell r="AZ970" t="str">
            <v>m4mw3TJxbJy</v>
          </cell>
        </row>
        <row r="971">
          <cell r="AY971" t="str">
            <v>Kampanin Doka Primary Health Centre</v>
          </cell>
          <cell r="AZ971" t="str">
            <v>ANn7I7032YH</v>
          </cell>
        </row>
        <row r="972">
          <cell r="AY972" t="str">
            <v>Kuyello Primary Health Center</v>
          </cell>
          <cell r="AZ972" t="str">
            <v>GeAndVjik4A</v>
          </cell>
        </row>
        <row r="973">
          <cell r="AY973" t="str">
            <v>Maganda Primary Health Center</v>
          </cell>
          <cell r="AZ973" t="str">
            <v>CMjlhTJLHKj</v>
          </cell>
        </row>
        <row r="974">
          <cell r="AY974" t="str">
            <v>Randagi Primary Health Center</v>
          </cell>
          <cell r="AZ974" t="str">
            <v>D88r3nfLBWX</v>
          </cell>
        </row>
        <row r="975">
          <cell r="AY975" t="str">
            <v>Sabonlayi Health Center</v>
          </cell>
          <cell r="AZ975" t="str">
            <v>oLJpdUHh2sK</v>
          </cell>
        </row>
        <row r="976">
          <cell r="AY976" t="str">
            <v>Tabanni Model Primary Health Centre</v>
          </cell>
          <cell r="AZ976" t="str">
            <v>UpPEVKM0hWO</v>
          </cell>
        </row>
        <row r="977">
          <cell r="AY977" t="str">
            <v>Ahmadu Bello University Teaching Hospital - Shika</v>
          </cell>
          <cell r="AZ977" t="str">
            <v>fiC3mpkjajt</v>
          </cell>
        </row>
        <row r="978">
          <cell r="AY978" t="str">
            <v>Giwa General Hospital</v>
          </cell>
          <cell r="AZ978" t="str">
            <v>ebLQTZgsfgz</v>
          </cell>
        </row>
        <row r="979">
          <cell r="AY979" t="str">
            <v>Damakasuwa Health Clinic</v>
          </cell>
          <cell r="AZ979" t="str">
            <v>HneMVa1g1rl</v>
          </cell>
        </row>
        <row r="980">
          <cell r="AY980" t="str">
            <v>Dandaura Primary Health Center</v>
          </cell>
          <cell r="AZ980" t="str">
            <v>Vm4aGg3q90l</v>
          </cell>
        </row>
        <row r="981">
          <cell r="AY981" t="str">
            <v>Kadage Health Clinic</v>
          </cell>
          <cell r="AZ981" t="str">
            <v>mMYdCawgXau</v>
          </cell>
        </row>
        <row r="982">
          <cell r="AY982" t="str">
            <v>Kauru Primary Health Center</v>
          </cell>
          <cell r="AZ982" t="str">
            <v>cDo6JpmV6bP</v>
          </cell>
        </row>
        <row r="983">
          <cell r="AY983" t="str">
            <v>Kauru Rural Hospital</v>
          </cell>
          <cell r="AZ983" t="str">
            <v>GRhndXkuvmD</v>
          </cell>
        </row>
        <row r="984">
          <cell r="AY984" t="str">
            <v>Kidugu II Model Primary Health Center</v>
          </cell>
          <cell r="AZ984" t="str">
            <v>DzcxGhh17ZF</v>
          </cell>
        </row>
        <row r="985">
          <cell r="AY985" t="str">
            <v>Abadawa Primary Health Center</v>
          </cell>
          <cell r="AZ985" t="str">
            <v>rmUzUVT7bwW</v>
          </cell>
        </row>
        <row r="986">
          <cell r="AY986" t="str">
            <v>Angwan Bawa Primary Health Center</v>
          </cell>
          <cell r="AZ986" t="str">
            <v>Oe98Skgwrs3</v>
          </cell>
        </row>
        <row r="987">
          <cell r="AY987" t="str">
            <v>Garun Kurama Primary Health Center</v>
          </cell>
          <cell r="AZ987" t="str">
            <v>XyGNdts89ji</v>
          </cell>
        </row>
        <row r="988">
          <cell r="AY988" t="str">
            <v>Jingir Primary Health Center</v>
          </cell>
          <cell r="AZ988" t="str">
            <v>Y8LrXkR1LuJ</v>
          </cell>
        </row>
        <row r="989">
          <cell r="AY989" t="str">
            <v>Kaki Dare Primary Health Center</v>
          </cell>
          <cell r="AZ989" t="str">
            <v>bicj8vjb7BV</v>
          </cell>
        </row>
        <row r="990">
          <cell r="AY990" t="str">
            <v>Krosha Maternal Child Health</v>
          </cell>
          <cell r="AZ990" t="str">
            <v>s7dVL9iRI0l</v>
          </cell>
        </row>
        <row r="991">
          <cell r="AY991" t="str">
            <v>Lere Primary Health Center</v>
          </cell>
          <cell r="AZ991" t="str">
            <v>Eq0SMoSZuRc</v>
          </cell>
        </row>
        <row r="992">
          <cell r="AY992" t="str">
            <v>Maigamo Primary Health Center</v>
          </cell>
          <cell r="AZ992" t="str">
            <v>Udv9Pm4rGAR</v>
          </cell>
        </row>
        <row r="993">
          <cell r="AY993" t="str">
            <v>Ramin Kura Primary Health Center</v>
          </cell>
          <cell r="AZ993" t="str">
            <v>FIyoBlcRtsm</v>
          </cell>
        </row>
        <row r="994">
          <cell r="AY994" t="str">
            <v>Saminaka General Hospital</v>
          </cell>
          <cell r="AZ994" t="str">
            <v>XCixcBgl6uz</v>
          </cell>
        </row>
        <row r="995">
          <cell r="AY995" t="str">
            <v>Yarkasuwa Primary Health Center</v>
          </cell>
          <cell r="AZ995" t="str">
            <v>iiN0GpCCS79</v>
          </cell>
        </row>
        <row r="996">
          <cell r="AY996" t="str">
            <v>Danguziri Primary Health Center</v>
          </cell>
          <cell r="AZ996" t="str">
            <v>xixDoW7FKsu</v>
          </cell>
        </row>
        <row r="997">
          <cell r="AY997" t="str">
            <v>Gazara Primary Health Center</v>
          </cell>
          <cell r="AZ997" t="str">
            <v>nu9c0w9q0CA</v>
          </cell>
        </row>
        <row r="998">
          <cell r="AY998" t="str">
            <v>Gwanki Primary Health Center</v>
          </cell>
          <cell r="AZ998" t="str">
            <v>Rkng2n9u1rk</v>
          </cell>
        </row>
        <row r="999">
          <cell r="AY999" t="str">
            <v>Kasuwar Mata Primary Health Center</v>
          </cell>
          <cell r="AZ999" t="str">
            <v>qwEWFTHOXSA</v>
          </cell>
        </row>
        <row r="1000">
          <cell r="AY1000" t="str">
            <v>Makarfi General Hospital</v>
          </cell>
          <cell r="AZ1000" t="str">
            <v>QuiAPHqPxwY</v>
          </cell>
        </row>
        <row r="1001">
          <cell r="AY1001" t="str">
            <v>Makarfi Primary Health Center</v>
          </cell>
          <cell r="AZ1001" t="str">
            <v>uEhcBbwErng</v>
          </cell>
        </row>
        <row r="1002">
          <cell r="AY1002" t="str">
            <v>Mayere Primary Health Center</v>
          </cell>
          <cell r="AZ1002" t="str">
            <v>n19QNSdO3Yu</v>
          </cell>
        </row>
        <row r="1003">
          <cell r="AY1003" t="str">
            <v>Tashan Yari Primary Health Center</v>
          </cell>
          <cell r="AZ1003" t="str">
            <v>GcbMxeF89uA</v>
          </cell>
        </row>
        <row r="1004">
          <cell r="AY1004" t="str">
            <v>Major Ibrahim Bello Abdullahi Memorial Hospital</v>
          </cell>
          <cell r="AZ1004" t="str">
            <v>nDa1uUKmVhb</v>
          </cell>
        </row>
        <row r="1005">
          <cell r="AY1005" t="str">
            <v>Gezewa General Hospital</v>
          </cell>
          <cell r="AZ1005" t="str">
            <v>cDBBCOyZlvK</v>
          </cell>
        </row>
        <row r="1006">
          <cell r="AY1006" t="str">
            <v>Mohammad Abdullahi Wase Specialist Hospital Nassarwa</v>
          </cell>
          <cell r="AZ1006" t="str">
            <v>ClB8Ry98tWe</v>
          </cell>
        </row>
        <row r="1007">
          <cell r="AY1007" t="str">
            <v>Al Noury Specialist Hospital</v>
          </cell>
          <cell r="AZ1007" t="str">
            <v>v5amiydkXFR</v>
          </cell>
        </row>
        <row r="1008">
          <cell r="AY1008" t="str">
            <v>Iyamoye General Hospital</v>
          </cell>
          <cell r="AZ1008" t="str">
            <v>UfIvllU0iwE</v>
          </cell>
        </row>
        <row r="1009">
          <cell r="AY1009" t="str">
            <v>Iyara Comprehensive Health Center</v>
          </cell>
          <cell r="AZ1009" t="str">
            <v>W81ILVochtJ</v>
          </cell>
        </row>
        <row r="1010">
          <cell r="AY1010" t="str">
            <v>Bunu</v>
          </cell>
          <cell r="AZ1010" t="str">
            <v>CGwIyxDpwT8</v>
          </cell>
        </row>
        <row r="1011">
          <cell r="AY1011" t="str">
            <v>Abah Primary Health Center</v>
          </cell>
          <cell r="AZ1011" t="str">
            <v>jo7dambanj1</v>
          </cell>
        </row>
        <row r="1012">
          <cell r="AY1012" t="str">
            <v>Abakor Primary Health Care</v>
          </cell>
          <cell r="AZ1012" t="str">
            <v>ZBXG7XEJ03X</v>
          </cell>
        </row>
        <row r="1013">
          <cell r="AY1013" t="str">
            <v>Amafor Primary Health Center</v>
          </cell>
          <cell r="AZ1013" t="str">
            <v>ShOkkjO7q4d</v>
          </cell>
        </row>
        <row r="1014">
          <cell r="AY1014" t="str">
            <v>Gbor Comprehensive Health Center</v>
          </cell>
          <cell r="AZ1014" t="str">
            <v>UWfo9Vcmg6t</v>
          </cell>
        </row>
        <row r="1015">
          <cell r="AY1015" t="str">
            <v>Ikpaukur Local Government Health Center</v>
          </cell>
          <cell r="AZ1015" t="str">
            <v>rQOXT4Cy2Pj</v>
          </cell>
        </row>
        <row r="1016">
          <cell r="AY1016" t="str">
            <v>Nahuta Hospital</v>
          </cell>
          <cell r="AZ1016" t="str">
            <v>yRpzCa8G6SZ</v>
          </cell>
        </row>
        <row r="1017">
          <cell r="AY1017" t="str">
            <v>Nguher Clinic</v>
          </cell>
          <cell r="AZ1017" t="str">
            <v>voNNZ57SXoP</v>
          </cell>
        </row>
        <row r="1018">
          <cell r="AY1018" t="str">
            <v>Nongu u Kristu ke Sudan hen Tiv (NKST) Comprehensive Health Center - Harga</v>
          </cell>
          <cell r="AZ1018" t="str">
            <v>iLE60Uz1V74</v>
          </cell>
        </row>
        <row r="1019">
          <cell r="AY1019" t="str">
            <v>Nongu u Kristu ke Sudan hen Tiv (NKST) Hospital - Sai</v>
          </cell>
          <cell r="AZ1019" t="str">
            <v>x9AGFcyHbas</v>
          </cell>
        </row>
        <row r="1020">
          <cell r="AY1020" t="str">
            <v>Salem Clinic - Gbor</v>
          </cell>
          <cell r="AZ1020" t="str">
            <v>W0z2Y4xAH3N</v>
          </cell>
        </row>
        <row r="1021">
          <cell r="AY1021" t="str">
            <v>Tarvachan Comprehensive Health Center</v>
          </cell>
          <cell r="AZ1021" t="str">
            <v>jGti2H2XezH</v>
          </cell>
        </row>
        <row r="1022">
          <cell r="AY1022" t="str">
            <v>Tordonga Primary Health Center</v>
          </cell>
          <cell r="AZ1022" t="str">
            <v>W5NNtTAwz9t</v>
          </cell>
        </row>
        <row r="1023">
          <cell r="AY1023" t="str">
            <v>World Health System Sai</v>
          </cell>
          <cell r="AZ1023" t="str">
            <v>GCOrXvJq3Aq</v>
          </cell>
        </row>
        <row r="1024">
          <cell r="AY1024" t="str">
            <v>Ada Model</v>
          </cell>
          <cell r="AZ1024" t="str">
            <v>VgWKjowLb8Z</v>
          </cell>
        </row>
        <row r="1025">
          <cell r="AY1025" t="str">
            <v>Adeke Health Clinic</v>
          </cell>
          <cell r="AZ1025" t="str">
            <v>bkN3ItOJJok</v>
          </cell>
        </row>
        <row r="1026">
          <cell r="AY1026" t="str">
            <v>Agbeede Primary Health Center</v>
          </cell>
          <cell r="AZ1026" t="str">
            <v>OK3KBevBxuF</v>
          </cell>
        </row>
        <row r="1027">
          <cell r="AY1027" t="str">
            <v>Agidi Primary Health Centre</v>
          </cell>
          <cell r="AZ1027" t="str">
            <v>Vwphz4aVBkw</v>
          </cell>
        </row>
        <row r="1028">
          <cell r="AY1028" t="str">
            <v>Agudu  Comprehensive Health Center</v>
          </cell>
          <cell r="AZ1028" t="str">
            <v>izJLP4ub40D</v>
          </cell>
        </row>
        <row r="1029">
          <cell r="AY1029" t="str">
            <v>Akase Buruku Medical Centre Gungul</v>
          </cell>
          <cell r="AZ1029" t="str">
            <v>S0KHKAONgri</v>
          </cell>
        </row>
        <row r="1030">
          <cell r="AY1030" t="str">
            <v>Akputu  Primary Health Center</v>
          </cell>
          <cell r="AZ1030" t="str">
            <v>xf0d6Ievr0Y</v>
          </cell>
        </row>
        <row r="1031">
          <cell r="AY1031" t="str">
            <v>Amua Primary Health Center</v>
          </cell>
          <cell r="AZ1031" t="str">
            <v>HSyYeWik1mR</v>
          </cell>
        </row>
        <row r="1032">
          <cell r="AY1032" t="str">
            <v>Anyiranya Comprehensive Health Center</v>
          </cell>
          <cell r="AZ1032" t="str">
            <v>NlSxDvmv8RG</v>
          </cell>
        </row>
        <row r="1033">
          <cell r="AY1033" t="str">
            <v>Ashido Clinic and Maternity</v>
          </cell>
          <cell r="AZ1033" t="str">
            <v>H5sqi75vXga</v>
          </cell>
        </row>
        <row r="1034">
          <cell r="AY1034" t="str">
            <v>Bonta Family Support Program Clinic</v>
          </cell>
          <cell r="AZ1034" t="str">
            <v>A0oG89zfO3P</v>
          </cell>
        </row>
        <row r="1035">
          <cell r="AY1035" t="str">
            <v>Centre Clinic Korinya</v>
          </cell>
          <cell r="AZ1035" t="str">
            <v>PAEkoUsTqwP</v>
          </cell>
        </row>
        <row r="1036">
          <cell r="AY1036" t="str">
            <v>Dio Primary Health Center</v>
          </cell>
          <cell r="AZ1036" t="str">
            <v>RaK8oHAcaJx</v>
          </cell>
        </row>
        <row r="1037">
          <cell r="AY1037" t="str">
            <v>Dzambe Clinic and Maternity</v>
          </cell>
          <cell r="AZ1037" t="str">
            <v>N44jVMYmfa2</v>
          </cell>
        </row>
        <row r="1038">
          <cell r="AY1038" t="str">
            <v>Gemanen Health Clinic Ageraga</v>
          </cell>
          <cell r="AZ1038" t="str">
            <v>jUTYBRwnEHz</v>
          </cell>
        </row>
        <row r="1039">
          <cell r="AY1039" t="str">
            <v>Guleya Health Clinic</v>
          </cell>
          <cell r="AZ1039" t="str">
            <v>QcktjNt6R6g</v>
          </cell>
        </row>
        <row r="1040">
          <cell r="AY1040" t="str">
            <v>Hope Hospital - Gungul</v>
          </cell>
          <cell r="AZ1040" t="str">
            <v>Kx8nR3Z0zoJ</v>
          </cell>
        </row>
        <row r="1041">
          <cell r="AY1041" t="str">
            <v>Huma Primary Health Center</v>
          </cell>
          <cell r="AZ1041" t="str">
            <v>PWTMBcAdVmf</v>
          </cell>
        </row>
        <row r="1042">
          <cell r="AY1042" t="str">
            <v>Igbughul Primary Health Center</v>
          </cell>
          <cell r="AZ1042" t="str">
            <v>oR3iWfmLDLd</v>
          </cell>
        </row>
        <row r="1043">
          <cell r="AY1043" t="str">
            <v>Ikpeakor Comprehensive Health Center</v>
          </cell>
          <cell r="AZ1043" t="str">
            <v>PNknx39XQ3D</v>
          </cell>
        </row>
        <row r="1044">
          <cell r="AY1044" t="str">
            <v>Ikyaave Primary Health Center</v>
          </cell>
          <cell r="AZ1044" t="str">
            <v>b2iKj21StWT</v>
          </cell>
        </row>
        <row r="1045">
          <cell r="AY1045" t="str">
            <v>Jirgba Primary Health Center</v>
          </cell>
          <cell r="AZ1045" t="str">
            <v>ADRcchaSF89</v>
          </cell>
        </row>
        <row r="1046">
          <cell r="AY1046" t="str">
            <v>Jumota Health Clinic Tsuwe</v>
          </cell>
          <cell r="AZ1046" t="str">
            <v>BGygT2oyOXk</v>
          </cell>
        </row>
        <row r="1047">
          <cell r="AY1047" t="str">
            <v>Korinya Primary Health Center</v>
          </cell>
          <cell r="AZ1047" t="str">
            <v>zOFJx0iZI6j</v>
          </cell>
        </row>
        <row r="1048">
          <cell r="AY1048" t="str">
            <v>Kusa Erem Agbeede Health Clinic</v>
          </cell>
          <cell r="AZ1048" t="str">
            <v>n3leeELsmMM</v>
          </cell>
        </row>
        <row r="1049">
          <cell r="AY1049" t="str">
            <v>Leke Clinic and Maternity</v>
          </cell>
          <cell r="AZ1049" t="str">
            <v>YMwV767vaxO</v>
          </cell>
        </row>
        <row r="1050">
          <cell r="AY1050" t="str">
            <v>Lim Health Clinic</v>
          </cell>
          <cell r="AZ1050" t="str">
            <v>NFIT0fugpMz</v>
          </cell>
        </row>
        <row r="1051">
          <cell r="AY1051" t="str">
            <v>Luter Health Clinic</v>
          </cell>
          <cell r="AZ1051" t="str">
            <v>fZtEYsSUToC</v>
          </cell>
        </row>
        <row r="1052">
          <cell r="AY1052" t="str">
            <v>Mbaasham Health Center</v>
          </cell>
          <cell r="AZ1052" t="str">
            <v>xU6kWh9unZD</v>
          </cell>
        </row>
        <row r="1053">
          <cell r="AY1053" t="str">
            <v>Mbagbaa Health Center</v>
          </cell>
          <cell r="AZ1053" t="str">
            <v>Foo92FCaY1b</v>
          </cell>
        </row>
        <row r="1054">
          <cell r="AY1054" t="str">
            <v>Mbahan Health Clinic Ankugh</v>
          </cell>
          <cell r="AZ1054" t="str">
            <v>NnQBS3G7K8x</v>
          </cell>
        </row>
        <row r="1055">
          <cell r="AY1055" t="str">
            <v>Mbaikpande Health Clinic</v>
          </cell>
          <cell r="AZ1055" t="str">
            <v>udCzBxj1fs7</v>
          </cell>
        </row>
        <row r="1056">
          <cell r="AY1056" t="str">
            <v>Mhen Health Clinic Jov-Mbavaa</v>
          </cell>
          <cell r="AZ1056" t="str">
            <v>Hb4aAEXMUMh</v>
          </cell>
        </row>
        <row r="1057">
          <cell r="AY1057" t="str">
            <v>Mimi Clinic and Maternity</v>
          </cell>
          <cell r="AZ1057" t="str">
            <v>t8yzGeF3QOZ</v>
          </cell>
        </row>
        <row r="1058">
          <cell r="AY1058" t="str">
            <v>Mkaa Health Clinic and Maternity</v>
          </cell>
          <cell r="AZ1058" t="str">
            <v>gmZiQa8rGP8</v>
          </cell>
        </row>
        <row r="1059">
          <cell r="AY1059" t="str">
            <v>Nyam Ugbeh Clinic</v>
          </cell>
          <cell r="AZ1059" t="str">
            <v>DbQwJh2aSqj</v>
          </cell>
        </row>
        <row r="1060">
          <cell r="AY1060" t="str">
            <v>Royal Clinic and Maternity Wuese</v>
          </cell>
          <cell r="AZ1060" t="str">
            <v>lT0dFPuROo5</v>
          </cell>
        </row>
        <row r="1061">
          <cell r="AY1061" t="str">
            <v>Sauki Health Clinic</v>
          </cell>
          <cell r="AZ1061" t="str">
            <v>pcpLg0h9HGx</v>
          </cell>
        </row>
        <row r="1062">
          <cell r="AY1062" t="str">
            <v>St. Joseph Maternity Clinic - Korinya</v>
          </cell>
          <cell r="AZ1062" t="str">
            <v>KLG4R1DqCDW</v>
          </cell>
        </row>
        <row r="1063">
          <cell r="AY1063" t="str">
            <v>Tongo  Primary Health Center</v>
          </cell>
          <cell r="AZ1063" t="str">
            <v>ZYZAcgboJvx</v>
          </cell>
        </row>
        <row r="1064">
          <cell r="AY1064" t="str">
            <v>Tse-Agbaragba Primary Health Center</v>
          </cell>
          <cell r="AZ1064" t="str">
            <v>VBS2KAxTWl8</v>
          </cell>
        </row>
        <row r="1065">
          <cell r="AY1065" t="str">
            <v>Tyoate Comprehensive Health Center</v>
          </cell>
          <cell r="AZ1065" t="str">
            <v>ES15z3zgFpM</v>
          </cell>
        </row>
        <row r="1066">
          <cell r="AY1066" t="str">
            <v>Tyough Primary Health Center</v>
          </cell>
          <cell r="AZ1066" t="str">
            <v>h5NpU6aWI16</v>
          </cell>
        </row>
        <row r="1067">
          <cell r="AY1067" t="str">
            <v>Uboagere Comprehensive Health Center</v>
          </cell>
          <cell r="AZ1067" t="str">
            <v>jUhaJSvsg2f</v>
          </cell>
        </row>
        <row r="1068">
          <cell r="AY1068" t="str">
            <v>Ubwa Primary Health Center</v>
          </cell>
          <cell r="AZ1068" t="str">
            <v>YAgu3EF8fPC</v>
          </cell>
        </row>
        <row r="1069">
          <cell r="AY1069" t="str">
            <v>Usaka Health Clinic Tsuwe</v>
          </cell>
          <cell r="AZ1069" t="str">
            <v>lS9OJNmawzr</v>
          </cell>
        </row>
        <row r="1070">
          <cell r="AY1070" t="str">
            <v>Wuese Health Clinic</v>
          </cell>
          <cell r="AZ1070" t="str">
            <v>HrZP9L9jT9a</v>
          </cell>
        </row>
        <row r="1071">
          <cell r="AY1071" t="str">
            <v>Asiasa Primary Health Center</v>
          </cell>
          <cell r="AZ1071" t="str">
            <v>rLuGqHLz5O0</v>
          </cell>
        </row>
        <row r="1072">
          <cell r="AY1072" t="str">
            <v>Benue State University Teaching Hospital</v>
          </cell>
          <cell r="AZ1072" t="str">
            <v>AgRjHcsC4wf</v>
          </cell>
        </row>
        <row r="1073">
          <cell r="AY1073" t="str">
            <v>City Hospital</v>
          </cell>
          <cell r="AZ1073" t="str">
            <v>P82OYKREDEj</v>
          </cell>
        </row>
        <row r="1074">
          <cell r="AY1074" t="str">
            <v>Federal Medical Center - Makurdi</v>
          </cell>
          <cell r="AZ1074" t="str">
            <v>EA0gMmZjNn6</v>
          </cell>
        </row>
        <row r="1075">
          <cell r="AY1075" t="str">
            <v>Fidi Primary Health Center</v>
          </cell>
          <cell r="AZ1075" t="str">
            <v>RdEEZwjHezM</v>
          </cell>
        </row>
        <row r="1076">
          <cell r="AY1076" t="str">
            <v>Hemko Hospital</v>
          </cell>
          <cell r="AZ1076" t="str">
            <v>s9bl6apI0dc</v>
          </cell>
        </row>
        <row r="1077">
          <cell r="AY1077" t="str">
            <v>Homa Hospital</v>
          </cell>
          <cell r="AZ1077" t="str">
            <v>xSgOL9OVNfU</v>
          </cell>
        </row>
        <row r="1078">
          <cell r="AY1078" t="str">
            <v>Immaculate Hospital</v>
          </cell>
          <cell r="AZ1078" t="str">
            <v>baLNc1OTsyV</v>
          </cell>
        </row>
        <row r="1079">
          <cell r="AY1079" t="str">
            <v>Makurdi Family Support Program Clinic</v>
          </cell>
          <cell r="AZ1079" t="str">
            <v>dWMSkFIYteW</v>
          </cell>
        </row>
        <row r="1080">
          <cell r="AY1080" t="str">
            <v>Northbank General Hospital</v>
          </cell>
          <cell r="AZ1080" t="str">
            <v>XAGjhppjhh3</v>
          </cell>
        </row>
        <row r="1081">
          <cell r="AY1081" t="str">
            <v>Origbo Primary Health Center</v>
          </cell>
          <cell r="AZ1081" t="str">
            <v>DVKW20STdPp</v>
          </cell>
        </row>
        <row r="1082">
          <cell r="AY1082" t="str">
            <v>Oruwa Primary Health Center</v>
          </cell>
          <cell r="AZ1082" t="str">
            <v>maFYA6npiof</v>
          </cell>
        </row>
        <row r="1083">
          <cell r="AY1083" t="str">
            <v>Rahama Clinic and Maternity</v>
          </cell>
          <cell r="AZ1083" t="str">
            <v>Km93XCNZYCr</v>
          </cell>
        </row>
        <row r="1084">
          <cell r="AY1084" t="str">
            <v>Ushakaa Hospital</v>
          </cell>
          <cell r="AZ1084" t="str">
            <v>FuHdYbMsHCb</v>
          </cell>
        </row>
        <row r="1085">
          <cell r="AY1085" t="str">
            <v>Wadata Primary Health Center</v>
          </cell>
          <cell r="AZ1085" t="str">
            <v>XKWExXxnuL0</v>
          </cell>
        </row>
        <row r="1086">
          <cell r="AY1086" t="str">
            <v>Bethesda Hospital - Ikachi</v>
          </cell>
          <cell r="AZ1086" t="str">
            <v>rEQ6l5PTFp8</v>
          </cell>
        </row>
        <row r="1087">
          <cell r="AY1087" t="str">
            <v>Obussa Primary Health Center</v>
          </cell>
          <cell r="AZ1087" t="str">
            <v>mqsSy5I1kdU</v>
          </cell>
        </row>
        <row r="1088">
          <cell r="AY1088" t="str">
            <v>Adikpo Mgbaagwa Comprehensive Health Center</v>
          </cell>
          <cell r="AZ1088" t="str">
            <v>NNdKVtjFoci</v>
          </cell>
        </row>
        <row r="1089">
          <cell r="AY1089" t="str">
            <v>Akerior Comprehensive Health Center</v>
          </cell>
          <cell r="AZ1089" t="str">
            <v>XS7oHkodgdY</v>
          </cell>
        </row>
        <row r="1090">
          <cell r="AY1090" t="str">
            <v>Atekombo Comprehensive Health Center</v>
          </cell>
          <cell r="AZ1090" t="str">
            <v>qHFn6eKPzZR</v>
          </cell>
        </row>
        <row r="1091">
          <cell r="AY1091" t="str">
            <v>Baki Clinic</v>
          </cell>
          <cell r="AZ1091" t="str">
            <v>UnkA6GX7nnG</v>
          </cell>
        </row>
        <row r="1092">
          <cell r="AY1092" t="str">
            <v>Bethsaida Clinic</v>
          </cell>
          <cell r="AZ1092" t="str">
            <v>EDdYwB26l0W</v>
          </cell>
        </row>
        <row r="1093">
          <cell r="AY1093" t="str">
            <v>City Clinic</v>
          </cell>
          <cell r="AZ1093" t="str">
            <v>HznzDeNotIB</v>
          </cell>
        </row>
        <row r="1094">
          <cell r="AY1094" t="str">
            <v>Faith Health Clinic - Atoga</v>
          </cell>
          <cell r="AZ1094" t="str">
            <v>Mb6TF6q1qQF</v>
          </cell>
        </row>
        <row r="1095">
          <cell r="AY1095" t="str">
            <v>Hegha Comprehensive Health Center</v>
          </cell>
          <cell r="AZ1095" t="str">
            <v>CZugrC0pZ3a</v>
          </cell>
        </row>
        <row r="1096">
          <cell r="AY1096" t="str">
            <v>Hitom Orbiam Comprehensive Health Center</v>
          </cell>
          <cell r="AZ1096" t="str">
            <v>JTD3QnVPI8l</v>
          </cell>
        </row>
        <row r="1097">
          <cell r="AY1097" t="str">
            <v>Kartyo Comprehensive Health Center</v>
          </cell>
          <cell r="AZ1097" t="str">
            <v>oOwDebIrySs</v>
          </cell>
        </row>
        <row r="1098">
          <cell r="AY1098" t="str">
            <v>Ladi Ugee Health Clinic</v>
          </cell>
          <cell r="AZ1098" t="str">
            <v>GPLUhQcAk09</v>
          </cell>
        </row>
        <row r="1099">
          <cell r="AY1099" t="str">
            <v>Manor Health Center</v>
          </cell>
          <cell r="AZ1099" t="str">
            <v>cb0V8ceIp0o</v>
          </cell>
        </row>
        <row r="1100">
          <cell r="AY1100" t="str">
            <v>Maternal and Child Health Centre Lessel</v>
          </cell>
          <cell r="AZ1100" t="str">
            <v>vGJhQeNenm1</v>
          </cell>
        </row>
        <row r="1101">
          <cell r="AY1101" t="str">
            <v>Mayange Primary Health Care</v>
          </cell>
          <cell r="AZ1101" t="str">
            <v>UdO3AJxt6D7</v>
          </cell>
        </row>
        <row r="1102">
          <cell r="AY1102" t="str">
            <v>Mgbayiman Clinic</v>
          </cell>
          <cell r="AZ1102" t="str">
            <v>GDWQ1gtrq7o</v>
          </cell>
        </row>
        <row r="1103">
          <cell r="AY1103" t="str">
            <v>Nedoo Clinic</v>
          </cell>
          <cell r="AZ1103" t="str">
            <v>ZHg3OR5tcsX</v>
          </cell>
        </row>
        <row r="1104">
          <cell r="AY1104" t="str">
            <v>Nongu u Kristu ke Sudan hen Tiv (NKST) Clinic -Aku</v>
          </cell>
          <cell r="AZ1104" t="str">
            <v>yk6RVaDElKT</v>
          </cell>
        </row>
        <row r="1105">
          <cell r="AY1105" t="str">
            <v>Oostra-Gum Clinic and Maternity</v>
          </cell>
          <cell r="AZ1105" t="str">
            <v>oVvqxfB2P4W</v>
          </cell>
        </row>
        <row r="1106">
          <cell r="AY1106" t="str">
            <v>Phesset Clinic</v>
          </cell>
          <cell r="AZ1106" t="str">
            <v>mHQFWXYfC6i</v>
          </cell>
        </row>
        <row r="1107">
          <cell r="AY1107" t="str">
            <v>Progress Clinic</v>
          </cell>
          <cell r="AZ1107" t="str">
            <v>kWdcnanesGf</v>
          </cell>
        </row>
        <row r="1108">
          <cell r="AY1108" t="str">
            <v>Sati Ikov Health Clinic</v>
          </cell>
          <cell r="AZ1108" t="str">
            <v>LUkUENaNGN6</v>
          </cell>
        </row>
        <row r="1109">
          <cell r="AY1109" t="str">
            <v>St. Augustine Clinic</v>
          </cell>
          <cell r="AZ1109" t="str">
            <v>vsOSmmIFlY5</v>
          </cell>
        </row>
        <row r="1110">
          <cell r="AY1110" t="str">
            <v>St. Francis Primary Health Center</v>
          </cell>
          <cell r="AZ1110" t="str">
            <v>xJSu0qeS9vf</v>
          </cell>
        </row>
        <row r="1111">
          <cell r="AY1111" t="str">
            <v>Tor Medical Center - Ushongo</v>
          </cell>
          <cell r="AZ1111" t="str">
            <v>TWjlsSujkEb</v>
          </cell>
        </row>
        <row r="1112">
          <cell r="AY1112" t="str">
            <v>Tseghem Comprehensive Health Center</v>
          </cell>
          <cell r="AZ1112" t="str">
            <v>cOc62Ku53kR</v>
          </cell>
        </row>
        <row r="1113">
          <cell r="AY1113" t="str">
            <v>Tyson Clinic</v>
          </cell>
          <cell r="AZ1113" t="str">
            <v>fRu5JBdDWTp</v>
          </cell>
        </row>
        <row r="1114">
          <cell r="AY1114" t="str">
            <v>Ushongo Comprehensive Health Center</v>
          </cell>
          <cell r="AZ1114" t="str">
            <v>AC09BTkiT9k</v>
          </cell>
        </row>
        <row r="1115">
          <cell r="AY1115" t="str">
            <v>Waapera Comprehensive Health Center</v>
          </cell>
          <cell r="AZ1115" t="str">
            <v>Bt9AmJKxN28</v>
          </cell>
        </row>
        <row r="1116">
          <cell r="AY1116" t="str">
            <v>Wajir Primary Health Center</v>
          </cell>
          <cell r="AZ1116" t="str">
            <v>TGvQr45Lmoy</v>
          </cell>
        </row>
        <row r="1117">
          <cell r="AY1117" t="str">
            <v>Yaakar Comprehensive Health Center</v>
          </cell>
          <cell r="AZ1117" t="str">
            <v>cIKRpGcM5yd</v>
          </cell>
        </row>
        <row r="1118">
          <cell r="AY1118" t="str">
            <v>Yanibo Clinic</v>
          </cell>
          <cell r="AZ1118" t="str">
            <v>mQvR7uUjq8a</v>
          </cell>
        </row>
        <row r="1119">
          <cell r="AY1119" t="str">
            <v>Yimase Clinic</v>
          </cell>
          <cell r="AZ1119" t="str">
            <v>qCNoZOVZNMS</v>
          </cell>
        </row>
        <row r="1120">
          <cell r="AY1120" t="str">
            <v>Erhoike Cottage Hospital</v>
          </cell>
          <cell r="AZ1120" t="str">
            <v>CKaHg4rNsaT</v>
          </cell>
        </row>
        <row r="1121">
          <cell r="AY1121" t="str">
            <v>Agbor Central Hospital</v>
          </cell>
          <cell r="AZ1121" t="str">
            <v>HFp2lb9f404</v>
          </cell>
        </row>
        <row r="1122">
          <cell r="AY1122" t="str">
            <v>Federal Medical Center - Asaba</v>
          </cell>
          <cell r="AZ1122" t="str">
            <v>Fd3GeuuIXaT</v>
          </cell>
        </row>
        <row r="1123">
          <cell r="AY1123" t="str">
            <v>Okwe General Hospital</v>
          </cell>
          <cell r="AZ1123" t="str">
            <v>ATzoX3X0tMC</v>
          </cell>
        </row>
        <row r="1124">
          <cell r="AY1124" t="str">
            <v>Ekpan General Hospital</v>
          </cell>
          <cell r="AZ1124" t="str">
            <v>MarzoBBhHwN</v>
          </cell>
        </row>
        <row r="1125">
          <cell r="AY1125" t="str">
            <v>Ekiti State University Teaching Hospital, Ado-Ekiti</v>
          </cell>
          <cell r="AZ1125" t="str">
            <v>NG8ugV9Xv57</v>
          </cell>
        </row>
        <row r="1126">
          <cell r="AY1126" t="str">
            <v>Okesa Ekiti Comprehensive Health Center</v>
          </cell>
          <cell r="AZ1126" t="str">
            <v>itv14Kob5b5</v>
          </cell>
        </row>
        <row r="1127">
          <cell r="AY1127" t="str">
            <v>Omuo Ekiti General Hospital</v>
          </cell>
          <cell r="AZ1127" t="str">
            <v>IaAbEGvnhF7</v>
          </cell>
        </row>
        <row r="1128">
          <cell r="AY1128" t="str">
            <v>Federal Medical Center, Ido-Ekiti</v>
          </cell>
          <cell r="AZ1128" t="str">
            <v>tvMCpBfPpNr</v>
          </cell>
        </row>
        <row r="1129">
          <cell r="AY1129" t="str">
            <v>Iye Ekiti General Hospital</v>
          </cell>
          <cell r="AZ1129" t="str">
            <v>m0MGjVaytWB</v>
          </cell>
        </row>
        <row r="1130">
          <cell r="AY1130" t="str">
            <v>Ifelodun</v>
          </cell>
          <cell r="AZ1130" t="str">
            <v>bxXIciySrPz</v>
          </cell>
        </row>
        <row r="1131">
          <cell r="AY1131" t="str">
            <v>Oye Ekiti General Hospital</v>
          </cell>
          <cell r="AZ1131" t="str">
            <v>IjAiByZWjsw</v>
          </cell>
        </row>
        <row r="1132">
          <cell r="AY1132" t="str">
            <v>Abaji General Hospital</v>
          </cell>
          <cell r="AZ1132" t="str">
            <v>Z226xvNYD7J</v>
          </cell>
        </row>
        <row r="1133">
          <cell r="AY1133" t="str">
            <v>Nanda Primary Health Center</v>
          </cell>
          <cell r="AZ1133" t="str">
            <v>DnwrPe4eo4i</v>
          </cell>
        </row>
        <row r="1134">
          <cell r="AY1134" t="str">
            <v>Abuja Unity Hospital and Maternity</v>
          </cell>
          <cell r="AZ1134" t="str">
            <v>YvmovwyRKTP</v>
          </cell>
        </row>
        <row r="1135">
          <cell r="AY1135" t="str">
            <v>Agnes Maternity</v>
          </cell>
          <cell r="AZ1135" t="str">
            <v>Z1fnpPnG6s3</v>
          </cell>
        </row>
        <row r="1136">
          <cell r="AY1136" t="str">
            <v>Alliance Hospital</v>
          </cell>
          <cell r="AZ1136" t="str">
            <v>aUEMySOgyUj</v>
          </cell>
        </row>
        <row r="1137">
          <cell r="AY1137" t="str">
            <v>Amana Medical Center</v>
          </cell>
          <cell r="AZ1137" t="str">
            <v>nifRDBNbpDq</v>
          </cell>
        </row>
        <row r="1138">
          <cell r="AY1138" t="str">
            <v>Asher Hospital &amp; Maternity</v>
          </cell>
          <cell r="AZ1138" t="str">
            <v>rIw2AJ83KeO</v>
          </cell>
        </row>
        <row r="1139">
          <cell r="AY1139" t="str">
            <v>Asokoro District Hospital</v>
          </cell>
          <cell r="AZ1139" t="str">
            <v>wp753KYAdno</v>
          </cell>
        </row>
        <row r="1140">
          <cell r="AY1140" t="str">
            <v>Atlas Medical Center</v>
          </cell>
          <cell r="AZ1140" t="str">
            <v>zUmJoNoqzZn</v>
          </cell>
        </row>
        <row r="1141">
          <cell r="AY1141" t="str">
            <v>Ayenmere Memorial Hospital</v>
          </cell>
          <cell r="AZ1141" t="str">
            <v>bOVUjhiimCM</v>
          </cell>
        </row>
        <row r="1142">
          <cell r="AY1142" t="str">
            <v>Bassa Jiwa Primary Health Center</v>
          </cell>
          <cell r="AZ1142" t="str">
            <v>aJo7iehgsff</v>
          </cell>
        </row>
        <row r="1143">
          <cell r="AY1143" t="str">
            <v>Bethel Clinic and Maternity</v>
          </cell>
          <cell r="AZ1143" t="str">
            <v>RYVTvf4hkWx</v>
          </cell>
        </row>
        <row r="1144">
          <cell r="AY1144" t="str">
            <v>Bismol Hospital and Maternity</v>
          </cell>
          <cell r="AZ1144" t="str">
            <v>QWpkml91U0m</v>
          </cell>
        </row>
        <row r="1145">
          <cell r="AY1145" t="str">
            <v>Burum Primary Health Center</v>
          </cell>
          <cell r="AZ1145" t="str">
            <v>cQxuFlYjUom</v>
          </cell>
        </row>
        <row r="1146">
          <cell r="AY1146" t="str">
            <v>Cream Medics</v>
          </cell>
          <cell r="AZ1146" t="str">
            <v>APriVNdVSRc</v>
          </cell>
        </row>
        <row r="1147">
          <cell r="AY1147" t="str">
            <v>Custom Staff Clinic</v>
          </cell>
          <cell r="AZ1147" t="str">
            <v>e3W0JOHKtvn</v>
          </cell>
        </row>
        <row r="1148">
          <cell r="AY1148" t="str">
            <v>Dara Medical Hospital</v>
          </cell>
          <cell r="AZ1148" t="str">
            <v>TmfH7injEXb</v>
          </cell>
        </row>
        <row r="1149">
          <cell r="AY1149" t="str">
            <v>De Rose Of Sharon Clinic and Maternity Hospital</v>
          </cell>
          <cell r="AZ1149" t="str">
            <v>HDftMwEayKH</v>
          </cell>
        </row>
        <row r="1150">
          <cell r="AY1150" t="str">
            <v>Deidei Health Clinic</v>
          </cell>
          <cell r="AZ1150" t="str">
            <v>DVn6RH9LDGb</v>
          </cell>
        </row>
        <row r="1151">
          <cell r="AY1151" t="str">
            <v>Diamond Medical Center</v>
          </cell>
          <cell r="AZ1151" t="str">
            <v>sUryQ7n0dAg</v>
          </cell>
        </row>
        <row r="1152">
          <cell r="AY1152" t="str">
            <v>Divine Clinic</v>
          </cell>
          <cell r="AZ1152" t="str">
            <v>IZhhzZVoPQX</v>
          </cell>
        </row>
        <row r="1153">
          <cell r="AY1153" t="str">
            <v>Dutsen Garki Primary Health Center</v>
          </cell>
          <cell r="AZ1153" t="str">
            <v>h5StehEhtb8</v>
          </cell>
        </row>
        <row r="1154">
          <cell r="AY1154" t="str">
            <v>Ebony Hospital</v>
          </cell>
          <cell r="AZ1154" t="str">
            <v>NusIgPpngbI</v>
          </cell>
        </row>
        <row r="1155">
          <cell r="AY1155" t="str">
            <v>EFAB Medical Center</v>
          </cell>
          <cell r="AZ1155" t="str">
            <v>DYplRcUZFjp</v>
          </cell>
        </row>
        <row r="1156">
          <cell r="AY1156" t="str">
            <v>Evangelical Church of West Africa (ECWA) Medical Center</v>
          </cell>
          <cell r="AZ1156" t="str">
            <v>V9AWhIYQ8Uv</v>
          </cell>
        </row>
        <row r="1157">
          <cell r="AY1157" t="str">
            <v>Family Care Multi Clinics</v>
          </cell>
          <cell r="AZ1157" t="str">
            <v>gVpGcw23ZZ4</v>
          </cell>
        </row>
        <row r="1158">
          <cell r="AY1158" t="str">
            <v>Federal Staff Hospital - Gwarimpa</v>
          </cell>
          <cell r="AZ1158" t="str">
            <v>dtlt61TM6ac</v>
          </cell>
        </row>
        <row r="1159">
          <cell r="AY1159" t="str">
            <v>Federal Staff Hospital - Jabi</v>
          </cell>
          <cell r="AZ1159" t="str">
            <v>LmLBtmd8U43</v>
          </cell>
        </row>
        <row r="1160">
          <cell r="AY1160" t="str">
            <v>Fereprod Medical Center</v>
          </cell>
          <cell r="AZ1160" t="str">
            <v>YanQR0c32TZ</v>
          </cell>
        </row>
        <row r="1161">
          <cell r="AY1161" t="str">
            <v>Freedomscan Medical Center</v>
          </cell>
          <cell r="AZ1161" t="str">
            <v>gNhTYE0YB0P</v>
          </cell>
        </row>
        <row r="1162">
          <cell r="AY1162" t="str">
            <v>Garki Hospital Abuja</v>
          </cell>
          <cell r="AZ1162" t="str">
            <v>SLDfqhuQVZW</v>
          </cell>
        </row>
        <row r="1163">
          <cell r="AY1163" t="str">
            <v>Garki Primary Health Center</v>
          </cell>
          <cell r="AZ1163" t="str">
            <v>DoBKAbdLSP0</v>
          </cell>
        </row>
        <row r="1164">
          <cell r="AY1164" t="str">
            <v>Getwell Hospital</v>
          </cell>
          <cell r="AZ1164" t="str">
            <v>eVRpUIGh9Lh</v>
          </cell>
        </row>
        <row r="1165">
          <cell r="AY1165" t="str">
            <v>Gidan Mangoro Primary Health Center</v>
          </cell>
          <cell r="AZ1165" t="str">
            <v>ae7yf6GzRsl</v>
          </cell>
        </row>
        <row r="1166">
          <cell r="AY1166" t="str">
            <v>Gugugu Health Post</v>
          </cell>
          <cell r="AZ1166" t="str">
            <v>KJxONI8lfvO</v>
          </cell>
        </row>
        <row r="1167">
          <cell r="AY1167" t="str">
            <v>Gwagwa Primary Health Center</v>
          </cell>
          <cell r="AZ1167" t="str">
            <v>ZVyH4YGTvGM</v>
          </cell>
        </row>
        <row r="1168">
          <cell r="AY1168" t="str">
            <v>Gwarimpa General Hospital</v>
          </cell>
          <cell r="AZ1168" t="str">
            <v>xiXIP4UV1BR</v>
          </cell>
        </row>
        <row r="1169">
          <cell r="AY1169" t="str">
            <v>Hi-Fi Hospital</v>
          </cell>
          <cell r="AZ1169" t="str">
            <v>lwuFhtAhFbk</v>
          </cell>
        </row>
        <row r="1170">
          <cell r="AY1170" t="str">
            <v>Holy Trinity Hospital</v>
          </cell>
          <cell r="AZ1170" t="str">
            <v>dbvubsqBrWd</v>
          </cell>
        </row>
        <row r="1171">
          <cell r="AY1171" t="str">
            <v>Iddo Pada Primary Health Center</v>
          </cell>
          <cell r="AZ1171" t="str">
            <v>WYI87feZ4qB</v>
          </cell>
        </row>
        <row r="1172">
          <cell r="AY1172" t="str">
            <v>Idu Karimo Primary Health Center</v>
          </cell>
          <cell r="AZ1172" t="str">
            <v>rdDoegrEtum</v>
          </cell>
        </row>
        <row r="1173">
          <cell r="AY1173" t="str">
            <v>Jahi Primary Health Center</v>
          </cell>
          <cell r="AZ1173" t="str">
            <v>k1b8RGXowza</v>
          </cell>
        </row>
        <row r="1174">
          <cell r="AY1174" t="str">
            <v>Jikwoyi Medical Center</v>
          </cell>
          <cell r="AZ1174" t="str">
            <v>w5ZwJg0X5D4</v>
          </cell>
        </row>
        <row r="1175">
          <cell r="AY1175" t="str">
            <v>Jikwoyi Primary Health Center</v>
          </cell>
          <cell r="AZ1175" t="str">
            <v>Jvd5y9U8yMI</v>
          </cell>
        </row>
        <row r="1176">
          <cell r="AY1176" t="str">
            <v>Jiwa Primary Health Center</v>
          </cell>
          <cell r="AZ1176" t="str">
            <v>JVEcArvuL4Z</v>
          </cell>
        </row>
        <row r="1177">
          <cell r="AY1177" t="str">
            <v>Kabusa Primary Health Center</v>
          </cell>
          <cell r="AZ1177" t="str">
            <v>GUXd34TURNZ</v>
          </cell>
        </row>
        <row r="1178">
          <cell r="AY1178" t="str">
            <v>Kagini Primary Health Center</v>
          </cell>
          <cell r="AZ1178" t="str">
            <v>wF0endAxIJX</v>
          </cell>
        </row>
        <row r="1179">
          <cell r="AY1179" t="str">
            <v>Karshi General Hospital</v>
          </cell>
          <cell r="AZ1179" t="str">
            <v>r2S8m4Z1g4A</v>
          </cell>
        </row>
        <row r="1180">
          <cell r="AY1180" t="str">
            <v>Karshi Primary Health Center</v>
          </cell>
          <cell r="AZ1180" t="str">
            <v>SpSTJ4KRVyh</v>
          </cell>
        </row>
        <row r="1181">
          <cell r="AY1181" t="str">
            <v>Karu Primary Health Center</v>
          </cell>
          <cell r="AZ1181" t="str">
            <v>PbRh5MSdqkf</v>
          </cell>
        </row>
        <row r="1182">
          <cell r="AY1182" t="str">
            <v>Kefat Medical Center</v>
          </cell>
          <cell r="AZ1182" t="str">
            <v>fUJJDkPva9X</v>
          </cell>
        </row>
        <row r="1183">
          <cell r="AY1183" t="str">
            <v>King's Care Hospital</v>
          </cell>
          <cell r="AZ1183" t="str">
            <v>wTmsnc4kenf</v>
          </cell>
        </row>
        <row r="1184">
          <cell r="AY1184" t="str">
            <v>Kpaduma Primary Health Center</v>
          </cell>
          <cell r="AZ1184" t="str">
            <v>qXmgK5m4VaX</v>
          </cell>
        </row>
        <row r="1185">
          <cell r="AY1185" t="str">
            <v>Kuchingoro Primary Health Center</v>
          </cell>
          <cell r="AZ1185" t="str">
            <v>JI8s1z5gpoc</v>
          </cell>
        </row>
        <row r="1186">
          <cell r="AY1186" t="str">
            <v>Kurudu Primary Health Center</v>
          </cell>
          <cell r="AZ1186" t="str">
            <v>TkzDfwZL3qF</v>
          </cell>
        </row>
        <row r="1187">
          <cell r="AY1187" t="str">
            <v>Louis Pasteur Hospital</v>
          </cell>
          <cell r="AZ1187" t="str">
            <v>gJDHs8tNdnE</v>
          </cell>
        </row>
        <row r="1188">
          <cell r="AY1188" t="str">
            <v>Lugbe Maternity and Hospital</v>
          </cell>
          <cell r="AZ1188" t="str">
            <v>V3cnerP32o7</v>
          </cell>
        </row>
        <row r="1189">
          <cell r="AY1189" t="str">
            <v>Lugbe Primary Health Center</v>
          </cell>
          <cell r="AZ1189" t="str">
            <v>E82uS1Gnznn</v>
          </cell>
        </row>
        <row r="1190">
          <cell r="AY1190" t="str">
            <v>Mabushi Primary Health Center</v>
          </cell>
          <cell r="AZ1190" t="str">
            <v>G91WOGelwHd</v>
          </cell>
        </row>
        <row r="1191">
          <cell r="AY1191" t="str">
            <v>Maitama General Hospital</v>
          </cell>
          <cell r="AZ1191" t="str">
            <v>TJ3gInbwDXs</v>
          </cell>
        </row>
        <row r="1192">
          <cell r="AY1192" t="str">
            <v>Massan Clinic Limited</v>
          </cell>
          <cell r="AZ1192" t="str">
            <v>gLfqoHRtXMC</v>
          </cell>
        </row>
        <row r="1193">
          <cell r="AY1193" t="str">
            <v>Medimore Hospital</v>
          </cell>
          <cell r="AZ1193" t="str">
            <v>Z4XqgnKjhg6</v>
          </cell>
        </row>
        <row r="1194">
          <cell r="AY1194" t="str">
            <v>Midland Clinic</v>
          </cell>
          <cell r="AZ1194" t="str">
            <v>rMMAz8BJpYn</v>
          </cell>
        </row>
        <row r="1195">
          <cell r="AY1195" t="str">
            <v>Mpape Primary Health Center</v>
          </cell>
          <cell r="AZ1195" t="str">
            <v>Gq6VRX4SDTV</v>
          </cell>
        </row>
        <row r="1196">
          <cell r="AY1196" t="str">
            <v>National Hospital - Abuja</v>
          </cell>
          <cell r="AZ1196" t="str">
            <v>meYf9FxUI4c</v>
          </cell>
        </row>
        <row r="1197">
          <cell r="AY1197" t="str">
            <v>National Institute For Pharmaceutical Research - Idu</v>
          </cell>
          <cell r="AZ1197" t="str">
            <v>IGd2xA1uWF9</v>
          </cell>
        </row>
        <row r="1198">
          <cell r="AY1198" t="str">
            <v>Neumed Hospital</v>
          </cell>
          <cell r="AZ1198" t="str">
            <v>Dyrg5CoNurM</v>
          </cell>
        </row>
        <row r="1199">
          <cell r="AY1199" t="str">
            <v>Northland Medical Center</v>
          </cell>
          <cell r="AZ1199" t="str">
            <v>vQw04A24H0T</v>
          </cell>
        </row>
        <row r="1200">
          <cell r="AY1200" t="str">
            <v>Nyanya General Hospital</v>
          </cell>
          <cell r="AZ1200" t="str">
            <v>vdQKOn1w8Ql</v>
          </cell>
        </row>
        <row r="1201">
          <cell r="AY1201" t="str">
            <v>Our Lady's Clinic and Maternity</v>
          </cell>
          <cell r="AZ1201" t="str">
            <v>yPCziAkwkzg</v>
          </cell>
        </row>
        <row r="1202">
          <cell r="AY1202" t="str">
            <v>Paafag Hospital</v>
          </cell>
          <cell r="AZ1202" t="str">
            <v>oLmSzAUmcRy</v>
          </cell>
        </row>
        <row r="1203">
          <cell r="AY1203" t="str">
            <v>Pan-Raf Hospital</v>
          </cell>
          <cell r="AZ1203" t="str">
            <v>RJQw1UeNELQ</v>
          </cell>
        </row>
        <row r="1204">
          <cell r="AY1204" t="str">
            <v>Peace Care Clinic</v>
          </cell>
          <cell r="AZ1204" t="str">
            <v>v6UOq4tLCsj</v>
          </cell>
        </row>
        <row r="1205">
          <cell r="AY1205" t="str">
            <v>Pigba Medical Center</v>
          </cell>
          <cell r="AZ1205" t="str">
            <v>lTyNAjkImn8</v>
          </cell>
        </row>
        <row r="1206">
          <cell r="AY1206" t="str">
            <v>Police Clinic - Abuja</v>
          </cell>
          <cell r="AZ1206" t="str">
            <v>MYIbzpMWd8N</v>
          </cell>
        </row>
        <row r="1207">
          <cell r="AY1207" t="str">
            <v>Precious Clinic and Maternity</v>
          </cell>
          <cell r="AZ1207" t="str">
            <v>SpJT9yC6Mso</v>
          </cell>
        </row>
        <row r="1208">
          <cell r="AY1208" t="str">
            <v>Prime Care Hospital</v>
          </cell>
          <cell r="AZ1208" t="str">
            <v>CACn4oMcaDB</v>
          </cell>
        </row>
        <row r="1209">
          <cell r="AY1209" t="str">
            <v>Queens Clinic And Maternity</v>
          </cell>
          <cell r="AZ1209" t="str">
            <v>gPzTgphPpvP</v>
          </cell>
        </row>
        <row r="1210">
          <cell r="AY1210" t="str">
            <v>Rapha Hospital</v>
          </cell>
          <cell r="AZ1210" t="str">
            <v>K4SJ3bYXMq8</v>
          </cell>
        </row>
        <row r="1211">
          <cell r="AY1211" t="str">
            <v>Rouz Hospital and Maternity</v>
          </cell>
          <cell r="AZ1211" t="str">
            <v>Ghm98QaBy8V</v>
          </cell>
        </row>
        <row r="1212">
          <cell r="AY1212" t="str">
            <v>Royal Specialist Hospital</v>
          </cell>
          <cell r="AZ1212" t="str">
            <v>SrXa2CfiKUW</v>
          </cell>
        </row>
        <row r="1213">
          <cell r="AY1213" t="str">
            <v>Ruz Medical and Diagnostic Centre</v>
          </cell>
          <cell r="AZ1213" t="str">
            <v>kRQE3PKNMcY</v>
          </cell>
        </row>
        <row r="1214">
          <cell r="AY1214" t="str">
            <v>Saffron Hospital</v>
          </cell>
          <cell r="AZ1214" t="str">
            <v>HVyvyE3c0Yf</v>
          </cell>
        </row>
        <row r="1215">
          <cell r="AY1215" t="str">
            <v>Sauki Private Hospital</v>
          </cell>
          <cell r="AZ1215" t="str">
            <v>uZx47qT9QYw</v>
          </cell>
        </row>
        <row r="1216">
          <cell r="AY1216" t="str">
            <v>Shereti Primary Health Center</v>
          </cell>
          <cell r="AZ1216" t="str">
            <v>no5jUGnd1ZR</v>
          </cell>
        </row>
        <row r="1217">
          <cell r="AY1217" t="str">
            <v>Standard Care Hospital</v>
          </cell>
          <cell r="AZ1217" t="str">
            <v>zTOPNsW4lUA</v>
          </cell>
        </row>
        <row r="1218">
          <cell r="AY1218" t="str">
            <v>The Crown Hospital</v>
          </cell>
          <cell r="AZ1218" t="str">
            <v>p7SR54qwbtD</v>
          </cell>
        </row>
        <row r="1219">
          <cell r="AY1219" t="str">
            <v>Tolbert Specialist Hospital</v>
          </cell>
          <cell r="AZ1219" t="str">
            <v>HWdlzBDQFPb</v>
          </cell>
        </row>
        <row r="1220">
          <cell r="AY1220" t="str">
            <v>Tungan Madaki Primary Health Center</v>
          </cell>
          <cell r="AZ1220" t="str">
            <v>ftFlav8W7xa</v>
          </cell>
        </row>
        <row r="1221">
          <cell r="AY1221" t="str">
            <v>Una Clinic</v>
          </cell>
          <cell r="AZ1221" t="str">
            <v>tbaFtFctcb8</v>
          </cell>
        </row>
        <row r="1222">
          <cell r="AY1222" t="str">
            <v>Yabisam Hospital</v>
          </cell>
          <cell r="AZ1222" t="str">
            <v>rIR1wprAE7M</v>
          </cell>
        </row>
        <row r="1223">
          <cell r="AY1223" t="str">
            <v>Zamman Medical Center</v>
          </cell>
          <cell r="AZ1223" t="str">
            <v>Cus2zgVLYzI</v>
          </cell>
        </row>
        <row r="1224">
          <cell r="AY1224" t="str">
            <v>Zenith Medical Center</v>
          </cell>
          <cell r="AZ1224" t="str">
            <v>F3mjSRmDdCj</v>
          </cell>
        </row>
        <row r="1225">
          <cell r="AY1225" t="str">
            <v>Zitadel Hospital</v>
          </cell>
          <cell r="AZ1225" t="str">
            <v>y6HYnDXF6Uv</v>
          </cell>
        </row>
        <row r="1226">
          <cell r="AY1226" t="str">
            <v>Apex Specialist Hospital</v>
          </cell>
          <cell r="AZ1226" t="str">
            <v>V6JGUZovtyk</v>
          </cell>
        </row>
        <row r="1227">
          <cell r="AY1227" t="str">
            <v>Bwari General Hospital</v>
          </cell>
          <cell r="AZ1227" t="str">
            <v>KA9udHas5Nt</v>
          </cell>
        </row>
        <row r="1228">
          <cell r="AY1228" t="str">
            <v>Bwari Medical Center</v>
          </cell>
          <cell r="AZ1228" t="str">
            <v>THd4hJ2BfQy</v>
          </cell>
        </row>
        <row r="1229">
          <cell r="AY1229" t="str">
            <v>Chitzere Maternity Home</v>
          </cell>
          <cell r="AZ1229" t="str">
            <v>o9te66bbXbK</v>
          </cell>
        </row>
        <row r="1230">
          <cell r="AY1230" t="str">
            <v>Dakwa Primary Health Center</v>
          </cell>
          <cell r="AZ1230" t="str">
            <v>buaTywWyRiB</v>
          </cell>
        </row>
        <row r="1231">
          <cell r="AY1231" t="str">
            <v>Dei Dei Comprehensive Health Center</v>
          </cell>
          <cell r="AZ1231" t="str">
            <v>gCq0WqCmVqi</v>
          </cell>
        </row>
        <row r="1232">
          <cell r="AY1232" t="str">
            <v>Divine Winners Clinic And Maternity</v>
          </cell>
          <cell r="AZ1232" t="str">
            <v>MTrVJduShZG</v>
          </cell>
        </row>
        <row r="1233">
          <cell r="AY1233" t="str">
            <v>Dominion Hospital</v>
          </cell>
          <cell r="AZ1233" t="str">
            <v>OJgWGZkJlTc</v>
          </cell>
        </row>
        <row r="1234">
          <cell r="AY1234" t="str">
            <v>Durumi Primary Health Center</v>
          </cell>
          <cell r="AZ1234" t="str">
            <v>L5zpxfg6nMU</v>
          </cell>
        </row>
        <row r="1235">
          <cell r="AY1235" t="str">
            <v>Excellence and Friends Management Consult (EFMC) Care Center (Modern Health Hospital)</v>
          </cell>
          <cell r="AZ1235" t="str">
            <v>xKvwaYWM2BS</v>
          </cell>
        </row>
        <row r="1236">
          <cell r="AY1236" t="str">
            <v>Express Hospital</v>
          </cell>
          <cell r="AZ1236" t="str">
            <v>SMNPrXL30v4</v>
          </cell>
        </row>
        <row r="1237">
          <cell r="AY1237" t="str">
            <v>Fill Medical Center</v>
          </cell>
          <cell r="AZ1237" t="str">
            <v>RI2jHNRJMdn</v>
          </cell>
        </row>
        <row r="1238">
          <cell r="AY1238" t="str">
            <v>Gaba Primary Health Centre</v>
          </cell>
          <cell r="AZ1238" t="str">
            <v>TINp36unhBr</v>
          </cell>
        </row>
        <row r="1239">
          <cell r="AY1239" t="str">
            <v>Gabic Divine Clinic and Maternity</v>
          </cell>
          <cell r="AZ1239" t="str">
            <v>z3lEh9ayyzV</v>
          </cell>
        </row>
        <row r="1240">
          <cell r="AY1240" t="str">
            <v>Galuwyi Primary Health Centre</v>
          </cell>
          <cell r="AZ1240" t="str">
            <v>z0yEj4D2xQT</v>
          </cell>
        </row>
        <row r="1241">
          <cell r="AY1241" t="str">
            <v>Goodness Land Clinic and Maternity</v>
          </cell>
          <cell r="AZ1241" t="str">
            <v>UkHphkpqSKb</v>
          </cell>
        </row>
        <row r="1242">
          <cell r="AY1242" t="str">
            <v>Gudupe Primary Health Centre</v>
          </cell>
          <cell r="AZ1242" t="str">
            <v>cV0VRbzrAdu</v>
          </cell>
        </row>
        <row r="1243">
          <cell r="AY1243" t="str">
            <v>Kogo Primary Health Center</v>
          </cell>
          <cell r="AZ1243" t="str">
            <v>cKDxPChHFCF</v>
          </cell>
        </row>
        <row r="1244">
          <cell r="AY1244" t="str">
            <v>Kubwa General Hospital</v>
          </cell>
          <cell r="AZ1244" t="str">
            <v>x9IejBPCQVb</v>
          </cell>
        </row>
        <row r="1245">
          <cell r="AY1245" t="str">
            <v>Kubwa Muslim Community Hospital</v>
          </cell>
          <cell r="AZ1245" t="str">
            <v>WElCAu2HpVu</v>
          </cell>
        </row>
        <row r="1246">
          <cell r="AY1246" t="str">
            <v>Kuchibuyi Primary Health Center</v>
          </cell>
          <cell r="AZ1246" t="str">
            <v>MjPJsyoDyUI</v>
          </cell>
        </row>
        <row r="1247">
          <cell r="AY1247" t="str">
            <v>Kuduru Primary Health Center</v>
          </cell>
          <cell r="AZ1247" t="str">
            <v>GXIQ6xT9o8T</v>
          </cell>
        </row>
        <row r="1248">
          <cell r="AY1248" t="str">
            <v>Kurumin Daudu Primary Health Center</v>
          </cell>
          <cell r="AZ1248" t="str">
            <v>iyY0Sl8NVcf</v>
          </cell>
        </row>
        <row r="1249">
          <cell r="AY1249" t="str">
            <v>Kute Primary Health Center</v>
          </cell>
          <cell r="AZ1249" t="str">
            <v>xj1ZMJSBCgs</v>
          </cell>
        </row>
        <row r="1250">
          <cell r="AY1250" t="str">
            <v>Lamina Hospital</v>
          </cell>
          <cell r="AZ1250" t="str">
            <v>nerKrdWVlFY</v>
          </cell>
        </row>
        <row r="1251">
          <cell r="AY1251" t="str">
            <v>Laura Hospital and Maternity</v>
          </cell>
          <cell r="AZ1251" t="str">
            <v>JORcUr1vjZ2</v>
          </cell>
        </row>
        <row r="1252">
          <cell r="AY1252" t="str">
            <v>Lower Usman Dam Primary Health Center</v>
          </cell>
          <cell r="AZ1252" t="str">
            <v>R7tewKvLsHH</v>
          </cell>
        </row>
        <row r="1253">
          <cell r="AY1253" t="str">
            <v>Lurcia Well Hospital Limited</v>
          </cell>
          <cell r="AZ1253" t="str">
            <v>aTyozPo1kwD</v>
          </cell>
        </row>
        <row r="1254">
          <cell r="AY1254" t="str">
            <v>M-Dali Hospital</v>
          </cell>
          <cell r="AZ1254" t="str">
            <v>bnUu3uUtKQ2</v>
          </cell>
        </row>
        <row r="1255">
          <cell r="AY1255" t="str">
            <v>Miracle Seed Clinic And Maternity</v>
          </cell>
          <cell r="AZ1255" t="str">
            <v>bVBWYm62p9C</v>
          </cell>
        </row>
        <row r="1256">
          <cell r="AY1256" t="str">
            <v>Omega Hospital</v>
          </cell>
          <cell r="AZ1256" t="str">
            <v>Rg6WyccbM1f</v>
          </cell>
        </row>
        <row r="1257">
          <cell r="AY1257" t="str">
            <v>Padan Igwari Health Post</v>
          </cell>
          <cell r="AZ1257" t="str">
            <v>X1qW7rDQQi4</v>
          </cell>
        </row>
        <row r="1258">
          <cell r="AY1258" t="str">
            <v>Pananuke Health Post</v>
          </cell>
          <cell r="AZ1258" t="str">
            <v>cKMCUCzug0v</v>
          </cell>
        </row>
        <row r="1259">
          <cell r="AY1259" t="str">
            <v>Piko Primary Health Center</v>
          </cell>
          <cell r="AZ1259" t="str">
            <v>cPMW89k4pm3</v>
          </cell>
        </row>
        <row r="1260">
          <cell r="AY1260" t="str">
            <v>Sabon Gari Primary Health Center</v>
          </cell>
          <cell r="AZ1260" t="str">
            <v>IJ5PG1Bw2VW</v>
          </cell>
        </row>
        <row r="1261">
          <cell r="AY1261" t="str">
            <v>Salihu'o Memoral Clinic and Maternity</v>
          </cell>
          <cell r="AZ1261" t="str">
            <v>ZbLJDFZRfQW</v>
          </cell>
        </row>
        <row r="1262">
          <cell r="AY1262" t="str">
            <v>Shere Primary Health Center</v>
          </cell>
          <cell r="AZ1262" t="str">
            <v>nbtCj3RMtzw</v>
          </cell>
        </row>
        <row r="1263">
          <cell r="AY1263" t="str">
            <v>Sumit Hospital</v>
          </cell>
          <cell r="AZ1263" t="str">
            <v>Z8B1VX79MbC</v>
          </cell>
        </row>
        <row r="1264">
          <cell r="AY1264" t="str">
            <v>Sumpe Health Post</v>
          </cell>
          <cell r="AZ1264" t="str">
            <v>YvwO8wMppCF</v>
          </cell>
        </row>
        <row r="1265">
          <cell r="AY1265" t="str">
            <v>Tokulo Primary Health Center</v>
          </cell>
          <cell r="AZ1265" t="str">
            <v>xkztr4vzUBD</v>
          </cell>
        </row>
        <row r="1266">
          <cell r="AY1266" t="str">
            <v>Tunganbijimi Primary Health Center</v>
          </cell>
          <cell r="AZ1266" t="str">
            <v>CML4M8t2cco</v>
          </cell>
        </row>
        <row r="1267">
          <cell r="AY1267" t="str">
            <v>Unity Clinic and Maternity</v>
          </cell>
          <cell r="AZ1267" t="str">
            <v>z5gQ18jlgj5</v>
          </cell>
        </row>
        <row r="1268">
          <cell r="AY1268" t="str">
            <v>Viva Hospital</v>
          </cell>
          <cell r="AZ1268" t="str">
            <v>RH2hXXYLm3t</v>
          </cell>
        </row>
        <row r="1269">
          <cell r="AY1269" t="str">
            <v>Yaupe Health Post</v>
          </cell>
          <cell r="AZ1269" t="str">
            <v>YMDtcfAHWOW</v>
          </cell>
        </row>
        <row r="1270">
          <cell r="AY1270" t="str">
            <v>Zhigakuchi Primary Health Center</v>
          </cell>
          <cell r="AZ1270" t="str">
            <v>HVbsitbHef7</v>
          </cell>
        </row>
        <row r="1271">
          <cell r="AY1271" t="str">
            <v>Zhiko Primary Health Center</v>
          </cell>
          <cell r="AZ1271" t="str">
            <v>B2dcelV1Rbo</v>
          </cell>
        </row>
        <row r="1272">
          <cell r="AY1272" t="str">
            <v>Dagiri Primary Health Center</v>
          </cell>
          <cell r="AZ1272" t="str">
            <v>WRIX0OX3q6e</v>
          </cell>
        </row>
        <row r="1273">
          <cell r="AY1273" t="str">
            <v>Gwagwalada Township Clinic</v>
          </cell>
          <cell r="AZ1273" t="str">
            <v>ZkdXdTHpcXN</v>
          </cell>
        </row>
        <row r="1274">
          <cell r="AY1274" t="str">
            <v>University Of Abuja Teaching Hospital - Gwagwalda</v>
          </cell>
          <cell r="AZ1274" t="str">
            <v>GW1w1chZMPR</v>
          </cell>
        </row>
        <row r="1275">
          <cell r="AY1275" t="str">
            <v>Viewpoint Hospital</v>
          </cell>
          <cell r="AZ1275" t="str">
            <v>sEhnC9NtLZX</v>
          </cell>
        </row>
        <row r="1276">
          <cell r="AY1276" t="str">
            <v>Yimi Primary Health Center</v>
          </cell>
          <cell r="AZ1276" t="str">
            <v>Vje0kITuxn5</v>
          </cell>
        </row>
        <row r="1277">
          <cell r="AY1277" t="str">
            <v>Zuba Primary Health Center</v>
          </cell>
          <cell r="AZ1277" t="str">
            <v>rgzdfVQ9AK2</v>
          </cell>
        </row>
        <row r="1278">
          <cell r="AY1278" t="str">
            <v>Rubochi General Hospital</v>
          </cell>
          <cell r="AZ1278" t="str">
            <v>jmPyqle03FT</v>
          </cell>
        </row>
        <row r="1279">
          <cell r="AY1279" t="str">
            <v>Sabo Primary Health Care</v>
          </cell>
          <cell r="AZ1279" t="str">
            <v>H0zE11DWLyo</v>
          </cell>
        </row>
        <row r="1280">
          <cell r="AY1280" t="str">
            <v>National Tuberculosis And Leprosy Training Center - Zaria</v>
          </cell>
          <cell r="AZ1280" t="str">
            <v>lLdc7dRUqzs</v>
          </cell>
        </row>
        <row r="1281">
          <cell r="AY1281" t="str">
            <v>Ahmadiyya Muslim Hospital</v>
          </cell>
          <cell r="AZ1281" t="str">
            <v>ti735gO0Yhm</v>
          </cell>
        </row>
        <row r="1282">
          <cell r="AY1282" t="str">
            <v>Evangelical Church of West Africa (ECWA) Clinic and Maternity</v>
          </cell>
          <cell r="AZ1282" t="str">
            <v>zcSL0a1oPEw</v>
          </cell>
        </row>
        <row r="1283">
          <cell r="AY1283" t="str">
            <v>Aminu Kano Teaching Hospital - Kano</v>
          </cell>
          <cell r="AZ1283" t="str">
            <v>E5jz9JxYBuv</v>
          </cell>
        </row>
        <row r="1284">
          <cell r="AY1284" t="str">
            <v>Tudun Wada General Hospital</v>
          </cell>
          <cell r="AZ1284" t="str">
            <v>jr0U0XTwpCo</v>
          </cell>
        </row>
        <row r="1285">
          <cell r="AY1285" t="str">
            <v>Mariya Sanusi Primary Health Care</v>
          </cell>
          <cell r="AZ1285" t="str">
            <v>PDVQpUxTXWh</v>
          </cell>
        </row>
        <row r="1286">
          <cell r="AY1286" t="str">
            <v>Waziri Shehu Gidado Hospital</v>
          </cell>
          <cell r="AZ1286" t="str">
            <v>tZy8wIM53xT</v>
          </cell>
        </row>
        <row r="1287">
          <cell r="AY1287" t="str">
            <v>Funtua General Hospital</v>
          </cell>
          <cell r="AZ1287" t="str">
            <v>yutnuUG0Y6L</v>
          </cell>
        </row>
        <row r="1288">
          <cell r="AY1288" t="str">
            <v>Kankia General Hospital</v>
          </cell>
          <cell r="AZ1288" t="str">
            <v>kW2bdDgnnuB</v>
          </cell>
        </row>
        <row r="1289">
          <cell r="AY1289" t="str">
            <v>Federal Medical Center - Katsina</v>
          </cell>
          <cell r="AZ1289" t="str">
            <v>E91YP7z3knH</v>
          </cell>
        </row>
        <row r="1290">
          <cell r="AY1290" t="str">
            <v>Katsina General Hospital</v>
          </cell>
          <cell r="AZ1290" t="str">
            <v>fuKySzRNkla</v>
          </cell>
        </row>
        <row r="1291">
          <cell r="AY1291" t="str">
            <v>Agyema Primary Health Center</v>
          </cell>
          <cell r="AZ1291" t="str">
            <v>vYYI1uFpY7L</v>
          </cell>
        </row>
        <row r="1292">
          <cell r="AY1292" t="str">
            <v>Alagye Primary Health Center</v>
          </cell>
          <cell r="AZ1292" t="str">
            <v>DbI2S56BNj3</v>
          </cell>
        </row>
        <row r="1293">
          <cell r="AY1293" t="str">
            <v>Angbashi Primary Health Center</v>
          </cell>
          <cell r="AZ1293" t="str">
            <v>SXPKvnIVVAx</v>
          </cell>
        </row>
        <row r="1294">
          <cell r="AY1294" t="str">
            <v>Arumangye Bosco Primary Health Center</v>
          </cell>
          <cell r="AZ1294" t="str">
            <v>A0ta1i6orqf</v>
          </cell>
        </row>
        <row r="1295">
          <cell r="AY1295" t="str">
            <v>Burum-Burum Primary Health Center</v>
          </cell>
          <cell r="AZ1295" t="str">
            <v>f9EYpOJXnW2</v>
          </cell>
        </row>
        <row r="1296">
          <cell r="AY1296" t="str">
            <v>Doma General Hospital</v>
          </cell>
          <cell r="AZ1296" t="str">
            <v>deV3U03tS8F</v>
          </cell>
        </row>
        <row r="1297">
          <cell r="AY1297" t="str">
            <v>Doma Primary Health Center</v>
          </cell>
          <cell r="AZ1297" t="str">
            <v>xEytSJqElVY</v>
          </cell>
        </row>
        <row r="1298">
          <cell r="AY1298" t="str">
            <v>Effugobrinbo Model Primary Health Center</v>
          </cell>
          <cell r="AZ1298" t="str">
            <v>p7HvPJCASMX</v>
          </cell>
        </row>
        <row r="1299">
          <cell r="AY1299" t="str">
            <v>Gaskiya Clinic</v>
          </cell>
          <cell r="AZ1299" t="str">
            <v>L1rx0pfeizq</v>
          </cell>
        </row>
        <row r="1300">
          <cell r="AY1300" t="str">
            <v>Idadu Primary Health Center</v>
          </cell>
          <cell r="AZ1300" t="str">
            <v>YVk6aoeOl9Z</v>
          </cell>
        </row>
        <row r="1301">
          <cell r="AY1301" t="str">
            <v>Igbabo Primary Health Center</v>
          </cell>
          <cell r="AZ1301" t="str">
            <v>I4SR0c59bRn</v>
          </cell>
        </row>
        <row r="1302">
          <cell r="AY1302" t="str">
            <v>New Era Clinic</v>
          </cell>
          <cell r="AZ1302" t="str">
            <v>FzWsHN37gF0</v>
          </cell>
        </row>
        <row r="1303">
          <cell r="AY1303" t="str">
            <v>Okpatte Primary Health Center</v>
          </cell>
          <cell r="AZ1303" t="str">
            <v>tIs747BlDIu</v>
          </cell>
        </row>
        <row r="1304">
          <cell r="AY1304" t="str">
            <v>Ondori Primary Health Care Clinic</v>
          </cell>
          <cell r="AZ1304" t="str">
            <v>mkGCe2FKpYh</v>
          </cell>
        </row>
        <row r="1305">
          <cell r="AY1305" t="str">
            <v>Owusoweshi Clinic</v>
          </cell>
          <cell r="AZ1305" t="str">
            <v>ftV07Di8rya</v>
          </cell>
        </row>
        <row r="1306">
          <cell r="AY1306" t="str">
            <v>Rukubi Primary Health Center</v>
          </cell>
          <cell r="AZ1306" t="str">
            <v>tA9VHG3QhOC</v>
          </cell>
        </row>
        <row r="1307">
          <cell r="AY1307" t="str">
            <v>Sabo Clinic</v>
          </cell>
          <cell r="AZ1307" t="str">
            <v>PRRdNaG3twk</v>
          </cell>
        </row>
        <row r="1308">
          <cell r="AY1308" t="str">
            <v>Shalom Clinic</v>
          </cell>
          <cell r="AZ1308" t="str">
            <v>GdAqcY5seM7</v>
          </cell>
        </row>
        <row r="1309">
          <cell r="AY1309" t="str">
            <v>Taimako Clinic and Maternity</v>
          </cell>
          <cell r="AZ1309" t="str">
            <v>NWioneeOdhI</v>
          </cell>
        </row>
        <row r="1310">
          <cell r="AY1310" t="str">
            <v>Yelwa Primary Health Center (Doma)</v>
          </cell>
          <cell r="AZ1310" t="str">
            <v>T1PoXgIcBhr</v>
          </cell>
        </row>
        <row r="1311">
          <cell r="AY1311" t="str">
            <v>Al-Kawari Hospital</v>
          </cell>
          <cell r="AZ1311" t="str">
            <v>jjkqoPCkILw</v>
          </cell>
        </row>
        <row r="1312">
          <cell r="AY1312" t="str">
            <v>Alheri Clinic and Maternity</v>
          </cell>
          <cell r="AZ1312" t="str">
            <v>HTjveh0VnKk</v>
          </cell>
        </row>
        <row r="1313">
          <cell r="AY1313" t="str">
            <v>Alheri Clinic and Maternity_U Turn (Karu)</v>
          </cell>
          <cell r="AZ1313" t="str">
            <v>p1jsPOYBrXI</v>
          </cell>
        </row>
        <row r="1314">
          <cell r="AY1314" t="str">
            <v>Anointed Clinic</v>
          </cell>
          <cell r="AZ1314" t="str">
            <v>bdhQrIQTyXm</v>
          </cell>
        </row>
        <row r="1315">
          <cell r="AY1315" t="str">
            <v>Aso Panda Primary Health Care Center</v>
          </cell>
          <cell r="AZ1315" t="str">
            <v>FY9Jon1iRLU</v>
          </cell>
        </row>
        <row r="1316">
          <cell r="AY1316" t="str">
            <v>Auta Primary Health Center</v>
          </cell>
          <cell r="AZ1316" t="str">
            <v>IAIrKgIdFUg</v>
          </cell>
        </row>
        <row r="1317">
          <cell r="AY1317" t="str">
            <v>Best Clinic</v>
          </cell>
          <cell r="AZ1317" t="str">
            <v>EbXYU9tNm8T</v>
          </cell>
        </row>
        <row r="1318">
          <cell r="AY1318" t="str">
            <v>City International</v>
          </cell>
          <cell r="AZ1318" t="str">
            <v>xsnHNSzyIdt</v>
          </cell>
        </row>
        <row r="1319">
          <cell r="AY1319" t="str">
            <v>Destiny Clinic and Maternity</v>
          </cell>
          <cell r="AZ1319" t="str">
            <v>ksvfD19Wuy4</v>
          </cell>
        </row>
        <row r="1320">
          <cell r="AY1320" t="str">
            <v>Edabta Hospital</v>
          </cell>
          <cell r="AZ1320" t="str">
            <v>WwAqdosxvCi</v>
          </cell>
        </row>
        <row r="1321">
          <cell r="AY1321" t="str">
            <v>Edither Choice Hospital</v>
          </cell>
          <cell r="AZ1321" t="str">
            <v>LNSwvNgnYrw</v>
          </cell>
        </row>
        <row r="1322">
          <cell r="AY1322" t="str">
            <v>Emotan Clinic and Maternity</v>
          </cell>
          <cell r="AZ1322" t="str">
            <v>Ng65MeqFCQY</v>
          </cell>
        </row>
        <row r="1323">
          <cell r="AY1323" t="str">
            <v>Ettal Clinic and Maternity</v>
          </cell>
          <cell r="AZ1323" t="str">
            <v>fsZEZzxlYeV</v>
          </cell>
        </row>
        <row r="1324">
          <cell r="AY1324" t="str">
            <v>Fountainhead Hospital</v>
          </cell>
          <cell r="AZ1324" t="str">
            <v>SQSNm138Z8x</v>
          </cell>
        </row>
        <row r="1325">
          <cell r="AY1325" t="str">
            <v>Gidan Zakara Primary Health Center</v>
          </cell>
          <cell r="AZ1325" t="str">
            <v>fpOBJBEXXGy</v>
          </cell>
        </row>
        <row r="1326">
          <cell r="AY1326" t="str">
            <v>Gitata Primary Health Center</v>
          </cell>
          <cell r="AZ1326" t="str">
            <v>YmOky8alW1d</v>
          </cell>
        </row>
        <row r="1327">
          <cell r="AY1327" t="str">
            <v>Gora Primary Health Center</v>
          </cell>
          <cell r="AZ1327" t="str">
            <v>MzCytx8YIJR</v>
          </cell>
        </row>
        <row r="1328">
          <cell r="AY1328" t="str">
            <v>Gunduma Primary Health Center</v>
          </cell>
          <cell r="AZ1328" t="str">
            <v>kef3pIqRSsN</v>
          </cell>
        </row>
        <row r="1329">
          <cell r="AY1329" t="str">
            <v>Gurku II Primary Health center</v>
          </cell>
          <cell r="AZ1329" t="str">
            <v>mOAoabEBP7p</v>
          </cell>
        </row>
        <row r="1330">
          <cell r="AY1330" t="str">
            <v>Jankanwa Primary Health Center</v>
          </cell>
          <cell r="AZ1330" t="str">
            <v>HaeGk76xBrx</v>
          </cell>
        </row>
        <row r="1331">
          <cell r="AY1331" t="str">
            <v>K-Health (Adult Adolescent Program)</v>
          </cell>
          <cell r="AZ1331" t="str">
            <v>fg7rWUILcLg</v>
          </cell>
        </row>
        <row r="1332">
          <cell r="AY1332" t="str">
            <v>Kabusu Primary Health center</v>
          </cell>
          <cell r="AZ1332" t="str">
            <v>G6BFvIFNBrL</v>
          </cell>
        </row>
        <row r="1333">
          <cell r="AY1333" t="str">
            <v>Karshi Primary Health Center</v>
          </cell>
          <cell r="AZ1333" t="str">
            <v>D6EFI1Z7tKO</v>
          </cell>
        </row>
        <row r="1334">
          <cell r="AY1334" t="str">
            <v>Karu Primary Health Center</v>
          </cell>
          <cell r="AZ1334" t="str">
            <v>sB8cWMd8QyO</v>
          </cell>
        </row>
        <row r="1335">
          <cell r="AY1335" t="str">
            <v>Kingscare Hospital</v>
          </cell>
          <cell r="AZ1335" t="str">
            <v>hDgdb8vCEOa</v>
          </cell>
        </row>
        <row r="1336">
          <cell r="AY1336" t="str">
            <v>Kpamu Shammah Hospital</v>
          </cell>
          <cell r="AZ1336" t="str">
            <v>fqtnTvp5Lds</v>
          </cell>
        </row>
        <row r="1337">
          <cell r="AY1337" t="str">
            <v>Livia Shammah Hospitals Limited</v>
          </cell>
          <cell r="AZ1337" t="str">
            <v>BYGELKB46hM</v>
          </cell>
        </row>
        <row r="1338">
          <cell r="AY1338" t="str">
            <v>Luvu Madaki Clinic</v>
          </cell>
          <cell r="AZ1338" t="str">
            <v>KVQFD5ZXXPE</v>
          </cell>
        </row>
        <row r="1339">
          <cell r="AY1339" t="str">
            <v>Maraba Clinic and Maternity</v>
          </cell>
          <cell r="AZ1339" t="str">
            <v>Hrnl2dZ0ymS</v>
          </cell>
        </row>
        <row r="1340">
          <cell r="AY1340" t="str">
            <v>Maraba Gurku Primary Health Center</v>
          </cell>
          <cell r="AZ1340" t="str">
            <v>ijx91LFbWMZ</v>
          </cell>
        </row>
        <row r="1341">
          <cell r="AY1341" t="str">
            <v>Maranatha Hospital- Karu</v>
          </cell>
          <cell r="AZ1341" t="str">
            <v>ihhL2FzZvAr</v>
          </cell>
        </row>
        <row r="1342">
          <cell r="AY1342" t="str">
            <v>Mararaba Charity Hospital</v>
          </cell>
          <cell r="AZ1342" t="str">
            <v>DgJ9ldI9D31</v>
          </cell>
        </row>
        <row r="1343">
          <cell r="AY1343" t="str">
            <v>Mararaba Guruku Medical Center</v>
          </cell>
          <cell r="AZ1343" t="str">
            <v>tyyZQSN5D4p</v>
          </cell>
        </row>
        <row r="1344">
          <cell r="AY1344" t="str">
            <v>Masaka Primary Health Care</v>
          </cell>
          <cell r="AZ1344" t="str">
            <v>zEA6UJ3Z2Dg</v>
          </cell>
        </row>
        <row r="1345">
          <cell r="AY1345" t="str">
            <v>Mayday Specialist Hospital and Maternity</v>
          </cell>
          <cell r="AZ1345" t="str">
            <v>cHhkQZN15Cx</v>
          </cell>
        </row>
        <row r="1346">
          <cell r="AY1346" t="str">
            <v>Nakowa Clinic</v>
          </cell>
          <cell r="AZ1346" t="str">
            <v>D1T4Yg07e0C</v>
          </cell>
        </row>
        <row r="1347">
          <cell r="AY1347" t="str">
            <v>Nisi Hospital</v>
          </cell>
          <cell r="AZ1347" t="str">
            <v>MYgtY8vQtdn</v>
          </cell>
        </row>
        <row r="1348">
          <cell r="AY1348" t="str">
            <v>Nyanya Gbagi Primary Health Care Center</v>
          </cell>
          <cell r="AZ1348" t="str">
            <v>J5bNl9I7Zao</v>
          </cell>
        </row>
        <row r="1349">
          <cell r="AY1349" t="str">
            <v>Ojone Favour</v>
          </cell>
          <cell r="AZ1349" t="str">
            <v>Bm1SmqJLceB</v>
          </cell>
        </row>
        <row r="1350">
          <cell r="AY1350" t="str">
            <v>Pijag Maternity Home</v>
          </cell>
          <cell r="AZ1350" t="str">
            <v>ql5itoWziK0</v>
          </cell>
        </row>
        <row r="1351">
          <cell r="AY1351" t="str">
            <v>Raah Hospitals</v>
          </cell>
          <cell r="AZ1351" t="str">
            <v>jpJp7028wPe</v>
          </cell>
        </row>
        <row r="1352">
          <cell r="AY1352" t="str">
            <v>Rafin Kwara Primary Health Care</v>
          </cell>
          <cell r="AZ1352" t="str">
            <v>lPVMyTCU5Yy</v>
          </cell>
        </row>
        <row r="1353">
          <cell r="AY1353" t="str">
            <v>Ruga Juli Primary Health Center</v>
          </cell>
          <cell r="AZ1353" t="str">
            <v>StYXuxPkRmu</v>
          </cell>
        </row>
        <row r="1354">
          <cell r="AY1354" t="str">
            <v>Sauki Health Clinic</v>
          </cell>
          <cell r="AZ1354" t="str">
            <v>Ok0YiBrV8xg</v>
          </cell>
        </row>
        <row r="1355">
          <cell r="AY1355" t="str">
            <v>Tatara Primary Health Center</v>
          </cell>
          <cell r="AZ1355" t="str">
            <v>FBBTY7S1T4S</v>
          </cell>
        </row>
        <row r="1356">
          <cell r="AY1356" t="str">
            <v>Uke General Hospital</v>
          </cell>
          <cell r="AZ1356" t="str">
            <v>DwZJjC3rfCJ</v>
          </cell>
        </row>
        <row r="1357">
          <cell r="AY1357" t="str">
            <v>Kadarko National Primary Health Care - Giza Development Area</v>
          </cell>
          <cell r="AZ1357" t="str">
            <v>JWxRzMCgQo6</v>
          </cell>
        </row>
        <row r="1358">
          <cell r="AY1358" t="str">
            <v>Anguwan Waje Primary Health Care</v>
          </cell>
          <cell r="AZ1358" t="str">
            <v>StdZqGX4NXD</v>
          </cell>
        </row>
        <row r="1359">
          <cell r="AY1359" t="str">
            <v>Blessed Trinity Clinic</v>
          </cell>
          <cell r="AZ1359" t="str">
            <v>SxrK0VVE7V2</v>
          </cell>
        </row>
        <row r="1360">
          <cell r="AY1360" t="str">
            <v>Federal Medical Center - Keffi</v>
          </cell>
          <cell r="AZ1360" t="str">
            <v>Ro8QYYh2EVH</v>
          </cell>
        </row>
        <row r="1361">
          <cell r="AY1361" t="str">
            <v>Keffi General Hospital</v>
          </cell>
          <cell r="AZ1361" t="str">
            <v>P57IvbVY9gk</v>
          </cell>
        </row>
        <row r="1362">
          <cell r="AY1362" t="str">
            <v>Garaku General Hospital</v>
          </cell>
          <cell r="AZ1362" t="str">
            <v>AARV8rqn3By</v>
          </cell>
        </row>
        <row r="1363">
          <cell r="AY1363" t="str">
            <v>Aboki Clinic</v>
          </cell>
          <cell r="AZ1363" t="str">
            <v>qkyUy0iQUIT</v>
          </cell>
        </row>
        <row r="1364">
          <cell r="AY1364" t="str">
            <v>Adogi Primary Health Care</v>
          </cell>
          <cell r="AZ1364" t="str">
            <v>yC86zV8BNHN</v>
          </cell>
        </row>
        <row r="1365">
          <cell r="AY1365" t="str">
            <v>Agu Hospital</v>
          </cell>
          <cell r="AZ1365" t="str">
            <v>hFhGouLz8Ub</v>
          </cell>
        </row>
        <row r="1366">
          <cell r="AY1366" t="str">
            <v>Agudu Primary Health center</v>
          </cell>
          <cell r="AZ1366" t="str">
            <v>vmFu5pzEpEb</v>
          </cell>
        </row>
        <row r="1367">
          <cell r="AY1367" t="str">
            <v>Angbas Clinic</v>
          </cell>
          <cell r="AZ1367" t="str">
            <v>wVJN0Nim3QB</v>
          </cell>
        </row>
        <row r="1368">
          <cell r="AY1368" t="str">
            <v>Assakio Primary Health Center</v>
          </cell>
          <cell r="AZ1368" t="str">
            <v>BjlE93CNlhG</v>
          </cell>
        </row>
        <row r="1369">
          <cell r="AY1369" t="str">
            <v>Azuba Bashayi Primary Health Center</v>
          </cell>
          <cell r="AZ1369" t="str">
            <v>CW3pQyyW4mc</v>
          </cell>
        </row>
        <row r="1370">
          <cell r="AY1370" t="str">
            <v>Bakin Rijiya Primary Health Center</v>
          </cell>
          <cell r="AZ1370" t="str">
            <v>Jr325OdUjYX</v>
          </cell>
        </row>
        <row r="1371">
          <cell r="AY1371" t="str">
            <v>Barkin Abdullahi Primary Health Center</v>
          </cell>
          <cell r="AZ1371" t="str">
            <v>LpwpgWBHZR0</v>
          </cell>
        </row>
        <row r="1372">
          <cell r="AY1372" t="str">
            <v>Dalhatu Araf Specialist Hospital</v>
          </cell>
          <cell r="AZ1372" t="str">
            <v>AlHWYsy5u3m</v>
          </cell>
        </row>
        <row r="1373">
          <cell r="AY1373" t="str">
            <v>Doma Road Primary Health Care Center</v>
          </cell>
          <cell r="AZ1373" t="str">
            <v>qsS9YwrZSND</v>
          </cell>
        </row>
        <row r="1374">
          <cell r="AY1374" t="str">
            <v>Fadama North Primary Health center</v>
          </cell>
          <cell r="AZ1374" t="str">
            <v>eQRGVlBfDWl</v>
          </cell>
        </row>
        <row r="1375">
          <cell r="AY1375" t="str">
            <v>Fadama South Primary Health Care Center</v>
          </cell>
          <cell r="AZ1375" t="str">
            <v>XjiIk618XYq</v>
          </cell>
        </row>
        <row r="1376">
          <cell r="AY1376" t="str">
            <v>Gidan Buba Primary Health Care Center</v>
          </cell>
          <cell r="AZ1376" t="str">
            <v>bAmNuqe1QtM</v>
          </cell>
        </row>
        <row r="1377">
          <cell r="AY1377" t="str">
            <v>Gidan Maiakuya Primary Health Center</v>
          </cell>
          <cell r="AZ1377" t="str">
            <v>sPTIU3vUEd6</v>
          </cell>
        </row>
        <row r="1378">
          <cell r="AY1378" t="str">
            <v>Gosha Clinic And Maternity</v>
          </cell>
          <cell r="AZ1378" t="str">
            <v>WSMZ2SYgAFZ</v>
          </cell>
        </row>
        <row r="1379">
          <cell r="AY1379" t="str">
            <v>Hawawu Clinic and Maternity</v>
          </cell>
          <cell r="AZ1379" t="str">
            <v>aiBbdqAhvp9</v>
          </cell>
        </row>
        <row r="1380">
          <cell r="AY1380" t="str">
            <v>Hiltop Hospital</v>
          </cell>
          <cell r="AZ1380" t="str">
            <v>Wd5UZeOOfHJ</v>
          </cell>
        </row>
        <row r="1381">
          <cell r="AY1381" t="str">
            <v>Immanuela Clinic</v>
          </cell>
          <cell r="AZ1381" t="str">
            <v>yV92ImlsrjD</v>
          </cell>
        </row>
        <row r="1382">
          <cell r="AY1382" t="str">
            <v>Kowa Hospital</v>
          </cell>
          <cell r="AZ1382" t="str">
            <v>O0CNsUlE8C0</v>
          </cell>
        </row>
        <row r="1383">
          <cell r="AY1383" t="str">
            <v>Kwandere Primary Health Center</v>
          </cell>
          <cell r="AZ1383" t="str">
            <v>ru4E5BfLsib</v>
          </cell>
        </row>
        <row r="1384">
          <cell r="AY1384" t="str">
            <v>Lafia Clinic</v>
          </cell>
          <cell r="AZ1384" t="str">
            <v>MXAJ9B6wUxm</v>
          </cell>
        </row>
        <row r="1385">
          <cell r="AY1385" t="str">
            <v>M&amp;D Hospital</v>
          </cell>
          <cell r="AZ1385" t="str">
            <v>RK50nYp7Rum</v>
          </cell>
        </row>
        <row r="1386">
          <cell r="AY1386" t="str">
            <v>Mararaba Akunza Primary Health Center</v>
          </cell>
          <cell r="AZ1386" t="str">
            <v>NvU04S14ZHq</v>
          </cell>
        </row>
        <row r="1387">
          <cell r="AY1387" t="str">
            <v>Namu Clinic</v>
          </cell>
          <cell r="AZ1387" t="str">
            <v>MqsGY8t2wzm</v>
          </cell>
        </row>
        <row r="1388">
          <cell r="AY1388" t="str">
            <v>New Market Road Primary Health Center</v>
          </cell>
          <cell r="AZ1388" t="str">
            <v>P9buaLoYfV6</v>
          </cell>
        </row>
        <row r="1389">
          <cell r="AY1389" t="str">
            <v>Nyekasi Nursing Home</v>
          </cell>
          <cell r="AZ1389" t="str">
            <v>GdW7CTTp0jO</v>
          </cell>
        </row>
        <row r="1390">
          <cell r="AY1390" t="str">
            <v>Olivet Medical Center</v>
          </cell>
          <cell r="AZ1390" t="str">
            <v>eiqXUByOSID</v>
          </cell>
        </row>
        <row r="1391">
          <cell r="AY1391" t="str">
            <v>Oshyegba Medical Center</v>
          </cell>
          <cell r="AZ1391" t="str">
            <v>faDHc74njXW</v>
          </cell>
        </row>
        <row r="1392">
          <cell r="AY1392" t="str">
            <v>Polytechnic Clinic</v>
          </cell>
          <cell r="AZ1392" t="str">
            <v>dV0bMslUZ3p</v>
          </cell>
        </row>
        <row r="1393">
          <cell r="AY1393" t="str">
            <v>Sabon Gida Primary Health Care - Shendam Road</v>
          </cell>
          <cell r="AZ1393" t="str">
            <v>NcR8qdoxBKB</v>
          </cell>
        </row>
        <row r="1394">
          <cell r="AY1394" t="str">
            <v>Sadanji Medical Center</v>
          </cell>
          <cell r="AZ1394" t="str">
            <v>KBrRnwCYJdj</v>
          </cell>
        </row>
        <row r="1395">
          <cell r="AY1395" t="str">
            <v>Sauki Hospital</v>
          </cell>
          <cell r="AZ1395" t="str">
            <v>klhrcE8J7I9</v>
          </cell>
        </row>
        <row r="1396">
          <cell r="AY1396" t="str">
            <v>Shabu Model Comprehensive Center</v>
          </cell>
          <cell r="AZ1396" t="str">
            <v>ZBFgkyECWkA</v>
          </cell>
        </row>
        <row r="1397">
          <cell r="AY1397" t="str">
            <v>The Chrane Hospital</v>
          </cell>
          <cell r="AZ1397" t="str">
            <v>Q91KTmTDhIb</v>
          </cell>
        </row>
        <row r="1398">
          <cell r="AY1398" t="str">
            <v>Tudun Gwandara Primary Health Center</v>
          </cell>
          <cell r="AZ1398" t="str">
            <v>I5uopLtCGdv</v>
          </cell>
        </row>
        <row r="1399">
          <cell r="AY1399" t="str">
            <v>Ugah Primary Health Center</v>
          </cell>
          <cell r="AZ1399" t="str">
            <v>IQwzzopyDHX</v>
          </cell>
        </row>
        <row r="1400">
          <cell r="AY1400" t="str">
            <v>Voice of Islam Hospital</v>
          </cell>
          <cell r="AZ1400" t="str">
            <v>Izlht3DoxfC</v>
          </cell>
        </row>
        <row r="1401">
          <cell r="AY1401" t="str">
            <v>Wadata Primary Health center</v>
          </cell>
          <cell r="AZ1401" t="str">
            <v>VQNCQLUsMpe</v>
          </cell>
        </row>
        <row r="1402">
          <cell r="AY1402" t="str">
            <v>Adonai Hospital</v>
          </cell>
          <cell r="AZ1402" t="str">
            <v>IMGvQmgPyOM</v>
          </cell>
        </row>
        <row r="1403">
          <cell r="AY1403" t="str">
            <v>Agam Primary Health Care Center</v>
          </cell>
          <cell r="AZ1403" t="str">
            <v>i6QT1Yi33Yh</v>
          </cell>
        </row>
        <row r="1404">
          <cell r="AY1404" t="str">
            <v>Alpha Medical Center</v>
          </cell>
          <cell r="AZ1404" t="str">
            <v>A80lDEx4cG1</v>
          </cell>
        </row>
        <row r="1405">
          <cell r="AY1405" t="str">
            <v>Alumbugu Memorial Clinic</v>
          </cell>
          <cell r="AZ1405" t="str">
            <v>zq2YHeCpp3A</v>
          </cell>
        </row>
        <row r="1406">
          <cell r="AY1406" t="str">
            <v>Ara 2 Primary Health Center</v>
          </cell>
          <cell r="AZ1406" t="str">
            <v>SXB1EwVEKff</v>
          </cell>
        </row>
        <row r="1407">
          <cell r="AY1407" t="str">
            <v>Bakono Primary Health Center</v>
          </cell>
          <cell r="AZ1407" t="str">
            <v>d3SuyQOTOfB</v>
          </cell>
        </row>
        <row r="1408">
          <cell r="AY1408" t="str">
            <v>Butus Medical Center</v>
          </cell>
          <cell r="AZ1408" t="str">
            <v>Jh6G1gqw42r</v>
          </cell>
        </row>
        <row r="1409">
          <cell r="AY1409" t="str">
            <v>Dehi Hospital and Maternity</v>
          </cell>
          <cell r="AZ1409" t="str">
            <v>XtPxGDr4vLl</v>
          </cell>
        </row>
        <row r="1410">
          <cell r="AY1410" t="str">
            <v>Henad Medical Center</v>
          </cell>
          <cell r="AZ1410" t="str">
            <v>phpPcHXgNFs</v>
          </cell>
        </row>
        <row r="1411">
          <cell r="AY1411" t="str">
            <v>Ittah Primary Health Care Center</v>
          </cell>
          <cell r="AZ1411" t="str">
            <v>BGnDBDqfG3y</v>
          </cell>
        </row>
        <row r="1412">
          <cell r="AY1412" t="str">
            <v>Laminga Primary Health Center</v>
          </cell>
          <cell r="AZ1412" t="str">
            <v>nBkgFP6ol6e</v>
          </cell>
        </row>
        <row r="1413">
          <cell r="AY1413" t="str">
            <v>Loko 2 Kekura Road Primary Health Care Center</v>
          </cell>
          <cell r="AZ1413" t="str">
            <v>RbOZGOuyDlz</v>
          </cell>
        </row>
        <row r="1414">
          <cell r="AY1414" t="str">
            <v>Loko Primary Health Center</v>
          </cell>
          <cell r="AZ1414" t="str">
            <v>D62rPjDOlCP</v>
          </cell>
        </row>
        <row r="1415">
          <cell r="AY1415" t="str">
            <v>Main Town Nasarawa Primary Health Care</v>
          </cell>
          <cell r="AZ1415" t="str">
            <v>uIiPHxfusOL</v>
          </cell>
        </row>
        <row r="1416">
          <cell r="AY1416" t="str">
            <v>Mararaba Odege Primary Health Care Center</v>
          </cell>
          <cell r="AZ1416" t="str">
            <v>EP1dUbwLtP4</v>
          </cell>
        </row>
        <row r="1417">
          <cell r="AY1417" t="str">
            <v>Marmara Primary Health Center</v>
          </cell>
          <cell r="AZ1417" t="str">
            <v>a1NJaUQ6ydV</v>
          </cell>
        </row>
        <row r="1418">
          <cell r="AY1418" t="str">
            <v>Nasara Clinic, Ara</v>
          </cell>
          <cell r="AZ1418" t="str">
            <v>x0fdu53uYLh</v>
          </cell>
        </row>
        <row r="1419">
          <cell r="AY1419" t="str">
            <v>Nasarawa Medical Center</v>
          </cell>
          <cell r="AZ1419" t="str">
            <v>RTcFVqHfMZH</v>
          </cell>
        </row>
        <row r="1420">
          <cell r="AY1420" t="str">
            <v>Ogufa Primary Health Center</v>
          </cell>
          <cell r="AZ1420" t="str">
            <v>BL8YleBQlYM</v>
          </cell>
        </row>
        <row r="1421">
          <cell r="AY1421" t="str">
            <v>Ogupa Primary Health Center</v>
          </cell>
          <cell r="AZ1421" t="str">
            <v>o2GMPgAYM7e</v>
          </cell>
        </row>
        <row r="1422">
          <cell r="AY1422" t="str">
            <v>Onda Primary Health Care Center</v>
          </cell>
          <cell r="AZ1422" t="str">
            <v>sZMuKpmkNqy</v>
          </cell>
        </row>
        <row r="1423">
          <cell r="AY1423" t="str">
            <v>Sagbagyi Primary Health Care Center</v>
          </cell>
          <cell r="AZ1423" t="str">
            <v>nwL9M4VC8bE</v>
          </cell>
        </row>
        <row r="1424">
          <cell r="AY1424" t="str">
            <v>Tunga Primary Health Center</v>
          </cell>
          <cell r="AZ1424" t="str">
            <v>VtGcbFFQpNX</v>
          </cell>
        </row>
        <row r="1425">
          <cell r="AY1425" t="str">
            <v>Useni Primary Health Care Center</v>
          </cell>
          <cell r="AZ1425" t="str">
            <v>ZO1XV0pgzBm</v>
          </cell>
        </row>
        <row r="1426">
          <cell r="AY1426" t="str">
            <v>Usha Kado Primary Health Care Center</v>
          </cell>
          <cell r="AZ1426" t="str">
            <v>Xmel7MquJuN</v>
          </cell>
        </row>
        <row r="1427">
          <cell r="AY1427" t="str">
            <v>Ushata Primary Health Center</v>
          </cell>
          <cell r="AZ1427" t="str">
            <v>G2YpRPlADoe</v>
          </cell>
        </row>
        <row r="1428">
          <cell r="AY1428" t="str">
            <v>Zakun Bello Primary Health Center</v>
          </cell>
          <cell r="AZ1428" t="str">
            <v>qUICdkv5GyA</v>
          </cell>
        </row>
        <row r="1429">
          <cell r="AY1429" t="str">
            <v>Dogye Private Clinic - Shuku</v>
          </cell>
          <cell r="AZ1429" t="str">
            <v>ip51S0LAOIc</v>
          </cell>
        </row>
        <row r="1430">
          <cell r="AY1430" t="str">
            <v>Akaleku Primary Health Center</v>
          </cell>
          <cell r="AZ1430" t="str">
            <v>YUygKF5FXVj</v>
          </cell>
        </row>
        <row r="1431">
          <cell r="AY1431" t="str">
            <v>Azomeh Clinic</v>
          </cell>
          <cell r="AZ1431" t="str">
            <v>R43psgnri43</v>
          </cell>
        </row>
        <row r="1432">
          <cell r="AY1432" t="str">
            <v>Duduguru Primary Health Center</v>
          </cell>
          <cell r="AZ1432" t="str">
            <v>GCcO69CpYwL</v>
          </cell>
        </row>
        <row r="1433">
          <cell r="AY1433" t="str">
            <v>Gidan Ausa 2 Primary Health Center</v>
          </cell>
          <cell r="AZ1433" t="str">
            <v>oXD3VhttW9N</v>
          </cell>
        </row>
        <row r="1434">
          <cell r="AY1434" t="str">
            <v>Gwadenye Primary Health Center</v>
          </cell>
          <cell r="AZ1434" t="str">
            <v>UsL1KSoB9rp</v>
          </cell>
        </row>
        <row r="1435">
          <cell r="AY1435" t="str">
            <v>Ikon Allah Iroh Hospital</v>
          </cell>
          <cell r="AZ1435" t="str">
            <v>Ze1KoeUk22P</v>
          </cell>
        </row>
        <row r="1436">
          <cell r="AY1436" t="str">
            <v>Imani Clinic</v>
          </cell>
          <cell r="AZ1436" t="str">
            <v>CpAIWDZlics</v>
          </cell>
        </row>
        <row r="1437">
          <cell r="AY1437" t="str">
            <v>Imon Primary Health Center</v>
          </cell>
          <cell r="AZ1437" t="str">
            <v>djfbPI3n1OQ</v>
          </cell>
        </row>
        <row r="1438">
          <cell r="AY1438" t="str">
            <v>Kyakele Primary Health Center</v>
          </cell>
          <cell r="AZ1438" t="str">
            <v>R9rQ6tffALE</v>
          </cell>
        </row>
        <row r="1439">
          <cell r="AY1439" t="str">
            <v>Mother and Child Welfare Clinic 1</v>
          </cell>
          <cell r="AZ1439" t="str">
            <v>KrNjWYgoaIe</v>
          </cell>
        </row>
        <row r="1440">
          <cell r="AY1440" t="str">
            <v>Obi Primary Health Care Center - Agyragu</v>
          </cell>
          <cell r="AZ1440" t="str">
            <v>kNVBrpSSarY</v>
          </cell>
        </row>
        <row r="1441">
          <cell r="AY1441" t="str">
            <v>Ome Primary Health Center</v>
          </cell>
          <cell r="AZ1441" t="str">
            <v>THPqBF5gJq3</v>
          </cell>
        </row>
        <row r="1442">
          <cell r="AY1442" t="str">
            <v>Tudun Adabu Primary Health Center</v>
          </cell>
          <cell r="AZ1442" t="str">
            <v>yBFTsDiVfQ4</v>
          </cell>
        </row>
        <row r="1443">
          <cell r="AY1443" t="str">
            <v>Katakpa Primary Health Center</v>
          </cell>
          <cell r="AZ1443" t="str">
            <v>QFm0xFit39X</v>
          </cell>
        </row>
        <row r="1444">
          <cell r="AY1444" t="str">
            <v>Ukya Primary Health Center</v>
          </cell>
          <cell r="AZ1444" t="str">
            <v>tIj8X5KcY1D</v>
          </cell>
        </row>
        <row r="1445">
          <cell r="AY1445" t="str">
            <v>Yelwa Primary Health Center</v>
          </cell>
          <cell r="AZ1445" t="str">
            <v>GOjNa3mZAh9</v>
          </cell>
        </row>
        <row r="1446">
          <cell r="AY1446" t="str">
            <v>Sabo Primary Health Care Center</v>
          </cell>
          <cell r="AZ1446" t="str">
            <v>zDMCQqdfBSs</v>
          </cell>
        </row>
        <row r="1447">
          <cell r="AY1447" t="str">
            <v>Federal Medical Center - Abeokuta</v>
          </cell>
          <cell r="AZ1447" t="str">
            <v>cIelM4DwtGv</v>
          </cell>
        </row>
        <row r="1448">
          <cell r="AY1448" t="str">
            <v>Sacred Heart Catholic Hospital, Abeokuta</v>
          </cell>
          <cell r="AZ1448" t="str">
            <v>DvOjpCpBtJj</v>
          </cell>
        </row>
        <row r="1449">
          <cell r="AY1449" t="str">
            <v>Ifo General Hospital</v>
          </cell>
          <cell r="AZ1449" t="str">
            <v>CO28PVyyzuQ</v>
          </cell>
        </row>
        <row r="1450">
          <cell r="AY1450" t="str">
            <v>Olose Primary Health Center</v>
          </cell>
          <cell r="AZ1450" t="str">
            <v>b1gbOD6Lw5A</v>
          </cell>
        </row>
        <row r="1451">
          <cell r="AY1451" t="str">
            <v>Ita-Alapo Primary Health Center</v>
          </cell>
          <cell r="AZ1451" t="str">
            <v>tueCPc98YpF</v>
          </cell>
        </row>
        <row r="1452">
          <cell r="AY1452" t="str">
            <v>State Hospital - Ijebu Ode</v>
          </cell>
          <cell r="AZ1452" t="str">
            <v>eg6CMvHMI9h</v>
          </cell>
        </row>
        <row r="1453">
          <cell r="AY1453" t="str">
            <v>Makun Primary Health Care</v>
          </cell>
          <cell r="AZ1453" t="str">
            <v>d0enmAlNy7c</v>
          </cell>
        </row>
        <row r="1454">
          <cell r="AY1454" t="str">
            <v>Olabisi Onabanjo University Teaching Hospital</v>
          </cell>
          <cell r="AZ1454" t="str">
            <v>KTVjcTH4JeG</v>
          </cell>
        </row>
        <row r="1455">
          <cell r="AY1455" t="str">
            <v>State Specialist Hospital - Ikare</v>
          </cell>
          <cell r="AZ1455" t="str">
            <v>PVJ1iBCOkrp</v>
          </cell>
        </row>
        <row r="1456">
          <cell r="AY1456" t="str">
            <v>Iwaro-Oka General Hospital - Akoko</v>
          </cell>
          <cell r="AZ1456" t="str">
            <v>zhu21WthI6C</v>
          </cell>
        </row>
        <row r="1457">
          <cell r="AY1457" t="str">
            <v>Arakale Comprehensive Health Center</v>
          </cell>
          <cell r="AZ1457" t="str">
            <v>BobjH7xBdDI</v>
          </cell>
        </row>
        <row r="1458">
          <cell r="AY1458" t="str">
            <v>Oba-Ile Comprehensive Health Center</v>
          </cell>
          <cell r="AZ1458" t="str">
            <v>wuh106bjAdL</v>
          </cell>
        </row>
        <row r="1459">
          <cell r="AY1459" t="str">
            <v>State Specialist Hospital - Akure</v>
          </cell>
          <cell r="AZ1459" t="str">
            <v>yfLNltOE3ES</v>
          </cell>
        </row>
        <row r="1460">
          <cell r="AY1460" t="str">
            <v>Ore General Hospital</v>
          </cell>
          <cell r="AZ1460" t="str">
            <v>SGlwI0BB3NM</v>
          </cell>
        </row>
        <row r="1461">
          <cell r="AY1461" t="str">
            <v>State Specialist Hospital - Ondo</v>
          </cell>
          <cell r="AZ1461" t="str">
            <v>JKUabrYA2oL</v>
          </cell>
        </row>
        <row r="1462">
          <cell r="AY1462" t="str">
            <v>Federal Medical Center - Owo</v>
          </cell>
          <cell r="AZ1462" t="str">
            <v>Lf5dipBTT0Z</v>
          </cell>
        </row>
        <row r="1463">
          <cell r="AY1463" t="str">
            <v>Ede Specialist Hospital</v>
          </cell>
          <cell r="AZ1463" t="str">
            <v>qoiO0tapOKa</v>
          </cell>
        </row>
        <row r="1464">
          <cell r="AY1464" t="str">
            <v>Obafemi Awolowo University Teaching Hospital Complex</v>
          </cell>
          <cell r="AZ1464" t="str">
            <v>u4jq9CmP9dk</v>
          </cell>
        </row>
        <row r="1465">
          <cell r="AY1465" t="str">
            <v>Seventh Day Adventist Hospital - Ile-Ife</v>
          </cell>
          <cell r="AZ1465" t="str">
            <v>xGKk2hlvtUz</v>
          </cell>
        </row>
        <row r="1466">
          <cell r="AY1466" t="str">
            <v>Ila Orangun State Hospital</v>
          </cell>
          <cell r="AZ1466" t="str">
            <v>hln2LIDV1Xl</v>
          </cell>
        </row>
        <row r="1467">
          <cell r="AY1467" t="str">
            <v>Obajoko Ila Primary Health Care</v>
          </cell>
          <cell r="AZ1467" t="str">
            <v>U2KKudmpuCO</v>
          </cell>
        </row>
        <row r="1468">
          <cell r="AY1468" t="str">
            <v>Irojo Primary Health Center</v>
          </cell>
          <cell r="AZ1468" t="str">
            <v>bB280BqYDAd</v>
          </cell>
        </row>
        <row r="1469">
          <cell r="AY1469" t="str">
            <v>Ikire Specialist Hospital</v>
          </cell>
          <cell r="AZ1469" t="str">
            <v>gqn7FlDPWzJ</v>
          </cell>
        </row>
        <row r="1470">
          <cell r="AY1470" t="str">
            <v>Omoda Primary Health Care</v>
          </cell>
          <cell r="AZ1470" t="str">
            <v>RtMSqsVqT2L</v>
          </cell>
        </row>
        <row r="1471">
          <cell r="AY1471" t="str">
            <v>State Hospital - Iwo</v>
          </cell>
          <cell r="AZ1471" t="str">
            <v>RjMnBpvNTLM</v>
          </cell>
        </row>
        <row r="1472">
          <cell r="AY1472" t="str">
            <v>Ladoke Akintola Teaching Hospital - Oshogbo</v>
          </cell>
          <cell r="AZ1472" t="str">
            <v>mgEojaVd0QS</v>
          </cell>
        </row>
        <row r="1473">
          <cell r="AY1473" t="str">
            <v>Dabibako Primary Health Center</v>
          </cell>
          <cell r="AZ1473" t="str">
            <v>WXTrdUZkyke</v>
          </cell>
        </row>
        <row r="1474">
          <cell r="AY1474" t="str">
            <v>Kundu Primary Health Center</v>
          </cell>
          <cell r="AZ1474" t="str">
            <v>OHu3MeJ3B6V</v>
          </cell>
        </row>
        <row r="1475">
          <cell r="AY1475" t="str">
            <v>Kwali General Hospital</v>
          </cell>
          <cell r="AZ1475" t="str">
            <v>cp7lzrnlXEV</v>
          </cell>
        </row>
        <row r="1476">
          <cell r="AY1476" t="str">
            <v>Mai Kwari Primary Health Center</v>
          </cell>
          <cell r="AZ1476" t="str">
            <v>rG51d4tulrT</v>
          </cell>
        </row>
        <row r="1477">
          <cell r="AY1477" t="str">
            <v>Pai Primary Health Center</v>
          </cell>
          <cell r="AZ1477" t="str">
            <v>x4o2sPRYFUc</v>
          </cell>
        </row>
        <row r="1478">
          <cell r="AY1478" t="str">
            <v>Agyaga Primary Health Care Center</v>
          </cell>
          <cell r="AZ1478" t="str">
            <v>uuaxZeTcd6q</v>
          </cell>
        </row>
        <row r="1479">
          <cell r="AY1479" t="str">
            <v>Akwanga General Hospital</v>
          </cell>
          <cell r="AZ1479" t="str">
            <v>JSAYmpfl5jW</v>
          </cell>
        </row>
        <row r="1480">
          <cell r="AY1480" t="str">
            <v>Akwanga Primary Health Care Center</v>
          </cell>
          <cell r="AZ1480" t="str">
            <v>Jj4IO088cM3</v>
          </cell>
        </row>
        <row r="1481">
          <cell r="AY1481" t="str">
            <v>Andaha Primary Health Care Center</v>
          </cell>
          <cell r="AZ1481" t="str">
            <v>JqudjV9JqmP</v>
          </cell>
        </row>
        <row r="1482">
          <cell r="AY1482" t="str">
            <v>Angwan Jatau Primary Health Care Center</v>
          </cell>
          <cell r="AZ1482" t="str">
            <v>io6LHdLaH4v</v>
          </cell>
        </row>
        <row r="1483">
          <cell r="AY1483" t="str">
            <v>Gudi Primary Health Care Center</v>
          </cell>
          <cell r="AZ1483" t="str">
            <v>CfgHRysxMXP</v>
          </cell>
        </row>
        <row r="1484">
          <cell r="AY1484" t="str">
            <v>Moroa Primary Health Care Center</v>
          </cell>
          <cell r="AZ1484" t="str">
            <v>Jr8X5lIzm3h</v>
          </cell>
        </row>
        <row r="1485">
          <cell r="AY1485" t="str">
            <v>Ninga Primary Health Care Center</v>
          </cell>
          <cell r="AZ1485" t="str">
            <v>AS4Fo6AN4F1</v>
          </cell>
        </row>
        <row r="1486">
          <cell r="AY1486" t="str">
            <v>Nunku Primary Health Care Center</v>
          </cell>
          <cell r="AZ1486" t="str">
            <v>R48oGDJNgnv</v>
          </cell>
        </row>
        <row r="1487">
          <cell r="AY1487" t="str">
            <v>Burumburum Primary Health Care Center</v>
          </cell>
          <cell r="AZ1487" t="str">
            <v>FjtcTFHA0Ou</v>
          </cell>
        </row>
        <row r="1488">
          <cell r="AY1488" t="str">
            <v>Nasarawa Eggon General Hospital</v>
          </cell>
          <cell r="AZ1488" t="str">
            <v>KMLMCZ5fC94</v>
          </cell>
        </row>
        <row r="1489">
          <cell r="AY1489" t="str">
            <v>Wowyen Primary Health Care Center</v>
          </cell>
          <cell r="AZ1489" t="str">
            <v>EHgatkiTURs</v>
          </cell>
        </row>
        <row r="1490">
          <cell r="AY1490" t="str">
            <v>Arumchugbu Primary Health Care Center</v>
          </cell>
          <cell r="AZ1490" t="str">
            <v>L7JDIgjJo7P</v>
          </cell>
        </row>
        <row r="1491">
          <cell r="AY1491" t="str">
            <v>Kwara Primary Health Care Center</v>
          </cell>
          <cell r="AZ1491" t="str">
            <v>L9Nt5hHGFDe</v>
          </cell>
        </row>
        <row r="1492">
          <cell r="AY1492" t="str">
            <v>Mararaba Gongon Primary Health Center</v>
          </cell>
          <cell r="AZ1492" t="str">
            <v>UBPvkBtKbgd</v>
          </cell>
        </row>
        <row r="1493">
          <cell r="AY1493" t="str">
            <v>Wamba General Hospital</v>
          </cell>
          <cell r="AZ1493" t="str">
            <v>mfodk1V16v0</v>
          </cell>
        </row>
        <row r="1494">
          <cell r="AY1494" t="str">
            <v>Wamba Model Primary Health Center</v>
          </cell>
          <cell r="AZ1494" t="str">
            <v>uD17LPdrAsp</v>
          </cell>
        </row>
        <row r="1495">
          <cell r="AY1495" t="str">
            <v>Wayo-Mati Primary Health Care Center</v>
          </cell>
          <cell r="AZ1495" t="str">
            <v>bDPIWrfVX39</v>
          </cell>
        </row>
        <row r="1496">
          <cell r="AY1496" t="str">
            <v>Bankilong Primary Health Care Center</v>
          </cell>
          <cell r="AZ1496" t="str">
            <v>PwjkeBtZz4Q</v>
          </cell>
        </row>
        <row r="1497">
          <cell r="AY1497" t="str">
            <v>Dengi General Hospital</v>
          </cell>
          <cell r="AZ1497" t="str">
            <v>wZ4FJfYUSXp</v>
          </cell>
        </row>
        <row r="1498">
          <cell r="AY1498" t="str">
            <v>Gumsher Primary Health Care Center</v>
          </cell>
          <cell r="AZ1498" t="str">
            <v>MRNcNOs1UT6</v>
          </cell>
        </row>
        <row r="1499">
          <cell r="AY1499" t="str">
            <v>Dawaki Primary Health Care Center</v>
          </cell>
          <cell r="AZ1499" t="str">
            <v>OvInoMK6oef</v>
          </cell>
        </row>
        <row r="1500">
          <cell r="AY1500" t="str">
            <v>Kyankyang Primary Health Care Center</v>
          </cell>
          <cell r="AZ1500" t="str">
            <v>eSv0mvAmyC2</v>
          </cell>
        </row>
        <row r="1501">
          <cell r="AY1501" t="str">
            <v>Mabudi Primary Health Care Center</v>
          </cell>
          <cell r="AZ1501" t="str">
            <v>KSn1AS9deG0</v>
          </cell>
        </row>
        <row r="1502">
          <cell r="AY1502" t="str">
            <v>Wubang Primary Health Care Center</v>
          </cell>
          <cell r="AZ1502" t="str">
            <v>zIBCQR2BIxA</v>
          </cell>
        </row>
        <row r="1503">
          <cell r="AY1503" t="str">
            <v>Garkawa II Primary Health Care Center</v>
          </cell>
          <cell r="AZ1503" t="str">
            <v>zJjEv6wh2yR</v>
          </cell>
        </row>
        <row r="1504">
          <cell r="AY1504" t="str">
            <v>Tunkus General Hospital</v>
          </cell>
          <cell r="AZ1504" t="str">
            <v>LAzfkJ5YZG1</v>
          </cell>
        </row>
      </sheetData>
      <sheetData sheetId="6" refreshError="1"/>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heet34"/>
      <sheetName val="Site selection"/>
      <sheetName val="Site visit Schedule "/>
      <sheetName val="DQA tool blank"/>
      <sheetName val="Site and SNU list"/>
      <sheetName val="Dashboard"/>
      <sheetName val="Site 1"/>
      <sheetName val="POCs"/>
      <sheetName val="Site visit Schedule"/>
    </sheetNames>
    <sheetDataSet>
      <sheetData sheetId="0"/>
      <sheetData sheetId="1"/>
      <sheetData sheetId="2"/>
      <sheetData sheetId="3"/>
      <sheetData sheetId="4"/>
      <sheetData sheetId="5"/>
      <sheetData sheetId="6"/>
      <sheetData sheetId="7"/>
      <sheetData sheetId="8"/>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4" Type="http://schemas.openxmlformats.org/officeDocument/2006/relationships/ctrlProp" Target="../ctrlProps/ctrlProp1.xml"/></Relationships>
</file>

<file path=xl/worksheets/_rels/sheet4.xml.rels><?xml version="1.0" encoding="UTF-8" standalone="yes"?><Relationships xmlns="http://schemas.openxmlformats.org/package/2006/relationships"><Relationship Id="rId2" Type="http://schemas.openxmlformats.org/officeDocument/2006/relationships/drawing" Target="../drawings/drawing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AA18"/>
  <sheetViews>
    <sheetView zoomScale="50" zoomScaleNormal="50" workbookViewId="0">
      <pane xSplit="2" ySplit="7" topLeftCell="J8" activePane="bottomRight" state="frozen"/>
      <selection pane="topRight" activeCell="C1" sqref="C1"/>
      <selection pane="bottomLeft" activeCell="A8" sqref="A8"/>
      <selection pane="bottomRight" activeCell="AH10" sqref="AH10"/>
    </sheetView>
  </sheetViews>
  <sheetFormatPr defaultRowHeight="14.5" x14ac:dyDescent="0.35"/>
  <cols>
    <col min="1" max="1" bestFit="1" width="6.453125" customWidth="1"/>
    <col min="2" max="2" width="16.7265625" customWidth="1"/>
    <col min="3" max="3" width="47" customWidth="1"/>
    <col min="4" max="18" width="16.1796875" customWidth="1" style="206"/>
    <col min="19" max="19" width="11.26953125" customWidth="1" style="140"/>
    <col min="20" max="20" width="22.7265625" customWidth="1" style="140"/>
    <col min="22" max="22" width="12.81640625" customWidth="1" style="305"/>
    <col min="23" max="23" bestFit="1" width="24.08984375" customWidth="1"/>
    <col min="24" max="24" bestFit="1" width="21.54296875" customWidth="1"/>
    <col min="25" max="25" bestFit="1" width="18.6328125" customWidth="1"/>
    <col min="26" max="26" bestFit="1" width="17.36328125" customWidth="1"/>
    <col min="27" max="27" bestFit="1" width="16.6328125" customWidth="1"/>
  </cols>
  <sheetData>
    <row r="1" ht="29">
      <c r="A1" s="324" t="s">
        <v>0</v>
      </c>
      <c r="B1" s="325"/>
      <c r="C1" s="325"/>
      <c r="D1" s="325"/>
      <c r="E1" s="325"/>
      <c r="F1" s="325"/>
      <c r="G1" s="325"/>
      <c r="H1" s="325"/>
      <c r="I1" s="325"/>
      <c r="J1" s="325"/>
      <c r="K1" s="325"/>
      <c r="L1" s="325"/>
      <c r="M1" s="325"/>
      <c r="N1" s="325"/>
      <c r="O1" s="325"/>
      <c r="P1" s="325"/>
      <c r="Q1" s="325"/>
      <c r="R1" s="325"/>
      <c r="S1" s="325"/>
      <c r="T1" s="326"/>
    </row>
    <row r="2" ht="24">
      <c r="A2" s="313" t="s">
        <v>324</v>
      </c>
      <c r="B2" s="314"/>
      <c r="C2" s="315"/>
      <c r="D2" s="316" t="str">
        <f>Worksheet!P2</f>
        <v>IHVN</v>
      </c>
      <c r="E2" s="317"/>
      <c r="F2" s="317"/>
      <c r="G2" s="317"/>
      <c r="H2" s="317"/>
      <c r="I2" s="317"/>
      <c r="J2" s="318"/>
      <c r="K2" s="319" t="s">
        <v>325</v>
      </c>
      <c r="L2" s="320"/>
      <c r="M2" s="320"/>
      <c r="N2" s="320"/>
      <c r="O2" s="321" t="str">
        <f>Worksheet!M18</f>
        <v>Ramat Ibrahim (Public Health Specialist) University of Maryland Baltimore </v>
      </c>
      <c r="P2" s="322"/>
      <c r="Q2" s="322"/>
      <c r="R2" s="322"/>
      <c r="S2" s="322"/>
      <c r="T2" s="323"/>
    </row>
    <row r="3" ht="24">
      <c r="A3" s="313" t="s">
        <v>326</v>
      </c>
      <c r="B3" s="314" t="s">
        <v>2</v>
      </c>
      <c r="C3" s="315"/>
      <c r="D3" s="316" t="str">
        <f>Worksheet!R2</f>
        <v>Nasarawa</v>
      </c>
      <c r="E3" s="317"/>
      <c r="F3" s="317"/>
      <c r="G3" s="317"/>
      <c r="H3" s="317"/>
      <c r="I3" s="317"/>
      <c r="J3" s="318"/>
      <c r="K3" s="319" t="s">
        <v>327</v>
      </c>
      <c r="L3" s="320"/>
      <c r="M3" s="320"/>
      <c r="N3" s="320"/>
      <c r="O3" s="321">
        <f>Worksheet!W18</f>
        <v>42787</v>
      </c>
      <c r="P3" s="322"/>
      <c r="Q3" s="322"/>
      <c r="R3" s="322"/>
      <c r="S3" s="322"/>
      <c r="T3" s="323"/>
    </row>
    <row r="4" ht="24">
      <c r="A4" s="313" t="s">
        <v>328</v>
      </c>
      <c r="B4" s="314"/>
      <c r="C4" s="315" t="s">
        <v>4</v>
      </c>
      <c r="D4" s="316" t="str">
        <f>Worksheet!T2</f>
        <v>na Lafia</v>
      </c>
      <c r="E4" s="317"/>
      <c r="F4" s="317"/>
      <c r="G4" s="317"/>
      <c r="H4" s="317"/>
      <c r="I4" s="317"/>
      <c r="J4" s="318"/>
      <c r="K4" s="319" t="s">
        <v>329</v>
      </c>
      <c r="L4" s="320"/>
      <c r="M4" s="320"/>
      <c r="N4" s="320"/>
      <c r="O4" s="321" t="str">
        <f>Worksheet!M19</f>
        <v>Aminu Adamu</v>
      </c>
      <c r="P4" s="322"/>
      <c r="Q4" s="322"/>
      <c r="R4" s="322"/>
      <c r="S4" s="322"/>
      <c r="T4" s="323"/>
    </row>
    <row r="5" ht="24">
      <c r="A5" s="313" t="s">
        <v>330</v>
      </c>
      <c r="B5" s="314"/>
      <c r="C5" s="315" t="s">
        <v>7</v>
      </c>
      <c r="D5" s="316" t="str">
        <f>Worksheet!V2</f>
        <v>Fadama South Primary Health Care Center</v>
      </c>
      <c r="E5" s="317"/>
      <c r="F5" s="317"/>
      <c r="G5" s="317"/>
      <c r="H5" s="317"/>
      <c r="I5" s="317"/>
      <c r="J5" s="318"/>
      <c r="K5" s="319" t="s">
        <v>327</v>
      </c>
      <c r="L5" s="320"/>
      <c r="M5" s="320"/>
      <c r="N5" s="320"/>
      <c r="O5" s="321">
        <f>Worksheet!W19</f>
        <v>42787</v>
      </c>
      <c r="P5" s="322"/>
      <c r="Q5" s="322"/>
      <c r="R5" s="322"/>
      <c r="S5" s="322"/>
      <c r="T5" s="323"/>
    </row>
    <row r="6" ht="24">
      <c r="A6" s="329" t="s">
        <v>331</v>
      </c>
      <c r="B6" s="329" t="s">
        <v>294</v>
      </c>
      <c r="C6" s="103" t="s">
        <v>295</v>
      </c>
      <c r="D6" s="331">
        <v>42644</v>
      </c>
      <c r="E6" s="332"/>
      <c r="F6" s="332"/>
      <c r="G6" s="332"/>
      <c r="H6" s="333"/>
      <c r="I6" s="331">
        <v>42675</v>
      </c>
      <c r="J6" s="334"/>
      <c r="K6" s="334"/>
      <c r="L6" s="334"/>
      <c r="M6" s="335"/>
      <c r="N6" s="331">
        <v>42705</v>
      </c>
      <c r="O6" s="334"/>
      <c r="P6" s="334"/>
      <c r="Q6" s="334"/>
      <c r="R6" s="335"/>
      <c r="S6" s="336" t="s">
        <v>296</v>
      </c>
      <c r="T6" s="327" t="s">
        <v>297</v>
      </c>
    </row>
    <row r="7" ht="31.9" customHeight="1">
      <c r="A7" s="330"/>
      <c r="B7" s="330"/>
      <c r="C7" s="104" t="s">
        <v>298</v>
      </c>
      <c r="D7" s="153" t="s">
        <v>299</v>
      </c>
      <c r="E7" s="153" t="s">
        <v>300</v>
      </c>
      <c r="F7" s="153" t="s">
        <v>301</v>
      </c>
      <c r="G7" s="153" t="s">
        <v>302</v>
      </c>
      <c r="H7" s="154" t="s">
        <v>303</v>
      </c>
      <c r="I7" s="153" t="s">
        <v>299</v>
      </c>
      <c r="J7" s="153" t="s">
        <v>300</v>
      </c>
      <c r="K7" s="153" t="s">
        <v>301</v>
      </c>
      <c r="L7" s="153" t="s">
        <v>302</v>
      </c>
      <c r="M7" s="154" t="s">
        <v>303</v>
      </c>
      <c r="N7" s="153" t="s">
        <v>299</v>
      </c>
      <c r="O7" s="153" t="s">
        <v>300</v>
      </c>
      <c r="P7" s="153" t="s">
        <v>301</v>
      </c>
      <c r="Q7" s="153" t="s">
        <v>302</v>
      </c>
      <c r="R7" s="154" t="s">
        <v>303</v>
      </c>
      <c r="S7" s="337"/>
      <c r="T7" s="328"/>
      <c r="V7" s="311" t="s">
        <v>332</v>
      </c>
      <c r="W7" s="311" t="s">
        <v>333</v>
      </c>
      <c r="X7" s="311" t="s">
        <v>334</v>
      </c>
      <c r="Y7" s="311" t="s">
        <v>335</v>
      </c>
      <c r="Z7" s="311" t="s">
        <v>336</v>
      </c>
      <c r="AA7" s="311" t="s">
        <v>337</v>
      </c>
    </row>
    <row r="8" ht="72.65" customHeight="1">
      <c r="A8" s="105">
        <v>1</v>
      </c>
      <c r="B8" s="106" t="s">
        <v>304</v>
      </c>
      <c r="C8" s="107" t="s">
        <v>305</v>
      </c>
      <c r="D8" s="155">
        <f>ROUND((SUM('All Questions'!D11:D14)/4)+D12,0)</f>
        <v>0</v>
      </c>
      <c r="E8" s="155">
        <f>ROUND(SUM('All Questions'!D15:D21)/7+E12,0)</f>
        <v>0</v>
      </c>
      <c r="F8" s="155">
        <f>ROUND(SUM('All Questions'!D23:D30)/4+F12,0)</f>
        <v>0</v>
      </c>
      <c r="G8" s="155">
        <f>ROUND(SUM('All Questions'!D31:D35)/5+G12,0)</f>
        <v>0</v>
      </c>
      <c r="H8" s="156">
        <f>ROUND(SUM('All Questions'!D37,'All Questions'!D40)/2+'All Questions'!D26+H12,0)</f>
        <v>0</v>
      </c>
      <c r="I8" s="157">
        <f>ROUND((SUM('All Questions'!E11:E14)/4)+I12,0)</f>
        <v>0</v>
      </c>
      <c r="J8" s="155">
        <f>ROUND(SUM('All Questions'!E15:E21)/7+J12,0)</f>
        <v>0</v>
      </c>
      <c r="K8" s="155">
        <f>ROUND(SUM('All Questions'!E23:E30)/4+K12,0)</f>
        <v>0</v>
      </c>
      <c r="L8" s="155">
        <f>ROUND(SUM('All Questions'!E31:E35)/5+L12,0)</f>
        <v>0</v>
      </c>
      <c r="M8" s="156">
        <f>ROUND(('All Questions'!E37+'All Questions'!E40)/2+'All Questions'!E26+M12,0)</f>
        <v>0</v>
      </c>
      <c r="N8" s="157">
        <f>ROUND((SUM('All Questions'!F11:F14)/4)+N12,0)</f>
        <v>0</v>
      </c>
      <c r="O8" s="155">
        <f>ROUND(SUM('All Questions'!F15:F21)/7+O12,0)</f>
        <v>0</v>
      </c>
      <c r="P8" s="155">
        <f>ROUND(SUM('All Questions'!F23:F30)/4+P12,0)</f>
        <v>0</v>
      </c>
      <c r="Q8" s="155">
        <f>ROUND(SUM('All Questions'!F31:F35)/5+Q12,0)</f>
        <v>0</v>
      </c>
      <c r="R8" s="156">
        <f>ROUND(('All Questions'!F37+'All Questions'!F40)/2+'All Questions'!F26+R12,0)</f>
        <v>0</v>
      </c>
      <c r="S8" s="141">
        <f>'All Questions'!F2</f>
        <v>240</v>
      </c>
      <c r="T8" s="142">
        <f>(AVERAGE(F8:H8)+AVERAGE(K8:M8)+AVERAGE(P8:R8))/S8</f>
        <v>0</v>
      </c>
      <c r="V8" s="305">
        <f>AVERAGE(F8:H8)+AVERAGE(K8:M8)+AVERAGE(P8:R8)</f>
        <v>0</v>
      </c>
      <c r="W8" s="312">
        <f>SUM(D8,I8,N8)</f>
        <v>0</v>
      </c>
      <c r="X8" s="312">
        <f>SUM(E8,J8,O8)</f>
        <v>0</v>
      </c>
      <c r="Y8" s="312">
        <f>SUM(F8,K8,P8)</f>
        <v>0</v>
      </c>
      <c r="Z8" s="312">
        <f>SUM(G8,L8,Q8)</f>
        <v>0</v>
      </c>
      <c r="AA8" s="312">
        <f>SUM(H8,M8,R8)</f>
        <v>0</v>
      </c>
    </row>
    <row r="9" ht="72.65" customHeight="1">
      <c r="A9" s="108">
        <v>1.1</v>
      </c>
      <c r="B9" s="109" t="s">
        <v>304</v>
      </c>
      <c r="C9" s="110" t="s">
        <v>306</v>
      </c>
      <c r="D9" s="158"/>
      <c r="E9" s="158"/>
      <c r="F9" s="159">
        <f>ROUND('All Questions'!D29+F13,0)</f>
        <v>0</v>
      </c>
      <c r="G9" s="158"/>
      <c r="H9" s="160"/>
      <c r="I9" s="161"/>
      <c r="J9" s="158"/>
      <c r="K9" s="159">
        <f>ROUND('All Questions'!E29+K13,0)</f>
        <v>0</v>
      </c>
      <c r="L9" s="158"/>
      <c r="M9" s="160"/>
      <c r="N9" s="161"/>
      <c r="O9" s="158"/>
      <c r="P9" s="159">
        <f>ROUND('All Questions'!F29+P13,0)</f>
        <v>0</v>
      </c>
      <c r="Q9" s="158"/>
      <c r="R9" s="160"/>
      <c r="S9" s="141">
        <f>'All Questions'!F3</f>
        <v>11</v>
      </c>
      <c r="T9" s="143">
        <f>SUM(F9,K9,P9)/S9</f>
        <v>0</v>
      </c>
      <c r="V9" s="305">
        <f>SUM(F9+K9+P9)</f>
        <v>0</v>
      </c>
      <c r="W9" s="312"/>
      <c r="X9" s="312"/>
      <c r="Y9" s="312"/>
      <c r="Z9" s="312"/>
      <c r="AA9" s="312"/>
    </row>
    <row r="10" ht="72.65" customHeight="1">
      <c r="A10" s="108" t="s">
        <v>338</v>
      </c>
      <c r="B10" s="109" t="s">
        <v>307</v>
      </c>
      <c r="C10" s="110" t="s">
        <v>308</v>
      </c>
      <c r="D10" s="159">
        <f>ROUND((SUM('All Questions'!D11:D14)/4),0)</f>
        <v>0</v>
      </c>
      <c r="E10" s="159">
        <f>ROUND(SUM('All Questions'!D15:D21)/7,0)</f>
        <v>0</v>
      </c>
      <c r="F10" s="159">
        <f>ROUND(SUM('All Questions'!D23:D30)/4,0)</f>
        <v>0</v>
      </c>
      <c r="G10" s="159">
        <f>ROUND(SUM('All Questions'!D31:D35)/5,0)</f>
        <v>0</v>
      </c>
      <c r="H10" s="162">
        <f>ROUND(('All Questions'!D37+'All Questions'!D40)/2+'All Questions'!D26,0)</f>
        <v>0</v>
      </c>
      <c r="I10" s="163">
        <f>ROUND((SUM('All Questions'!E11:E14)/4),0)</f>
        <v>0</v>
      </c>
      <c r="J10" s="164">
        <f>ROUND(SUM('All Questions'!E15:E21)/7,0)</f>
        <v>0</v>
      </c>
      <c r="K10" s="164">
        <f>ROUND(SUM('All Questions'!E23:E30)/4,0)</f>
        <v>0</v>
      </c>
      <c r="L10" s="164">
        <f>ROUND(SUM('All Questions'!E31:E35)/5,0)</f>
        <v>0</v>
      </c>
      <c r="M10" s="165">
        <f>ROUND(('All Questions'!E37+'All Questions'!E40)/2+'All Questions'!E26,0)</f>
        <v>0</v>
      </c>
      <c r="N10" s="166">
        <f>ROUND((SUM('All Questions'!F11:F14)/4),0)</f>
        <v>0</v>
      </c>
      <c r="O10" s="164">
        <f>ROUND(SUM('All Questions'!F15:F21)/7,0)</f>
        <v>0</v>
      </c>
      <c r="P10" s="164">
        <f>ROUND(SUM('All Questions'!F23:F30)/4,0)</f>
        <v>0</v>
      </c>
      <c r="Q10" s="164">
        <f>ROUND(SUM('All Questions'!F31:F35)/5,0)</f>
        <v>0</v>
      </c>
      <c r="R10" s="165">
        <f>ROUND(('All Questions'!F37+'All Questions'!F40)/2+'All Questions'!F26,0)</f>
        <v>0</v>
      </c>
      <c r="S10" s="141">
        <f>'All Questions'!F4</f>
        <v>198</v>
      </c>
      <c r="T10" s="143">
        <f>(AVERAGE(F10:H10)+AVERAGE(K10:M10)+AVERAGE(P10:R10))/S10</f>
        <v>0</v>
      </c>
      <c r="V10" s="305">
        <f>AVERAGE(F10:H10)+AVERAGE(K10:M10)+AVERAGE(P10:R10)</f>
        <v>0</v>
      </c>
      <c r="W10" s="312">
        <f ref="W10:W18" t="shared" si="0">SUM(D10,I10,N10)</f>
        <v>0</v>
      </c>
      <c r="X10" s="312">
        <f ref="X10:X18" t="shared" si="1">SUM(E10,J10,O10)</f>
        <v>0</v>
      </c>
      <c r="Y10" s="312">
        <f ref="Y10:Y18" t="shared" si="2">SUM(F10,K10,P10)</f>
        <v>0</v>
      </c>
      <c r="Z10" s="312">
        <f ref="Z10:Z18" t="shared" si="3">SUM(G10,L10,Q10)</f>
        <v>0</v>
      </c>
      <c r="AA10" s="312">
        <f ref="AA10:AA18" t="shared" si="4">SUM(H10,M10,R10)</f>
        <v>0</v>
      </c>
    </row>
    <row r="11" ht="72.65" customHeight="1">
      <c r="A11" s="111" t="s">
        <v>339</v>
      </c>
      <c r="B11" s="112" t="s">
        <v>307</v>
      </c>
      <c r="C11" s="113" t="s">
        <v>309</v>
      </c>
      <c r="D11" s="167"/>
      <c r="E11" s="167"/>
      <c r="F11" s="168">
        <f>ROUND('All Questions'!D29,0)</f>
        <v>0</v>
      </c>
      <c r="G11" s="167"/>
      <c r="H11" s="169"/>
      <c r="I11" s="170"/>
      <c r="J11" s="167"/>
      <c r="K11" s="171">
        <f>ROUND('All Questions'!E29,0)</f>
        <v>0</v>
      </c>
      <c r="L11" s="167"/>
      <c r="M11" s="169"/>
      <c r="N11" s="170"/>
      <c r="O11" s="167"/>
      <c r="P11" s="171">
        <f>ROUND('All Questions'!F29,0)</f>
        <v>0</v>
      </c>
      <c r="Q11" s="167"/>
      <c r="R11" s="169"/>
      <c r="S11" s="141">
        <f>'All Questions'!F5</f>
        <v>11</v>
      </c>
      <c r="T11" s="144">
        <f>SUM(F11,K11,P11)/S11</f>
        <v>0</v>
      </c>
      <c r="V11" s="305">
        <f>SUM(F11+K11+P11)</f>
        <v>0</v>
      </c>
      <c r="W11" s="312"/>
      <c r="X11" s="312"/>
      <c r="Y11" s="312"/>
      <c r="Z11" s="312"/>
      <c r="AA11" s="312"/>
    </row>
    <row r="12" ht="72.65" customHeight="1">
      <c r="A12" s="114">
        <v>2</v>
      </c>
      <c r="B12" s="115" t="s">
        <v>117</v>
      </c>
      <c r="C12" s="116" t="s">
        <v>310</v>
      </c>
      <c r="D12" s="172">
        <f>ROUND(SUM('All Questions'!D56:D58)/3,0)</f>
        <v>0</v>
      </c>
      <c r="E12" s="173">
        <f>ROUND(SUM('All Questions'!D60:D65)/6,0)</f>
        <v>0</v>
      </c>
      <c r="F12" s="173">
        <f>ROUND(SUM('All Questions'!D67:D72)/3,0)</f>
        <v>0</v>
      </c>
      <c r="G12" s="173">
        <f>ROUND(SUM('All Questions'!D73:D80)/4,0)</f>
        <v>0</v>
      </c>
      <c r="H12" s="174">
        <f>ROUND(SUM('All Questions'!D82:D83)/2,0)</f>
        <v>0</v>
      </c>
      <c r="I12" s="175">
        <f>ROUND(SUM('All Questions'!E55:E58)/4,0)</f>
        <v>0</v>
      </c>
      <c r="J12" s="176">
        <f>ROUND(SUM('All Questions'!E60:E65)/6,0)</f>
        <v>0</v>
      </c>
      <c r="K12" s="176">
        <f>ROUND(SUM('All Questions'!E67:E72)/3,0)</f>
        <v>0</v>
      </c>
      <c r="L12" s="176">
        <f>ROUND(SUM('All Questions'!E73:E80)/4,0)</f>
        <v>0</v>
      </c>
      <c r="M12" s="177">
        <f>ROUND(SUM('All Questions'!E82:E83)/2,0)</f>
        <v>0</v>
      </c>
      <c r="N12" s="178">
        <f>ROUND(SUM('All Questions'!F55:F58)/4,0)</f>
        <v>0</v>
      </c>
      <c r="O12" s="176">
        <f>ROUND(SUM('All Questions'!F60:F65)/6,0)</f>
        <v>0</v>
      </c>
      <c r="P12" s="176">
        <f>ROUND(SUM('All Questions'!F67:F72)/3,0)</f>
        <v>0</v>
      </c>
      <c r="Q12" s="176">
        <f>ROUND(SUM('All Questions'!F73:F80)/4,0)</f>
        <v>0</v>
      </c>
      <c r="R12" s="177">
        <f>ROUND(SUM('All Questions'!F82:F83)/2,0)</f>
        <v>0</v>
      </c>
      <c r="S12" s="145">
        <f>'All Questions'!F46</f>
        <v>42</v>
      </c>
      <c r="T12" s="146">
        <f ref="T12:T15" t="shared" si="5">(AVERAGE(F12:H12)+AVERAGE(K12:M12)+AVERAGE(P12:R12))/S12</f>
        <v>0</v>
      </c>
      <c r="V12" s="305">
        <f>AVERAGE(F12:H12)+AVERAGE(K12:M12)+AVERAGE(P12:R12)</f>
        <v>0</v>
      </c>
      <c r="W12" s="312">
        <f t="shared" si="0"/>
        <v>0</v>
      </c>
      <c r="X12" s="312">
        <f t="shared" si="1"/>
        <v>0</v>
      </c>
      <c r="Y12" s="312">
        <f t="shared" si="2"/>
        <v>0</v>
      </c>
      <c r="Z12" s="312">
        <f t="shared" si="3"/>
        <v>0</v>
      </c>
      <c r="AA12" s="312">
        <f t="shared" si="4"/>
        <v>0</v>
      </c>
    </row>
    <row r="13" ht="72.65" customHeight="1">
      <c r="A13" s="108">
        <v>2.1</v>
      </c>
      <c r="B13" s="109" t="s">
        <v>117</v>
      </c>
      <c r="C13" s="117" t="s">
        <v>120</v>
      </c>
      <c r="D13" s="161"/>
      <c r="E13" s="158"/>
      <c r="F13" s="179">
        <f>ROUND('All Questions'!D72,0)</f>
        <v>0</v>
      </c>
      <c r="G13" s="158"/>
      <c r="H13" s="180">
        <f>ROUND(SUM('All Questions'!D85:D86)/2,0)</f>
        <v>0</v>
      </c>
      <c r="I13" s="181"/>
      <c r="J13" s="182"/>
      <c r="K13" s="183">
        <f>ROUND('All Questions'!E72,0)</f>
        <v>0</v>
      </c>
      <c r="L13" s="182"/>
      <c r="M13" s="184">
        <f>ROUND(SUM('All Questions'!E85:E86)/2,0)</f>
        <v>0</v>
      </c>
      <c r="N13" s="185"/>
      <c r="O13" s="182"/>
      <c r="P13" s="183">
        <f>ROUND('All Questions'!F72,0)</f>
        <v>0</v>
      </c>
      <c r="Q13" s="182"/>
      <c r="R13" s="184">
        <f>ROUND(SUM('All Questions'!F85:F86)/2,0)</f>
        <v>0</v>
      </c>
      <c r="S13" s="145">
        <f>'All Questions'!F47</f>
        <v>2</v>
      </c>
      <c r="T13" s="147">
        <f>(AVERAGE(F13,H13)+AVERAGE(K13,M13)+AVERAGE(P13,R13))/S13</f>
        <v>0</v>
      </c>
      <c r="V13" s="305">
        <f>AVERAGE(F13,H13)+AVERAGE(K13,M13)+AVERAGE(P13,R13)</f>
        <v>0</v>
      </c>
      <c r="W13" s="312"/>
      <c r="X13" s="312"/>
      <c r="Y13" s="312"/>
      <c r="Z13" s="312"/>
      <c r="AA13" s="312"/>
    </row>
    <row r="14" ht="72.65" customHeight="1">
      <c r="A14" s="108">
        <v>2.2</v>
      </c>
      <c r="B14" s="109" t="s">
        <v>117</v>
      </c>
      <c r="C14" s="117" t="s">
        <v>122</v>
      </c>
      <c r="D14" s="186">
        <f>ROUND('All Questions'!D57,0)</f>
        <v>0</v>
      </c>
      <c r="E14" s="179">
        <f>ROUND('All Questions'!D64,0)</f>
        <v>0</v>
      </c>
      <c r="F14" s="179">
        <f>ROUND(SUM('All Questions'!D69:D70),0)</f>
        <v>0</v>
      </c>
      <c r="G14" s="179">
        <f>ROUND(SUM('All Questions'!D74,'All Questions'!D76,'All Questions'!D78,'All Questions'!D80)/4,0)</f>
        <v>0</v>
      </c>
      <c r="H14" s="180">
        <f>ROUND(SUM('All Questions'!D88:D89)/2,0)</f>
        <v>0</v>
      </c>
      <c r="I14" s="187">
        <f>ROUND('All Questions'!E57,0)</f>
        <v>0</v>
      </c>
      <c r="J14" s="183">
        <f>ROUND('All Questions'!E64,0)</f>
        <v>0</v>
      </c>
      <c r="K14" s="183">
        <f>ROUND(SUM('All Questions'!E69:E70),0)</f>
        <v>0</v>
      </c>
      <c r="L14" s="183">
        <f>ROUND(SUM('All Questions'!E74,'All Questions'!E76,'All Questions'!E78,'All Questions'!E80)/4,0)</f>
        <v>0</v>
      </c>
      <c r="M14" s="184">
        <f>ROUND(SUM('All Questions'!E88:E89)/2,0)</f>
        <v>0</v>
      </c>
      <c r="N14" s="188">
        <f>ROUND('All Questions'!F57,0)</f>
        <v>0</v>
      </c>
      <c r="O14" s="183">
        <f>ROUND('All Questions'!F64,0)</f>
        <v>0</v>
      </c>
      <c r="P14" s="183">
        <f>ROUND(SUM('All Questions'!F69:F70),0)</f>
        <v>0</v>
      </c>
      <c r="Q14" s="183">
        <f>ROUND(SUM('All Questions'!F74,'All Questions'!F76,'All Questions'!F78,'All Questions'!F80)/4,0)</f>
        <v>0</v>
      </c>
      <c r="R14" s="184">
        <f>ROUND(SUM('All Questions'!F88:F89)/2,0)</f>
        <v>0</v>
      </c>
      <c r="S14" s="145">
        <f>'All Questions'!F48</f>
        <v>0</v>
      </c>
      <c r="T14" s="147" t="e">
        <f>(AVERAGE(F14:H14)+AVERAGE(K14:M14)+AVERAGE(P14:R14))/S14</f>
        <v>#DIV/0!</v>
      </c>
      <c r="V14" s="305">
        <f>AVERAGE(F14:H14)+AVERAGE(K14:M14)+AVERAGE(P14:R14)</f>
        <v>0</v>
      </c>
      <c r="W14" s="312"/>
      <c r="X14" s="312"/>
      <c r="Y14" s="312"/>
      <c r="Z14" s="312"/>
      <c r="AA14" s="312"/>
    </row>
    <row r="15" ht="72.65" customHeight="1">
      <c r="A15" s="108">
        <v>3</v>
      </c>
      <c r="B15" s="109" t="s">
        <v>194</v>
      </c>
      <c r="C15" s="117" t="s">
        <v>312</v>
      </c>
      <c r="D15" s="163">
        <f>ROUND(SUM('All Questions'!D119:D120)/2,0)</f>
        <v>0</v>
      </c>
      <c r="E15" s="159">
        <f>ROUND(SUM('All Questions'!D121,'All Questions'!D124)/2,0)</f>
        <v>0</v>
      </c>
      <c r="F15" s="159">
        <f>ROUND(SUM('All Questions'!D126:D129)/2,0)</f>
        <v>0</v>
      </c>
      <c r="G15" s="159">
        <f>ROUND(SUM('All Questions'!D131:D133)/3,0)</f>
        <v>0</v>
      </c>
      <c r="H15" s="162">
        <f>ROUND(SUM('All Questions'!D135,'All Questions'!D138),0)</f>
        <v>0</v>
      </c>
      <c r="I15" s="166">
        <f>ROUND(SUM('All Questions'!E119:E120)/2,0)</f>
        <v>0</v>
      </c>
      <c r="J15" s="164">
        <f>ROUND(SUM('All Questions'!E121,'All Questions'!E124)/2,0)</f>
        <v>0</v>
      </c>
      <c r="K15" s="164">
        <f>ROUND(SUM('All Questions'!E126:E129)/2,0)</f>
        <v>0</v>
      </c>
      <c r="L15" s="164">
        <f>ROUND(SUM('All Questions'!E131:E133)/3,0)</f>
        <v>0</v>
      </c>
      <c r="M15" s="165">
        <f>ROUND(SUM('All Questions'!E135,'All Questions'!E138),0)</f>
        <v>0</v>
      </c>
      <c r="N15" s="189">
        <f>ROUND(SUM('All Questions'!F119:F120)/2,0)</f>
        <v>0</v>
      </c>
      <c r="O15" s="164">
        <f>ROUND(SUM('All Questions'!F121,'All Questions'!F124)/2,0)</f>
        <v>0</v>
      </c>
      <c r="P15" s="164">
        <f>ROUND(SUM('All Questions'!F126:F129)/2,0)</f>
        <v>0</v>
      </c>
      <c r="Q15" s="164">
        <f>ROUND(SUM('All Questions'!F131:F133)/3,0)</f>
        <v>0</v>
      </c>
      <c r="R15" s="165">
        <f>ROUND(SUM('All Questions'!F135,'All Questions'!F138),0)</f>
        <v>0</v>
      </c>
      <c r="S15" s="148">
        <f>'All Questions'!F117</f>
        <v>0</v>
      </c>
      <c r="T15" s="147" t="e">
        <f t="shared" si="5"/>
        <v>#DIV/0!</v>
      </c>
      <c r="V15" s="305">
        <f ref="V15:V17" t="shared" si="6">AVERAGE(F15:H15)+AVERAGE(K15:M15)+AVERAGE(P15:R15)</f>
        <v>0</v>
      </c>
      <c r="W15" s="312">
        <f t="shared" si="0"/>
        <v>0</v>
      </c>
      <c r="X15" s="312">
        <f t="shared" si="1"/>
        <v>0</v>
      </c>
      <c r="Y15" s="312">
        <f t="shared" si="2"/>
        <v>0</v>
      </c>
      <c r="Z15" s="312">
        <f t="shared" si="3"/>
        <v>0</v>
      </c>
      <c r="AA15" s="312">
        <f t="shared" si="4"/>
        <v>0</v>
      </c>
    </row>
    <row r="16" ht="72.65" customHeight="1">
      <c r="A16" s="118">
        <v>4</v>
      </c>
      <c r="B16" s="119" t="s">
        <v>313</v>
      </c>
      <c r="C16" s="120" t="s">
        <v>314</v>
      </c>
      <c r="D16" s="190">
        <f>ROUND(SUM('All Questions'!D93:D94)/2,0)</f>
        <v>0</v>
      </c>
      <c r="E16" s="191">
        <f>ROUND(SUM('All Questions'!D97:D100)/4,0)</f>
        <v>0</v>
      </c>
      <c r="F16" s="191">
        <f>ROUND(SUM('All Questions'!D101:D105)/2,0)</f>
        <v>0</v>
      </c>
      <c r="G16" s="191" t="e">
        <f>ROUND(SUM('All Questions'!D106:D109)/4,0)</f>
        <v>#DIV/0!</v>
      </c>
      <c r="H16" s="192">
        <f>ROUND(SUM('All Questions'!D111,'All Questions'!D112,'All Questions'!D114,'All Questions'!D115)/4,0)</f>
        <v>0</v>
      </c>
      <c r="I16" s="193">
        <f>ROUND(SUM('All Questions'!E93:E94)/2,0)</f>
        <v>0</v>
      </c>
      <c r="J16" s="194">
        <f>ROUND(SUM('All Questions'!E97:E100)/4,0)</f>
        <v>0</v>
      </c>
      <c r="K16" s="194">
        <f>ROUND(SUM('All Questions'!E101:E105)/2,0)</f>
        <v>0</v>
      </c>
      <c r="L16" s="194" t="e">
        <f>ROUND(SUM('All Questions'!E106:E109)/4,0)</f>
        <v>#DIV/0!</v>
      </c>
      <c r="M16" s="195">
        <f>ROUND(SUM('All Questions'!E111,'All Questions'!E112,'All Questions'!E114,'All Questions'!E115)/4,0)</f>
        <v>0</v>
      </c>
      <c r="N16" s="196">
        <f>ROUND(SUM('All Questions'!F93:F94)/2,0)</f>
        <v>0</v>
      </c>
      <c r="O16" s="194">
        <f>ROUND(SUM('All Questions'!F97:F100)/4,0)</f>
        <v>0</v>
      </c>
      <c r="P16" s="194">
        <f>ROUND(SUM('All Questions'!F101:F105)/2,0)</f>
        <v>0</v>
      </c>
      <c r="Q16" s="194" t="e">
        <f>ROUND(SUM('All Questions'!F106:F109)/4,0)</f>
        <v>#DIV/0!</v>
      </c>
      <c r="R16" s="195">
        <f>ROUND(SUM('All Questions'!F111,'All Questions'!F112,'All Questions'!F114,'All Questions'!F115)/4,0)</f>
        <v>0</v>
      </c>
      <c r="S16" s="149">
        <f>'All Questions'!F91</f>
        <v>1</v>
      </c>
      <c r="T16" s="150" t="e">
        <f>(AVERAGE(F16:H16)+AVERAGE(K16:M16)+AVERAGE(P16:R16))/S16</f>
        <v>#DIV/0!</v>
      </c>
      <c r="V16" s="305" t="e">
        <f t="shared" si="6"/>
        <v>#DIV/0!</v>
      </c>
      <c r="W16" s="312">
        <f t="shared" si="0"/>
        <v>0</v>
      </c>
      <c r="X16" s="312">
        <f t="shared" si="1"/>
        <v>0</v>
      </c>
      <c r="Y16" s="312">
        <f t="shared" si="2"/>
        <v>0</v>
      </c>
      <c r="Z16" s="312" t="e">
        <f t="shared" si="3"/>
        <v>#DIV/0!</v>
      </c>
      <c r="AA16" s="312">
        <f t="shared" si="4"/>
        <v>0</v>
      </c>
    </row>
    <row r="17" ht="72.65" customHeight="1">
      <c r="A17" s="105">
        <v>5</v>
      </c>
      <c r="B17" s="106" t="s">
        <v>219</v>
      </c>
      <c r="C17" s="121" t="s">
        <v>315</v>
      </c>
      <c r="D17" s="157">
        <f>ROUND(SUM('All Questions'!D145:D146)/2,0)</f>
        <v>0</v>
      </c>
      <c r="E17" s="155">
        <f>ROUND(SUM('All Questions'!D147:D150)/4,0)</f>
        <v>0</v>
      </c>
      <c r="F17" s="155">
        <f>ROUND(SUM('All Questions'!D151:D154)/2,0)</f>
        <v>0</v>
      </c>
      <c r="G17" s="155">
        <f>ROUND(SUM('All Questions'!D155:D158)/4,0)</f>
        <v>0</v>
      </c>
      <c r="H17" s="197">
        <f>ROUND(SUM('All Questions'!D160,'All Questions'!D163)/2,0)</f>
        <v>0</v>
      </c>
      <c r="I17" s="198">
        <f>ROUND(SUM('All Questions'!E145:E146)/2,0)</f>
        <v>0</v>
      </c>
      <c r="J17" s="199">
        <f>ROUND(SUM('All Questions'!E147:E150)/4,0)</f>
        <v>0</v>
      </c>
      <c r="K17" s="199">
        <f>ROUND(SUM('All Questions'!E151:E154)/2,0)</f>
        <v>0</v>
      </c>
      <c r="L17" s="199">
        <f>ROUND(SUM('All Questions'!E155:E158)/4,0)</f>
        <v>0</v>
      </c>
      <c r="M17" s="197">
        <f>ROUND(SUM('All Questions'!E160,'All Questions'!E163)/2,0)</f>
        <v>0</v>
      </c>
      <c r="N17" s="200">
        <f>ROUND(SUM('All Questions'!F145:F146)/2,0)</f>
        <v>0</v>
      </c>
      <c r="O17" s="199">
        <f>ROUND(SUM('All Questions'!F147:F150)/4,0)</f>
        <v>0</v>
      </c>
      <c r="P17" s="199">
        <f>ROUND(SUM('All Questions'!F151:F154)/2,0)</f>
        <v>0</v>
      </c>
      <c r="Q17" s="199">
        <f>ROUND(SUM('All Questions'!F155:F158)/4,0)</f>
        <v>0</v>
      </c>
      <c r="R17" s="199">
        <f>ROUND(SUM('All Questions'!F160,'All Questions'!F163)/2,0)</f>
        <v>0</v>
      </c>
      <c r="S17" s="151">
        <f>'All Questions'!F141</f>
        <v>0</v>
      </c>
      <c r="T17" s="142" t="e">
        <f>(AVERAGE(F17:H17)+AVERAGE(K17:M17)+AVERAGE(P17:R17))/S17</f>
        <v>#DIV/0!</v>
      </c>
      <c r="V17" s="305">
        <f t="shared" si="6"/>
        <v>0</v>
      </c>
      <c r="W17" s="312">
        <f t="shared" si="0"/>
        <v>0</v>
      </c>
      <c r="X17" s="312">
        <f t="shared" si="1"/>
        <v>0</v>
      </c>
      <c r="Y17" s="312">
        <f t="shared" si="2"/>
        <v>0</v>
      </c>
      <c r="Z17" s="312">
        <f t="shared" si="3"/>
        <v>0</v>
      </c>
      <c r="AA17" s="312">
        <f t="shared" si="4"/>
        <v>0</v>
      </c>
    </row>
    <row r="18" ht="72.65" customHeight="1">
      <c r="A18" s="111">
        <v>6</v>
      </c>
      <c r="B18" s="112" t="s">
        <v>244</v>
      </c>
      <c r="C18" s="122" t="s">
        <v>316</v>
      </c>
      <c r="D18" s="201">
        <f>ROUND(SUM('All Questions'!D172:D174)/3,0)</f>
        <v>0</v>
      </c>
      <c r="E18" s="168">
        <f>ROUND(SUM('All Questions'!D175:D179)/5,0)</f>
        <v>0</v>
      </c>
      <c r="F18" s="168">
        <f>ROUND(SUM('All Questions'!D181:D185)/3,0)</f>
        <v>0</v>
      </c>
      <c r="G18" s="168">
        <f>ROUND(SUM('All Questions'!D186:D189)/4,0)</f>
        <v>0</v>
      </c>
      <c r="H18" s="202">
        <f>ROUND(('All Questions'!D191-('All Questions'!D194+'All Questions'!D197+'All Questions'!D200)),0)</f>
        <v>0</v>
      </c>
      <c r="I18" s="203">
        <f>ROUND(SUM('All Questions'!E172:E174)/3,0)</f>
        <v>0</v>
      </c>
      <c r="J18" s="204">
        <f>ROUND(SUM('All Questions'!E175:E179)/5,0)</f>
        <v>0</v>
      </c>
      <c r="K18" s="204">
        <f>ROUND(SUM('All Questions'!E181:E185)/3,0)</f>
        <v>0</v>
      </c>
      <c r="L18" s="204">
        <f>ROUND(SUM('All Questions'!E186:E189)/4,0)</f>
        <v>0</v>
      </c>
      <c r="M18" s="202">
        <f>ROUND(('All Questions'!E191-('All Questions'!E194+'All Questions'!E197+'All Questions'!E200)),0)</f>
        <v>0</v>
      </c>
      <c r="N18" s="205">
        <f>ROUND(SUM('All Questions'!F172:F174)/3,0)</f>
        <v>0</v>
      </c>
      <c r="O18" s="204">
        <f>ROUND(SUM('All Questions'!F175:F179)/5,0)</f>
        <v>0</v>
      </c>
      <c r="P18" s="204">
        <f>ROUND(SUM('All Questions'!F181:F185)/3,0)</f>
        <v>0</v>
      </c>
      <c r="Q18" s="204">
        <f>ROUND(SUM('All Questions'!F186:F189)/4,0)</f>
        <v>0</v>
      </c>
      <c r="R18" s="301">
        <f>ROUND(('All Questions'!F191-('All Questions'!F194+'All Questions'!F197+'All Questions'!F200)),0)</f>
        <v>0</v>
      </c>
      <c r="S18" s="152">
        <f>'All Questions'!F166</f>
        <v>31</v>
      </c>
      <c r="T18" s="144">
        <f>AVERAGE(P18:R18)/S18</f>
        <v>0</v>
      </c>
      <c r="V18" s="305">
        <f>AVERAGE(P18:R18)</f>
        <v>0</v>
      </c>
      <c r="W18" s="312">
        <f t="shared" si="0"/>
        <v>0</v>
      </c>
      <c r="X18" s="312">
        <f t="shared" si="1"/>
        <v>0</v>
      </c>
      <c r="Y18" s="312">
        <f t="shared" si="2"/>
        <v>0</v>
      </c>
      <c r="Z18" s="312">
        <f t="shared" si="3"/>
        <v>0</v>
      </c>
      <c r="AA18" s="312">
        <f t="shared" si="4"/>
        <v>0</v>
      </c>
    </row>
  </sheetData>
  <mergeCells>
    <mergeCell ref="T6:T7"/>
    <mergeCell ref="A6:A7"/>
    <mergeCell ref="B6:B7"/>
    <mergeCell ref="D6:H6"/>
    <mergeCell ref="I6:M6"/>
    <mergeCell ref="N6:R6"/>
    <mergeCell ref="S6:S7"/>
    <mergeCell ref="A4:C4"/>
    <mergeCell ref="D4:J4"/>
    <mergeCell ref="K4:N4"/>
    <mergeCell ref="O4:T4"/>
    <mergeCell ref="A5:C5"/>
    <mergeCell ref="D5:J5"/>
    <mergeCell ref="K5:N5"/>
    <mergeCell ref="O5:T5"/>
    <mergeCell ref="A3:C3"/>
    <mergeCell ref="D3:J3"/>
    <mergeCell ref="K3:N3"/>
    <mergeCell ref="O3:T3"/>
    <mergeCell ref="A1:T1"/>
    <mergeCell ref="A2:C2"/>
    <mergeCell ref="D2:J2"/>
    <mergeCell ref="K2:N2"/>
    <mergeCell ref="O2:T2"/>
  </mergeCells>
  <conditionalFormatting sqref="A6:B6 C7:R9 Q17 A17:A18 C10:M11 A8:A11 O17 C15:M17 C12:C14 S8:S18">
    <cfRule type="cellIs" dxfId="0" priority="10" operator="equal">
      <formula>"check"</formula>
    </cfRule>
  </conditionalFormatting>
  <conditionalFormatting sqref="A1:B1 C6:D6 I6 N6 D18:M18">
    <cfRule type="cellIs" dxfId="0" priority="14" operator="equal">
      <formula>"check"</formula>
    </cfRule>
  </conditionalFormatting>
  <conditionalFormatting sqref="O10:R11">
    <cfRule type="cellIs" dxfId="0" priority="13" operator="equal">
      <formula>"check"</formula>
    </cfRule>
  </conditionalFormatting>
  <conditionalFormatting sqref="O18">
    <cfRule type="cellIs" dxfId="0" priority="12" operator="equal">
      <formula>"check"</formula>
    </cfRule>
  </conditionalFormatting>
  <conditionalFormatting sqref="Q18">
    <cfRule type="cellIs" dxfId="0" priority="11" operator="equal">
      <formula>"check"</formula>
    </cfRule>
  </conditionalFormatting>
  <conditionalFormatting sqref="C18">
    <cfRule type="cellIs" dxfId="0" priority="9" operator="equal">
      <formula>"check"</formula>
    </cfRule>
  </conditionalFormatting>
  <conditionalFormatting sqref="T6">
    <cfRule type="cellIs" dxfId="0" priority="8" operator="equal">
      <formula>"check"</formula>
    </cfRule>
  </conditionalFormatting>
  <conditionalFormatting sqref="S6">
    <cfRule type="cellIs" dxfId="0" priority="7" operator="equal">
      <formula>"check"</formula>
    </cfRule>
  </conditionalFormatting>
  <conditionalFormatting sqref="T10:T18">
    <cfRule type="cellIs" dxfId="84" priority="2" operator="between">
      <formula>1.06</formula>
      <formula>3</formula>
    </cfRule>
    <cfRule type="cellIs" dxfId="83" priority="3" operator="between">
      <formula>0</formula>
      <formula>0.89</formula>
    </cfRule>
    <cfRule type="cellIs" dxfId="82" priority="4" operator="between">
      <formula>0.9</formula>
      <formula>1.05</formula>
    </cfRule>
    <cfRule type="aboveAverage" priority="5" equalAverage="1"/>
  </conditionalFormatting>
  <conditionalFormatting sqref="D12:M14">
    <cfRule type="cellIs" dxfId="0" priority="1" operator="equal">
      <formula>"check"</formula>
    </cfRule>
  </conditionalFormatting>
  <pageMargins left="0.7" right="0.7" top="0.75" bottom="0.75" header="0.3" footer="0.3"/>
  <pageSetup orientation="portrait" horizontalDpi="4294967295" verticalDpi="4294967295"/>
  <headerFooter/>
  <extLst>
    <ext xmlns:x14="http://schemas.microsoft.com/office/spreadsheetml/2009/9/main" uri="{78C0D931-6437-407d-A8EE-F0AAD7539E65}">
      <x14:conditionalFormattings>
        <x14:conditionalFormatting xmlns:xm="http://schemas.microsoft.com/office/excel/2006/main">
          <x14:cfRule type="iconSet" priority="6" id="{50BC6FFB-BAF1-4BE5-BC1F-9DAA6788D3FD}">
            <x14:iconSet custom="1">
              <x14:cfvo type="percent">
                <xm:f>0</xm:f>
              </x14:cfvo>
              <x14:cfvo type="percent" gte="0">
                <xm:f>90</xm:f>
              </x14:cfvo>
              <x14:cfvo type="percent">
                <xm:f>"90-105"</xm:f>
              </x14:cfvo>
              <x14:cfIcon iconSet="3TrafficLights1" iconId="0"/>
              <x14:cfIcon iconSet="3TrafficLights1" iconId="0"/>
              <x14:cfIcon iconSet="3TrafficLights1" iconId="2"/>
            </x14:iconSet>
          </x14:cfRule>
          <xm:sqref>T8:T18</xm:sqref>
        </x14:conditionalFormatting>
      </x14:conditionalFormatting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A1:AD370"/>
  <sheetViews>
    <sheetView showGridLines="0" showRowColHeaders="0" view="pageBreakPreview" zoomScale="60" zoomScaleNormal="60" zoomScalePageLayoutView="10" workbookViewId="0">
      <pane xSplit="9" topLeftCell="J1" activePane="topRight" state="frozen"/>
      <selection pane="topRight" activeCell="M2" sqref="M2"/>
    </sheetView>
  </sheetViews>
  <sheetFormatPr defaultColWidth="8.81640625" defaultRowHeight="40.15" customHeight="1" x14ac:dyDescent="0.35"/>
  <cols>
    <col min="1" max="1" width="11.453125" customWidth="1" style="67"/>
    <col min="2" max="2" hidden="1" width="17.54296875" customWidth="1" style="67"/>
    <col min="3" max="3" width="14.81640625" customWidth="1" style="217"/>
    <col min="4" max="4" width="81.54296875" customWidth="1" style="218"/>
    <col min="5" max="5" width="13" customWidth="1" style="217"/>
    <col min="6" max="6" width="12.7265625" customWidth="1" style="217"/>
    <col min="7" max="7" width="11.7265625" customWidth="1" style="217"/>
    <col min="8" max="8" hidden="1" width="16.26953125" customWidth="1" style="67"/>
    <col min="9" max="9" width="11.81640625" customWidth="1" style="67"/>
    <col min="10" max="10" width="12.453125" customWidth="1" style="67"/>
    <col min="11" max="11" width="18.26953125" customWidth="1" style="67"/>
    <col min="12" max="12" width="28.81640625" customWidth="1" style="67"/>
    <col min="13" max="13" width="28.26953125" customWidth="1" style="67"/>
    <col min="14" max="14" width="18.7265625" customWidth="1" style="67"/>
    <col min="15" max="15" width="16" customWidth="1" style="67"/>
    <col min="16" max="16" width="16" customWidth="1" style="67"/>
    <col min="17" max="17" width="16" customWidth="1" style="67"/>
    <col min="18" max="18" width="16" customWidth="1" style="67"/>
    <col min="19" max="19" width="17.81640625" customWidth="1" style="67"/>
    <col min="20" max="20" width="16.7265625" customWidth="1" style="67"/>
    <col min="21" max="21" width="17.26953125" customWidth="1" style="67"/>
    <col min="22" max="22" width="16" customWidth="1" style="67"/>
    <col min="23" max="23" width="16" customWidth="1" style="67"/>
    <col min="24" max="24" width="22.26953125" customWidth="1" style="67"/>
    <col min="25" max="30" width="16" customWidth="1" style="67"/>
    <col min="31" max="16384" width="8.81640625" customWidth="1" style="67"/>
  </cols>
  <sheetData>
    <row r="1" ht="40.15" customHeight="1">
      <c r="A1" s="66"/>
      <c r="B1" s="66"/>
      <c r="C1" s="214" t="s">
        <v>281</v>
      </c>
      <c r="D1" s="215"/>
      <c r="E1" s="216"/>
      <c r="F1" s="338">
        <v>20170218</v>
      </c>
      <c r="G1" s="339"/>
      <c r="H1" s="66"/>
      <c r="I1" s="66"/>
      <c r="J1" s="66"/>
      <c r="K1" s="341" t="s">
        <v>282</v>
      </c>
      <c r="L1" s="341"/>
      <c r="M1" s="341"/>
      <c r="N1" s="341"/>
      <c r="O1" s="341"/>
      <c r="P1" s="341"/>
      <c r="Q1" s="341"/>
      <c r="R1" s="341"/>
      <c r="S1" s="341"/>
      <c r="T1" s="341"/>
      <c r="U1" s="341"/>
      <c r="V1" s="341"/>
      <c r="W1" s="341"/>
      <c r="X1" s="341"/>
      <c r="Y1" s="341"/>
      <c r="Z1" s="341"/>
      <c r="AA1" s="341"/>
      <c r="AB1" s="341"/>
      <c r="AC1" s="341"/>
      <c r="AD1" s="341"/>
    </row>
    <row r="2" ht="40.15" customHeight="1">
      <c r="A2" s="66"/>
      <c r="B2" s="219" t="s">
        <v>63</v>
      </c>
      <c r="C2" s="220" t="s">
        <v>64</v>
      </c>
      <c r="D2" s="221" t="s">
        <v>65</v>
      </c>
      <c r="E2" s="222"/>
      <c r="F2" s="223" t="s">
        <v>66</v>
      </c>
      <c r="G2" s="224"/>
      <c r="H2" s="225"/>
      <c r="I2" s="66"/>
      <c r="J2" s="66"/>
      <c r="K2" s="340" t="s">
        <v>283</v>
      </c>
      <c r="L2" s="340"/>
      <c r="M2" s="306" t="s">
        <v>244</v>
      </c>
      <c r="N2" s="340" t="s">
        <v>284</v>
      </c>
      <c r="O2" s="340"/>
      <c r="P2" s="306" t="s">
        <v>285</v>
      </c>
      <c r="Q2" s="304" t="s">
        <v>2</v>
      </c>
      <c r="R2" s="306" t="s">
        <v>286</v>
      </c>
      <c r="S2" s="304" t="s">
        <v>4</v>
      </c>
      <c r="T2" s="306" t="s">
        <v>287</v>
      </c>
      <c r="U2" s="70" t="s">
        <v>288</v>
      </c>
      <c r="V2" s="306" t="s">
        <v>289</v>
      </c>
      <c r="W2" s="69"/>
      <c r="X2" s="70" t="s">
        <v>290</v>
      </c>
      <c r="Y2" s="306" t="s">
        <v>291</v>
      </c>
      <c r="Z2" s="99" t="s">
        <v>292</v>
      </c>
      <c r="AA2" s="71" t="s">
        <v>293</v>
      </c>
      <c r="AB2" s="71"/>
      <c r="AC2" s="71"/>
      <c r="AD2" s="71"/>
    </row>
    <row r="3" ht="40.15" customHeight="1">
      <c r="A3" s="66"/>
      <c r="B3" s="226"/>
      <c r="C3" s="279" t="s">
        <v>244</v>
      </c>
      <c r="D3" s="260" t="s">
        <v>245</v>
      </c>
      <c r="E3" s="228"/>
      <c r="F3" s="231"/>
      <c r="G3" s="298">
        <f>_xlfn.IFNA(VLOOKUP(C3,Worksheet!$C$3:$G$46,5,FALSE),G3)</f>
        <v>0</v>
      </c>
      <c r="H3" s="207" t="s">
        <v>244</v>
      </c>
      <c r="I3" s="66"/>
      <c r="J3" s="66"/>
      <c r="K3" s="66"/>
      <c r="L3" s="68"/>
      <c r="M3" s="72"/>
      <c r="N3" s="68"/>
      <c r="O3" s="68"/>
      <c r="P3" s="68"/>
      <c r="Q3" s="68"/>
      <c r="R3" s="71"/>
      <c r="S3" s="68"/>
      <c r="T3" s="68"/>
      <c r="U3" s="71"/>
      <c r="V3" s="71"/>
      <c r="W3" s="68"/>
      <c r="X3" s="66"/>
      <c r="Y3" s="66"/>
      <c r="Z3" s="68"/>
      <c r="AA3" s="68"/>
      <c r="AB3" s="68"/>
      <c r="AC3" s="68"/>
      <c r="AD3" s="68"/>
    </row>
    <row r="4" ht="40.15" customHeight="1">
      <c r="A4" s="66"/>
      <c r="B4" s="226"/>
      <c r="C4" s="280" t="s">
        <v>246</v>
      </c>
      <c r="D4" s="260" t="s">
        <v>247</v>
      </c>
      <c r="E4" s="228"/>
      <c r="F4" s="231"/>
      <c r="G4" s="237">
        <f>_xlfn.IFNA(VLOOKUP(G3,Data_donotedit!$BE$2:$BG$25,3,TRUE),0)</f>
        <v>0</v>
      </c>
      <c r="H4" s="207" t="s">
        <v>244</v>
      </c>
      <c r="I4" s="66"/>
      <c r="J4" s="66"/>
      <c r="K4" s="347" t="s">
        <v>294</v>
      </c>
      <c r="L4" s="345" t="s">
        <v>295</v>
      </c>
      <c r="M4" s="346"/>
      <c r="N4" s="352">
        <v>42644</v>
      </c>
      <c r="O4" s="353"/>
      <c r="P4" s="353"/>
      <c r="Q4" s="353"/>
      <c r="R4" s="354"/>
      <c r="S4" s="352">
        <v>42675</v>
      </c>
      <c r="T4" s="353"/>
      <c r="U4" s="353"/>
      <c r="V4" s="353"/>
      <c r="W4" s="354"/>
      <c r="X4" s="352">
        <v>42705</v>
      </c>
      <c r="Y4" s="353"/>
      <c r="Z4" s="353"/>
      <c r="AA4" s="353"/>
      <c r="AB4" s="354"/>
      <c r="AC4" s="342" t="s">
        <v>296</v>
      </c>
      <c r="AD4" s="342" t="s">
        <v>297</v>
      </c>
    </row>
    <row r="5" ht="40.15" customHeight="1">
      <c r="A5" s="66"/>
      <c r="B5" s="226"/>
      <c r="C5" s="279"/>
      <c r="D5" s="262" t="s">
        <v>248</v>
      </c>
      <c r="E5" s="240" t="s">
        <v>126</v>
      </c>
      <c r="F5" s="241" t="s">
        <v>79</v>
      </c>
      <c r="G5" s="241" t="s">
        <v>80</v>
      </c>
      <c r="H5" s="207" t="s">
        <v>244</v>
      </c>
      <c r="I5" s="66"/>
      <c r="J5" s="66"/>
      <c r="K5" s="347"/>
      <c r="L5" s="345" t="s">
        <v>298</v>
      </c>
      <c r="M5" s="346"/>
      <c r="N5" s="303" t="s">
        <v>299</v>
      </c>
      <c r="O5" s="64" t="s">
        <v>300</v>
      </c>
      <c r="P5" s="64" t="s">
        <v>301</v>
      </c>
      <c r="Q5" s="64" t="s">
        <v>302</v>
      </c>
      <c r="R5" s="65" t="s">
        <v>303</v>
      </c>
      <c r="S5" s="64" t="s">
        <v>299</v>
      </c>
      <c r="T5" s="64" t="s">
        <v>300</v>
      </c>
      <c r="U5" s="64" t="s">
        <v>301</v>
      </c>
      <c r="V5" s="64" t="s">
        <v>302</v>
      </c>
      <c r="W5" s="65" t="s">
        <v>303</v>
      </c>
      <c r="X5" s="64" t="s">
        <v>299</v>
      </c>
      <c r="Y5" s="64" t="s">
        <v>300</v>
      </c>
      <c r="Z5" s="64" t="s">
        <v>301</v>
      </c>
      <c r="AA5" s="64" t="s">
        <v>302</v>
      </c>
      <c r="AB5" s="65" t="s">
        <v>303</v>
      </c>
      <c r="AC5" s="343"/>
      <c r="AD5" s="344"/>
    </row>
    <row r="6" ht="40.15" customHeight="1">
      <c r="A6" s="66"/>
      <c r="B6" s="226"/>
      <c r="C6" s="238">
        <v>1611</v>
      </c>
      <c r="D6" s="242" t="s">
        <v>249</v>
      </c>
      <c r="E6" s="299">
        <f>_xlfn.IFNA(VLOOKUP(C6,Worksheet!$C$3:$G$46,3,FALSE),E6)</f>
        <v>0</v>
      </c>
      <c r="F6" s="299">
        <f>_xlfn.IFNA(VLOOKUP(C6,Worksheet!$C$3:$G$46,4,FALSE),F6)</f>
        <v>0</v>
      </c>
      <c r="G6" s="299">
        <f>_xlfn.IFNA(VLOOKUP(C6,Worksheet!$C$3:$G$46,5,FALSE),G6)</f>
        <v>0</v>
      </c>
      <c r="H6" s="207" t="s">
        <v>244</v>
      </c>
      <c r="I6" s="66"/>
      <c r="J6" s="66"/>
      <c r="K6" s="135" t="s">
        <v>304</v>
      </c>
      <c r="L6" s="348" t="s">
        <v>305</v>
      </c>
      <c r="M6" s="349"/>
      <c r="N6" s="74">
        <v>54.5</v>
      </c>
      <c r="O6" s="74">
        <v>20</v>
      </c>
      <c r="P6" s="74">
        <v>50.333333333333336</v>
      </c>
      <c r="Q6" s="74">
        <v>57.65</v>
      </c>
      <c r="R6" s="75">
        <v>83.5</v>
      </c>
      <c r="S6" s="74">
        <v>50</v>
      </c>
      <c r="T6" s="74">
        <v>14.333333333333334</v>
      </c>
      <c r="U6" s="74">
        <v>43.416666666666664</v>
      </c>
      <c r="V6" s="74">
        <v>50.9</v>
      </c>
      <c r="W6" s="75">
        <v>85</v>
      </c>
      <c r="X6" s="74">
        <v>38.9</v>
      </c>
      <c r="Y6" s="74">
        <v>16.833333333333332</v>
      </c>
      <c r="Z6" s="74">
        <v>32.166666666666664</v>
      </c>
      <c r="AA6" s="74">
        <v>42.25</v>
      </c>
      <c r="AB6" s="74">
        <v>68</v>
      </c>
      <c r="AC6" s="76">
        <v>240</v>
      </c>
      <c r="AD6" s="77">
        <v>0.58981944444444445</v>
      </c>
    </row>
    <row r="7" ht="40.15" customHeight="1">
      <c r="A7" s="66"/>
      <c r="B7" s="226"/>
      <c r="C7" s="238">
        <v>1612</v>
      </c>
      <c r="D7" s="242" t="s">
        <v>250</v>
      </c>
      <c r="E7" s="299">
        <f>_xlfn.IFNA(VLOOKUP(C7,Worksheet!$C$3:$G$46,3,FALSE),E7)</f>
        <v>0</v>
      </c>
      <c r="F7" s="299">
        <f>_xlfn.IFNA(VLOOKUP(C7,Worksheet!$C$3:$G$46,4,FALSE),F7)</f>
        <v>0</v>
      </c>
      <c r="G7" s="299">
        <f>_xlfn.IFNA(VLOOKUP(C7,Worksheet!$C$3:$G$46,5,FALSE),G7)</f>
        <v>0</v>
      </c>
      <c r="H7" s="207" t="s">
        <v>244</v>
      </c>
      <c r="I7" s="66"/>
      <c r="J7" s="68"/>
      <c r="K7" s="62" t="s">
        <v>304</v>
      </c>
      <c r="L7" s="350" t="s">
        <v>306</v>
      </c>
      <c r="M7" s="351"/>
      <c r="N7" s="136"/>
      <c r="O7" s="136"/>
      <c r="P7" s="81">
        <v>2</v>
      </c>
      <c r="Q7" s="136"/>
      <c r="R7" s="137"/>
      <c r="S7" s="136"/>
      <c r="T7" s="136"/>
      <c r="U7" s="81">
        <v>3</v>
      </c>
      <c r="V7" s="136"/>
      <c r="W7" s="137"/>
      <c r="X7" s="136"/>
      <c r="Y7" s="136"/>
      <c r="Z7" s="81">
        <v>3</v>
      </c>
      <c r="AA7" s="136"/>
      <c r="AB7" s="136"/>
      <c r="AC7" s="83">
        <v>11</v>
      </c>
      <c r="AD7" s="84">
        <v>0.14545454545454548</v>
      </c>
    </row>
    <row r="8" ht="40.15" customHeight="1">
      <c r="A8" s="66"/>
      <c r="B8" s="226"/>
      <c r="C8" s="238">
        <v>1613</v>
      </c>
      <c r="D8" s="242" t="s">
        <v>224</v>
      </c>
      <c r="E8" s="299">
        <f>_xlfn.IFNA(VLOOKUP(C8,Worksheet!$C$3:$G$46,3,FALSE),E8)</f>
        <v>0</v>
      </c>
      <c r="F8" s="299">
        <f>_xlfn.IFNA(VLOOKUP(C8,Worksheet!$C$3:$G$46,4,FALSE),F8)</f>
        <v>0</v>
      </c>
      <c r="G8" s="299">
        <f>_xlfn.IFNA(VLOOKUP(C8,Worksheet!$C$3:$G$46,5,FALSE),G8)</f>
        <v>0</v>
      </c>
      <c r="H8" s="207" t="s">
        <v>244</v>
      </c>
      <c r="I8" s="66"/>
      <c r="J8" s="73"/>
      <c r="K8" s="61" t="s">
        <v>307</v>
      </c>
      <c r="L8" s="363" t="s">
        <v>308</v>
      </c>
      <c r="M8" s="364"/>
      <c r="N8" s="74">
        <v>45</v>
      </c>
      <c r="O8" s="74">
        <v>0</v>
      </c>
      <c r="P8" s="74">
        <v>42</v>
      </c>
      <c r="Q8" s="74">
        <v>48.4</v>
      </c>
      <c r="R8" s="75">
        <v>75</v>
      </c>
      <c r="S8" s="74">
        <v>45</v>
      </c>
      <c r="T8" s="74">
        <v>0</v>
      </c>
      <c r="U8" s="74">
        <v>35.75</v>
      </c>
      <c r="V8" s="74">
        <v>43.4</v>
      </c>
      <c r="W8" s="75">
        <v>75</v>
      </c>
      <c r="X8" s="74">
        <v>31.4</v>
      </c>
      <c r="Y8" s="74">
        <v>0</v>
      </c>
      <c r="Z8" s="74">
        <v>25.5</v>
      </c>
      <c r="AA8" s="74">
        <v>31</v>
      </c>
      <c r="AB8" s="74">
        <v>53</v>
      </c>
      <c r="AC8" s="78">
        <v>198</v>
      </c>
      <c r="AD8" s="79">
        <v>0.55601010101010107</v>
      </c>
    </row>
    <row r="9" ht="40.15" customHeight="1">
      <c r="A9" s="66"/>
      <c r="B9" s="226"/>
      <c r="C9" s="238">
        <v>1614</v>
      </c>
      <c r="D9" s="281" t="s">
        <v>251</v>
      </c>
      <c r="E9" s="299">
        <f>_xlfn.IFNA(VLOOKUP(C9,Worksheet!$C$3:$G$46,3,FALSE),E9)</f>
        <v>0</v>
      </c>
      <c r="F9" s="299">
        <f>_xlfn.IFNA(VLOOKUP(C9,Worksheet!$C$3:$G$46,4,FALSE),F9)</f>
        <v>0</v>
      </c>
      <c r="G9" s="299">
        <f>_xlfn.IFNA(VLOOKUP(C9,Worksheet!$C$3:$G$46,5,FALSE),G9)</f>
        <v>0</v>
      </c>
      <c r="H9" s="207" t="s">
        <v>244</v>
      </c>
      <c r="I9" s="66"/>
      <c r="J9" s="73"/>
      <c r="K9" s="62" t="s">
        <v>307</v>
      </c>
      <c r="L9" s="350" t="s">
        <v>309</v>
      </c>
      <c r="M9" s="351"/>
      <c r="N9" s="136"/>
      <c r="O9" s="136"/>
      <c r="P9" s="81">
        <v>2</v>
      </c>
      <c r="Q9" s="136"/>
      <c r="R9" s="137"/>
      <c r="S9" s="136"/>
      <c r="T9" s="136"/>
      <c r="U9" s="81">
        <v>3</v>
      </c>
      <c r="V9" s="136"/>
      <c r="W9" s="137"/>
      <c r="X9" s="136"/>
      <c r="Y9" s="136"/>
      <c r="Z9" s="81">
        <v>3</v>
      </c>
      <c r="AA9" s="136"/>
      <c r="AB9" s="136"/>
      <c r="AC9" s="83">
        <v>11</v>
      </c>
      <c r="AD9" s="84">
        <v>0.14545454545454548</v>
      </c>
    </row>
    <row r="10" ht="40.15" customHeight="1">
      <c r="A10" s="66"/>
      <c r="B10" s="226"/>
      <c r="C10" s="238">
        <v>1615</v>
      </c>
      <c r="D10" s="242" t="s">
        <v>252</v>
      </c>
      <c r="E10" s="299">
        <f>_xlfn.IFNA(VLOOKUP(C10,Worksheet!$C$3:$G$46,3,FALSE),E10)</f>
        <v>0</v>
      </c>
      <c r="F10" s="299">
        <f>_xlfn.IFNA(VLOOKUP(C10,Worksheet!$C$3:$G$46,4,FALSE),F10)</f>
        <v>0</v>
      </c>
      <c r="G10" s="299">
        <f>_xlfn.IFNA(VLOOKUP(C10,Worksheet!$C$3:$G$46,5,FALSE),G10)</f>
        <v>0</v>
      </c>
      <c r="H10" s="207" t="s">
        <v>244</v>
      </c>
      <c r="I10" s="66"/>
      <c r="J10" s="73"/>
      <c r="K10" s="124" t="s">
        <v>117</v>
      </c>
      <c r="L10" s="365" t="s">
        <v>310</v>
      </c>
      <c r="M10" s="366"/>
      <c r="N10" s="125">
        <v>9.5</v>
      </c>
      <c r="O10" s="74">
        <v>20</v>
      </c>
      <c r="P10" s="74">
        <v>8.3333333333333339</v>
      </c>
      <c r="Q10" s="74">
        <v>9.25</v>
      </c>
      <c r="R10" s="74">
        <v>8.5</v>
      </c>
      <c r="S10" s="125">
        <v>5</v>
      </c>
      <c r="T10" s="74">
        <v>14.333333333333334</v>
      </c>
      <c r="U10" s="74">
        <v>7.666666666666667</v>
      </c>
      <c r="V10" s="74">
        <v>7.5</v>
      </c>
      <c r="W10" s="74">
        <v>10</v>
      </c>
      <c r="X10" s="125">
        <v>7.5</v>
      </c>
      <c r="Y10" s="74">
        <v>16.833333333333332</v>
      </c>
      <c r="Z10" s="74">
        <v>6.666666666666667</v>
      </c>
      <c r="AA10" s="74">
        <v>11.25</v>
      </c>
      <c r="AB10" s="74">
        <v>15</v>
      </c>
      <c r="AC10" s="127">
        <v>42</v>
      </c>
      <c r="AD10" s="128">
        <v>0.74920634920634921</v>
      </c>
    </row>
    <row r="11" ht="50.5" customHeight="1">
      <c r="A11" s="66"/>
      <c r="B11" s="226"/>
      <c r="C11" s="238">
        <v>1616</v>
      </c>
      <c r="D11" s="242" t="s">
        <v>253</v>
      </c>
      <c r="E11" s="299">
        <f>_xlfn.IFNA(VLOOKUP(C11,Worksheet!$C$3:$G$46,3,FALSE),E11)</f>
        <v>0</v>
      </c>
      <c r="F11" s="299">
        <f>_xlfn.IFNA(VLOOKUP(C11,Worksheet!$C$3:$G$46,4,FALSE),F11)</f>
        <v>0</v>
      </c>
      <c r="G11" s="299">
        <f>_xlfn.IFNA(VLOOKUP(C11,Worksheet!$C$3:$G$46,5,FALSE),G11)</f>
        <v>0</v>
      </c>
      <c r="H11" s="207" t="s">
        <v>244</v>
      </c>
      <c r="I11" s="66"/>
      <c r="J11" s="68"/>
      <c r="K11" s="123" t="s">
        <v>117</v>
      </c>
      <c r="L11" s="367" t="s">
        <v>120</v>
      </c>
      <c r="M11" s="368"/>
      <c r="N11" s="138"/>
      <c r="O11" s="139"/>
      <c r="P11" s="74">
        <v>1</v>
      </c>
      <c r="Q11" s="139"/>
      <c r="R11" s="74">
        <v>0.5</v>
      </c>
      <c r="S11" s="138"/>
      <c r="T11" s="139"/>
      <c r="U11" s="74">
        <v>0</v>
      </c>
      <c r="V11" s="139"/>
      <c r="W11" s="74">
        <v>0</v>
      </c>
      <c r="X11" s="138"/>
      <c r="Y11" s="139"/>
      <c r="Z11" s="74">
        <v>0</v>
      </c>
      <c r="AA11" s="139"/>
      <c r="AB11" s="74">
        <v>0</v>
      </c>
      <c r="AC11" s="126">
        <v>0</v>
      </c>
      <c r="AD11" s="129" t="s">
        <v>311</v>
      </c>
    </row>
    <row r="12" ht="48.65" customHeight="1">
      <c r="A12" s="66"/>
      <c r="B12" s="226"/>
      <c r="C12" s="238">
        <v>1621</v>
      </c>
      <c r="D12" s="242" t="s">
        <v>254</v>
      </c>
      <c r="E12" s="299">
        <f>_xlfn.IFNA(VLOOKUP(C12,Worksheet!$C$3:$G$46,3,FALSE),E12)</f>
        <v>0</v>
      </c>
      <c r="F12" s="299">
        <f>_xlfn.IFNA(VLOOKUP(C12,Worksheet!$C$3:$G$46,4,FALSE),F12)</f>
        <v>0</v>
      </c>
      <c r="G12" s="299">
        <f>_xlfn.IFNA(VLOOKUP(C12,Worksheet!$C$3:$G$46,5,FALSE),G12)</f>
        <v>0</v>
      </c>
      <c r="H12" s="207" t="s">
        <v>244</v>
      </c>
      <c r="I12" s="66"/>
      <c r="J12" s="68"/>
      <c r="K12" s="130" t="s">
        <v>117</v>
      </c>
      <c r="L12" s="359" t="s">
        <v>122</v>
      </c>
      <c r="M12" s="369"/>
      <c r="N12" s="80">
        <v>1</v>
      </c>
      <c r="O12" s="81">
        <v>1</v>
      </c>
      <c r="P12" s="81">
        <v>1</v>
      </c>
      <c r="Q12" s="81">
        <v>0.75</v>
      </c>
      <c r="R12" s="81">
        <v>0.5</v>
      </c>
      <c r="S12" s="80">
        <v>0</v>
      </c>
      <c r="T12" s="81">
        <v>0</v>
      </c>
      <c r="U12" s="81">
        <v>0</v>
      </c>
      <c r="V12" s="81">
        <v>0</v>
      </c>
      <c r="W12" s="81">
        <v>0</v>
      </c>
      <c r="X12" s="80">
        <v>0</v>
      </c>
      <c r="Y12" s="81">
        <v>0</v>
      </c>
      <c r="Z12" s="81">
        <v>15</v>
      </c>
      <c r="AA12" s="81">
        <v>0</v>
      </c>
      <c r="AB12" s="81">
        <v>0</v>
      </c>
      <c r="AC12" s="131">
        <v>0</v>
      </c>
      <c r="AD12" s="132" t="s">
        <v>311</v>
      </c>
    </row>
    <row r="13" ht="48.65" customHeight="1">
      <c r="A13" s="66"/>
      <c r="B13" s="226"/>
      <c r="C13" s="238">
        <v>1622</v>
      </c>
      <c r="D13" s="242" t="s">
        <v>255</v>
      </c>
      <c r="E13" s="299">
        <f>_xlfn.IFNA(VLOOKUP(C13,Worksheet!$C$3:$G$46,3,FALSE),E13)</f>
        <v>0</v>
      </c>
      <c r="F13" s="299">
        <f>_xlfn.IFNA(VLOOKUP(C13,Worksheet!$C$3:$G$46,4,FALSE),F13)</f>
        <v>0</v>
      </c>
      <c r="G13" s="299">
        <f>_xlfn.IFNA(VLOOKUP(C13,Worksheet!$C$3:$G$46,5,FALSE),G13)</f>
        <v>0</v>
      </c>
      <c r="H13" s="207" t="s">
        <v>244</v>
      </c>
      <c r="I13" s="66"/>
      <c r="J13" s="68"/>
      <c r="K13" s="63" t="s">
        <v>194</v>
      </c>
      <c r="L13" s="357" t="s">
        <v>312</v>
      </c>
      <c r="M13" s="362"/>
      <c r="N13" s="85">
        <v>0.5</v>
      </c>
      <c r="O13" s="86">
        <v>1</v>
      </c>
      <c r="P13" s="86">
        <v>1</v>
      </c>
      <c r="Q13" s="86">
        <v>0</v>
      </c>
      <c r="R13" s="86">
        <v>1</v>
      </c>
      <c r="S13" s="85">
        <v>0.5</v>
      </c>
      <c r="T13" s="86">
        <v>0.5</v>
      </c>
      <c r="U13" s="86">
        <v>0.5</v>
      </c>
      <c r="V13" s="86">
        <v>0</v>
      </c>
      <c r="W13" s="87">
        <v>1</v>
      </c>
      <c r="X13" s="86">
        <v>0</v>
      </c>
      <c r="Y13" s="86">
        <v>0</v>
      </c>
      <c r="Z13" s="86">
        <v>0</v>
      </c>
      <c r="AA13" s="86">
        <v>0</v>
      </c>
      <c r="AB13" s="86">
        <v>0</v>
      </c>
      <c r="AC13" s="133">
        <v>0</v>
      </c>
      <c r="AD13" s="134" t="s">
        <v>311</v>
      </c>
    </row>
    <row r="14" ht="40.15" customHeight="1">
      <c r="A14" s="66"/>
      <c r="B14" s="226"/>
      <c r="C14" s="238">
        <v>1623</v>
      </c>
      <c r="D14" s="242" t="s">
        <v>256</v>
      </c>
      <c r="E14" s="299">
        <f>_xlfn.IFNA(VLOOKUP(C14,Worksheet!$C$3:$G$46,3,FALSE),E14)</f>
        <v>0</v>
      </c>
      <c r="F14" s="299">
        <f>_xlfn.IFNA(VLOOKUP(C14,Worksheet!$C$3:$G$46,4,FALSE),F14)</f>
        <v>0</v>
      </c>
      <c r="G14" s="299">
        <f>_xlfn.IFNA(VLOOKUP(C14,Worksheet!$C$3:$G$46,5,FALSE),G14)</f>
        <v>0</v>
      </c>
      <c r="H14" s="207" t="s">
        <v>244</v>
      </c>
      <c r="I14" s="66"/>
      <c r="J14" s="73"/>
      <c r="K14" s="62" t="s">
        <v>313</v>
      </c>
      <c r="L14" s="359" t="s">
        <v>314</v>
      </c>
      <c r="M14" s="360"/>
      <c r="N14" s="80">
        <v>1.5</v>
      </c>
      <c r="O14" s="81">
        <v>1.25</v>
      </c>
      <c r="P14" s="81">
        <v>1</v>
      </c>
      <c r="Q14" s="81">
        <v>1</v>
      </c>
      <c r="R14" s="82">
        <v>0.5</v>
      </c>
      <c r="S14" s="81">
        <v>0</v>
      </c>
      <c r="T14" s="81">
        <v>0</v>
      </c>
      <c r="U14" s="81">
        <v>0</v>
      </c>
      <c r="V14" s="81">
        <v>0</v>
      </c>
      <c r="W14" s="82">
        <v>0</v>
      </c>
      <c r="X14" s="81">
        <v>0</v>
      </c>
      <c r="Y14" s="81">
        <v>0</v>
      </c>
      <c r="Z14" s="81">
        <v>0</v>
      </c>
      <c r="AA14" s="81">
        <v>0</v>
      </c>
      <c r="AB14" s="81">
        <v>0</v>
      </c>
      <c r="AC14" s="83">
        <v>1</v>
      </c>
      <c r="AD14" s="84">
        <v>1.05</v>
      </c>
    </row>
    <row r="15" ht="47.5" customHeight="1">
      <c r="A15" s="66"/>
      <c r="B15" s="226"/>
      <c r="C15" s="238">
        <v>1624</v>
      </c>
      <c r="D15" s="242" t="s">
        <v>257</v>
      </c>
      <c r="E15" s="299">
        <f>_xlfn.IFNA(VLOOKUP(C15,Worksheet!$C$3:$G$46,3,FALSE),E15)</f>
        <v>0</v>
      </c>
      <c r="F15" s="299">
        <f>_xlfn.IFNA(VLOOKUP(C15,Worksheet!$C$3:$G$46,4,FALSE),F15)</f>
        <v>0</v>
      </c>
      <c r="G15" s="299">
        <f>_xlfn.IFNA(VLOOKUP(C15,Worksheet!$C$3:$G$46,5,FALSE),G15)</f>
        <v>0</v>
      </c>
      <c r="H15" s="207" t="s">
        <v>244</v>
      </c>
      <c r="I15" s="66"/>
      <c r="J15" s="73"/>
      <c r="K15" s="63" t="s">
        <v>219</v>
      </c>
      <c r="L15" s="357" t="s">
        <v>315</v>
      </c>
      <c r="M15" s="358"/>
      <c r="N15" s="85">
        <v>0</v>
      </c>
      <c r="O15" s="86">
        <v>0</v>
      </c>
      <c r="P15" s="86">
        <v>0</v>
      </c>
      <c r="Q15" s="86">
        <v>0</v>
      </c>
      <c r="R15" s="87">
        <v>0</v>
      </c>
      <c r="S15" s="86">
        <v>0</v>
      </c>
      <c r="T15" s="86">
        <v>0</v>
      </c>
      <c r="U15" s="86">
        <v>0</v>
      </c>
      <c r="V15" s="86">
        <v>0</v>
      </c>
      <c r="W15" s="87">
        <v>0</v>
      </c>
      <c r="X15" s="86">
        <v>0</v>
      </c>
      <c r="Y15" s="86">
        <v>0</v>
      </c>
      <c r="Z15" s="86">
        <v>0</v>
      </c>
      <c r="AA15" s="86">
        <v>0</v>
      </c>
      <c r="AB15" s="86">
        <v>0</v>
      </c>
      <c r="AC15" s="88">
        <v>0</v>
      </c>
      <c r="AD15" s="89" t="s">
        <v>311</v>
      </c>
    </row>
    <row r="16" ht="40.15" customHeight="1">
      <c r="A16" s="66"/>
      <c r="B16" s="226"/>
      <c r="C16" s="238">
        <v>1625</v>
      </c>
      <c r="D16" s="242" t="s">
        <v>258</v>
      </c>
      <c r="E16" s="299">
        <f>_xlfn.IFNA(VLOOKUP(C16,Worksheet!$C$3:$G$46,3,FALSE),E16)</f>
        <v>0</v>
      </c>
      <c r="F16" s="299">
        <f>_xlfn.IFNA(VLOOKUP(C16,Worksheet!$C$3:$G$46,4,FALSE),F16)</f>
        <v>0</v>
      </c>
      <c r="G16" s="299">
        <f>_xlfn.IFNA(VLOOKUP(C16,Worksheet!$C$3:$G$46,5,FALSE),G16)</f>
        <v>0</v>
      </c>
      <c r="H16" s="207" t="s">
        <v>244</v>
      </c>
      <c r="I16" s="66"/>
      <c r="J16" s="73"/>
      <c r="K16" s="63" t="s">
        <v>244</v>
      </c>
      <c r="L16" s="357" t="s">
        <v>316</v>
      </c>
      <c r="M16" s="358"/>
      <c r="N16" s="85">
        <v>0</v>
      </c>
      <c r="O16" s="86">
        <v>0</v>
      </c>
      <c r="P16" s="86">
        <v>0</v>
      </c>
      <c r="Q16" s="86">
        <v>0</v>
      </c>
      <c r="R16" s="87">
        <v>0</v>
      </c>
      <c r="S16" s="86">
        <v>0</v>
      </c>
      <c r="T16" s="86">
        <v>0</v>
      </c>
      <c r="U16" s="86">
        <v>0</v>
      </c>
      <c r="V16" s="86">
        <v>0</v>
      </c>
      <c r="W16" s="87">
        <v>0</v>
      </c>
      <c r="X16" s="86">
        <v>0</v>
      </c>
      <c r="Y16" s="86">
        <v>0</v>
      </c>
      <c r="Z16" s="86">
        <v>0</v>
      </c>
      <c r="AA16" s="86">
        <v>0</v>
      </c>
      <c r="AB16" s="86">
        <v>0</v>
      </c>
      <c r="AC16" s="88">
        <v>0</v>
      </c>
      <c r="AD16" s="89" t="s">
        <v>311</v>
      </c>
    </row>
    <row r="17" ht="40.15" customHeight="1">
      <c r="A17" s="66"/>
      <c r="B17" s="226"/>
      <c r="C17" s="238"/>
      <c r="D17" s="245" t="s">
        <v>259</v>
      </c>
      <c r="E17" s="246"/>
      <c r="F17" s="246"/>
      <c r="G17" s="247"/>
      <c r="H17" s="207" t="s">
        <v>244</v>
      </c>
      <c r="I17" s="66"/>
      <c r="J17" s="68"/>
      <c r="K17" s="66"/>
      <c r="L17" s="66"/>
      <c r="M17" s="66"/>
      <c r="N17" s="90">
        <f>AVERAGE(N6:N16)</f>
        <v>14</v>
      </c>
      <c r="O17" s="90">
        <f ref="O17:AB17" t="shared" si="0">AVERAGE(O6:O16)</f>
        <v>5.40625</v>
      </c>
      <c r="P17" s="90">
        <f t="shared" si="0"/>
        <v>9.8787878787878789</v>
      </c>
      <c r="Q17" s="90">
        <f t="shared" si="0"/>
        <v>14.63125</v>
      </c>
      <c r="R17" s="90">
        <f t="shared" si="0"/>
        <v>18.833333333333332</v>
      </c>
      <c r="S17" s="90">
        <f t="shared" si="0"/>
        <v>12.5625</v>
      </c>
      <c r="T17" s="90">
        <f t="shared" si="0"/>
        <v>3.6458333333333335</v>
      </c>
      <c r="U17" s="90">
        <f t="shared" si="0"/>
        <v>8.4848484848484844</v>
      </c>
      <c r="V17" s="90">
        <f t="shared" si="0"/>
        <v>12.725</v>
      </c>
      <c r="W17" s="90">
        <f t="shared" si="0"/>
        <v>19</v>
      </c>
      <c r="X17" s="90">
        <f t="shared" si="0"/>
        <v>9.725</v>
      </c>
      <c r="Y17" s="90">
        <f t="shared" si="0"/>
        <v>4.208333333333333</v>
      </c>
      <c r="Z17" s="90">
        <f t="shared" si="0"/>
        <v>7.7575757575757569</v>
      </c>
      <c r="AA17" s="90">
        <f t="shared" si="0"/>
        <v>10.5625</v>
      </c>
      <c r="AB17" s="90">
        <f t="shared" si="0"/>
        <v>15.111111111111111</v>
      </c>
      <c r="AC17" s="66"/>
      <c r="AD17" s="66"/>
    </row>
    <row r="18" ht="40.15" customHeight="1">
      <c r="A18" s="66"/>
      <c r="B18" s="226"/>
      <c r="C18" s="238">
        <v>1631</v>
      </c>
      <c r="D18" s="242" t="s">
        <v>260</v>
      </c>
      <c r="E18" s="299">
        <f>_xlfn.IFNA(VLOOKUP(C18,Worksheet!$C$3:$G$46,3,FALSE),E18)</f>
        <v>0</v>
      </c>
      <c r="F18" s="299">
        <f>_xlfn.IFNA(VLOOKUP(C18,Worksheet!$C$3:$G$46,4,FALSE),F18)</f>
        <v>0</v>
      </c>
      <c r="G18" s="299">
        <f>_xlfn.IFNA(VLOOKUP(C18,Worksheet!$C$3:$G$46,5,FALSE),G18)</f>
        <v>0</v>
      </c>
      <c r="H18" s="207" t="s">
        <v>244</v>
      </c>
      <c r="I18" s="66"/>
      <c r="J18" s="68"/>
      <c r="K18" s="361" t="s">
        <v>317</v>
      </c>
      <c r="L18" s="361"/>
      <c r="M18" s="307" t="s">
        <v>318</v>
      </c>
      <c r="N18" s="209"/>
      <c r="O18" s="210"/>
      <c r="P18" s="210"/>
      <c r="Q18" s="210"/>
      <c r="R18" s="302" t="s">
        <v>319</v>
      </c>
      <c r="S18" s="308" t="s">
        <v>320</v>
      </c>
      <c r="T18" s="211"/>
      <c r="U18" s="356" t="s">
        <v>321</v>
      </c>
      <c r="V18" s="356"/>
      <c r="W18" s="309">
        <v>42787</v>
      </c>
      <c r="X18" s="212"/>
      <c r="Y18" s="91"/>
      <c r="Z18" s="91"/>
      <c r="AA18" s="91"/>
      <c r="AB18" s="91"/>
      <c r="AC18" s="66"/>
      <c r="AD18" s="66"/>
    </row>
    <row r="19" ht="40.15" customHeight="1">
      <c r="A19" s="66"/>
      <c r="B19" s="226"/>
      <c r="C19" s="238">
        <v>1632</v>
      </c>
      <c r="D19" s="242" t="s">
        <v>261</v>
      </c>
      <c r="E19" s="299">
        <f>_xlfn.IFNA(VLOOKUP(C19,Worksheet!$C$3:$G$46,3,FALSE),E19)</f>
        <v>0</v>
      </c>
      <c r="F19" s="299">
        <f>_xlfn.IFNA(VLOOKUP(C19,Worksheet!$C$3:$G$46,4,FALSE),F19)</f>
        <v>0</v>
      </c>
      <c r="G19" s="299">
        <f>_xlfn.IFNA(VLOOKUP(C19,Worksheet!$C$3:$G$46,5,FALSE),G19)</f>
        <v>0</v>
      </c>
      <c r="H19" s="207" t="s">
        <v>244</v>
      </c>
      <c r="I19" s="66"/>
      <c r="J19" s="68"/>
      <c r="K19" s="355" t="s">
        <v>62</v>
      </c>
      <c r="L19" s="355"/>
      <c r="M19" s="307" t="s">
        <v>322</v>
      </c>
      <c r="N19" s="208"/>
      <c r="O19" s="208"/>
      <c r="P19" s="208"/>
      <c r="Q19" s="208"/>
      <c r="R19" s="302" t="s">
        <v>319</v>
      </c>
      <c r="S19" s="310" t="s">
        <v>322</v>
      </c>
      <c r="T19" s="211"/>
      <c r="U19" s="356" t="s">
        <v>321</v>
      </c>
      <c r="V19" s="356"/>
      <c r="W19" s="309">
        <v>42787</v>
      </c>
      <c r="X19" s="212"/>
      <c r="Y19" s="66"/>
      <c r="Z19" s="66"/>
      <c r="AA19" s="66"/>
      <c r="AB19" s="66"/>
      <c r="AC19" s="66"/>
      <c r="AD19" s="66"/>
    </row>
    <row r="20" ht="40.15" customHeight="1">
      <c r="A20" s="66"/>
      <c r="B20" s="226"/>
      <c r="C20" s="238">
        <v>1633</v>
      </c>
      <c r="D20" s="242" t="s">
        <v>262</v>
      </c>
      <c r="E20" s="299">
        <f>_xlfn.IFNA(VLOOKUP(C20,Worksheet!$C$3:$G$46,3,FALSE),E20)</f>
        <v>0</v>
      </c>
      <c r="F20" s="299">
        <f>_xlfn.IFNA(VLOOKUP(C20,Worksheet!$C$3:$G$46,4,FALSE),F20)</f>
        <v>0</v>
      </c>
      <c r="G20" s="299">
        <f>_xlfn.IFNA(VLOOKUP(C20,Worksheet!$C$3:$G$46,5,FALSE),G20)</f>
        <v>0</v>
      </c>
      <c r="H20" s="207" t="s">
        <v>244</v>
      </c>
      <c r="I20" s="66"/>
      <c r="J20" s="68"/>
      <c r="K20" s="66"/>
      <c r="L20" s="66"/>
      <c r="M20" s="66"/>
      <c r="N20" s="66"/>
      <c r="O20" s="66"/>
      <c r="P20" s="66"/>
      <c r="Q20" s="66"/>
      <c r="R20" s="66"/>
      <c r="S20" s="66"/>
      <c r="T20" s="66"/>
      <c r="U20" s="66"/>
      <c r="V20" s="66"/>
      <c r="W20" s="66"/>
      <c r="X20" s="66"/>
      <c r="Y20" s="66"/>
      <c r="Z20" s="66"/>
      <c r="AA20" s="66"/>
      <c r="AB20" s="66"/>
      <c r="AC20" s="66"/>
      <c r="AD20" s="66"/>
    </row>
    <row r="21" ht="40.15" customHeight="1">
      <c r="A21" s="66"/>
      <c r="B21" s="226"/>
      <c r="C21" s="238">
        <v>1634</v>
      </c>
      <c r="D21" s="242" t="s">
        <v>263</v>
      </c>
      <c r="E21" s="299">
        <f>_xlfn.IFNA(VLOOKUP(C21,Worksheet!$C$3:$G$46,3,FALSE),E21)</f>
        <v>0</v>
      </c>
      <c r="F21" s="299">
        <f>_xlfn.IFNA(VLOOKUP(C21,Worksheet!$C$3:$G$46,4,FALSE),F21)</f>
        <v>0</v>
      </c>
      <c r="G21" s="299">
        <f>_xlfn.IFNA(VLOOKUP(C21,Worksheet!$C$3:$G$46,5,FALSE),G21)</f>
        <v>0</v>
      </c>
      <c r="H21" s="207" t="s">
        <v>244</v>
      </c>
      <c r="I21" s="66"/>
      <c r="J21" s="68"/>
      <c r="K21" s="66"/>
      <c r="L21" s="66"/>
      <c r="M21" s="66"/>
      <c r="N21" s="66"/>
      <c r="O21" s="66"/>
      <c r="P21" s="66"/>
      <c r="Q21" s="66"/>
      <c r="R21" s="66"/>
      <c r="S21" s="66"/>
      <c r="T21" s="66"/>
      <c r="U21" s="66"/>
      <c r="V21" s="66"/>
      <c r="W21" s="66"/>
      <c r="X21" s="66"/>
      <c r="Y21" s="66"/>
      <c r="Z21" s="66"/>
      <c r="AA21" s="66"/>
      <c r="AB21" s="66"/>
      <c r="AC21" s="66"/>
      <c r="AD21" s="66"/>
    </row>
    <row r="22" ht="40.15" customHeight="1">
      <c r="A22" s="66"/>
      <c r="B22" s="226"/>
      <c r="C22" s="238">
        <v>1635</v>
      </c>
      <c r="D22" s="242" t="s">
        <v>264</v>
      </c>
      <c r="E22" s="299">
        <f>_xlfn.IFNA(VLOOKUP(C22,Worksheet!$C$3:$G$46,3,FALSE),E22)</f>
        <v>0</v>
      </c>
      <c r="F22" s="299">
        <f>_xlfn.IFNA(VLOOKUP(C22,Worksheet!$C$3:$G$46,4,FALSE),F22)</f>
        <v>0</v>
      </c>
      <c r="G22" s="299">
        <f>_xlfn.IFNA(VLOOKUP(C22,Worksheet!$C$3:$G$46,5,FALSE),G22)</f>
        <v>0</v>
      </c>
      <c r="H22" s="207" t="s">
        <v>244</v>
      </c>
      <c r="I22" s="66"/>
      <c r="J22" s="68"/>
      <c r="K22" s="66"/>
      <c r="L22" s="66"/>
      <c r="M22" s="66"/>
      <c r="N22" s="66"/>
      <c r="O22" s="66"/>
      <c r="P22" s="92" t="s">
        <v>299</v>
      </c>
      <c r="Q22" s="92" t="s">
        <v>300</v>
      </c>
      <c r="R22" s="92" t="s">
        <v>301</v>
      </c>
      <c r="S22" s="92" t="s">
        <v>302</v>
      </c>
      <c r="T22" s="93" t="s">
        <v>303</v>
      </c>
      <c r="U22" s="66"/>
      <c r="V22" s="66"/>
      <c r="W22" s="66"/>
      <c r="X22" s="66"/>
      <c r="Y22" s="66"/>
      <c r="Z22" s="66"/>
      <c r="AA22" s="66"/>
      <c r="AB22" s="66"/>
      <c r="AC22" s="66"/>
      <c r="AD22" s="66"/>
    </row>
    <row r="23" ht="40.15" customHeight="1">
      <c r="A23" s="66"/>
      <c r="B23" s="226"/>
      <c r="C23" s="238">
        <v>1641</v>
      </c>
      <c r="D23" s="242" t="s">
        <v>265</v>
      </c>
      <c r="E23" s="299">
        <f>_xlfn.IFNA(VLOOKUP(C23,Worksheet!$C$3:$G$46,3,FALSE),E23)</f>
        <v>0</v>
      </c>
      <c r="F23" s="299">
        <f>_xlfn.IFNA(VLOOKUP(C23,Worksheet!$C$3:$G$46,4,FALSE),F23)</f>
        <v>0</v>
      </c>
      <c r="G23" s="299">
        <f>_xlfn.IFNA(VLOOKUP(C23,Worksheet!$C$3:$G$46,5,FALSE),G23)</f>
        <v>0</v>
      </c>
      <c r="H23" s="207" t="s">
        <v>244</v>
      </c>
      <c r="I23" s="66"/>
      <c r="J23" s="68"/>
      <c r="K23" s="66"/>
      <c r="L23" s="66"/>
      <c r="M23" s="66"/>
      <c r="N23" s="66"/>
      <c r="O23" s="94">
        <v>42644</v>
      </c>
      <c r="P23" s="95">
        <f>N17</f>
        <v>14</v>
      </c>
      <c r="Q23" s="96">
        <f>O17</f>
        <v>5.40625</v>
      </c>
      <c r="R23" s="96">
        <f>P17</f>
        <v>9.8787878787878789</v>
      </c>
      <c r="S23" s="96">
        <f>Q17</f>
        <v>14.63125</v>
      </c>
      <c r="T23" s="96">
        <f>R17</f>
        <v>18.833333333333332</v>
      </c>
      <c r="U23" s="66"/>
      <c r="V23" s="66"/>
      <c r="W23" s="66"/>
      <c r="X23" s="66"/>
      <c r="Y23" s="66"/>
      <c r="Z23" s="66"/>
      <c r="AA23" s="66"/>
      <c r="AB23" s="66"/>
      <c r="AC23" s="66"/>
      <c r="AD23" s="66"/>
    </row>
    <row r="24" ht="40.15" customHeight="1">
      <c r="A24" s="66"/>
      <c r="B24" s="226"/>
      <c r="C24" s="238">
        <v>1642</v>
      </c>
      <c r="D24" s="242" t="s">
        <v>264</v>
      </c>
      <c r="E24" s="299">
        <f>_xlfn.IFNA(VLOOKUP(C24,Worksheet!$C$3:$G$46,3,FALSE),E24)</f>
        <v>0</v>
      </c>
      <c r="F24" s="299">
        <f>_xlfn.IFNA(VLOOKUP(C24,Worksheet!$C$3:$G$46,4,FALSE),F24)</f>
        <v>0</v>
      </c>
      <c r="G24" s="299">
        <f>_xlfn.IFNA(VLOOKUP(C24,Worksheet!$C$3:$G$46,5,FALSE),G24)</f>
        <v>0</v>
      </c>
      <c r="H24" s="207" t="s">
        <v>244</v>
      </c>
      <c r="I24" s="66"/>
      <c r="J24" s="68"/>
      <c r="K24" s="66"/>
      <c r="L24" s="66"/>
      <c r="M24" s="66"/>
      <c r="N24" s="66"/>
      <c r="O24" s="94">
        <v>42675</v>
      </c>
      <c r="P24" s="95">
        <f>S17</f>
        <v>12.5625</v>
      </c>
      <c r="Q24" s="96">
        <f>T17</f>
        <v>3.6458333333333335</v>
      </c>
      <c r="R24" s="96">
        <f>U17</f>
        <v>8.4848484848484844</v>
      </c>
      <c r="S24" s="96">
        <f>V17</f>
        <v>12.725</v>
      </c>
      <c r="T24" s="96">
        <f>W17</f>
        <v>19</v>
      </c>
      <c r="U24" s="66"/>
      <c r="V24" s="66"/>
      <c r="W24" s="66"/>
      <c r="X24" s="66"/>
      <c r="Y24" s="66"/>
      <c r="Z24" s="66"/>
      <c r="AA24" s="66"/>
      <c r="AB24" s="66"/>
      <c r="AC24" s="66"/>
      <c r="AD24" s="66"/>
    </row>
    <row r="25" ht="40.15" customHeight="1">
      <c r="A25" s="66"/>
      <c r="B25" s="226"/>
      <c r="C25" s="238">
        <v>1643</v>
      </c>
      <c r="D25" s="242" t="s">
        <v>266</v>
      </c>
      <c r="E25" s="299">
        <f>_xlfn.IFNA(VLOOKUP(C25,Worksheet!$C$3:$G$46,3,FALSE),E25)</f>
        <v>0</v>
      </c>
      <c r="F25" s="299">
        <f>_xlfn.IFNA(VLOOKUP(C25,Worksheet!$C$3:$G$46,4,FALSE),F25)</f>
        <v>0</v>
      </c>
      <c r="G25" s="299">
        <f>_xlfn.IFNA(VLOOKUP(C25,Worksheet!$C$3:$G$46,5,FALSE),G25)</f>
        <v>0</v>
      </c>
      <c r="H25" s="207" t="s">
        <v>244</v>
      </c>
      <c r="I25" s="66"/>
      <c r="J25" s="66"/>
      <c r="K25" s="66"/>
      <c r="L25" s="66"/>
      <c r="M25" s="66"/>
      <c r="N25" s="66"/>
      <c r="O25" s="94">
        <v>42705</v>
      </c>
      <c r="P25" s="95">
        <f>X17</f>
        <v>9.725</v>
      </c>
      <c r="Q25" s="96">
        <f>Y17</f>
        <v>4.208333333333333</v>
      </c>
      <c r="R25" s="96">
        <f>Z17</f>
        <v>7.7575757575757569</v>
      </c>
      <c r="S25" s="96">
        <f>AA17</f>
        <v>10.5625</v>
      </c>
      <c r="T25" s="96">
        <f>AB17</f>
        <v>15.111111111111111</v>
      </c>
      <c r="U25" s="66"/>
      <c r="V25" s="66"/>
      <c r="W25" s="66"/>
      <c r="X25" s="66"/>
      <c r="Y25" s="66"/>
      <c r="Z25" s="66"/>
      <c r="AA25" s="66"/>
      <c r="AB25" s="66"/>
      <c r="AC25" s="66"/>
      <c r="AD25" s="66"/>
    </row>
    <row r="26" ht="40.15" customHeight="1">
      <c r="A26" s="66"/>
      <c r="B26" s="226"/>
      <c r="C26" s="238">
        <v>1644</v>
      </c>
      <c r="D26" s="242" t="s">
        <v>267</v>
      </c>
      <c r="E26" s="299">
        <f>_xlfn.IFNA(VLOOKUP(C26,Worksheet!$C$3:$G$46,3,FALSE),E26)</f>
        <v>0</v>
      </c>
      <c r="F26" s="299">
        <f>_xlfn.IFNA(VLOOKUP(C26,Worksheet!$C$3:$G$46,4,FALSE),F26)</f>
        <v>0</v>
      </c>
      <c r="G26" s="299">
        <f>_xlfn.IFNA(VLOOKUP(C26,Worksheet!$C$3:$G$46,5,FALSE),G26)</f>
        <v>0</v>
      </c>
      <c r="H26" s="207" t="s">
        <v>244</v>
      </c>
      <c r="I26" s="66"/>
      <c r="J26" s="66"/>
      <c r="K26" s="66" t="s">
        <v>323</v>
      </c>
      <c r="L26" s="66"/>
      <c r="M26" s="66"/>
      <c r="N26" s="66"/>
      <c r="O26" s="94"/>
      <c r="P26" s="92"/>
      <c r="Q26" s="96"/>
      <c r="R26" s="66"/>
      <c r="S26" s="66"/>
      <c r="T26" s="66"/>
      <c r="U26" s="66"/>
      <c r="V26" s="66"/>
      <c r="W26" s="66"/>
      <c r="X26" s="66"/>
      <c r="Y26" s="66"/>
      <c r="Z26" s="66"/>
      <c r="AA26" s="66"/>
      <c r="AB26" s="66"/>
      <c r="AC26" s="66"/>
      <c r="AD26" s="66"/>
    </row>
    <row r="27" ht="40.15" customHeight="1">
      <c r="A27" s="66"/>
      <c r="B27" s="226"/>
      <c r="C27" s="238">
        <v>1652</v>
      </c>
      <c r="D27" s="242" t="s">
        <v>269</v>
      </c>
      <c r="E27" s="299">
        <f>_xlfn.IFNA(VLOOKUP(C27,Worksheet!$C$3:$G$46,3,FALSE),E27)</f>
        <v>0</v>
      </c>
      <c r="F27" s="299">
        <f>_xlfn.IFNA(VLOOKUP(C27,Worksheet!$C$3:$G$46,4,FALSE),F27)</f>
        <v>0</v>
      </c>
      <c r="G27" s="299">
        <f>_xlfn.IFNA(VLOOKUP(C27,Worksheet!$C$3:$G$46,5,FALSE),G27)</f>
        <v>0</v>
      </c>
      <c r="H27" s="207" t="s">
        <v>244</v>
      </c>
      <c r="I27" s="66"/>
      <c r="J27" s="66"/>
      <c r="K27" s="66"/>
      <c r="L27" s="66"/>
      <c r="M27" s="66"/>
      <c r="N27" s="66"/>
      <c r="O27" s="94"/>
      <c r="P27" s="93"/>
      <c r="Q27" s="96"/>
      <c r="R27" s="66"/>
      <c r="S27" s="66"/>
      <c r="T27" s="66"/>
      <c r="U27" s="66"/>
      <c r="V27" s="66"/>
      <c r="W27" s="66"/>
      <c r="X27" s="66"/>
      <c r="Y27" s="66"/>
      <c r="Z27" s="66"/>
      <c r="AA27" s="66"/>
      <c r="AB27" s="66"/>
      <c r="AC27" s="66"/>
      <c r="AD27" s="66"/>
    </row>
    <row r="28" ht="40.15" customHeight="1">
      <c r="A28" s="66"/>
      <c r="B28" s="226"/>
      <c r="C28" s="238">
        <v>1653</v>
      </c>
      <c r="D28" s="242" t="s">
        <v>270</v>
      </c>
      <c r="E28" s="299">
        <f>_xlfn.IFNA(VLOOKUP(C28,Worksheet!$C$3:$G$46,3,FALSE),E28)</f>
        <v>0</v>
      </c>
      <c r="F28" s="299">
        <f>_xlfn.IFNA(VLOOKUP(C28,Worksheet!$C$3:$G$46,4,FALSE),F28)</f>
        <v>0</v>
      </c>
      <c r="G28" s="299">
        <f>_xlfn.IFNA(VLOOKUP(C28,Worksheet!$C$3:$G$46,5,FALSE),G28)</f>
        <v>0</v>
      </c>
      <c r="H28" s="207" t="s">
        <v>244</v>
      </c>
      <c r="I28" s="66"/>
      <c r="J28" s="66"/>
      <c r="K28" s="66"/>
      <c r="L28" s="66"/>
      <c r="M28" s="66"/>
      <c r="N28" s="66"/>
      <c r="O28" s="66"/>
      <c r="P28" s="92"/>
      <c r="Q28" s="96"/>
      <c r="R28" s="66"/>
      <c r="S28" s="66"/>
      <c r="T28" s="66"/>
      <c r="U28" s="66"/>
      <c r="V28" s="66"/>
      <c r="W28" s="66"/>
      <c r="X28" s="66"/>
      <c r="Y28" s="66"/>
      <c r="Z28" s="66"/>
      <c r="AA28" s="66"/>
      <c r="AB28" s="66"/>
      <c r="AC28" s="66"/>
      <c r="AD28" s="66"/>
    </row>
    <row r="29" ht="40.15" customHeight="1">
      <c r="A29" s="66"/>
      <c r="B29" s="226"/>
      <c r="C29" s="238">
        <v>1655</v>
      </c>
      <c r="D29" s="242" t="s">
        <v>272</v>
      </c>
      <c r="E29" s="299">
        <f>_xlfn.IFNA(VLOOKUP(C29,Worksheet!$C$3:$G$46,3,FALSE),E29)</f>
        <v>0</v>
      </c>
      <c r="F29" s="299">
        <f>_xlfn.IFNA(VLOOKUP(C29,Worksheet!$C$3:$G$46,4,FALSE),F29)</f>
        <v>0</v>
      </c>
      <c r="G29" s="299">
        <f>_xlfn.IFNA(VLOOKUP(C29,Worksheet!$C$3:$G$46,5,FALSE),G29)</f>
        <v>0</v>
      </c>
      <c r="H29" s="207" t="s">
        <v>244</v>
      </c>
      <c r="I29" s="66"/>
      <c r="J29" s="66"/>
      <c r="K29" s="66"/>
      <c r="L29" s="66"/>
      <c r="M29" s="66"/>
      <c r="N29" s="66"/>
      <c r="O29" s="94"/>
      <c r="P29" s="92"/>
      <c r="Q29" s="96"/>
      <c r="R29" s="66"/>
      <c r="S29" s="66"/>
      <c r="T29" s="66"/>
      <c r="U29" s="66"/>
      <c r="V29" s="66"/>
      <c r="W29" s="66"/>
      <c r="X29" s="66"/>
      <c r="Y29" s="66"/>
      <c r="Z29" s="66"/>
      <c r="AA29" s="66"/>
      <c r="AB29" s="66"/>
      <c r="AC29" s="66"/>
      <c r="AD29" s="66"/>
    </row>
    <row r="30" ht="40.15" customHeight="1">
      <c r="A30" s="66"/>
      <c r="B30" s="226"/>
      <c r="C30" s="238">
        <v>1656</v>
      </c>
      <c r="D30" s="242" t="s">
        <v>273</v>
      </c>
      <c r="E30" s="299">
        <f>_xlfn.IFNA(VLOOKUP(C30,Worksheet!$C$3:$G$46,3,FALSE),E30)</f>
        <v>0</v>
      </c>
      <c r="F30" s="299">
        <f>_xlfn.IFNA(VLOOKUP(C30,Worksheet!$C$3:$G$46,4,FALSE),F30)</f>
        <v>0</v>
      </c>
      <c r="G30" s="299">
        <f>_xlfn.IFNA(VLOOKUP(C30,Worksheet!$C$3:$G$46,5,FALSE),G30)</f>
        <v>0</v>
      </c>
      <c r="H30" s="207" t="s">
        <v>244</v>
      </c>
      <c r="I30" s="66"/>
      <c r="J30" s="66"/>
      <c r="K30" s="66"/>
      <c r="L30" s="66"/>
      <c r="M30" s="66"/>
      <c r="N30" s="66"/>
      <c r="O30" s="94"/>
      <c r="P30" s="92"/>
      <c r="Q30" s="96"/>
      <c r="R30" s="66"/>
      <c r="S30" s="66"/>
      <c r="T30" s="66"/>
      <c r="U30" s="66"/>
      <c r="V30" s="66"/>
      <c r="W30" s="66"/>
      <c r="X30" s="66"/>
      <c r="Y30" s="66"/>
      <c r="Z30" s="66"/>
      <c r="AA30" s="66"/>
      <c r="AB30" s="66"/>
      <c r="AC30" s="66"/>
      <c r="AD30" s="66"/>
    </row>
    <row r="31" ht="40.15" customHeight="1">
      <c r="A31" s="66"/>
      <c r="B31" s="226"/>
      <c r="C31" s="238">
        <v>1658</v>
      </c>
      <c r="D31" s="242" t="s">
        <v>275</v>
      </c>
      <c r="E31" s="299">
        <f>_xlfn.IFNA(VLOOKUP(C31,Worksheet!$C$3:$G$46,3,FALSE),E31)</f>
        <v>0</v>
      </c>
      <c r="F31" s="299">
        <f>_xlfn.IFNA(VLOOKUP(C31,Worksheet!$C$3:$G$46,4,FALSE),F31)</f>
        <v>0</v>
      </c>
      <c r="G31" s="299">
        <f>_xlfn.IFNA(VLOOKUP(C31,Worksheet!$C$3:$G$46,5,FALSE),G31)</f>
        <v>0</v>
      </c>
      <c r="H31" s="207" t="s">
        <v>244</v>
      </c>
      <c r="I31" s="66"/>
      <c r="J31" s="66"/>
      <c r="K31" s="66"/>
      <c r="L31" s="66"/>
      <c r="M31" s="66"/>
      <c r="N31" s="66"/>
      <c r="O31" s="94"/>
      <c r="P31" s="92"/>
      <c r="Q31" s="96"/>
      <c r="R31" s="66"/>
      <c r="S31" s="66"/>
      <c r="T31" s="66"/>
      <c r="U31" s="66"/>
      <c r="V31" s="66"/>
      <c r="W31" s="66"/>
      <c r="X31" s="66"/>
      <c r="Y31" s="66"/>
      <c r="Z31" s="66"/>
      <c r="AA31" s="66"/>
      <c r="AB31" s="66"/>
      <c r="AC31" s="66"/>
      <c r="AD31" s="66"/>
    </row>
    <row r="32" ht="40.15" customHeight="1">
      <c r="A32" s="66"/>
      <c r="B32" s="226"/>
      <c r="C32" s="238">
        <v>1659</v>
      </c>
      <c r="D32" s="242" t="s">
        <v>276</v>
      </c>
      <c r="E32" s="299">
        <f>_xlfn.IFNA(VLOOKUP(C32,Worksheet!$C$3:$G$46,3,FALSE),E32)</f>
        <v>0</v>
      </c>
      <c r="F32" s="299">
        <f>_xlfn.IFNA(VLOOKUP(C32,Worksheet!$C$3:$G$46,4,FALSE),F32)</f>
        <v>0</v>
      </c>
      <c r="G32" s="299">
        <f>_xlfn.IFNA(VLOOKUP(C32,Worksheet!$C$3:$G$46,5,FALSE),G32)</f>
        <v>0</v>
      </c>
      <c r="H32" s="207" t="s">
        <v>244</v>
      </c>
      <c r="I32" s="66"/>
      <c r="J32" s="66"/>
      <c r="K32" s="66"/>
      <c r="L32" s="66"/>
      <c r="M32" s="66"/>
      <c r="N32" s="66"/>
      <c r="O32" s="94"/>
      <c r="P32" s="93"/>
      <c r="Q32" s="96"/>
      <c r="R32" s="66"/>
      <c r="S32" s="66"/>
      <c r="T32" s="66"/>
      <c r="U32" s="66"/>
      <c r="V32" s="66"/>
      <c r="W32" s="66"/>
      <c r="X32" s="66"/>
      <c r="Y32" s="66"/>
      <c r="Z32" s="66"/>
      <c r="AA32" s="66"/>
      <c r="AB32" s="66"/>
      <c r="AC32" s="66"/>
      <c r="AD32" s="66"/>
    </row>
    <row r="33" ht="40.15" customHeight="1">
      <c r="A33" s="66"/>
      <c r="B33" s="226"/>
      <c r="C33" s="238">
        <v>1661</v>
      </c>
      <c r="D33" s="242" t="s">
        <v>278</v>
      </c>
      <c r="E33" s="299">
        <f>_xlfn.IFNA(VLOOKUP(C33,Worksheet!$C$3:$G$46,3,FALSE),E33)</f>
        <v>0</v>
      </c>
      <c r="F33" s="299">
        <f>_xlfn.IFNA(VLOOKUP(C33,Worksheet!$C$3:$G$46,4,FALSE),F33)</f>
        <v>0</v>
      </c>
      <c r="G33" s="299">
        <f>_xlfn.IFNA(VLOOKUP(C33,Worksheet!$C$3:$G$46,5,FALSE),G33)</f>
        <v>0</v>
      </c>
      <c r="H33" s="207" t="s">
        <v>244</v>
      </c>
      <c r="I33" s="66"/>
      <c r="J33" s="66"/>
      <c r="K33" s="66"/>
      <c r="L33" s="66"/>
      <c r="M33" s="66"/>
      <c r="N33" s="66"/>
      <c r="O33" s="66"/>
      <c r="P33" s="92"/>
      <c r="Q33" s="96"/>
      <c r="R33" s="66"/>
      <c r="S33" s="66"/>
      <c r="T33" s="66"/>
      <c r="U33" s="66"/>
      <c r="V33" s="66"/>
      <c r="W33" s="66"/>
      <c r="X33" s="66"/>
      <c r="Y33" s="66"/>
      <c r="Z33" s="66"/>
      <c r="AA33" s="66"/>
      <c r="AB33" s="66"/>
      <c r="AC33" s="66"/>
      <c r="AD33" s="66"/>
    </row>
    <row r="34" ht="40.15" customHeight="1">
      <c r="A34" s="66"/>
      <c r="B34" s="226"/>
      <c r="C34" s="238">
        <v>1662</v>
      </c>
      <c r="D34" s="242" t="s">
        <v>279</v>
      </c>
      <c r="E34" s="299">
        <f>_xlfn.IFNA(VLOOKUP(C34,Worksheet!$C$3:$G$46,3,FALSE),E34)</f>
        <v>0</v>
      </c>
      <c r="F34" s="299">
        <f>_xlfn.IFNA(VLOOKUP(C34,Worksheet!$C$3:$G$46,4,FALSE),F34)</f>
        <v>0</v>
      </c>
      <c r="G34" s="299">
        <f>_xlfn.IFNA(VLOOKUP(C34,Worksheet!$C$3:$G$46,5,FALSE),G34)</f>
        <v>0</v>
      </c>
      <c r="H34" s="207" t="s">
        <v>244</v>
      </c>
      <c r="I34" s="66"/>
      <c r="J34" s="66"/>
      <c r="K34" s="66"/>
      <c r="L34" s="66"/>
      <c r="M34" s="66"/>
      <c r="N34" s="66"/>
      <c r="O34" s="94"/>
      <c r="P34" s="92"/>
      <c r="Q34" s="96"/>
      <c r="R34" s="66"/>
      <c r="S34" s="66"/>
      <c r="T34" s="66"/>
      <c r="U34" s="66"/>
      <c r="V34" s="66"/>
      <c r="W34" s="66"/>
      <c r="X34" s="66"/>
      <c r="Y34" s="66"/>
      <c r="Z34" s="66"/>
      <c r="AA34" s="66"/>
      <c r="AB34" s="66"/>
      <c r="AC34" s="66"/>
      <c r="AD34" s="66"/>
    </row>
    <row r="35" ht="40.15" customHeight="1">
      <c r="A35" s="66"/>
      <c r="B35" s="213"/>
      <c r="C35" s="213"/>
      <c r="D35" s="213"/>
      <c r="E35" s="213"/>
      <c r="F35" s="213"/>
      <c r="G35" s="213"/>
      <c r="H35" s="207" t="s">
        <v>117</v>
      </c>
      <c r="I35" s="66"/>
      <c r="J35" s="66"/>
      <c r="K35" s="66"/>
      <c r="L35" s="66"/>
      <c r="M35" s="66"/>
      <c r="N35" s="66"/>
      <c r="O35" s="94"/>
      <c r="P35" s="92"/>
      <c r="Q35" s="96"/>
      <c r="R35" s="66"/>
      <c r="S35" s="66"/>
      <c r="T35" s="66"/>
      <c r="U35" s="66"/>
      <c r="V35" s="66"/>
      <c r="W35" s="66"/>
      <c r="X35" s="66"/>
      <c r="Y35" s="66"/>
      <c r="Z35" s="66"/>
      <c r="AA35" s="66"/>
      <c r="AB35" s="66"/>
      <c r="AC35" s="66"/>
      <c r="AD35" s="66"/>
    </row>
    <row r="36" ht="40.15" customHeight="1">
      <c r="A36" s="66"/>
      <c r="B36" s="213"/>
      <c r="C36" s="213"/>
      <c r="D36" s="213"/>
      <c r="E36" s="213"/>
      <c r="F36" s="213"/>
      <c r="G36" s="213"/>
      <c r="H36" s="207" t="s">
        <v>117</v>
      </c>
      <c r="I36" s="66"/>
      <c r="J36" s="66"/>
      <c r="K36" s="66"/>
      <c r="L36" s="66"/>
      <c r="M36" s="66"/>
      <c r="N36" s="66"/>
      <c r="O36" s="94"/>
      <c r="P36" s="92"/>
      <c r="Q36" s="96"/>
      <c r="R36" s="66"/>
      <c r="S36" s="66"/>
      <c r="T36" s="66"/>
      <c r="U36" s="66"/>
      <c r="V36" s="66"/>
      <c r="W36" s="66"/>
      <c r="X36" s="66"/>
      <c r="Y36" s="66"/>
      <c r="Z36" s="66"/>
      <c r="AA36" s="66"/>
      <c r="AB36" s="66"/>
      <c r="AC36" s="66"/>
      <c r="AD36" s="66"/>
    </row>
    <row r="37" ht="40.15" customHeight="1">
      <c r="A37" s="66"/>
      <c r="B37" s="213"/>
      <c r="C37" s="213"/>
      <c r="D37" s="213"/>
      <c r="E37" s="213"/>
      <c r="F37" s="213"/>
      <c r="G37" s="213"/>
      <c r="H37" s="207" t="s">
        <v>117</v>
      </c>
      <c r="I37" s="66"/>
      <c r="J37" s="66"/>
      <c r="K37" s="66"/>
      <c r="L37" s="66"/>
      <c r="M37" s="66"/>
      <c r="N37" s="66"/>
      <c r="O37" s="94"/>
      <c r="P37" s="93"/>
      <c r="Q37" s="96"/>
      <c r="R37" s="66"/>
      <c r="S37" s="66"/>
      <c r="T37" s="66"/>
      <c r="U37" s="66"/>
      <c r="V37" s="66"/>
      <c r="W37" s="66"/>
      <c r="X37" s="66"/>
      <c r="Y37" s="66"/>
      <c r="Z37" s="66"/>
      <c r="AA37" s="66"/>
      <c r="AB37" s="66"/>
      <c r="AC37" s="66"/>
      <c r="AD37" s="66"/>
    </row>
    <row r="38" ht="40.15" customHeight="1">
      <c r="A38" s="66"/>
      <c r="B38" s="213"/>
      <c r="C38" s="213"/>
      <c r="D38" s="213"/>
      <c r="E38" s="213"/>
      <c r="F38" s="213"/>
      <c r="G38" s="213"/>
      <c r="H38" s="207" t="s">
        <v>117</v>
      </c>
      <c r="I38" s="66"/>
      <c r="J38" s="66"/>
      <c r="K38" s="66"/>
      <c r="L38" s="66"/>
      <c r="M38" s="66"/>
      <c r="N38" s="66"/>
      <c r="O38" s="66"/>
      <c r="P38" s="66"/>
      <c r="Q38" s="66"/>
      <c r="R38" s="66"/>
      <c r="S38" s="66"/>
      <c r="T38" s="66"/>
      <c r="U38" s="66"/>
      <c r="V38" s="66"/>
      <c r="W38" s="66"/>
      <c r="X38" s="66"/>
      <c r="Y38" s="66"/>
      <c r="Z38" s="66"/>
      <c r="AA38" s="66"/>
      <c r="AB38" s="66"/>
      <c r="AC38" s="66"/>
      <c r="AD38" s="66"/>
    </row>
    <row r="39" ht="40.15" customHeight="1">
      <c r="A39" s="66"/>
      <c r="B39" s="213"/>
      <c r="C39" s="213"/>
      <c r="D39" s="213"/>
      <c r="E39" s="213"/>
      <c r="F39" s="213"/>
      <c r="G39" s="213"/>
      <c r="H39" s="207" t="s">
        <v>117</v>
      </c>
      <c r="I39" s="66"/>
      <c r="J39" s="66"/>
      <c r="K39" s="66"/>
      <c r="L39" s="66"/>
      <c r="M39" s="66"/>
      <c r="N39" s="66"/>
      <c r="O39" s="66"/>
      <c r="P39" s="66"/>
      <c r="Q39" s="66"/>
      <c r="R39" s="66"/>
      <c r="S39" s="66"/>
      <c r="T39" s="66"/>
      <c r="U39" s="66"/>
      <c r="V39" s="66"/>
      <c r="W39" s="66"/>
      <c r="X39" s="66"/>
      <c r="Y39" s="66"/>
      <c r="Z39" s="66"/>
      <c r="AA39" s="66"/>
      <c r="AB39" s="66"/>
      <c r="AC39" s="66"/>
      <c r="AD39" s="66"/>
    </row>
    <row r="40" ht="40.15" customHeight="1">
      <c r="A40" s="66"/>
      <c r="B40" s="213"/>
      <c r="C40" s="213"/>
      <c r="D40" s="213"/>
      <c r="E40" s="213"/>
      <c r="F40" s="213"/>
      <c r="G40" s="213"/>
      <c r="H40" s="207" t="s">
        <v>117</v>
      </c>
      <c r="I40" s="66"/>
      <c r="J40" s="66"/>
      <c r="K40" s="66"/>
      <c r="L40" s="66"/>
      <c r="M40" s="66"/>
      <c r="N40" s="66"/>
      <c r="O40" s="66"/>
      <c r="P40" s="66"/>
      <c r="Q40" s="66"/>
      <c r="R40" s="66"/>
      <c r="S40" s="66"/>
      <c r="T40" s="66"/>
      <c r="U40" s="66"/>
      <c r="V40" s="66"/>
      <c r="W40" s="66"/>
      <c r="X40" s="66"/>
      <c r="Y40" s="66"/>
      <c r="Z40" s="66"/>
      <c r="AA40" s="66"/>
      <c r="AB40" s="66"/>
      <c r="AC40" s="66"/>
      <c r="AD40" s="66"/>
    </row>
    <row r="41" ht="40.15" customHeight="1">
      <c r="A41" s="66"/>
      <c r="B41" s="213"/>
      <c r="C41" s="213"/>
      <c r="D41" s="213"/>
      <c r="E41" s="213"/>
      <c r="F41" s="213"/>
      <c r="G41" s="213"/>
      <c r="H41" s="207" t="s">
        <v>117</v>
      </c>
      <c r="I41" s="66"/>
      <c r="J41" s="66"/>
      <c r="K41" s="66"/>
      <c r="L41" s="66"/>
      <c r="M41" s="66"/>
      <c r="N41" s="66"/>
      <c r="O41" s="66"/>
      <c r="P41" s="66"/>
      <c r="Q41" s="66"/>
      <c r="R41" s="66"/>
      <c r="S41" s="66"/>
      <c r="T41" s="66"/>
      <c r="U41" s="66"/>
      <c r="V41" s="66"/>
      <c r="W41" s="66"/>
      <c r="X41" s="66"/>
      <c r="Y41" s="66"/>
      <c r="Z41" s="66"/>
      <c r="AA41" s="66"/>
      <c r="AB41" s="66"/>
      <c r="AC41" s="66"/>
      <c r="AD41" s="66"/>
    </row>
    <row r="42" ht="40.15" customHeight="1">
      <c r="A42" s="66"/>
      <c r="B42" s="213"/>
      <c r="C42" s="213"/>
      <c r="D42" s="213"/>
      <c r="E42" s="213"/>
      <c r="F42" s="213"/>
      <c r="G42" s="213"/>
      <c r="H42" s="207" t="s">
        <v>117</v>
      </c>
      <c r="I42" s="66"/>
      <c r="J42" s="66"/>
      <c r="K42" s="66"/>
      <c r="L42" s="66"/>
      <c r="M42" s="66"/>
      <c r="N42" s="66"/>
      <c r="O42" s="66"/>
      <c r="P42" s="66"/>
      <c r="Q42" s="66"/>
      <c r="R42" s="66"/>
      <c r="S42" s="66"/>
      <c r="T42" s="66"/>
      <c r="U42" s="66"/>
      <c r="V42" s="66"/>
      <c r="W42" s="66"/>
      <c r="X42" s="66"/>
      <c r="Y42" s="66"/>
      <c r="Z42" s="66"/>
      <c r="AA42" s="66"/>
      <c r="AB42" s="66"/>
      <c r="AC42" s="66"/>
      <c r="AD42" s="66"/>
    </row>
    <row r="43" ht="40.15" customHeight="1">
      <c r="A43" s="66"/>
      <c r="B43" s="213"/>
      <c r="C43" s="213"/>
      <c r="D43" s="213"/>
      <c r="E43" s="213"/>
      <c r="F43" s="213"/>
      <c r="G43" s="213"/>
      <c r="H43" s="207" t="s">
        <v>117</v>
      </c>
      <c r="I43" s="66"/>
      <c r="J43" s="66"/>
      <c r="K43" s="66"/>
      <c r="L43" s="66"/>
      <c r="M43" s="66"/>
      <c r="N43" s="66"/>
      <c r="O43" s="66"/>
      <c r="P43" s="66"/>
      <c r="Q43" s="66"/>
      <c r="R43" s="66"/>
      <c r="S43" s="66"/>
      <c r="T43" s="66"/>
      <c r="U43" s="66"/>
      <c r="V43" s="66"/>
      <c r="W43" s="66"/>
      <c r="X43" s="66"/>
      <c r="Y43" s="66"/>
      <c r="Z43" s="66"/>
      <c r="AA43" s="66"/>
      <c r="AB43" s="66"/>
      <c r="AC43" s="66"/>
      <c r="AD43" s="66"/>
    </row>
    <row r="44" ht="40.15" customHeight="1">
      <c r="A44" s="66"/>
      <c r="B44" s="213"/>
      <c r="C44" s="213"/>
      <c r="D44" s="213"/>
      <c r="E44" s="213"/>
      <c r="F44" s="213"/>
      <c r="G44" s="213"/>
      <c r="H44" s="207" t="s">
        <v>117</v>
      </c>
      <c r="I44" s="66"/>
      <c r="J44" s="66"/>
      <c r="K44" s="66"/>
      <c r="L44" s="66"/>
      <c r="M44" s="66"/>
      <c r="N44" s="66"/>
      <c r="O44" s="66"/>
      <c r="P44" s="66"/>
      <c r="Q44" s="66"/>
      <c r="R44" s="66"/>
      <c r="S44" s="66"/>
      <c r="T44" s="66"/>
      <c r="U44" s="66"/>
      <c r="V44" s="66"/>
      <c r="W44" s="66"/>
      <c r="X44" s="66"/>
      <c r="Y44" s="66"/>
      <c r="Z44" s="66"/>
      <c r="AA44" s="66"/>
      <c r="AB44" s="66"/>
      <c r="AC44" s="66"/>
      <c r="AD44" s="66"/>
    </row>
    <row r="45" ht="40.15" customHeight="1">
      <c r="A45" s="66"/>
      <c r="B45" s="213"/>
      <c r="C45" s="213"/>
      <c r="D45" s="213"/>
      <c r="E45" s="213"/>
      <c r="F45" s="213"/>
      <c r="G45" s="213"/>
      <c r="H45" s="207" t="s">
        <v>117</v>
      </c>
      <c r="I45" s="66"/>
      <c r="J45" s="66"/>
      <c r="K45" s="66"/>
      <c r="L45" s="66"/>
      <c r="M45" s="66"/>
      <c r="N45" s="66"/>
      <c r="O45" s="66"/>
      <c r="P45" s="66"/>
      <c r="Q45" s="66"/>
      <c r="R45" s="66"/>
      <c r="S45" s="66"/>
      <c r="T45" s="66"/>
      <c r="U45" s="66"/>
      <c r="V45" s="66"/>
      <c r="W45" s="66"/>
      <c r="X45" s="66"/>
      <c r="Y45" s="66"/>
      <c r="Z45" s="66"/>
      <c r="AA45" s="66"/>
      <c r="AB45" s="66"/>
      <c r="AC45" s="66"/>
      <c r="AD45" s="66"/>
    </row>
    <row r="46" ht="40.15" customHeight="1">
      <c r="A46" s="66"/>
      <c r="B46" s="213"/>
      <c r="C46" s="213"/>
      <c r="D46" s="213"/>
      <c r="E46" s="213"/>
      <c r="F46" s="213"/>
      <c r="G46" s="213"/>
      <c r="H46" s="207" t="s">
        <v>117</v>
      </c>
      <c r="I46" s="66"/>
      <c r="J46" s="66"/>
      <c r="K46" s="66"/>
      <c r="L46" s="66"/>
      <c r="M46" s="66"/>
      <c r="N46" s="66"/>
      <c r="O46" s="66"/>
      <c r="P46" s="66"/>
      <c r="Q46" s="66"/>
      <c r="R46" s="66"/>
      <c r="S46" s="66"/>
      <c r="T46" s="66"/>
      <c r="U46" s="66"/>
      <c r="V46" s="66"/>
      <c r="W46" s="66"/>
      <c r="X46" s="66"/>
      <c r="Y46" s="66"/>
      <c r="Z46" s="66"/>
      <c r="AA46" s="66"/>
      <c r="AB46" s="66"/>
      <c r="AC46" s="66"/>
      <c r="AD46" s="66"/>
    </row>
    <row r="47" ht="40.15" customHeight="1">
      <c r="A47" s="66"/>
      <c r="C47" s="216"/>
      <c r="D47" s="215"/>
      <c r="E47" s="215"/>
      <c r="F47" s="215"/>
      <c r="G47" s="215"/>
      <c r="H47" s="66"/>
      <c r="I47" s="66"/>
      <c r="J47" s="66"/>
      <c r="K47" s="66"/>
      <c r="L47" s="66"/>
      <c r="M47" s="66"/>
      <c r="N47" s="66"/>
      <c r="O47" s="66"/>
      <c r="P47" s="66"/>
      <c r="Q47" s="66"/>
      <c r="R47" s="66"/>
      <c r="S47" s="66"/>
      <c r="T47" s="66"/>
      <c r="U47" s="66"/>
      <c r="V47" s="66"/>
      <c r="W47" s="66"/>
      <c r="X47" s="66"/>
      <c r="Y47" s="66"/>
      <c r="Z47" s="66"/>
      <c r="AA47" s="66"/>
      <c r="AB47" s="66"/>
      <c r="AC47" s="66"/>
      <c r="AD47" s="66"/>
    </row>
    <row r="48" ht="40.15" customHeight="1">
      <c r="A48" s="66"/>
      <c r="C48" s="59"/>
      <c r="D48" s="215"/>
      <c r="E48" s="215"/>
      <c r="F48" s="215"/>
      <c r="G48" s="215"/>
      <c r="H48" s="66"/>
      <c r="I48" s="66"/>
      <c r="J48" s="66"/>
      <c r="K48" s="66"/>
      <c r="L48" s="66"/>
      <c r="M48" s="66"/>
      <c r="N48" s="66"/>
      <c r="O48" s="66"/>
      <c r="P48" s="66"/>
      <c r="Q48" s="66"/>
      <c r="R48" s="66"/>
      <c r="S48" s="66"/>
      <c r="T48" s="66"/>
      <c r="U48" s="66"/>
      <c r="V48" s="66"/>
      <c r="W48" s="66"/>
      <c r="X48" s="66"/>
      <c r="Y48" s="66"/>
      <c r="Z48" s="66"/>
      <c r="AA48" s="66"/>
      <c r="AB48" s="66"/>
      <c r="AC48" s="66"/>
      <c r="AD48" s="66"/>
    </row>
    <row r="49" ht="40.15" customHeight="1">
      <c r="A49" s="66"/>
      <c r="C49" s="59"/>
      <c r="D49" s="215"/>
      <c r="E49" s="215"/>
      <c r="F49" s="215"/>
      <c r="G49" s="215"/>
      <c r="H49" s="66"/>
      <c r="I49" s="66"/>
      <c r="J49" s="66"/>
      <c r="K49" s="66"/>
      <c r="L49" s="66"/>
      <c r="M49" s="66"/>
      <c r="N49" s="66"/>
      <c r="O49" s="66"/>
      <c r="P49" s="66"/>
      <c r="Q49" s="66"/>
      <c r="R49" s="66"/>
      <c r="S49" s="66"/>
      <c r="T49" s="66"/>
      <c r="U49" s="66"/>
      <c r="V49" s="66"/>
      <c r="W49" s="66"/>
      <c r="X49" s="66"/>
      <c r="Y49" s="66"/>
      <c r="Z49" s="66"/>
      <c r="AA49" s="66"/>
      <c r="AB49" s="66"/>
      <c r="AC49" s="66"/>
      <c r="AD49" s="66"/>
    </row>
    <row r="50" ht="40.15" customHeight="1">
      <c r="A50" s="66"/>
      <c r="C50" s="59"/>
      <c r="D50" s="215"/>
      <c r="E50" s="215"/>
      <c r="F50" s="215"/>
      <c r="G50" s="215"/>
      <c r="H50" s="66"/>
      <c r="I50" s="66"/>
      <c r="J50" s="66"/>
      <c r="K50" s="66"/>
      <c r="L50" s="66"/>
      <c r="M50" s="66"/>
      <c r="N50" s="66"/>
      <c r="O50" s="66"/>
      <c r="P50" s="66"/>
      <c r="Q50" s="66"/>
      <c r="R50" s="66"/>
      <c r="S50" s="66"/>
      <c r="T50" s="66"/>
      <c r="U50" s="66"/>
      <c r="V50" s="66"/>
      <c r="W50" s="66"/>
      <c r="X50" s="66"/>
      <c r="Y50" s="66"/>
      <c r="Z50" s="66"/>
      <c r="AA50" s="66"/>
      <c r="AB50" s="66"/>
      <c r="AC50" s="66"/>
      <c r="AD50" s="66"/>
    </row>
    <row r="51" ht="40.15" customHeight="1">
      <c r="A51" s="66"/>
      <c r="C51" s="59"/>
      <c r="D51" s="215"/>
      <c r="E51" s="215"/>
      <c r="F51" s="215"/>
      <c r="G51" s="215"/>
      <c r="H51" s="66"/>
      <c r="I51" s="66"/>
      <c r="J51" s="66"/>
      <c r="K51" s="66"/>
      <c r="L51" s="66"/>
      <c r="M51" s="66"/>
      <c r="N51" s="66"/>
      <c r="O51" s="66"/>
      <c r="P51" s="66"/>
      <c r="Q51" s="66"/>
      <c r="R51" s="66"/>
      <c r="S51" s="66"/>
      <c r="T51" s="66"/>
      <c r="U51" s="66"/>
      <c r="V51" s="66"/>
      <c r="W51" s="66"/>
      <c r="X51" s="66"/>
      <c r="Y51" s="66"/>
      <c r="Z51" s="66"/>
      <c r="AA51" s="66"/>
      <c r="AB51" s="66"/>
      <c r="AC51" s="66"/>
      <c r="AD51" s="66"/>
    </row>
    <row r="52" ht="40.15" customHeight="1">
      <c r="A52" s="66"/>
      <c r="C52" s="59"/>
      <c r="D52" s="215"/>
      <c r="E52" s="216"/>
      <c r="F52" s="216"/>
      <c r="G52" s="216"/>
      <c r="H52" s="66"/>
      <c r="I52" s="66"/>
      <c r="J52" s="66"/>
      <c r="K52" s="66"/>
      <c r="L52" s="66"/>
      <c r="M52" s="66"/>
      <c r="N52" s="66"/>
      <c r="O52" s="66"/>
      <c r="P52" s="66"/>
      <c r="Q52" s="66"/>
      <c r="R52" s="66"/>
      <c r="S52" s="66"/>
      <c r="T52" s="66"/>
      <c r="U52" s="66"/>
      <c r="V52" s="66"/>
      <c r="W52" s="66"/>
      <c r="X52" s="66"/>
      <c r="Y52" s="66"/>
      <c r="Z52" s="66"/>
      <c r="AA52" s="66"/>
      <c r="AB52" s="66"/>
      <c r="AC52" s="66"/>
      <c r="AD52" s="66"/>
    </row>
    <row r="53" ht="40.15" customHeight="1">
      <c r="A53" s="66"/>
      <c r="C53" s="59"/>
      <c r="D53" s="215"/>
      <c r="E53" s="216"/>
      <c r="F53" s="216"/>
      <c r="G53" s="216"/>
      <c r="H53" s="66"/>
      <c r="I53" s="66"/>
      <c r="J53" s="66"/>
      <c r="K53" s="66"/>
      <c r="L53" s="66"/>
      <c r="M53" s="66"/>
      <c r="N53" s="66"/>
      <c r="O53" s="66"/>
      <c r="P53" s="66"/>
      <c r="Q53" s="66"/>
      <c r="R53" s="66"/>
      <c r="S53" s="66"/>
      <c r="T53" s="66"/>
      <c r="U53" s="66"/>
      <c r="V53" s="66"/>
      <c r="W53" s="66"/>
      <c r="X53" s="66"/>
      <c r="Y53" s="66"/>
      <c r="Z53" s="66"/>
      <c r="AA53" s="66"/>
      <c r="AB53" s="66"/>
      <c r="AC53" s="66"/>
      <c r="AD53" s="66"/>
    </row>
    <row r="54" ht="40.15" customHeight="1">
      <c r="A54" s="66"/>
      <c r="C54" s="59"/>
      <c r="D54" s="215"/>
      <c r="E54" s="216"/>
      <c r="F54" s="216"/>
      <c r="G54" s="216"/>
      <c r="H54" s="66"/>
      <c r="I54" s="66"/>
      <c r="J54" s="66"/>
      <c r="K54" s="66"/>
      <c r="L54" s="66"/>
      <c r="M54" s="66"/>
      <c r="N54" s="66"/>
      <c r="O54" s="66"/>
      <c r="P54" s="66"/>
      <c r="Q54" s="66"/>
      <c r="R54" s="66"/>
      <c r="S54" s="66"/>
      <c r="T54" s="66"/>
      <c r="U54" s="66"/>
      <c r="V54" s="66"/>
      <c r="W54" s="66"/>
      <c r="X54" s="66"/>
      <c r="Y54" s="66"/>
      <c r="Z54" s="66"/>
      <c r="AA54" s="66"/>
      <c r="AB54" s="66"/>
      <c r="AC54" s="66"/>
      <c r="AD54" s="66"/>
    </row>
    <row r="55" ht="40.15" customHeight="1">
      <c r="A55" s="66"/>
      <c r="C55" s="59"/>
      <c r="D55" s="215"/>
      <c r="E55" s="216"/>
      <c r="F55" s="216"/>
      <c r="G55" s="216"/>
      <c r="H55" s="66"/>
      <c r="I55" s="66"/>
      <c r="J55" s="66"/>
      <c r="K55" s="66"/>
      <c r="L55" s="66"/>
      <c r="M55" s="66"/>
      <c r="N55" s="66"/>
      <c r="O55" s="66"/>
      <c r="P55" s="66"/>
      <c r="Q55" s="66"/>
      <c r="R55" s="66"/>
      <c r="S55" s="66"/>
      <c r="T55" s="66"/>
      <c r="U55" s="66"/>
      <c r="V55" s="66"/>
      <c r="W55" s="66"/>
      <c r="X55" s="66"/>
      <c r="Y55" s="66"/>
      <c r="Z55" s="66"/>
      <c r="AA55" s="66"/>
      <c r="AB55" s="66"/>
      <c r="AC55" s="66"/>
      <c r="AD55" s="66"/>
    </row>
    <row r="56" ht="40.15" customHeight="1">
      <c r="A56" s="66"/>
      <c r="C56" s="59"/>
      <c r="D56" s="215"/>
      <c r="E56" s="216"/>
      <c r="F56" s="216"/>
      <c r="G56" s="216"/>
      <c r="H56" s="66"/>
      <c r="I56" s="66"/>
      <c r="J56" s="66"/>
      <c r="K56" s="66"/>
      <c r="L56" s="66"/>
      <c r="M56" s="66"/>
      <c r="N56" s="66"/>
      <c r="O56" s="66"/>
      <c r="P56" s="66"/>
      <c r="Q56" s="66"/>
      <c r="R56" s="66"/>
      <c r="S56" s="66"/>
      <c r="T56" s="66"/>
      <c r="U56" s="66"/>
      <c r="V56" s="66"/>
      <c r="W56" s="66"/>
      <c r="X56" s="66"/>
      <c r="Y56" s="66"/>
      <c r="Z56" s="66"/>
      <c r="AA56" s="66"/>
      <c r="AB56" s="66"/>
      <c r="AC56" s="66"/>
      <c r="AD56" s="66"/>
    </row>
    <row r="57" ht="40.15" customHeight="1">
      <c r="A57" s="66"/>
      <c r="C57" s="59"/>
      <c r="D57" s="215"/>
      <c r="E57" s="216"/>
      <c r="F57" s="216"/>
      <c r="G57" s="216"/>
      <c r="H57" s="66"/>
      <c r="I57" s="66"/>
      <c r="J57" s="66"/>
      <c r="K57" s="66"/>
      <c r="L57" s="66"/>
      <c r="M57" s="66"/>
      <c r="N57" s="66"/>
      <c r="O57" s="66"/>
      <c r="P57" s="66"/>
      <c r="Q57" s="66"/>
      <c r="R57" s="66"/>
      <c r="S57" s="66"/>
      <c r="T57" s="66"/>
      <c r="U57" s="66"/>
      <c r="V57" s="66"/>
      <c r="W57" s="66"/>
      <c r="X57" s="66"/>
      <c r="Y57" s="66"/>
      <c r="Z57" s="66"/>
      <c r="AA57" s="66"/>
      <c r="AB57" s="66"/>
      <c r="AC57" s="66"/>
      <c r="AD57" s="66"/>
    </row>
    <row r="58" ht="40.15" customHeight="1">
      <c r="A58" s="66"/>
      <c r="C58" s="59"/>
      <c r="D58" s="215"/>
      <c r="E58" s="216"/>
      <c r="F58" s="216"/>
      <c r="G58" s="216"/>
      <c r="H58" s="66"/>
      <c r="I58" s="66"/>
      <c r="J58" s="66"/>
      <c r="K58" s="66"/>
      <c r="L58" s="66"/>
      <c r="M58" s="66"/>
      <c r="N58" s="66"/>
      <c r="O58" s="66"/>
      <c r="P58" s="66"/>
      <c r="Q58" s="66"/>
      <c r="R58" s="66"/>
      <c r="S58" s="66"/>
      <c r="T58" s="66"/>
      <c r="U58" s="66"/>
      <c r="V58" s="66"/>
      <c r="W58" s="66"/>
      <c r="X58" s="66"/>
      <c r="Y58" s="66"/>
      <c r="Z58" s="66"/>
      <c r="AA58" s="66"/>
      <c r="AB58" s="66"/>
      <c r="AC58" s="66"/>
      <c r="AD58" s="66"/>
    </row>
    <row r="59" ht="40.15" customHeight="1">
      <c r="A59" s="66"/>
      <c r="C59" s="59"/>
      <c r="D59" s="215"/>
      <c r="E59" s="216"/>
      <c r="F59" s="216"/>
      <c r="G59" s="216"/>
      <c r="H59" s="66"/>
      <c r="I59" s="66"/>
      <c r="J59" s="66"/>
      <c r="K59" s="66"/>
      <c r="L59" s="66"/>
      <c r="M59" s="66"/>
      <c r="N59" s="66"/>
      <c r="O59" s="66"/>
      <c r="P59" s="66"/>
      <c r="Q59" s="66"/>
      <c r="R59" s="66"/>
      <c r="S59" s="66"/>
      <c r="T59" s="66"/>
      <c r="U59" s="66"/>
      <c r="V59" s="66"/>
      <c r="W59" s="66"/>
      <c r="X59" s="66"/>
      <c r="Y59" s="66"/>
      <c r="Z59" s="66"/>
      <c r="AA59" s="66"/>
      <c r="AB59" s="66"/>
      <c r="AC59" s="66"/>
      <c r="AD59" s="66"/>
    </row>
    <row r="60" ht="40.15" customHeight="1">
      <c r="A60" s="66"/>
      <c r="C60" s="59"/>
      <c r="D60" s="215"/>
      <c r="E60" s="216"/>
      <c r="F60" s="216"/>
      <c r="G60" s="216"/>
      <c r="H60" s="66"/>
      <c r="I60" s="66"/>
      <c r="J60" s="66"/>
      <c r="K60" s="66"/>
      <c r="L60" s="66"/>
      <c r="M60" s="66"/>
      <c r="N60" s="66"/>
      <c r="O60" s="66"/>
      <c r="P60" s="66"/>
      <c r="Q60" s="66"/>
      <c r="R60" s="66"/>
      <c r="S60" s="66"/>
      <c r="T60" s="66"/>
      <c r="U60" s="66"/>
      <c r="V60" s="66"/>
      <c r="W60" s="66"/>
      <c r="X60" s="66"/>
      <c r="Y60" s="66"/>
      <c r="Z60" s="66"/>
      <c r="AA60" s="66"/>
      <c r="AB60" s="66"/>
      <c r="AC60" s="66"/>
      <c r="AD60" s="66"/>
    </row>
    <row r="61" ht="40.15" customHeight="1">
      <c r="A61" s="66"/>
      <c r="C61" s="59"/>
      <c r="D61" s="215"/>
      <c r="E61" s="216"/>
      <c r="F61" s="216"/>
      <c r="G61" s="216"/>
      <c r="H61" s="66"/>
      <c r="I61" s="66"/>
      <c r="J61" s="66"/>
      <c r="K61" s="66"/>
      <c r="L61" s="66"/>
      <c r="M61" s="66"/>
      <c r="N61" s="66"/>
      <c r="O61" s="66"/>
      <c r="P61" s="66"/>
      <c r="Q61" s="66"/>
      <c r="R61" s="66"/>
      <c r="S61" s="66"/>
      <c r="T61" s="66"/>
      <c r="U61" s="66"/>
      <c r="V61" s="66"/>
      <c r="W61" s="66"/>
      <c r="X61" s="66"/>
      <c r="Y61" s="66"/>
      <c r="Z61" s="66"/>
      <c r="AA61" s="66"/>
      <c r="AB61" s="66"/>
      <c r="AC61" s="66"/>
      <c r="AD61" s="66"/>
    </row>
    <row r="62" ht="40.15" customHeight="1">
      <c r="A62" s="66"/>
      <c r="C62" s="59"/>
      <c r="D62" s="215"/>
      <c r="E62" s="216"/>
      <c r="F62" s="216"/>
      <c r="G62" s="216"/>
      <c r="H62" s="66"/>
      <c r="I62" s="66"/>
      <c r="J62" s="66"/>
      <c r="K62" s="66"/>
      <c r="L62" s="66"/>
      <c r="M62" s="66"/>
      <c r="N62" s="66"/>
      <c r="O62" s="66"/>
      <c r="P62" s="66"/>
      <c r="Q62" s="66"/>
      <c r="R62" s="66"/>
      <c r="S62" s="66"/>
      <c r="T62" s="66"/>
      <c r="U62" s="66"/>
      <c r="V62" s="66"/>
      <c r="W62" s="66"/>
      <c r="X62" s="66"/>
      <c r="Y62" s="66"/>
      <c r="Z62" s="66"/>
      <c r="AA62" s="66"/>
      <c r="AB62" s="66"/>
      <c r="AC62" s="66"/>
      <c r="AD62" s="66"/>
    </row>
    <row r="63" ht="40.15" customHeight="1">
      <c r="A63" s="66"/>
      <c r="C63" s="59"/>
      <c r="D63" s="215"/>
      <c r="E63" s="216"/>
      <c r="F63" s="216"/>
      <c r="G63" s="216"/>
      <c r="H63" s="66"/>
      <c r="I63" s="66"/>
      <c r="J63" s="66"/>
      <c r="K63" s="66"/>
      <c r="L63" s="66"/>
      <c r="M63" s="66"/>
      <c r="N63" s="66"/>
      <c r="O63" s="66"/>
      <c r="P63" s="66"/>
      <c r="Q63" s="66"/>
      <c r="R63" s="66"/>
      <c r="S63" s="66"/>
      <c r="T63" s="66"/>
      <c r="U63" s="66"/>
      <c r="V63" s="66"/>
      <c r="W63" s="66"/>
      <c r="X63" s="66"/>
      <c r="Y63" s="66"/>
      <c r="Z63" s="66"/>
      <c r="AA63" s="66"/>
      <c r="AB63" s="66"/>
      <c r="AC63" s="66"/>
      <c r="AD63" s="66"/>
    </row>
    <row r="64" ht="40.15" customHeight="1">
      <c r="A64" s="66"/>
      <c r="C64" s="59"/>
      <c r="D64" s="215"/>
      <c r="E64" s="216"/>
      <c r="F64" s="216"/>
      <c r="G64" s="216"/>
      <c r="H64" s="66"/>
      <c r="I64" s="66"/>
      <c r="J64" s="66"/>
      <c r="K64" s="66"/>
      <c r="L64" s="66"/>
      <c r="M64" s="66"/>
      <c r="N64" s="66"/>
      <c r="O64" s="66"/>
      <c r="P64" s="66"/>
      <c r="Q64" s="66"/>
      <c r="R64" s="66"/>
      <c r="S64" s="66"/>
      <c r="T64" s="66"/>
      <c r="U64" s="66"/>
      <c r="V64" s="66"/>
      <c r="W64" s="66"/>
      <c r="X64" s="66"/>
      <c r="Y64" s="66"/>
      <c r="Z64" s="66"/>
      <c r="AA64" s="66"/>
      <c r="AB64" s="66"/>
      <c r="AC64" s="66"/>
      <c r="AD64" s="66"/>
    </row>
    <row r="65" ht="40.15" customHeight="1">
      <c r="A65" s="66"/>
      <c r="C65" s="59"/>
      <c r="D65" s="215"/>
      <c r="E65" s="216"/>
      <c r="F65" s="216"/>
      <c r="G65" s="216"/>
      <c r="H65" s="66"/>
      <c r="I65" s="66"/>
      <c r="J65" s="66"/>
      <c r="K65" s="66"/>
      <c r="L65" s="66"/>
      <c r="M65" s="66"/>
      <c r="N65" s="66"/>
      <c r="O65" s="66"/>
      <c r="P65" s="66"/>
      <c r="Q65" s="66"/>
      <c r="R65" s="66"/>
      <c r="S65" s="66"/>
      <c r="T65" s="66"/>
      <c r="U65" s="66"/>
      <c r="V65" s="66"/>
      <c r="W65" s="66"/>
      <c r="X65" s="66"/>
      <c r="Y65" s="66"/>
      <c r="Z65" s="66"/>
      <c r="AA65" s="66"/>
      <c r="AB65" s="66"/>
      <c r="AC65" s="66"/>
      <c r="AD65" s="66"/>
    </row>
    <row r="66" ht="40.15" customHeight="1">
      <c r="A66" s="66"/>
      <c r="C66" s="59"/>
      <c r="D66" s="215"/>
      <c r="E66" s="216"/>
      <c r="F66" s="216"/>
      <c r="G66" s="216"/>
      <c r="H66" s="66"/>
      <c r="I66" s="66"/>
      <c r="J66" s="66"/>
      <c r="K66" s="66"/>
      <c r="L66" s="66"/>
      <c r="M66" s="66"/>
      <c r="N66" s="66"/>
      <c r="O66" s="66"/>
      <c r="P66" s="66"/>
      <c r="Q66" s="66"/>
      <c r="R66" s="66"/>
      <c r="S66" s="66"/>
      <c r="T66" s="66"/>
      <c r="U66" s="66"/>
      <c r="V66" s="66"/>
      <c r="W66" s="66"/>
      <c r="X66" s="66"/>
      <c r="Y66" s="66"/>
      <c r="Z66" s="66"/>
      <c r="AA66" s="66"/>
      <c r="AB66" s="66"/>
      <c r="AC66" s="66"/>
      <c r="AD66" s="66"/>
    </row>
    <row r="67" ht="40.15" customHeight="1">
      <c r="A67" s="66"/>
      <c r="C67" s="59"/>
      <c r="D67" s="215"/>
      <c r="E67" s="216"/>
      <c r="F67" s="216"/>
      <c r="G67" s="216"/>
      <c r="H67" s="66"/>
      <c r="I67" s="66"/>
      <c r="J67" s="66"/>
      <c r="K67" s="66"/>
      <c r="L67" s="66"/>
      <c r="M67" s="66"/>
      <c r="N67" s="66"/>
      <c r="O67" s="66"/>
      <c r="P67" s="66"/>
      <c r="Q67" s="66"/>
      <c r="R67" s="66"/>
      <c r="S67" s="66"/>
      <c r="T67" s="66"/>
      <c r="U67" s="66"/>
      <c r="V67" s="66"/>
      <c r="W67" s="66"/>
      <c r="X67" s="66"/>
      <c r="Y67" s="66"/>
      <c r="Z67" s="66"/>
      <c r="AA67" s="66"/>
      <c r="AB67" s="66"/>
      <c r="AC67" s="66"/>
      <c r="AD67" s="66"/>
    </row>
    <row r="68" ht="40.15" customHeight="1">
      <c r="A68" s="66"/>
      <c r="C68" s="59"/>
      <c r="D68" s="215"/>
      <c r="E68" s="216"/>
      <c r="F68" s="216"/>
      <c r="G68" s="216"/>
      <c r="H68" s="66"/>
      <c r="I68" s="66"/>
      <c r="J68" s="66"/>
      <c r="K68" s="66"/>
      <c r="L68" s="66"/>
      <c r="M68" s="66"/>
      <c r="N68" s="66"/>
      <c r="O68" s="66"/>
      <c r="P68" s="66"/>
      <c r="Q68" s="66"/>
      <c r="R68" s="66"/>
      <c r="S68" s="66"/>
      <c r="T68" s="66"/>
      <c r="U68" s="66"/>
      <c r="V68" s="66"/>
      <c r="W68" s="66"/>
      <c r="X68" s="66"/>
      <c r="Y68" s="66"/>
      <c r="Z68" s="66"/>
      <c r="AA68" s="66"/>
      <c r="AB68" s="66"/>
      <c r="AC68" s="66"/>
      <c r="AD68" s="66"/>
    </row>
    <row r="69" ht="40.15" customHeight="1">
      <c r="A69" s="66"/>
      <c r="C69" s="59"/>
      <c r="D69" s="215"/>
      <c r="E69" s="216"/>
      <c r="F69" s="216"/>
      <c r="G69" s="216"/>
      <c r="H69" s="66"/>
      <c r="I69" s="66"/>
      <c r="J69" s="66"/>
      <c r="K69" s="66"/>
      <c r="L69" s="66"/>
      <c r="M69" s="66"/>
      <c r="N69" s="66"/>
      <c r="O69" s="66"/>
      <c r="P69" s="66"/>
      <c r="Q69" s="66"/>
      <c r="R69" s="66"/>
      <c r="S69" s="66"/>
      <c r="T69" s="66"/>
      <c r="U69" s="66"/>
      <c r="V69" s="66"/>
      <c r="W69" s="66"/>
      <c r="X69" s="66"/>
      <c r="Y69" s="66"/>
      <c r="Z69" s="66"/>
      <c r="AA69" s="66"/>
      <c r="AB69" s="66"/>
      <c r="AC69" s="66"/>
      <c r="AD69" s="66"/>
    </row>
    <row r="70" ht="40.15" customHeight="1">
      <c r="A70" s="66"/>
      <c r="C70" s="59"/>
      <c r="D70" s="215"/>
      <c r="E70" s="216"/>
      <c r="F70" s="216"/>
      <c r="G70" s="216"/>
      <c r="H70" s="66"/>
      <c r="I70" s="66"/>
      <c r="J70" s="66"/>
      <c r="K70" s="66"/>
      <c r="L70" s="66"/>
      <c r="M70" s="66"/>
      <c r="N70" s="66"/>
      <c r="O70" s="66"/>
      <c r="P70" s="66"/>
      <c r="Q70" s="66"/>
      <c r="R70" s="66"/>
      <c r="S70" s="66"/>
      <c r="T70" s="66"/>
      <c r="U70" s="66"/>
      <c r="V70" s="66"/>
      <c r="W70" s="66"/>
      <c r="X70" s="66"/>
      <c r="Y70" s="66"/>
      <c r="Z70" s="66"/>
      <c r="AA70" s="66"/>
      <c r="AB70" s="66"/>
      <c r="AC70" s="66"/>
      <c r="AD70" s="66"/>
    </row>
    <row r="71" ht="40.15" customHeight="1">
      <c r="A71" s="66"/>
      <c r="C71" s="59"/>
      <c r="D71" s="215"/>
      <c r="E71" s="216"/>
      <c r="F71" s="216"/>
      <c r="G71" s="216"/>
      <c r="H71" s="66"/>
      <c r="I71" s="66"/>
      <c r="J71" s="66"/>
      <c r="K71" s="66"/>
      <c r="L71" s="66"/>
      <c r="M71" s="66"/>
      <c r="N71" s="66"/>
      <c r="O71" s="66"/>
      <c r="P71" s="66"/>
      <c r="Q71" s="66"/>
      <c r="R71" s="66"/>
      <c r="S71" s="66"/>
      <c r="T71" s="66"/>
      <c r="U71" s="66"/>
      <c r="V71" s="66"/>
      <c r="W71" s="66"/>
      <c r="X71" s="66"/>
      <c r="Y71" s="66"/>
      <c r="Z71" s="66"/>
      <c r="AA71" s="66"/>
      <c r="AB71" s="66"/>
      <c r="AC71" s="66"/>
      <c r="AD71" s="66"/>
    </row>
    <row r="72" ht="40.15" customHeight="1">
      <c r="A72" s="66"/>
      <c r="C72" s="59"/>
      <c r="D72" s="215"/>
      <c r="E72" s="216"/>
      <c r="F72" s="216"/>
      <c r="G72" s="216"/>
      <c r="H72" s="66"/>
      <c r="I72" s="66"/>
      <c r="J72" s="66"/>
      <c r="K72" s="66"/>
      <c r="L72" s="66"/>
      <c r="M72" s="66"/>
      <c r="N72" s="66"/>
      <c r="O72" s="66"/>
      <c r="P72" s="66"/>
      <c r="Q72" s="66"/>
      <c r="R72" s="66"/>
      <c r="S72" s="66"/>
      <c r="T72" s="66"/>
      <c r="U72" s="66"/>
      <c r="V72" s="66"/>
      <c r="W72" s="66"/>
      <c r="X72" s="66"/>
      <c r="Y72" s="66"/>
      <c r="Z72" s="66"/>
      <c r="AA72" s="66"/>
      <c r="AB72" s="66"/>
      <c r="AC72" s="66"/>
      <c r="AD72" s="66"/>
    </row>
    <row r="73" ht="40.15" customHeight="1">
      <c r="A73" s="66"/>
      <c r="C73" s="59"/>
      <c r="D73" s="215"/>
      <c r="E73" s="216"/>
      <c r="F73" s="216"/>
      <c r="G73" s="216"/>
      <c r="H73" s="66"/>
      <c r="I73" s="66"/>
      <c r="J73" s="66"/>
      <c r="K73" s="66"/>
      <c r="L73" s="66"/>
      <c r="M73" s="66"/>
      <c r="N73" s="66"/>
      <c r="O73" s="66"/>
      <c r="P73" s="66"/>
      <c r="Q73" s="66"/>
      <c r="R73" s="66"/>
      <c r="S73" s="66"/>
      <c r="T73" s="66"/>
      <c r="U73" s="66"/>
      <c r="V73" s="66"/>
      <c r="W73" s="66"/>
      <c r="X73" s="66"/>
      <c r="Y73" s="66"/>
      <c r="Z73" s="66"/>
      <c r="AA73" s="66"/>
      <c r="AB73" s="66"/>
      <c r="AC73" s="66"/>
      <c r="AD73" s="66"/>
    </row>
    <row r="74" ht="40.15" customHeight="1">
      <c r="A74" s="66"/>
      <c r="C74" s="59"/>
      <c r="D74" s="215"/>
      <c r="E74" s="216"/>
      <c r="F74" s="216"/>
      <c r="G74" s="216"/>
      <c r="H74" s="66"/>
      <c r="I74" s="66"/>
      <c r="J74" s="66"/>
      <c r="K74" s="66"/>
      <c r="L74" s="66"/>
      <c r="M74" s="66"/>
      <c r="N74" s="66"/>
      <c r="O74" s="66"/>
      <c r="P74" s="66"/>
      <c r="Q74" s="66"/>
      <c r="R74" s="66"/>
      <c r="S74" s="66"/>
      <c r="T74" s="66"/>
      <c r="U74" s="66"/>
      <c r="V74" s="66"/>
      <c r="W74" s="66"/>
      <c r="X74" s="66"/>
      <c r="Y74" s="66"/>
      <c r="Z74" s="66"/>
      <c r="AA74" s="66"/>
      <c r="AB74" s="66"/>
      <c r="AC74" s="66"/>
      <c r="AD74" s="66"/>
    </row>
    <row r="75" ht="40.15" customHeight="1">
      <c r="A75" s="66"/>
      <c r="C75" s="59"/>
      <c r="D75" s="215"/>
      <c r="E75" s="216"/>
      <c r="F75" s="216"/>
      <c r="G75" s="216"/>
      <c r="H75" s="66"/>
      <c r="I75" s="66"/>
      <c r="J75" s="66"/>
      <c r="K75" s="66"/>
      <c r="L75" s="66"/>
      <c r="M75" s="66"/>
      <c r="N75" s="66"/>
      <c r="O75" s="66"/>
      <c r="P75" s="66"/>
      <c r="Q75" s="66"/>
      <c r="R75" s="66"/>
      <c r="S75" s="66"/>
      <c r="T75" s="66"/>
      <c r="U75" s="66"/>
      <c r="V75" s="66"/>
      <c r="W75" s="66"/>
      <c r="X75" s="66"/>
      <c r="Y75" s="66"/>
      <c r="Z75" s="66"/>
      <c r="AA75" s="66"/>
      <c r="AB75" s="66"/>
      <c r="AC75" s="66"/>
      <c r="AD75" s="66"/>
    </row>
    <row r="76" ht="40.15" customHeight="1">
      <c r="A76" s="66"/>
      <c r="C76" s="59"/>
      <c r="D76" s="215"/>
      <c r="E76" s="216"/>
      <c r="F76" s="216"/>
      <c r="G76" s="216"/>
      <c r="H76" s="66"/>
      <c r="I76" s="66"/>
      <c r="J76" s="66"/>
      <c r="K76" s="66"/>
      <c r="L76" s="66"/>
      <c r="M76" s="66"/>
      <c r="N76" s="66"/>
      <c r="O76" s="66"/>
      <c r="P76" s="66"/>
      <c r="Q76" s="66"/>
      <c r="R76" s="66"/>
      <c r="S76" s="66"/>
      <c r="T76" s="66"/>
      <c r="U76" s="66"/>
      <c r="V76" s="66"/>
      <c r="W76" s="66"/>
      <c r="X76" s="66"/>
      <c r="Y76" s="66"/>
      <c r="Z76" s="66"/>
      <c r="AA76" s="66"/>
      <c r="AB76" s="66"/>
      <c r="AC76" s="66"/>
      <c r="AD76" s="66"/>
    </row>
    <row r="77" ht="40.15" customHeight="1">
      <c r="A77" s="66"/>
      <c r="C77" s="59"/>
      <c r="D77" s="215"/>
      <c r="E77" s="216"/>
      <c r="F77" s="216"/>
      <c r="G77" s="216"/>
      <c r="H77" s="66"/>
      <c r="I77" s="66"/>
      <c r="J77" s="66"/>
      <c r="K77" s="66"/>
      <c r="L77" s="66"/>
      <c r="M77" s="66"/>
      <c r="N77" s="66"/>
      <c r="O77" s="66"/>
      <c r="P77" s="66"/>
      <c r="Q77" s="66"/>
      <c r="R77" s="66"/>
      <c r="S77" s="66"/>
      <c r="T77" s="66"/>
      <c r="U77" s="66"/>
      <c r="V77" s="66"/>
      <c r="W77" s="66"/>
      <c r="X77" s="66"/>
      <c r="Y77" s="66"/>
      <c r="Z77" s="66"/>
      <c r="AA77" s="66"/>
      <c r="AB77" s="66"/>
      <c r="AC77" s="66"/>
      <c r="AD77" s="66"/>
    </row>
    <row r="78" ht="40.15" customHeight="1">
      <c r="A78" s="66"/>
      <c r="C78" s="59"/>
      <c r="D78" s="215"/>
      <c r="E78" s="216"/>
      <c r="F78" s="216"/>
      <c r="G78" s="216"/>
      <c r="H78" s="66"/>
      <c r="I78" s="66"/>
      <c r="J78" s="66"/>
      <c r="K78" s="66"/>
      <c r="L78" s="66"/>
      <c r="M78" s="66"/>
      <c r="N78" s="66"/>
      <c r="O78" s="66"/>
      <c r="P78" s="66"/>
      <c r="Q78" s="66"/>
      <c r="R78" s="66"/>
      <c r="S78" s="66"/>
      <c r="T78" s="66"/>
      <c r="U78" s="66"/>
      <c r="V78" s="66"/>
      <c r="W78" s="66"/>
      <c r="X78" s="66"/>
      <c r="Y78" s="66"/>
      <c r="Z78" s="66"/>
      <c r="AA78" s="66"/>
      <c r="AB78" s="66"/>
      <c r="AC78" s="66"/>
      <c r="AD78" s="66"/>
    </row>
    <row r="79" ht="40.15" customHeight="1">
      <c r="A79" s="66"/>
      <c r="C79" s="59"/>
      <c r="D79" s="215"/>
      <c r="E79" s="216"/>
      <c r="F79" s="216"/>
      <c r="G79" s="216"/>
      <c r="H79" s="66"/>
      <c r="I79" s="66"/>
      <c r="J79" s="66"/>
      <c r="K79" s="66"/>
      <c r="L79" s="66"/>
      <c r="M79" s="66"/>
      <c r="N79" s="66"/>
      <c r="O79" s="66"/>
      <c r="P79" s="66"/>
      <c r="Q79" s="66"/>
      <c r="R79" s="66"/>
      <c r="S79" s="66"/>
      <c r="T79" s="66"/>
      <c r="U79" s="66"/>
      <c r="V79" s="66"/>
      <c r="W79" s="66"/>
      <c r="X79" s="66"/>
      <c r="Y79" s="66"/>
      <c r="Z79" s="66"/>
      <c r="AA79" s="66"/>
      <c r="AB79" s="66"/>
      <c r="AC79" s="66"/>
      <c r="AD79" s="66"/>
    </row>
    <row r="80" ht="40.15" customHeight="1">
      <c r="A80" s="66"/>
      <c r="C80" s="59"/>
      <c r="D80" s="215"/>
      <c r="E80" s="216"/>
      <c r="F80" s="216"/>
      <c r="G80" s="216"/>
      <c r="H80" s="66"/>
      <c r="I80" s="66"/>
      <c r="J80" s="66"/>
      <c r="K80" s="66"/>
      <c r="L80" s="66"/>
      <c r="M80" s="66"/>
      <c r="N80" s="66"/>
      <c r="O80" s="66"/>
      <c r="P80" s="66"/>
      <c r="Q80" s="66"/>
      <c r="R80" s="66"/>
      <c r="S80" s="66"/>
      <c r="T80" s="66"/>
      <c r="U80" s="66"/>
      <c r="V80" s="66"/>
      <c r="W80" s="66"/>
      <c r="X80" s="66"/>
      <c r="Y80" s="66"/>
      <c r="Z80" s="66"/>
      <c r="AA80" s="66"/>
      <c r="AB80" s="66"/>
      <c r="AC80" s="66"/>
      <c r="AD80" s="66"/>
    </row>
    <row r="81" ht="40.15" customHeight="1">
      <c r="A81" s="66"/>
      <c r="C81" s="59"/>
      <c r="D81" s="215"/>
      <c r="E81" s="216"/>
      <c r="F81" s="216"/>
      <c r="G81" s="216"/>
      <c r="H81" s="66"/>
      <c r="I81" s="66"/>
      <c r="J81" s="66"/>
      <c r="K81" s="66"/>
      <c r="L81" s="66"/>
      <c r="M81" s="66"/>
      <c r="N81" s="66"/>
      <c r="O81" s="66"/>
      <c r="P81" s="66"/>
      <c r="Q81" s="66"/>
      <c r="R81" s="66"/>
      <c r="S81" s="66"/>
      <c r="T81" s="66"/>
      <c r="U81" s="66"/>
      <c r="V81" s="66"/>
      <c r="W81" s="66"/>
      <c r="X81" s="66"/>
      <c r="Y81" s="66"/>
      <c r="Z81" s="66"/>
      <c r="AA81" s="66"/>
      <c r="AB81" s="66"/>
      <c r="AC81" s="66"/>
      <c r="AD81" s="66"/>
    </row>
    <row r="82" ht="40.15" customHeight="1">
      <c r="A82" s="66"/>
      <c r="C82" s="59"/>
      <c r="D82" s="215"/>
      <c r="E82" s="216"/>
      <c r="F82" s="216"/>
      <c r="G82" s="216"/>
      <c r="H82" s="66"/>
      <c r="I82" s="66"/>
      <c r="J82" s="66"/>
      <c r="K82" s="66"/>
      <c r="L82" s="66"/>
      <c r="M82" s="66"/>
      <c r="N82" s="66"/>
      <c r="O82" s="66"/>
      <c r="P82" s="66"/>
      <c r="Q82" s="66"/>
      <c r="R82" s="66"/>
      <c r="S82" s="66"/>
      <c r="T82" s="66"/>
      <c r="U82" s="66"/>
      <c r="V82" s="66"/>
      <c r="W82" s="66"/>
      <c r="X82" s="66"/>
      <c r="Y82" s="66"/>
      <c r="Z82" s="66"/>
      <c r="AA82" s="66"/>
      <c r="AB82" s="66"/>
      <c r="AC82" s="66"/>
      <c r="AD82" s="66"/>
    </row>
    <row r="83" ht="40.15" customHeight="1">
      <c r="A83" s="66"/>
      <c r="C83" s="59"/>
      <c r="D83" s="215"/>
      <c r="E83" s="216"/>
      <c r="F83" s="216"/>
      <c r="G83" s="216"/>
      <c r="H83" s="66"/>
      <c r="I83" s="66"/>
      <c r="J83" s="66"/>
      <c r="K83" s="66"/>
      <c r="L83" s="66"/>
      <c r="M83" s="66"/>
      <c r="N83" s="66"/>
      <c r="O83" s="66"/>
      <c r="P83" s="66"/>
      <c r="Q83" s="66"/>
      <c r="R83" s="66"/>
      <c r="S83" s="66"/>
      <c r="T83" s="66"/>
      <c r="U83" s="66"/>
      <c r="V83" s="66"/>
      <c r="W83" s="66"/>
      <c r="X83" s="66"/>
      <c r="Y83" s="66"/>
      <c r="Z83" s="66"/>
      <c r="AA83" s="66"/>
      <c r="AB83" s="66"/>
      <c r="AC83" s="66"/>
      <c r="AD83" s="66"/>
    </row>
    <row r="84" ht="40.15" customHeight="1">
      <c r="A84" s="66"/>
      <c r="C84" s="59"/>
      <c r="D84" s="215"/>
      <c r="E84" s="216"/>
      <c r="F84" s="216"/>
      <c r="G84" s="216"/>
      <c r="H84" s="66"/>
      <c r="I84" s="66"/>
      <c r="J84" s="66"/>
      <c r="K84" s="66"/>
      <c r="L84" s="66"/>
      <c r="M84" s="66"/>
      <c r="N84" s="66"/>
      <c r="O84" s="66"/>
      <c r="P84" s="66"/>
      <c r="Q84" s="66"/>
      <c r="R84" s="66"/>
      <c r="S84" s="66"/>
      <c r="T84" s="66"/>
      <c r="U84" s="66"/>
      <c r="V84" s="66"/>
      <c r="W84" s="66"/>
      <c r="X84" s="66"/>
      <c r="Y84" s="66"/>
      <c r="Z84" s="66"/>
      <c r="AA84" s="66"/>
      <c r="AB84" s="66"/>
      <c r="AC84" s="66"/>
      <c r="AD84" s="66"/>
    </row>
    <row r="85" ht="40.15" customHeight="1">
      <c r="A85" s="66"/>
      <c r="C85" s="59"/>
      <c r="D85" s="215"/>
      <c r="E85" s="216"/>
      <c r="F85" s="216"/>
      <c r="G85" s="216"/>
      <c r="H85" s="66"/>
      <c r="I85" s="66"/>
      <c r="J85" s="66"/>
      <c r="K85" s="66"/>
      <c r="L85" s="66"/>
      <c r="M85" s="66"/>
      <c r="N85" s="66"/>
      <c r="O85" s="66"/>
      <c r="P85" s="66"/>
      <c r="Q85" s="66"/>
      <c r="R85" s="66"/>
      <c r="S85" s="66"/>
      <c r="T85" s="66"/>
      <c r="U85" s="66"/>
      <c r="V85" s="66"/>
      <c r="W85" s="66"/>
      <c r="X85" s="66"/>
      <c r="Y85" s="66"/>
      <c r="Z85" s="66"/>
      <c r="AA85" s="66"/>
      <c r="AB85" s="66"/>
      <c r="AC85" s="66"/>
      <c r="AD85" s="66"/>
    </row>
    <row r="86" ht="40.15" customHeight="1">
      <c r="A86" s="66"/>
      <c r="C86" s="59"/>
      <c r="D86" s="215"/>
      <c r="E86" s="216"/>
      <c r="F86" s="216"/>
      <c r="G86" s="216"/>
      <c r="H86" s="66"/>
      <c r="I86" s="66"/>
      <c r="J86" s="66"/>
      <c r="K86" s="66"/>
      <c r="L86" s="66"/>
      <c r="M86" s="66"/>
      <c r="N86" s="66"/>
      <c r="O86" s="66"/>
      <c r="P86" s="66"/>
      <c r="Q86" s="66"/>
      <c r="R86" s="66"/>
      <c r="S86" s="66"/>
      <c r="T86" s="66"/>
      <c r="U86" s="66"/>
      <c r="V86" s="66"/>
      <c r="W86" s="66"/>
      <c r="X86" s="66"/>
      <c r="Y86" s="66"/>
      <c r="Z86" s="66"/>
      <c r="AA86" s="66"/>
      <c r="AB86" s="66"/>
      <c r="AC86" s="66"/>
      <c r="AD86" s="66"/>
    </row>
    <row r="87" ht="40.15" customHeight="1">
      <c r="A87" s="66"/>
      <c r="C87" s="59"/>
      <c r="D87" s="215"/>
      <c r="E87" s="216"/>
      <c r="F87" s="216"/>
      <c r="G87" s="216"/>
      <c r="H87" s="66"/>
      <c r="I87" s="66"/>
      <c r="J87" s="66"/>
      <c r="K87" s="66"/>
      <c r="L87" s="66"/>
      <c r="M87" s="66"/>
      <c r="N87" s="66"/>
      <c r="O87" s="66"/>
      <c r="P87" s="66"/>
      <c r="Q87" s="66"/>
      <c r="R87" s="66"/>
      <c r="S87" s="66"/>
      <c r="T87" s="66"/>
      <c r="U87" s="66"/>
      <c r="V87" s="66"/>
      <c r="W87" s="66"/>
      <c r="X87" s="66"/>
      <c r="Y87" s="66"/>
      <c r="Z87" s="66"/>
      <c r="AA87" s="66"/>
      <c r="AB87" s="66"/>
      <c r="AC87" s="66"/>
      <c r="AD87" s="66"/>
    </row>
    <row r="88" ht="40.15" customHeight="1">
      <c r="A88" s="66"/>
      <c r="C88" s="59"/>
      <c r="D88" s="215"/>
      <c r="E88" s="216"/>
      <c r="F88" s="216"/>
      <c r="G88" s="216"/>
      <c r="H88" s="66"/>
      <c r="I88" s="66"/>
      <c r="J88" s="66"/>
      <c r="K88" s="66"/>
      <c r="L88" s="66"/>
      <c r="M88" s="66"/>
      <c r="N88" s="66"/>
      <c r="O88" s="66"/>
      <c r="P88" s="66"/>
      <c r="Q88" s="66"/>
      <c r="R88" s="66"/>
      <c r="S88" s="66"/>
      <c r="T88" s="66"/>
      <c r="U88" s="66"/>
      <c r="V88" s="66"/>
      <c r="W88" s="66"/>
      <c r="X88" s="66"/>
      <c r="Y88" s="66"/>
      <c r="Z88" s="66"/>
      <c r="AA88" s="66"/>
      <c r="AB88" s="66"/>
      <c r="AC88" s="66"/>
      <c r="AD88" s="66"/>
    </row>
    <row r="89" ht="40.15" customHeight="1">
      <c r="A89" s="66"/>
      <c r="C89" s="59"/>
      <c r="D89" s="215"/>
      <c r="E89" s="216"/>
      <c r="F89" s="216"/>
      <c r="G89" s="216"/>
      <c r="H89" s="66"/>
      <c r="I89" s="66"/>
      <c r="J89" s="66"/>
      <c r="K89" s="66"/>
      <c r="L89" s="66"/>
      <c r="M89" s="66"/>
      <c r="N89" s="66"/>
      <c r="O89" s="66"/>
      <c r="P89" s="66"/>
      <c r="Q89" s="66"/>
      <c r="R89" s="66"/>
      <c r="S89" s="66"/>
      <c r="T89" s="66"/>
      <c r="U89" s="66"/>
      <c r="V89" s="66"/>
      <c r="W89" s="66"/>
      <c r="X89" s="66"/>
      <c r="Y89" s="66"/>
      <c r="Z89" s="66"/>
      <c r="AA89" s="66"/>
      <c r="AB89" s="66"/>
      <c r="AC89" s="66"/>
      <c r="AD89" s="66"/>
    </row>
    <row r="90" ht="40.15" customHeight="1">
      <c r="A90" s="66"/>
      <c r="C90" s="59"/>
      <c r="D90" s="215"/>
      <c r="E90" s="216"/>
      <c r="F90" s="216"/>
      <c r="G90" s="216"/>
      <c r="H90" s="66"/>
      <c r="I90" s="66"/>
      <c r="J90" s="66"/>
      <c r="K90" s="66"/>
      <c r="L90" s="66"/>
      <c r="M90" s="66"/>
      <c r="N90" s="66"/>
      <c r="O90" s="66"/>
      <c r="P90" s="66"/>
      <c r="Q90" s="66"/>
      <c r="R90" s="66"/>
      <c r="S90" s="66"/>
      <c r="T90" s="66"/>
      <c r="U90" s="66"/>
      <c r="V90" s="66"/>
      <c r="W90" s="66"/>
      <c r="X90" s="66"/>
      <c r="Y90" s="66"/>
      <c r="Z90" s="66"/>
      <c r="AA90" s="66"/>
      <c r="AB90" s="66"/>
      <c r="AC90" s="66"/>
      <c r="AD90" s="66"/>
    </row>
    <row r="91" ht="40.15" customHeight="1">
      <c r="A91" s="66"/>
      <c r="C91" s="59"/>
      <c r="D91" s="215"/>
      <c r="E91" s="216"/>
      <c r="F91" s="216"/>
      <c r="G91" s="216"/>
      <c r="H91" s="66"/>
      <c r="I91" s="66"/>
      <c r="J91" s="66"/>
      <c r="K91" s="66"/>
      <c r="L91" s="66"/>
      <c r="M91" s="66"/>
      <c r="N91" s="66"/>
      <c r="O91" s="66"/>
      <c r="P91" s="66"/>
      <c r="Q91" s="66"/>
      <c r="R91" s="66"/>
      <c r="S91" s="66"/>
      <c r="T91" s="66"/>
      <c r="U91" s="66"/>
      <c r="V91" s="66"/>
      <c r="W91" s="66"/>
      <c r="X91" s="66"/>
      <c r="Y91" s="66"/>
      <c r="Z91" s="66"/>
      <c r="AA91" s="66"/>
      <c r="AB91" s="66"/>
      <c r="AC91" s="66"/>
      <c r="AD91" s="66"/>
    </row>
    <row r="92" ht="40.15" customHeight="1">
      <c r="A92" s="66"/>
      <c r="C92" s="59"/>
      <c r="D92" s="215"/>
      <c r="E92" s="216"/>
      <c r="F92" s="216"/>
      <c r="G92" s="216"/>
      <c r="H92" s="66"/>
      <c r="I92" s="66"/>
      <c r="J92" s="66"/>
      <c r="K92" s="66"/>
      <c r="L92" s="66"/>
      <c r="M92" s="66"/>
      <c r="N92" s="66"/>
      <c r="O92" s="66"/>
      <c r="P92" s="66"/>
      <c r="Q92" s="66"/>
      <c r="R92" s="66"/>
      <c r="S92" s="66"/>
      <c r="T92" s="66"/>
      <c r="U92" s="66"/>
      <c r="V92" s="66"/>
      <c r="W92" s="66"/>
      <c r="X92" s="66"/>
      <c r="Y92" s="66"/>
      <c r="Z92" s="66"/>
      <c r="AA92" s="66"/>
      <c r="AB92" s="66"/>
      <c r="AC92" s="66"/>
      <c r="AD92" s="66"/>
    </row>
    <row r="93" ht="40.15" customHeight="1">
      <c r="A93" s="66"/>
      <c r="C93" s="59"/>
      <c r="D93" s="215"/>
      <c r="E93" s="216"/>
      <c r="F93" s="216"/>
      <c r="G93" s="216"/>
      <c r="H93" s="66"/>
      <c r="I93" s="66"/>
      <c r="J93" s="66"/>
      <c r="K93" s="66"/>
      <c r="L93" s="66"/>
      <c r="M93" s="66"/>
      <c r="N93" s="66"/>
      <c r="O93" s="66"/>
      <c r="P93" s="66"/>
      <c r="Q93" s="66"/>
      <c r="R93" s="66"/>
      <c r="S93" s="66"/>
      <c r="T93" s="66"/>
      <c r="U93" s="66"/>
      <c r="V93" s="66"/>
      <c r="W93" s="66"/>
      <c r="X93" s="66"/>
      <c r="Y93" s="66"/>
      <c r="Z93" s="66"/>
      <c r="AA93" s="66"/>
      <c r="AB93" s="66"/>
      <c r="AC93" s="66"/>
      <c r="AD93" s="66"/>
    </row>
    <row r="94" ht="40.15" customHeight="1">
      <c r="A94" s="66"/>
      <c r="C94" s="59"/>
      <c r="D94" s="215"/>
      <c r="E94" s="216"/>
      <c r="F94" s="216"/>
      <c r="G94" s="216"/>
      <c r="H94" s="66"/>
      <c r="I94" s="66"/>
      <c r="J94" s="66"/>
      <c r="K94" s="66"/>
      <c r="L94" s="66"/>
      <c r="M94" s="66"/>
      <c r="N94" s="66"/>
      <c r="O94" s="66"/>
      <c r="P94" s="66"/>
      <c r="Q94" s="66"/>
      <c r="R94" s="66"/>
      <c r="S94" s="66"/>
      <c r="T94" s="66"/>
      <c r="U94" s="66"/>
      <c r="V94" s="66"/>
      <c r="W94" s="66"/>
      <c r="X94" s="66"/>
      <c r="Y94" s="66"/>
      <c r="Z94" s="66"/>
      <c r="AA94" s="66"/>
      <c r="AB94" s="66"/>
      <c r="AC94" s="66"/>
      <c r="AD94" s="66"/>
    </row>
    <row r="95" ht="40.15" customHeight="1">
      <c r="A95" s="66"/>
      <c r="C95" s="59"/>
      <c r="D95" s="215"/>
      <c r="E95" s="216"/>
      <c r="F95" s="216"/>
      <c r="G95" s="216"/>
      <c r="H95" s="66"/>
      <c r="I95" s="66"/>
      <c r="J95" s="66"/>
      <c r="K95" s="66"/>
      <c r="L95" s="66"/>
      <c r="M95" s="66"/>
      <c r="N95" s="66"/>
      <c r="O95" s="66"/>
      <c r="P95" s="66"/>
      <c r="Q95" s="66"/>
      <c r="R95" s="66"/>
      <c r="S95" s="66"/>
      <c r="T95" s="66"/>
      <c r="U95" s="66"/>
      <c r="V95" s="66"/>
      <c r="W95" s="66"/>
      <c r="X95" s="66"/>
      <c r="Y95" s="66"/>
      <c r="Z95" s="66"/>
      <c r="AA95" s="66"/>
      <c r="AB95" s="66"/>
      <c r="AC95" s="66"/>
      <c r="AD95" s="66"/>
    </row>
    <row r="96" ht="40.15" customHeight="1">
      <c r="A96" s="66"/>
      <c r="C96" s="59"/>
      <c r="D96" s="215"/>
      <c r="E96" s="216"/>
      <c r="F96" s="216"/>
      <c r="G96" s="216"/>
      <c r="H96" s="66"/>
      <c r="I96" s="66"/>
      <c r="J96" s="66"/>
      <c r="K96" s="66"/>
      <c r="L96" s="66"/>
      <c r="M96" s="66"/>
      <c r="N96" s="66"/>
      <c r="O96" s="66"/>
      <c r="P96" s="66"/>
      <c r="Q96" s="66"/>
      <c r="R96" s="66"/>
      <c r="S96" s="66"/>
      <c r="T96" s="66"/>
      <c r="U96" s="66"/>
      <c r="V96" s="66"/>
      <c r="W96" s="66"/>
      <c r="X96" s="66"/>
      <c r="Y96" s="66"/>
      <c r="Z96" s="66"/>
      <c r="AA96" s="66"/>
      <c r="AB96" s="66"/>
      <c r="AC96" s="66"/>
      <c r="AD96" s="66"/>
    </row>
    <row r="97" ht="40.15" customHeight="1">
      <c r="A97" s="66"/>
      <c r="C97" s="59"/>
      <c r="D97" s="215"/>
      <c r="E97" s="216"/>
      <c r="F97" s="216"/>
      <c r="G97" s="216"/>
      <c r="H97" s="66"/>
      <c r="I97" s="66"/>
      <c r="J97" s="66"/>
      <c r="K97" s="66"/>
      <c r="L97" s="66"/>
      <c r="M97" s="66"/>
      <c r="N97" s="66"/>
      <c r="O97" s="66"/>
      <c r="P97" s="66"/>
      <c r="Q97" s="66"/>
      <c r="R97" s="66"/>
      <c r="S97" s="66"/>
      <c r="T97" s="66"/>
      <c r="U97" s="66"/>
      <c r="V97" s="66"/>
      <c r="W97" s="66"/>
      <c r="X97" s="66"/>
      <c r="Y97" s="66"/>
      <c r="Z97" s="66"/>
      <c r="AA97" s="66"/>
      <c r="AB97" s="66"/>
      <c r="AC97" s="66"/>
      <c r="AD97" s="66"/>
    </row>
    <row r="98" ht="40.15" customHeight="1">
      <c r="A98" s="66"/>
      <c r="C98" s="59"/>
      <c r="D98" s="215"/>
      <c r="E98" s="216"/>
      <c r="F98" s="216"/>
      <c r="G98" s="216"/>
      <c r="H98" s="66"/>
      <c r="I98" s="66"/>
      <c r="J98" s="66"/>
      <c r="K98" s="66"/>
      <c r="L98" s="66"/>
      <c r="M98" s="66"/>
      <c r="N98" s="66"/>
      <c r="O98" s="66"/>
      <c r="P98" s="66"/>
      <c r="Q98" s="66"/>
      <c r="R98" s="66"/>
      <c r="S98" s="66"/>
      <c r="T98" s="66"/>
      <c r="U98" s="66"/>
      <c r="V98" s="66"/>
      <c r="W98" s="66"/>
      <c r="X98" s="66"/>
      <c r="Y98" s="66"/>
      <c r="Z98" s="66"/>
      <c r="AA98" s="66"/>
      <c r="AB98" s="66"/>
      <c r="AC98" s="66"/>
      <c r="AD98" s="66"/>
    </row>
    <row r="99" ht="40.15" customHeight="1">
      <c r="A99" s="66"/>
      <c r="C99" s="59"/>
      <c r="D99" s="215"/>
      <c r="E99" s="216"/>
      <c r="F99" s="216"/>
      <c r="G99" s="216"/>
      <c r="H99" s="66"/>
      <c r="I99" s="66"/>
      <c r="J99" s="66"/>
      <c r="K99" s="66"/>
      <c r="L99" s="66"/>
      <c r="M99" s="66"/>
      <c r="N99" s="66"/>
      <c r="O99" s="66"/>
      <c r="P99" s="66"/>
      <c r="Q99" s="66"/>
      <c r="R99" s="66"/>
      <c r="S99" s="66"/>
      <c r="T99" s="66"/>
      <c r="U99" s="66"/>
      <c r="V99" s="66"/>
      <c r="W99" s="66"/>
      <c r="X99" s="66"/>
      <c r="Y99" s="66"/>
      <c r="Z99" s="66"/>
      <c r="AA99" s="66"/>
      <c r="AB99" s="66"/>
      <c r="AC99" s="66"/>
      <c r="AD99" s="66"/>
    </row>
    <row r="100" ht="40.15" customHeight="1">
      <c r="A100" s="66"/>
      <c r="C100" s="59"/>
      <c r="D100" s="215"/>
      <c r="E100" s="216"/>
      <c r="F100" s="216"/>
      <c r="G100" s="216"/>
      <c r="H100" s="66"/>
      <c r="I100" s="66"/>
      <c r="J100" s="66"/>
      <c r="K100" s="66"/>
      <c r="L100" s="66"/>
      <c r="M100" s="66"/>
      <c r="N100" s="66"/>
      <c r="O100" s="66"/>
      <c r="P100" s="66"/>
      <c r="Q100" s="66"/>
      <c r="R100" s="66"/>
      <c r="S100" s="66"/>
      <c r="T100" s="66"/>
      <c r="U100" s="66"/>
      <c r="V100" s="66"/>
      <c r="W100" s="66"/>
      <c r="X100" s="66"/>
      <c r="Y100" s="66"/>
      <c r="Z100" s="66"/>
      <c r="AA100" s="66"/>
      <c r="AB100" s="66"/>
      <c r="AC100" s="66"/>
      <c r="AD100" s="66"/>
    </row>
    <row r="101" ht="40.15" customHeight="1">
      <c r="A101" s="66"/>
      <c r="C101" s="59"/>
      <c r="D101" s="215"/>
      <c r="E101" s="216"/>
      <c r="F101" s="216"/>
      <c r="G101" s="216"/>
      <c r="H101" s="66"/>
      <c r="I101" s="66"/>
      <c r="J101" s="66"/>
      <c r="K101" s="66"/>
      <c r="L101" s="66"/>
      <c r="M101" s="66"/>
      <c r="N101" s="66"/>
      <c r="O101" s="66"/>
      <c r="P101" s="66"/>
      <c r="Q101" s="66"/>
      <c r="R101" s="66"/>
      <c r="S101" s="66"/>
      <c r="T101" s="66"/>
      <c r="U101" s="66"/>
      <c r="V101" s="66"/>
      <c r="W101" s="66"/>
      <c r="X101" s="66"/>
      <c r="Y101" s="66"/>
      <c r="Z101" s="66"/>
      <c r="AA101" s="66"/>
      <c r="AB101" s="66"/>
      <c r="AC101" s="66"/>
      <c r="AD101" s="66"/>
    </row>
    <row r="102" ht="40.15" customHeight="1">
      <c r="A102" s="66"/>
      <c r="C102" s="59"/>
      <c r="D102" s="215"/>
      <c r="E102" s="216"/>
      <c r="F102" s="216"/>
      <c r="G102" s="216"/>
      <c r="H102" s="66"/>
      <c r="I102" s="66"/>
      <c r="J102" s="66"/>
      <c r="K102" s="66"/>
      <c r="L102" s="66"/>
      <c r="M102" s="66"/>
      <c r="N102" s="66"/>
      <c r="O102" s="66"/>
      <c r="P102" s="66"/>
      <c r="Q102" s="66"/>
      <c r="R102" s="66"/>
      <c r="S102" s="66"/>
      <c r="T102" s="66"/>
      <c r="U102" s="66"/>
      <c r="V102" s="66"/>
      <c r="W102" s="66"/>
      <c r="X102" s="66"/>
      <c r="Y102" s="66"/>
      <c r="Z102" s="66"/>
      <c r="AA102" s="66"/>
      <c r="AB102" s="66"/>
      <c r="AC102" s="66"/>
      <c r="AD102" s="66"/>
    </row>
    <row r="103" ht="40.15" customHeight="1">
      <c r="A103" s="66"/>
      <c r="C103" s="59"/>
      <c r="D103" s="215"/>
      <c r="E103" s="216"/>
      <c r="F103" s="216"/>
      <c r="G103" s="216"/>
      <c r="H103" s="66"/>
      <c r="I103" s="66"/>
      <c r="J103" s="66"/>
      <c r="K103" s="66"/>
      <c r="L103" s="66"/>
      <c r="M103" s="66"/>
      <c r="N103" s="66"/>
      <c r="O103" s="66"/>
      <c r="P103" s="66"/>
      <c r="Q103" s="66"/>
      <c r="R103" s="66"/>
      <c r="S103" s="66"/>
      <c r="T103" s="66"/>
      <c r="U103" s="66"/>
      <c r="V103" s="66"/>
      <c r="W103" s="66"/>
      <c r="X103" s="66"/>
      <c r="Y103" s="66"/>
      <c r="Z103" s="66"/>
      <c r="AA103" s="66"/>
      <c r="AB103" s="66"/>
      <c r="AC103" s="66"/>
      <c r="AD103" s="66"/>
    </row>
    <row r="104" ht="40.15" customHeight="1">
      <c r="A104" s="66"/>
      <c r="C104" s="59"/>
      <c r="D104" s="215"/>
      <c r="E104" s="216"/>
      <c r="F104" s="216"/>
      <c r="G104" s="216"/>
      <c r="H104" s="66"/>
      <c r="I104" s="66"/>
      <c r="J104" s="66"/>
      <c r="K104" s="66"/>
      <c r="L104" s="66"/>
      <c r="M104" s="66"/>
      <c r="N104" s="66"/>
      <c r="O104" s="66"/>
      <c r="P104" s="66"/>
      <c r="Q104" s="66"/>
      <c r="R104" s="66"/>
      <c r="S104" s="66"/>
      <c r="T104" s="66"/>
      <c r="U104" s="66"/>
      <c r="V104" s="66"/>
      <c r="W104" s="66"/>
      <c r="X104" s="66"/>
      <c r="Y104" s="66"/>
      <c r="Z104" s="66"/>
      <c r="AA104" s="66"/>
      <c r="AB104" s="66"/>
      <c r="AC104" s="66"/>
      <c r="AD104" s="66"/>
    </row>
    <row r="105" ht="40.15" customHeight="1">
      <c r="A105" s="66"/>
      <c r="C105" s="59"/>
      <c r="D105" s="215"/>
      <c r="E105" s="216"/>
      <c r="F105" s="216"/>
      <c r="G105" s="216"/>
      <c r="H105" s="66"/>
      <c r="I105" s="66"/>
      <c r="J105" s="66"/>
      <c r="K105" s="66"/>
      <c r="L105" s="66"/>
      <c r="M105" s="66"/>
      <c r="N105" s="66"/>
      <c r="O105" s="66"/>
      <c r="P105" s="66"/>
      <c r="Q105" s="66"/>
      <c r="R105" s="66"/>
      <c r="S105" s="66"/>
      <c r="T105" s="66"/>
      <c r="U105" s="66"/>
      <c r="V105" s="66"/>
      <c r="W105" s="66"/>
      <c r="X105" s="66"/>
      <c r="Y105" s="66"/>
      <c r="Z105" s="66"/>
      <c r="AA105" s="66"/>
      <c r="AB105" s="66"/>
      <c r="AC105" s="66"/>
      <c r="AD105" s="66"/>
    </row>
    <row r="106" ht="40.15" customHeight="1">
      <c r="A106" s="66"/>
      <c r="C106" s="59"/>
      <c r="D106" s="215"/>
      <c r="E106" s="216"/>
      <c r="F106" s="216"/>
      <c r="G106" s="216"/>
      <c r="H106" s="66"/>
      <c r="I106" s="66"/>
      <c r="J106" s="66"/>
      <c r="K106" s="66"/>
      <c r="L106" s="66"/>
      <c r="M106" s="66"/>
      <c r="N106" s="66"/>
      <c r="O106" s="66"/>
      <c r="P106" s="66"/>
      <c r="Q106" s="66"/>
      <c r="R106" s="66"/>
      <c r="S106" s="66"/>
      <c r="T106" s="66"/>
      <c r="U106" s="66"/>
      <c r="V106" s="66"/>
      <c r="W106" s="66"/>
      <c r="X106" s="66"/>
      <c r="Y106" s="66"/>
      <c r="Z106" s="66"/>
      <c r="AA106" s="66"/>
      <c r="AB106" s="66"/>
      <c r="AC106" s="66"/>
      <c r="AD106" s="66"/>
    </row>
    <row r="107" ht="40.15" customHeight="1">
      <c r="A107" s="66"/>
      <c r="C107" s="59"/>
      <c r="D107" s="58"/>
      <c r="E107" s="59"/>
      <c r="F107" s="59"/>
      <c r="G107" s="59"/>
      <c r="H107" s="66"/>
      <c r="I107" s="66"/>
      <c r="J107" s="66"/>
      <c r="K107" s="66"/>
      <c r="L107" s="66"/>
      <c r="M107" s="66"/>
      <c r="N107" s="66"/>
      <c r="O107" s="66"/>
      <c r="P107" s="66"/>
      <c r="Q107" s="66"/>
      <c r="R107" s="66"/>
      <c r="S107" s="66"/>
      <c r="T107" s="66"/>
      <c r="U107" s="66"/>
      <c r="V107" s="66"/>
      <c r="W107" s="66"/>
      <c r="X107" s="66"/>
      <c r="Y107" s="66"/>
      <c r="Z107" s="66"/>
      <c r="AA107" s="66"/>
      <c r="AB107" s="66"/>
      <c r="AC107" s="66"/>
      <c r="AD107" s="66"/>
    </row>
    <row r="108" ht="40.15" customHeight="1">
      <c r="A108" s="66"/>
      <c r="C108" s="59"/>
      <c r="D108" s="58"/>
      <c r="E108" s="59"/>
      <c r="F108" s="59"/>
      <c r="G108" s="59"/>
      <c r="H108" s="66"/>
      <c r="I108" s="66"/>
      <c r="J108" s="66"/>
      <c r="K108" s="66"/>
      <c r="L108" s="66"/>
      <c r="M108" s="66"/>
      <c r="N108" s="66"/>
      <c r="O108" s="66"/>
      <c r="P108" s="66"/>
      <c r="Q108" s="66"/>
      <c r="R108" s="66"/>
      <c r="S108" s="66"/>
      <c r="T108" s="66"/>
      <c r="U108" s="66"/>
      <c r="V108" s="66"/>
      <c r="W108" s="66"/>
      <c r="X108" s="66"/>
      <c r="Y108" s="66"/>
      <c r="Z108" s="66"/>
      <c r="AA108" s="66"/>
      <c r="AB108" s="66"/>
      <c r="AC108" s="66"/>
      <c r="AD108" s="66"/>
    </row>
    <row r="109" ht="40.15" customHeight="1">
      <c r="A109" s="66"/>
      <c r="C109" s="59"/>
      <c r="D109" s="58"/>
      <c r="E109" s="59"/>
      <c r="F109" s="59"/>
      <c r="G109" s="59"/>
      <c r="H109" s="66"/>
      <c r="I109" s="66"/>
      <c r="J109" s="66"/>
      <c r="K109" s="66"/>
      <c r="L109" s="66"/>
      <c r="M109" s="66"/>
      <c r="N109" s="66"/>
      <c r="O109" s="66"/>
      <c r="P109" s="66"/>
      <c r="Q109" s="66"/>
      <c r="R109" s="66"/>
      <c r="S109" s="66"/>
      <c r="T109" s="66"/>
      <c r="U109" s="66"/>
      <c r="V109" s="66"/>
      <c r="W109" s="66"/>
      <c r="X109" s="66"/>
      <c r="Y109" s="66"/>
      <c r="Z109" s="66"/>
      <c r="AA109" s="66"/>
      <c r="AB109" s="66"/>
      <c r="AC109" s="66"/>
      <c r="AD109" s="66"/>
    </row>
    <row r="110" ht="40.15" customHeight="1">
      <c r="A110" s="66"/>
      <c r="C110" s="59"/>
      <c r="D110" s="58"/>
      <c r="E110" s="59"/>
      <c r="F110" s="59"/>
      <c r="G110" s="59"/>
      <c r="H110" s="66"/>
      <c r="I110" s="66"/>
      <c r="J110" s="66"/>
      <c r="K110" s="66"/>
      <c r="L110" s="66"/>
      <c r="M110" s="66"/>
      <c r="N110" s="66"/>
      <c r="O110" s="66"/>
      <c r="P110" s="66"/>
      <c r="Q110" s="66"/>
      <c r="R110" s="66"/>
      <c r="S110" s="66"/>
      <c r="T110" s="66"/>
      <c r="U110" s="66"/>
      <c r="V110" s="66"/>
      <c r="W110" s="66"/>
      <c r="X110" s="66"/>
      <c r="Y110" s="66"/>
      <c r="Z110" s="66"/>
      <c r="AA110" s="66"/>
      <c r="AB110" s="66"/>
      <c r="AC110" s="66"/>
      <c r="AD110" s="66"/>
    </row>
    <row r="111" ht="40.15" customHeight="1">
      <c r="A111" s="66"/>
      <c r="C111" s="59"/>
      <c r="D111" s="58"/>
      <c r="E111" s="59"/>
      <c r="F111" s="59"/>
      <c r="G111" s="59"/>
      <c r="H111" s="66"/>
      <c r="I111" s="66"/>
      <c r="J111" s="66"/>
      <c r="K111" s="66"/>
      <c r="L111" s="66"/>
      <c r="M111" s="66"/>
      <c r="N111" s="66"/>
      <c r="O111" s="66"/>
      <c r="P111" s="66"/>
      <c r="Q111" s="66"/>
      <c r="R111" s="66"/>
      <c r="S111" s="66"/>
      <c r="T111" s="66"/>
      <c r="U111" s="66"/>
      <c r="V111" s="66"/>
      <c r="W111" s="66"/>
      <c r="X111" s="66"/>
      <c r="Y111" s="66"/>
      <c r="Z111" s="66"/>
      <c r="AA111" s="66"/>
      <c r="AB111" s="66"/>
      <c r="AC111" s="66"/>
      <c r="AD111" s="66"/>
    </row>
    <row r="112" ht="40.15" customHeight="1">
      <c r="A112" s="66"/>
      <c r="C112" s="59"/>
      <c r="D112" s="58"/>
      <c r="E112" s="59"/>
      <c r="F112" s="59"/>
      <c r="G112" s="59"/>
      <c r="H112" s="66"/>
      <c r="I112" s="66"/>
      <c r="J112" s="66"/>
      <c r="K112" s="66"/>
      <c r="L112" s="66"/>
      <c r="M112" s="66"/>
      <c r="N112" s="66"/>
      <c r="O112" s="66"/>
      <c r="P112" s="66"/>
      <c r="Q112" s="66"/>
      <c r="R112" s="66"/>
      <c r="S112" s="66"/>
      <c r="T112" s="66"/>
      <c r="U112" s="66"/>
      <c r="V112" s="66"/>
      <c r="W112" s="66"/>
      <c r="X112" s="66"/>
      <c r="Y112" s="66"/>
      <c r="Z112" s="66"/>
      <c r="AA112" s="66"/>
      <c r="AB112" s="66"/>
      <c r="AC112" s="66"/>
      <c r="AD112" s="66"/>
    </row>
    <row r="113" ht="40.15" customHeight="1">
      <c r="A113" s="66"/>
      <c r="C113" s="59"/>
      <c r="D113" s="58"/>
      <c r="E113" s="59"/>
      <c r="F113" s="59"/>
      <c r="G113" s="59"/>
      <c r="H113" s="66"/>
      <c r="I113" s="66"/>
      <c r="J113" s="66"/>
      <c r="K113" s="66"/>
      <c r="L113" s="66"/>
      <c r="M113" s="66"/>
      <c r="N113" s="66"/>
      <c r="O113" s="66"/>
      <c r="P113" s="66"/>
      <c r="Q113" s="66"/>
      <c r="R113" s="66"/>
      <c r="S113" s="66"/>
      <c r="T113" s="66"/>
      <c r="U113" s="66"/>
      <c r="V113" s="66"/>
      <c r="W113" s="66"/>
      <c r="X113" s="66"/>
      <c r="Y113" s="66"/>
      <c r="Z113" s="66"/>
      <c r="AA113" s="66"/>
      <c r="AB113" s="66"/>
      <c r="AC113" s="66"/>
      <c r="AD113" s="66"/>
    </row>
    <row r="114" ht="40.15" customHeight="1">
      <c r="A114" s="66"/>
      <c r="C114" s="59"/>
      <c r="D114" s="58"/>
      <c r="E114" s="59"/>
      <c r="F114" s="59"/>
      <c r="G114" s="59"/>
      <c r="H114" s="66"/>
      <c r="I114" s="66"/>
      <c r="J114" s="66"/>
      <c r="K114" s="66"/>
      <c r="L114" s="66"/>
      <c r="M114" s="66"/>
      <c r="N114" s="66"/>
      <c r="O114" s="66"/>
      <c r="P114" s="66"/>
      <c r="Q114" s="66"/>
      <c r="R114" s="66"/>
      <c r="S114" s="66"/>
      <c r="T114" s="66"/>
      <c r="U114" s="66"/>
      <c r="V114" s="66"/>
      <c r="W114" s="66"/>
      <c r="X114" s="66"/>
      <c r="Y114" s="66"/>
      <c r="Z114" s="66"/>
      <c r="AA114" s="66"/>
      <c r="AB114" s="66"/>
      <c r="AC114" s="66"/>
      <c r="AD114" s="66"/>
    </row>
    <row r="115" ht="40.15" customHeight="1">
      <c r="A115" s="66"/>
      <c r="C115" s="59"/>
      <c r="D115" s="58"/>
      <c r="E115" s="59"/>
      <c r="F115" s="59"/>
      <c r="G115" s="59"/>
      <c r="H115" s="66"/>
      <c r="I115" s="66"/>
      <c r="J115" s="66"/>
      <c r="K115" s="66"/>
      <c r="L115" s="66"/>
      <c r="M115" s="66"/>
      <c r="N115" s="66"/>
      <c r="O115" s="66"/>
      <c r="P115" s="66"/>
      <c r="Q115" s="66"/>
      <c r="R115" s="66"/>
      <c r="S115" s="66"/>
      <c r="T115" s="66"/>
      <c r="U115" s="66"/>
      <c r="V115" s="66"/>
      <c r="W115" s="66"/>
      <c r="X115" s="66"/>
      <c r="Y115" s="66"/>
      <c r="Z115" s="66"/>
      <c r="AA115" s="66"/>
      <c r="AB115" s="66"/>
      <c r="AC115" s="66"/>
      <c r="AD115" s="66"/>
    </row>
    <row r="116" ht="40.15" customHeight="1">
      <c r="A116" s="66"/>
      <c r="C116" s="59"/>
      <c r="D116" s="58"/>
      <c r="E116" s="59"/>
      <c r="F116" s="59"/>
      <c r="G116" s="59"/>
      <c r="H116" s="66"/>
      <c r="I116" s="66"/>
      <c r="J116" s="66"/>
      <c r="K116" s="66"/>
      <c r="L116" s="66"/>
      <c r="M116" s="66"/>
      <c r="N116" s="66"/>
      <c r="O116" s="66"/>
      <c r="P116" s="66"/>
      <c r="Q116" s="66"/>
      <c r="R116" s="66"/>
      <c r="S116" s="66"/>
      <c r="T116" s="66"/>
      <c r="U116" s="66"/>
      <c r="V116" s="66"/>
      <c r="W116" s="66"/>
      <c r="X116" s="66"/>
      <c r="Y116" s="66"/>
      <c r="Z116" s="66"/>
      <c r="AA116" s="66"/>
      <c r="AB116" s="66"/>
      <c r="AC116" s="66"/>
      <c r="AD116" s="66"/>
    </row>
    <row r="117" ht="40.15" customHeight="1">
      <c r="A117" s="66"/>
      <c r="C117" s="59"/>
      <c r="D117" s="58"/>
      <c r="E117" s="59"/>
      <c r="F117" s="59"/>
      <c r="G117" s="59"/>
      <c r="H117" s="66"/>
      <c r="I117" s="66"/>
      <c r="J117" s="66"/>
      <c r="K117" s="66"/>
      <c r="L117" s="66"/>
      <c r="M117" s="66"/>
      <c r="N117" s="66"/>
      <c r="O117" s="66"/>
      <c r="P117" s="66"/>
      <c r="Q117" s="66"/>
      <c r="R117" s="66"/>
      <c r="S117" s="66"/>
      <c r="T117" s="66"/>
      <c r="U117" s="66"/>
      <c r="V117" s="66"/>
      <c r="W117" s="66"/>
      <c r="X117" s="66"/>
      <c r="Y117" s="66"/>
      <c r="Z117" s="66"/>
      <c r="AA117" s="66"/>
      <c r="AB117" s="66"/>
      <c r="AC117" s="66"/>
      <c r="AD117" s="66"/>
    </row>
    <row r="118" ht="40.15" customHeight="1">
      <c r="A118" s="66"/>
      <c r="C118" s="59"/>
      <c r="D118" s="58"/>
      <c r="E118" s="59"/>
      <c r="F118" s="59"/>
      <c r="G118" s="59"/>
      <c r="H118" s="66"/>
      <c r="I118" s="66"/>
      <c r="J118" s="66"/>
      <c r="K118" s="66"/>
      <c r="L118" s="66"/>
      <c r="M118" s="66"/>
      <c r="N118" s="66"/>
      <c r="O118" s="66"/>
      <c r="P118" s="66"/>
      <c r="Q118" s="66"/>
      <c r="R118" s="66"/>
      <c r="S118" s="66"/>
      <c r="T118" s="66"/>
      <c r="U118" s="66"/>
      <c r="V118" s="66"/>
      <c r="W118" s="66"/>
      <c r="X118" s="66"/>
      <c r="Y118" s="66"/>
      <c r="Z118" s="66"/>
      <c r="AA118" s="66"/>
      <c r="AB118" s="66"/>
      <c r="AC118" s="66"/>
      <c r="AD118" s="66"/>
    </row>
    <row r="119" ht="40.15" customHeight="1">
      <c r="A119" s="66"/>
      <c r="C119" s="59"/>
      <c r="D119" s="58"/>
      <c r="E119" s="59"/>
      <c r="F119" s="59"/>
      <c r="G119" s="59"/>
      <c r="H119" s="66"/>
      <c r="I119" s="66"/>
      <c r="J119" s="66"/>
      <c r="K119" s="66"/>
      <c r="L119" s="66"/>
      <c r="M119" s="66"/>
      <c r="N119" s="66"/>
      <c r="O119" s="66"/>
      <c r="P119" s="66"/>
      <c r="Q119" s="66"/>
      <c r="R119" s="66"/>
      <c r="S119" s="66"/>
      <c r="T119" s="66"/>
      <c r="U119" s="66"/>
      <c r="V119" s="66"/>
      <c r="W119" s="66"/>
      <c r="X119" s="66"/>
      <c r="Y119" s="66"/>
      <c r="Z119" s="66"/>
      <c r="AA119" s="66"/>
      <c r="AB119" s="66"/>
      <c r="AC119" s="66"/>
      <c r="AD119" s="66"/>
    </row>
    <row r="120" ht="40.15" customHeight="1">
      <c r="A120" s="66"/>
      <c r="C120" s="59"/>
      <c r="D120" s="58"/>
      <c r="E120" s="59"/>
      <c r="F120" s="59"/>
      <c r="G120" s="59"/>
      <c r="H120" s="66"/>
      <c r="I120" s="66"/>
      <c r="J120" s="66"/>
      <c r="K120" s="66"/>
      <c r="L120" s="66"/>
      <c r="M120" s="66"/>
      <c r="N120" s="66"/>
      <c r="O120" s="66"/>
      <c r="P120" s="66"/>
      <c r="Q120" s="66"/>
      <c r="R120" s="66"/>
      <c r="S120" s="66"/>
      <c r="T120" s="66"/>
      <c r="U120" s="66"/>
      <c r="V120" s="66"/>
      <c r="W120" s="66"/>
      <c r="X120" s="66"/>
      <c r="Y120" s="66"/>
      <c r="Z120" s="66"/>
      <c r="AA120" s="66"/>
      <c r="AB120" s="66"/>
      <c r="AC120" s="66"/>
      <c r="AD120" s="66"/>
    </row>
    <row r="121" ht="40.15" customHeight="1">
      <c r="A121" s="66"/>
      <c r="C121" s="59"/>
      <c r="D121" s="58"/>
      <c r="E121" s="59"/>
      <c r="F121" s="59"/>
      <c r="G121" s="59"/>
      <c r="H121" s="66"/>
      <c r="I121" s="66"/>
      <c r="J121" s="66"/>
      <c r="K121" s="66"/>
      <c r="L121" s="66"/>
      <c r="M121" s="66"/>
      <c r="N121" s="66"/>
      <c r="O121" s="66"/>
      <c r="P121" s="66"/>
      <c r="Q121" s="66"/>
      <c r="R121" s="66"/>
      <c r="S121" s="66"/>
      <c r="T121" s="66"/>
      <c r="U121" s="66"/>
      <c r="V121" s="66"/>
      <c r="W121" s="66"/>
      <c r="X121" s="66"/>
      <c r="Y121" s="66"/>
      <c r="Z121" s="66"/>
      <c r="AA121" s="66"/>
      <c r="AB121" s="66"/>
      <c r="AC121" s="66"/>
      <c r="AD121" s="66"/>
    </row>
    <row r="122" ht="40.15" customHeight="1">
      <c r="A122" s="66"/>
      <c r="C122" s="59"/>
      <c r="D122" s="58"/>
      <c r="E122" s="59"/>
      <c r="F122" s="59"/>
      <c r="G122" s="59"/>
      <c r="H122" s="66"/>
      <c r="I122" s="66"/>
      <c r="J122" s="66"/>
      <c r="K122" s="66"/>
      <c r="L122" s="66"/>
      <c r="M122" s="66"/>
      <c r="N122" s="66"/>
      <c r="O122" s="66"/>
      <c r="P122" s="66"/>
      <c r="Q122" s="66"/>
      <c r="R122" s="66"/>
      <c r="S122" s="66"/>
      <c r="T122" s="66"/>
      <c r="U122" s="66"/>
      <c r="V122" s="66"/>
      <c r="W122" s="66"/>
      <c r="X122" s="66"/>
      <c r="Y122" s="66"/>
      <c r="Z122" s="66"/>
      <c r="AA122" s="66"/>
      <c r="AB122" s="66"/>
      <c r="AC122" s="66"/>
      <c r="AD122" s="66"/>
    </row>
    <row r="123" ht="40.15" customHeight="1">
      <c r="A123" s="66"/>
      <c r="C123" s="59"/>
      <c r="D123" s="58"/>
      <c r="E123" s="59"/>
      <c r="F123" s="59"/>
      <c r="G123" s="59"/>
      <c r="H123" s="66"/>
      <c r="I123" s="66"/>
      <c r="J123" s="66"/>
      <c r="K123" s="66"/>
      <c r="L123" s="66"/>
      <c r="M123" s="66"/>
      <c r="N123" s="66"/>
      <c r="O123" s="66"/>
      <c r="P123" s="66"/>
      <c r="Q123" s="66"/>
      <c r="R123" s="66"/>
      <c r="S123" s="66"/>
      <c r="T123" s="66"/>
      <c r="U123" s="66"/>
      <c r="V123" s="66"/>
      <c r="W123" s="66"/>
      <c r="X123" s="66"/>
      <c r="Y123" s="66"/>
      <c r="Z123" s="66"/>
      <c r="AA123" s="66"/>
      <c r="AB123" s="66"/>
      <c r="AC123" s="66"/>
      <c r="AD123" s="66"/>
    </row>
    <row r="124" ht="40.15" customHeight="1">
      <c r="A124" s="66"/>
      <c r="C124" s="59"/>
      <c r="D124" s="58"/>
      <c r="E124" s="59"/>
      <c r="F124" s="59"/>
      <c r="G124" s="59"/>
      <c r="H124" s="66"/>
      <c r="I124" s="66"/>
      <c r="J124" s="66"/>
      <c r="K124" s="66"/>
      <c r="L124" s="66"/>
      <c r="M124" s="66"/>
      <c r="N124" s="66"/>
      <c r="O124" s="66"/>
      <c r="P124" s="66"/>
      <c r="Q124" s="66"/>
      <c r="R124" s="66"/>
      <c r="S124" s="66"/>
      <c r="T124" s="66"/>
      <c r="U124" s="66"/>
      <c r="V124" s="66"/>
      <c r="W124" s="66"/>
      <c r="X124" s="66"/>
      <c r="Y124" s="66"/>
      <c r="Z124" s="66"/>
      <c r="AA124" s="66"/>
      <c r="AB124" s="66"/>
      <c r="AC124" s="66"/>
      <c r="AD124" s="66"/>
    </row>
    <row r="125" ht="40.15" customHeight="1">
      <c r="A125" s="66"/>
      <c r="C125" s="59"/>
      <c r="D125" s="58"/>
      <c r="E125" s="59"/>
      <c r="F125" s="59"/>
      <c r="G125" s="59"/>
      <c r="H125" s="66"/>
      <c r="I125" s="66"/>
      <c r="J125" s="66"/>
      <c r="K125" s="66"/>
      <c r="L125" s="66"/>
      <c r="M125" s="66"/>
      <c r="N125" s="66"/>
      <c r="O125" s="66"/>
      <c r="P125" s="66"/>
      <c r="Q125" s="66"/>
      <c r="R125" s="66"/>
      <c r="S125" s="66"/>
      <c r="T125" s="66"/>
      <c r="U125" s="66"/>
      <c r="V125" s="66"/>
      <c r="W125" s="66"/>
      <c r="X125" s="66"/>
      <c r="Y125" s="66"/>
      <c r="Z125" s="66"/>
      <c r="AA125" s="66"/>
      <c r="AB125" s="66"/>
      <c r="AC125" s="66"/>
      <c r="AD125" s="66"/>
    </row>
    <row r="126" ht="40.15" customHeight="1">
      <c r="A126" s="66"/>
      <c r="C126" s="59"/>
      <c r="D126" s="58"/>
      <c r="E126" s="59"/>
      <c r="F126" s="59"/>
      <c r="G126" s="59"/>
      <c r="H126" s="66"/>
      <c r="I126" s="66"/>
      <c r="J126" s="66"/>
      <c r="K126" s="66"/>
      <c r="L126" s="66"/>
      <c r="M126" s="66"/>
      <c r="N126" s="66"/>
      <c r="O126" s="66"/>
      <c r="P126" s="66"/>
      <c r="Q126" s="66"/>
      <c r="R126" s="66"/>
      <c r="S126" s="66"/>
      <c r="T126" s="66"/>
      <c r="U126" s="66"/>
      <c r="V126" s="66"/>
      <c r="W126" s="66"/>
      <c r="X126" s="66"/>
      <c r="Y126" s="66"/>
      <c r="Z126" s="66"/>
      <c r="AA126" s="66"/>
      <c r="AB126" s="66"/>
      <c r="AC126" s="66"/>
      <c r="AD126" s="66"/>
    </row>
    <row r="127" ht="40.15" customHeight="1">
      <c r="A127" s="66"/>
      <c r="C127" s="59"/>
      <c r="D127" s="58"/>
      <c r="E127" s="59"/>
      <c r="F127" s="59"/>
      <c r="G127" s="59"/>
      <c r="H127" s="66"/>
      <c r="I127" s="66"/>
      <c r="J127" s="66"/>
      <c r="K127" s="66"/>
      <c r="L127" s="66"/>
      <c r="M127" s="66"/>
      <c r="N127" s="66"/>
      <c r="O127" s="66"/>
      <c r="P127" s="66"/>
      <c r="Q127" s="66"/>
      <c r="R127" s="66"/>
      <c r="S127" s="66"/>
      <c r="T127" s="66"/>
      <c r="U127" s="66"/>
      <c r="V127" s="66"/>
      <c r="W127" s="66"/>
      <c r="X127" s="66"/>
      <c r="Y127" s="66"/>
      <c r="Z127" s="66"/>
      <c r="AA127" s="66"/>
      <c r="AB127" s="66"/>
      <c r="AC127" s="66"/>
      <c r="AD127" s="66"/>
    </row>
    <row r="128" ht="40.15" customHeight="1">
      <c r="A128" s="66"/>
      <c r="C128" s="59"/>
      <c r="D128" s="58"/>
      <c r="E128" s="59"/>
      <c r="F128" s="59"/>
      <c r="G128" s="59"/>
      <c r="H128" s="66"/>
      <c r="I128" s="66"/>
      <c r="J128" s="66"/>
      <c r="K128" s="66"/>
      <c r="L128" s="66"/>
      <c r="M128" s="66"/>
      <c r="N128" s="66"/>
      <c r="O128" s="66"/>
      <c r="P128" s="66"/>
      <c r="Q128" s="66"/>
      <c r="R128" s="66"/>
      <c r="S128" s="66"/>
      <c r="T128" s="66"/>
      <c r="U128" s="66"/>
      <c r="V128" s="66"/>
      <c r="W128" s="66"/>
      <c r="X128" s="66"/>
      <c r="Y128" s="66"/>
      <c r="Z128" s="66"/>
      <c r="AA128" s="66"/>
      <c r="AB128" s="66"/>
      <c r="AC128" s="66"/>
      <c r="AD128" s="66"/>
    </row>
    <row r="129" ht="40.15" customHeight="1">
      <c r="A129" s="66"/>
      <c r="C129" s="59"/>
      <c r="D129" s="58"/>
      <c r="E129" s="59"/>
      <c r="F129" s="59"/>
      <c r="G129" s="59"/>
      <c r="H129" s="66"/>
      <c r="I129" s="66"/>
      <c r="J129" s="66"/>
      <c r="K129" s="66"/>
      <c r="L129" s="66"/>
      <c r="M129" s="66"/>
      <c r="N129" s="66"/>
      <c r="O129" s="66"/>
      <c r="P129" s="66"/>
      <c r="Q129" s="66"/>
      <c r="R129" s="66"/>
      <c r="S129" s="66"/>
      <c r="T129" s="66"/>
      <c r="U129" s="66"/>
      <c r="V129" s="66"/>
      <c r="W129" s="66"/>
      <c r="X129" s="66"/>
      <c r="Y129" s="66"/>
      <c r="Z129" s="66"/>
      <c r="AA129" s="66"/>
      <c r="AB129" s="66"/>
      <c r="AC129" s="66"/>
      <c r="AD129" s="66"/>
    </row>
    <row r="130" ht="40.15" customHeight="1">
      <c r="A130" s="66"/>
      <c r="C130" s="59"/>
      <c r="D130" s="58"/>
      <c r="E130" s="59"/>
      <c r="F130" s="59"/>
      <c r="G130" s="59"/>
      <c r="H130" s="66"/>
      <c r="I130" s="66"/>
      <c r="J130" s="66"/>
      <c r="K130" s="66"/>
      <c r="L130" s="66"/>
      <c r="M130" s="66"/>
      <c r="N130" s="66"/>
      <c r="O130" s="66"/>
      <c r="P130" s="66"/>
      <c r="Q130" s="66"/>
      <c r="R130" s="66"/>
      <c r="S130" s="66"/>
      <c r="T130" s="66"/>
      <c r="U130" s="66"/>
      <c r="V130" s="66"/>
      <c r="W130" s="66"/>
      <c r="X130" s="66"/>
      <c r="Y130" s="66"/>
      <c r="Z130" s="66"/>
      <c r="AA130" s="66"/>
      <c r="AB130" s="66"/>
      <c r="AC130" s="66"/>
      <c r="AD130" s="66"/>
    </row>
    <row r="131" ht="40.15" customHeight="1">
      <c r="A131" s="66"/>
      <c r="C131" s="59"/>
      <c r="D131" s="58"/>
      <c r="E131" s="59"/>
      <c r="F131" s="59"/>
      <c r="G131" s="59"/>
      <c r="H131" s="66"/>
      <c r="I131" s="66"/>
      <c r="J131" s="66"/>
      <c r="K131" s="66"/>
      <c r="L131" s="66"/>
      <c r="M131" s="66"/>
      <c r="N131" s="66"/>
      <c r="O131" s="66"/>
      <c r="P131" s="66"/>
      <c r="Q131" s="66"/>
      <c r="R131" s="66"/>
      <c r="S131" s="66"/>
      <c r="T131" s="66"/>
      <c r="U131" s="66"/>
      <c r="V131" s="66"/>
      <c r="W131" s="66"/>
      <c r="X131" s="66"/>
      <c r="Y131" s="66"/>
      <c r="Z131" s="66"/>
      <c r="AA131" s="66"/>
      <c r="AB131" s="66"/>
      <c r="AC131" s="66"/>
      <c r="AD131" s="66"/>
    </row>
    <row r="132" ht="40.15" customHeight="1">
      <c r="A132" s="66"/>
      <c r="C132" s="59"/>
      <c r="D132" s="58"/>
      <c r="E132" s="59"/>
      <c r="F132" s="59"/>
      <c r="G132" s="59"/>
      <c r="H132" s="66"/>
      <c r="I132" s="66"/>
      <c r="J132" s="66"/>
      <c r="K132" s="66"/>
      <c r="L132" s="66"/>
      <c r="M132" s="66"/>
      <c r="N132" s="66"/>
      <c r="O132" s="66"/>
      <c r="P132" s="66"/>
      <c r="Q132" s="66"/>
      <c r="R132" s="66"/>
      <c r="S132" s="66"/>
      <c r="T132" s="66"/>
      <c r="U132" s="66"/>
      <c r="V132" s="66"/>
      <c r="W132" s="66"/>
      <c r="X132" s="66"/>
      <c r="Y132" s="66"/>
      <c r="Z132" s="66"/>
      <c r="AA132" s="66"/>
      <c r="AB132" s="66"/>
      <c r="AC132" s="66"/>
      <c r="AD132" s="66"/>
    </row>
    <row r="133" ht="40.15" customHeight="1">
      <c r="A133" s="66"/>
      <c r="C133" s="59"/>
      <c r="D133" s="58"/>
      <c r="E133" s="59"/>
      <c r="F133" s="59"/>
      <c r="G133" s="59"/>
      <c r="H133" s="66"/>
      <c r="I133" s="66"/>
      <c r="J133" s="66"/>
      <c r="K133" s="66"/>
      <c r="L133" s="66"/>
      <c r="M133" s="66"/>
      <c r="N133" s="66"/>
      <c r="O133" s="66"/>
      <c r="P133" s="66"/>
      <c r="Q133" s="66"/>
      <c r="R133" s="66"/>
      <c r="S133" s="66"/>
      <c r="T133" s="66"/>
      <c r="U133" s="66"/>
      <c r="V133" s="66"/>
      <c r="W133" s="66"/>
      <c r="X133" s="66"/>
      <c r="Y133" s="66"/>
      <c r="Z133" s="66"/>
      <c r="AA133" s="66"/>
      <c r="AB133" s="66"/>
      <c r="AC133" s="66"/>
      <c r="AD133" s="66"/>
    </row>
    <row r="134" ht="40.15" customHeight="1">
      <c r="A134" s="66"/>
      <c r="C134" s="59"/>
      <c r="D134" s="58"/>
      <c r="E134" s="59"/>
      <c r="F134" s="59"/>
      <c r="G134" s="59"/>
      <c r="H134" s="66"/>
      <c r="I134" s="66"/>
      <c r="J134" s="66"/>
      <c r="K134" s="66"/>
      <c r="L134" s="66"/>
      <c r="M134" s="66"/>
      <c r="N134" s="66"/>
      <c r="O134" s="66"/>
      <c r="P134" s="66"/>
      <c r="Q134" s="66"/>
      <c r="R134" s="66"/>
      <c r="S134" s="66"/>
      <c r="T134" s="66"/>
      <c r="U134" s="66"/>
      <c r="V134" s="66"/>
      <c r="W134" s="66"/>
      <c r="X134" s="66"/>
      <c r="Y134" s="66"/>
      <c r="Z134" s="66"/>
      <c r="AA134" s="66"/>
      <c r="AB134" s="66"/>
      <c r="AC134" s="66"/>
      <c r="AD134" s="66"/>
    </row>
    <row r="135" ht="40.15" customHeight="1">
      <c r="A135" s="66"/>
      <c r="C135" s="59"/>
      <c r="D135" s="58"/>
      <c r="E135" s="59"/>
      <c r="F135" s="59"/>
      <c r="G135" s="59"/>
      <c r="H135" s="66"/>
      <c r="I135" s="66"/>
      <c r="J135" s="66"/>
      <c r="K135" s="66"/>
      <c r="L135" s="66"/>
      <c r="M135" s="66"/>
      <c r="N135" s="66"/>
      <c r="O135" s="66"/>
      <c r="P135" s="66"/>
      <c r="Q135" s="66"/>
      <c r="R135" s="66"/>
      <c r="S135" s="66"/>
      <c r="T135" s="66"/>
      <c r="U135" s="66"/>
      <c r="V135" s="66"/>
      <c r="W135" s="66"/>
      <c r="X135" s="66"/>
      <c r="Y135" s="66"/>
      <c r="Z135" s="66"/>
      <c r="AA135" s="66"/>
      <c r="AB135" s="66"/>
      <c r="AC135" s="66"/>
      <c r="AD135" s="66"/>
    </row>
    <row r="136" ht="40.15" customHeight="1">
      <c r="A136" s="66"/>
      <c r="C136" s="59"/>
      <c r="D136" s="58"/>
      <c r="E136" s="59"/>
      <c r="F136" s="59"/>
      <c r="G136" s="59"/>
      <c r="H136" s="66"/>
      <c r="I136" s="66"/>
      <c r="J136" s="66"/>
      <c r="K136" s="66"/>
      <c r="L136" s="66"/>
      <c r="M136" s="66"/>
      <c r="N136" s="66"/>
      <c r="O136" s="66"/>
      <c r="P136" s="66"/>
      <c r="Q136" s="66"/>
      <c r="R136" s="66"/>
      <c r="S136" s="66"/>
      <c r="T136" s="66"/>
      <c r="U136" s="66"/>
      <c r="V136" s="66"/>
      <c r="W136" s="66"/>
      <c r="X136" s="66"/>
      <c r="Y136" s="66"/>
      <c r="Z136" s="66"/>
      <c r="AA136" s="66"/>
      <c r="AB136" s="66"/>
      <c r="AC136" s="66"/>
      <c r="AD136" s="66"/>
    </row>
    <row r="137" ht="40.15" customHeight="1">
      <c r="A137" s="66"/>
      <c r="C137" s="59"/>
      <c r="D137" s="58"/>
      <c r="E137" s="59"/>
      <c r="F137" s="59"/>
      <c r="G137" s="59"/>
      <c r="H137" s="66"/>
      <c r="I137" s="66"/>
      <c r="J137" s="66"/>
      <c r="K137" s="66"/>
      <c r="L137" s="66"/>
      <c r="M137" s="66"/>
      <c r="N137" s="66"/>
      <c r="O137" s="66"/>
      <c r="P137" s="66"/>
      <c r="Q137" s="66"/>
      <c r="R137" s="66"/>
      <c r="S137" s="66"/>
      <c r="T137" s="66"/>
      <c r="U137" s="66"/>
      <c r="V137" s="66"/>
      <c r="W137" s="66"/>
      <c r="X137" s="66"/>
      <c r="Y137" s="66"/>
      <c r="Z137" s="66"/>
      <c r="AA137" s="66"/>
      <c r="AB137" s="66"/>
      <c r="AC137" s="66"/>
      <c r="AD137" s="66"/>
    </row>
    <row r="138" ht="40.15" customHeight="1">
      <c r="A138" s="66"/>
      <c r="C138" s="59"/>
      <c r="D138" s="58"/>
      <c r="E138" s="59"/>
      <c r="F138" s="59"/>
      <c r="G138" s="59"/>
      <c r="H138" s="66"/>
      <c r="I138" s="66"/>
      <c r="J138" s="66"/>
      <c r="K138" s="66"/>
      <c r="L138" s="66"/>
      <c r="M138" s="66"/>
      <c r="N138" s="66"/>
      <c r="O138" s="66"/>
      <c r="P138" s="66"/>
      <c r="Q138" s="66"/>
      <c r="R138" s="66"/>
      <c r="S138" s="66"/>
      <c r="T138" s="66"/>
      <c r="U138" s="66"/>
      <c r="V138" s="66"/>
      <c r="W138" s="66"/>
      <c r="X138" s="66"/>
      <c r="Y138" s="66"/>
      <c r="Z138" s="66"/>
      <c r="AA138" s="66"/>
      <c r="AB138" s="66"/>
      <c r="AC138" s="66"/>
      <c r="AD138" s="66"/>
    </row>
    <row r="139" ht="40.15" customHeight="1">
      <c r="A139" s="66"/>
      <c r="C139" s="59"/>
      <c r="D139" s="58"/>
      <c r="E139" s="59"/>
      <c r="F139" s="59"/>
      <c r="G139" s="59"/>
      <c r="H139" s="66"/>
      <c r="I139" s="66"/>
      <c r="J139" s="66"/>
      <c r="K139" s="66"/>
      <c r="L139" s="66"/>
      <c r="M139" s="66"/>
      <c r="N139" s="66"/>
      <c r="O139" s="66"/>
      <c r="P139" s="66"/>
      <c r="Q139" s="66"/>
      <c r="R139" s="66"/>
      <c r="S139" s="66"/>
      <c r="T139" s="66"/>
      <c r="U139" s="66"/>
      <c r="V139" s="66"/>
      <c r="W139" s="66"/>
      <c r="X139" s="66"/>
      <c r="Y139" s="66"/>
      <c r="Z139" s="66"/>
      <c r="AA139" s="66"/>
      <c r="AB139" s="66"/>
      <c r="AC139" s="66"/>
      <c r="AD139" s="66"/>
    </row>
    <row r="140" ht="40.15" customHeight="1">
      <c r="A140" s="66"/>
      <c r="C140" s="59"/>
      <c r="D140" s="58"/>
      <c r="E140" s="59"/>
      <c r="F140" s="59"/>
      <c r="G140" s="59"/>
      <c r="H140" s="66"/>
      <c r="I140" s="66"/>
      <c r="J140" s="66"/>
      <c r="K140" s="66"/>
      <c r="L140" s="66"/>
      <c r="M140" s="66"/>
      <c r="N140" s="66"/>
      <c r="O140" s="66"/>
      <c r="P140" s="66"/>
      <c r="Q140" s="66"/>
      <c r="R140" s="66"/>
      <c r="S140" s="66"/>
      <c r="T140" s="66"/>
      <c r="U140" s="66"/>
      <c r="V140" s="66"/>
      <c r="W140" s="66"/>
      <c r="X140" s="66"/>
      <c r="Y140" s="66"/>
      <c r="Z140" s="66"/>
      <c r="AA140" s="66"/>
      <c r="AB140" s="66"/>
      <c r="AC140" s="66"/>
      <c r="AD140" s="66"/>
    </row>
    <row r="141" ht="40.15" customHeight="1">
      <c r="A141" s="66"/>
      <c r="C141" s="59"/>
      <c r="D141" s="58"/>
      <c r="E141" s="59"/>
      <c r="F141" s="59"/>
      <c r="G141" s="59"/>
      <c r="H141" s="66"/>
      <c r="I141" s="66"/>
      <c r="J141" s="66"/>
      <c r="K141" s="66"/>
      <c r="L141" s="66"/>
      <c r="M141" s="66"/>
      <c r="N141" s="66"/>
      <c r="O141" s="66"/>
      <c r="P141" s="66"/>
      <c r="Q141" s="66"/>
      <c r="R141" s="66"/>
      <c r="S141" s="66"/>
      <c r="T141" s="66"/>
      <c r="U141" s="66"/>
      <c r="V141" s="66"/>
      <c r="W141" s="66"/>
      <c r="X141" s="66"/>
      <c r="Y141" s="66"/>
      <c r="Z141" s="66"/>
      <c r="AA141" s="66"/>
      <c r="AB141" s="66"/>
      <c r="AC141" s="66"/>
      <c r="AD141" s="66"/>
    </row>
    <row r="142" ht="40.15" customHeight="1">
      <c r="A142" s="66"/>
      <c r="C142" s="59"/>
      <c r="D142" s="58"/>
      <c r="E142" s="59"/>
      <c r="F142" s="59"/>
      <c r="G142" s="59"/>
      <c r="H142" s="66"/>
      <c r="I142" s="66"/>
      <c r="J142" s="66"/>
      <c r="K142" s="66"/>
      <c r="L142" s="66"/>
      <c r="M142" s="66"/>
      <c r="N142" s="66"/>
      <c r="O142" s="66"/>
      <c r="P142" s="66"/>
      <c r="Q142" s="66"/>
      <c r="R142" s="66"/>
      <c r="S142" s="66"/>
      <c r="T142" s="66"/>
      <c r="U142" s="66"/>
      <c r="V142" s="66"/>
      <c r="W142" s="66"/>
      <c r="X142" s="66"/>
      <c r="Y142" s="66"/>
      <c r="Z142" s="66"/>
      <c r="AA142" s="66"/>
      <c r="AB142" s="66"/>
      <c r="AC142" s="66"/>
      <c r="AD142" s="66"/>
    </row>
    <row r="143" ht="40.15" customHeight="1">
      <c r="A143" s="66"/>
      <c r="C143" s="59"/>
      <c r="D143" s="58"/>
      <c r="E143" s="59"/>
      <c r="F143" s="59"/>
      <c r="G143" s="59"/>
      <c r="H143" s="66"/>
      <c r="I143" s="66"/>
      <c r="J143" s="66"/>
      <c r="K143" s="66"/>
      <c r="L143" s="66"/>
      <c r="M143" s="66"/>
      <c r="N143" s="66"/>
      <c r="O143" s="66"/>
      <c r="P143" s="66"/>
      <c r="Q143" s="66"/>
      <c r="R143" s="66"/>
      <c r="S143" s="66"/>
      <c r="T143" s="66"/>
      <c r="U143" s="66"/>
      <c r="V143" s="66"/>
      <c r="W143" s="66"/>
      <c r="X143" s="66"/>
      <c r="Y143" s="66"/>
      <c r="Z143" s="66"/>
      <c r="AA143" s="66"/>
      <c r="AB143" s="66"/>
      <c r="AC143" s="66"/>
      <c r="AD143" s="66"/>
    </row>
    <row r="144" ht="40.15" customHeight="1">
      <c r="A144" s="66"/>
      <c r="C144" s="59"/>
      <c r="D144" s="58"/>
      <c r="E144" s="59"/>
      <c r="F144" s="59"/>
      <c r="G144" s="59"/>
      <c r="H144" s="66"/>
      <c r="I144" s="66"/>
      <c r="J144" s="66"/>
      <c r="K144" s="66"/>
      <c r="L144" s="66"/>
      <c r="M144" s="66"/>
      <c r="N144" s="66"/>
      <c r="O144" s="66"/>
      <c r="P144" s="66"/>
      <c r="Q144" s="66"/>
      <c r="R144" s="66"/>
      <c r="S144" s="66"/>
      <c r="T144" s="66"/>
      <c r="U144" s="66"/>
      <c r="V144" s="66"/>
      <c r="W144" s="66"/>
      <c r="X144" s="66"/>
      <c r="Y144" s="66"/>
      <c r="Z144" s="66"/>
      <c r="AA144" s="66"/>
      <c r="AB144" s="66"/>
      <c r="AC144" s="66"/>
      <c r="AD144" s="66"/>
    </row>
    <row r="145" ht="40.15" customHeight="1">
      <c r="A145" s="66"/>
      <c r="C145" s="59"/>
      <c r="D145" s="58"/>
      <c r="E145" s="59"/>
      <c r="F145" s="59"/>
      <c r="G145" s="59"/>
      <c r="H145" s="66"/>
      <c r="I145" s="66"/>
      <c r="J145" s="66"/>
      <c r="K145" s="66"/>
      <c r="L145" s="66"/>
      <c r="M145" s="66"/>
      <c r="N145" s="66"/>
      <c r="O145" s="66"/>
      <c r="P145" s="66"/>
      <c r="Q145" s="66"/>
      <c r="R145" s="66"/>
      <c r="S145" s="66"/>
      <c r="T145" s="66"/>
      <c r="U145" s="66"/>
      <c r="V145" s="66"/>
      <c r="W145" s="66"/>
      <c r="X145" s="66"/>
      <c r="Y145" s="66"/>
      <c r="Z145" s="66"/>
      <c r="AA145" s="66"/>
      <c r="AB145" s="66"/>
      <c r="AC145" s="66"/>
      <c r="AD145" s="66"/>
    </row>
    <row r="146" ht="40.15" customHeight="1">
      <c r="A146" s="66"/>
      <c r="C146" s="59"/>
      <c r="D146" s="58"/>
      <c r="E146" s="59"/>
      <c r="F146" s="59"/>
      <c r="G146" s="59"/>
      <c r="H146" s="66"/>
      <c r="I146" s="66"/>
      <c r="J146" s="66"/>
      <c r="K146" s="66"/>
      <c r="L146" s="66"/>
      <c r="M146" s="66"/>
      <c r="N146" s="66"/>
      <c r="O146" s="66"/>
      <c r="P146" s="66"/>
      <c r="Q146" s="66"/>
      <c r="R146" s="66"/>
      <c r="S146" s="66"/>
      <c r="T146" s="66"/>
      <c r="U146" s="66"/>
      <c r="V146" s="66"/>
      <c r="W146" s="66"/>
      <c r="X146" s="66"/>
      <c r="Y146" s="66"/>
      <c r="Z146" s="66"/>
      <c r="AA146" s="66"/>
      <c r="AB146" s="66"/>
      <c r="AC146" s="66"/>
      <c r="AD146" s="66"/>
    </row>
    <row r="147" ht="40.15" customHeight="1">
      <c r="A147" s="66"/>
      <c r="C147" s="59"/>
      <c r="D147" s="58"/>
      <c r="E147" s="59"/>
      <c r="F147" s="59"/>
      <c r="G147" s="59"/>
      <c r="H147" s="66"/>
      <c r="I147" s="66"/>
      <c r="J147" s="66"/>
      <c r="K147" s="66"/>
      <c r="L147" s="66"/>
      <c r="M147" s="66"/>
      <c r="N147" s="66"/>
      <c r="O147" s="66"/>
      <c r="P147" s="66"/>
      <c r="Q147" s="66"/>
      <c r="R147" s="66"/>
      <c r="S147" s="66"/>
      <c r="T147" s="66"/>
      <c r="U147" s="66"/>
      <c r="V147" s="66"/>
      <c r="W147" s="66"/>
      <c r="X147" s="66"/>
      <c r="Y147" s="66"/>
      <c r="Z147" s="66"/>
      <c r="AA147" s="66"/>
      <c r="AB147" s="66"/>
      <c r="AC147" s="66"/>
      <c r="AD147" s="66"/>
    </row>
    <row r="148" ht="40.15" customHeight="1">
      <c r="A148" s="66"/>
      <c r="C148" s="59"/>
      <c r="D148" s="58"/>
      <c r="E148" s="59"/>
      <c r="F148" s="59"/>
      <c r="G148" s="59"/>
      <c r="H148" s="66"/>
      <c r="I148" s="66"/>
      <c r="J148" s="66"/>
      <c r="K148" s="66"/>
      <c r="L148" s="66"/>
      <c r="M148" s="66"/>
      <c r="N148" s="66"/>
      <c r="O148" s="66"/>
      <c r="P148" s="66"/>
      <c r="Q148" s="66"/>
      <c r="R148" s="66"/>
      <c r="S148" s="66"/>
      <c r="T148" s="66"/>
      <c r="U148" s="66"/>
      <c r="V148" s="66"/>
      <c r="W148" s="66"/>
      <c r="X148" s="66"/>
      <c r="Y148" s="66"/>
      <c r="Z148" s="66"/>
      <c r="AA148" s="66"/>
      <c r="AB148" s="66"/>
      <c r="AC148" s="66"/>
      <c r="AD148" s="66"/>
    </row>
    <row r="149" ht="40.15" customHeight="1">
      <c r="A149" s="66"/>
      <c r="C149" s="59"/>
      <c r="D149" s="58"/>
      <c r="E149" s="59"/>
      <c r="F149" s="59"/>
      <c r="G149" s="59"/>
      <c r="H149" s="66"/>
      <c r="I149" s="66"/>
      <c r="J149" s="66"/>
      <c r="K149" s="66"/>
      <c r="L149" s="66"/>
      <c r="M149" s="66"/>
      <c r="N149" s="66"/>
      <c r="O149" s="66"/>
      <c r="P149" s="66"/>
      <c r="Q149" s="66"/>
      <c r="R149" s="66"/>
      <c r="S149" s="66"/>
      <c r="T149" s="66"/>
      <c r="U149" s="66"/>
      <c r="V149" s="66"/>
      <c r="W149" s="66"/>
      <c r="X149" s="66"/>
      <c r="Y149" s="66"/>
      <c r="Z149" s="66"/>
      <c r="AA149" s="66"/>
      <c r="AB149" s="66"/>
      <c r="AC149" s="66"/>
      <c r="AD149" s="66"/>
    </row>
    <row r="150" ht="40.15" customHeight="1">
      <c r="A150" s="66"/>
      <c r="C150" s="59"/>
      <c r="D150" s="58"/>
      <c r="E150" s="59"/>
      <c r="F150" s="59"/>
      <c r="G150" s="59"/>
      <c r="H150" s="66"/>
      <c r="I150" s="66"/>
      <c r="J150" s="66"/>
      <c r="K150" s="66"/>
      <c r="L150" s="66"/>
      <c r="M150" s="66"/>
      <c r="N150" s="66"/>
      <c r="O150" s="66"/>
      <c r="P150" s="66"/>
      <c r="Q150" s="66"/>
      <c r="R150" s="66"/>
      <c r="S150" s="66"/>
      <c r="T150" s="66"/>
      <c r="U150" s="66"/>
      <c r="V150" s="66"/>
      <c r="W150" s="66"/>
      <c r="X150" s="66"/>
      <c r="Y150" s="66"/>
      <c r="Z150" s="66"/>
      <c r="AA150" s="66"/>
      <c r="AB150" s="66"/>
      <c r="AC150" s="66"/>
      <c r="AD150" s="66"/>
    </row>
    <row r="151" ht="40.15" customHeight="1">
      <c r="A151" s="66"/>
      <c r="C151" s="59"/>
      <c r="D151" s="58"/>
      <c r="E151" s="59"/>
      <c r="F151" s="59"/>
      <c r="G151" s="59"/>
      <c r="H151" s="66"/>
      <c r="I151" s="66"/>
      <c r="J151" s="66"/>
      <c r="K151" s="66"/>
      <c r="L151" s="66"/>
      <c r="M151" s="66"/>
      <c r="N151" s="66"/>
      <c r="O151" s="66"/>
      <c r="P151" s="66"/>
      <c r="Q151" s="66"/>
      <c r="R151" s="66"/>
      <c r="S151" s="66"/>
      <c r="T151" s="66"/>
      <c r="U151" s="66"/>
      <c r="V151" s="66"/>
      <c r="W151" s="66"/>
      <c r="X151" s="66"/>
      <c r="Y151" s="66"/>
      <c r="Z151" s="66"/>
      <c r="AA151" s="66"/>
      <c r="AB151" s="66"/>
      <c r="AC151" s="66"/>
      <c r="AD151" s="66"/>
    </row>
    <row r="152" ht="40.15" customHeight="1">
      <c r="A152" s="66"/>
      <c r="C152" s="59"/>
      <c r="D152" s="58"/>
      <c r="E152" s="59"/>
      <c r="F152" s="59"/>
      <c r="G152" s="59"/>
      <c r="H152" s="66"/>
      <c r="I152" s="66"/>
      <c r="J152" s="66"/>
      <c r="K152" s="66"/>
      <c r="L152" s="66"/>
      <c r="M152" s="66"/>
      <c r="N152" s="66"/>
      <c r="O152" s="66"/>
      <c r="P152" s="66"/>
      <c r="Q152" s="66"/>
      <c r="R152" s="66"/>
      <c r="S152" s="66"/>
      <c r="T152" s="66"/>
      <c r="U152" s="66"/>
      <c r="V152" s="66"/>
      <c r="W152" s="66"/>
      <c r="X152" s="66"/>
      <c r="Y152" s="66"/>
      <c r="Z152" s="66"/>
      <c r="AA152" s="66"/>
      <c r="AB152" s="66"/>
      <c r="AC152" s="66"/>
      <c r="AD152" s="66"/>
    </row>
    <row r="153" ht="40.15" customHeight="1">
      <c r="A153" s="66"/>
      <c r="C153" s="59"/>
      <c r="D153" s="58"/>
      <c r="E153" s="59"/>
      <c r="F153" s="59"/>
      <c r="G153" s="59"/>
      <c r="H153" s="66"/>
      <c r="I153" s="66"/>
      <c r="J153" s="66"/>
      <c r="K153" s="66"/>
      <c r="L153" s="66"/>
      <c r="M153" s="66"/>
      <c r="N153" s="66"/>
      <c r="O153" s="66"/>
      <c r="P153" s="66"/>
      <c r="Q153" s="66"/>
      <c r="R153" s="66"/>
      <c r="S153" s="66"/>
      <c r="T153" s="66"/>
      <c r="U153" s="66"/>
      <c r="V153" s="66"/>
      <c r="W153" s="66"/>
      <c r="X153" s="66"/>
      <c r="Y153" s="66"/>
      <c r="Z153" s="66"/>
      <c r="AA153" s="66"/>
      <c r="AB153" s="66"/>
      <c r="AC153" s="66"/>
      <c r="AD153" s="66"/>
    </row>
    <row r="154" ht="40.15" customHeight="1">
      <c r="A154" s="66"/>
      <c r="C154" s="59"/>
      <c r="D154" s="58"/>
      <c r="E154" s="59"/>
      <c r="F154" s="59"/>
      <c r="G154" s="59"/>
      <c r="H154" s="66"/>
      <c r="I154" s="66"/>
      <c r="J154" s="66"/>
      <c r="K154" s="66"/>
      <c r="L154" s="66"/>
      <c r="M154" s="66"/>
      <c r="N154" s="66"/>
      <c r="O154" s="66"/>
      <c r="P154" s="66"/>
      <c r="Q154" s="66"/>
      <c r="R154" s="66"/>
      <c r="S154" s="66"/>
      <c r="T154" s="66"/>
      <c r="U154" s="66"/>
      <c r="V154" s="66"/>
      <c r="W154" s="66"/>
      <c r="X154" s="66"/>
      <c r="Y154" s="66"/>
      <c r="Z154" s="66"/>
      <c r="AA154" s="66"/>
      <c r="AB154" s="66"/>
      <c r="AC154" s="66"/>
      <c r="AD154" s="66"/>
    </row>
    <row r="155" ht="40.15" customHeight="1">
      <c r="A155" s="66"/>
      <c r="C155" s="59"/>
      <c r="D155" s="58"/>
      <c r="E155" s="59"/>
      <c r="F155" s="59"/>
      <c r="G155" s="59"/>
      <c r="H155" s="66"/>
      <c r="I155" s="66"/>
      <c r="J155" s="66"/>
      <c r="K155" s="66"/>
      <c r="L155" s="66"/>
      <c r="M155" s="66"/>
      <c r="N155" s="66"/>
      <c r="O155" s="66"/>
      <c r="P155" s="66"/>
      <c r="Q155" s="66"/>
      <c r="R155" s="66"/>
      <c r="S155" s="66"/>
      <c r="T155" s="66"/>
      <c r="U155" s="66"/>
      <c r="V155" s="66"/>
      <c r="W155" s="66"/>
      <c r="X155" s="66"/>
      <c r="Y155" s="66"/>
      <c r="Z155" s="66"/>
      <c r="AA155" s="66"/>
      <c r="AB155" s="66"/>
      <c r="AC155" s="66"/>
      <c r="AD155" s="66"/>
    </row>
    <row r="156" ht="40.15" customHeight="1">
      <c r="A156" s="66"/>
      <c r="C156" s="59"/>
      <c r="D156" s="58"/>
      <c r="E156" s="59"/>
      <c r="F156" s="59"/>
      <c r="G156" s="59"/>
      <c r="H156" s="66"/>
      <c r="I156" s="66"/>
      <c r="J156" s="66"/>
      <c r="K156" s="66"/>
      <c r="L156" s="66"/>
      <c r="M156" s="66"/>
      <c r="N156" s="66"/>
      <c r="O156" s="66"/>
      <c r="P156" s="66"/>
      <c r="Q156" s="66"/>
      <c r="R156" s="66"/>
      <c r="S156" s="66"/>
      <c r="T156" s="66"/>
      <c r="U156" s="66"/>
      <c r="V156" s="66"/>
      <c r="W156" s="66"/>
      <c r="X156" s="66"/>
      <c r="Y156" s="66"/>
      <c r="Z156" s="66"/>
      <c r="AA156" s="66"/>
      <c r="AB156" s="66"/>
      <c r="AC156" s="66"/>
      <c r="AD156" s="66"/>
    </row>
    <row r="157" ht="40.15" customHeight="1">
      <c r="A157" s="66"/>
      <c r="C157" s="59"/>
      <c r="D157" s="58"/>
      <c r="E157" s="59"/>
      <c r="F157" s="59"/>
      <c r="G157" s="59"/>
      <c r="H157" s="66"/>
      <c r="I157" s="66"/>
      <c r="J157" s="66"/>
      <c r="K157" s="66"/>
      <c r="L157" s="66"/>
      <c r="M157" s="66"/>
      <c r="N157" s="66"/>
      <c r="O157" s="66"/>
      <c r="P157" s="66"/>
      <c r="Q157" s="66"/>
      <c r="R157" s="66"/>
      <c r="S157" s="66"/>
      <c r="T157" s="66"/>
      <c r="U157" s="66"/>
      <c r="V157" s="66"/>
      <c r="W157" s="66"/>
      <c r="X157" s="66"/>
      <c r="Y157" s="66"/>
      <c r="Z157" s="66"/>
      <c r="AA157" s="66"/>
      <c r="AB157" s="66"/>
      <c r="AC157" s="66"/>
      <c r="AD157" s="66"/>
    </row>
    <row r="158" ht="40.15" customHeight="1">
      <c r="A158" s="66"/>
      <c r="C158" s="59"/>
      <c r="D158" s="58"/>
      <c r="E158" s="59"/>
      <c r="F158" s="59"/>
      <c r="G158" s="59"/>
      <c r="H158" s="66"/>
      <c r="I158" s="66"/>
      <c r="J158" s="66"/>
      <c r="K158" s="66"/>
      <c r="L158" s="66"/>
      <c r="M158" s="66"/>
      <c r="N158" s="66"/>
      <c r="O158" s="66"/>
      <c r="P158" s="66"/>
      <c r="Q158" s="66"/>
      <c r="R158" s="66"/>
      <c r="S158" s="66"/>
      <c r="T158" s="66"/>
      <c r="U158" s="66"/>
      <c r="V158" s="66"/>
      <c r="W158" s="66"/>
      <c r="X158" s="66"/>
      <c r="Y158" s="66"/>
      <c r="Z158" s="66"/>
      <c r="AA158" s="66"/>
      <c r="AB158" s="66"/>
      <c r="AC158" s="66"/>
      <c r="AD158" s="66"/>
    </row>
    <row r="159" ht="40.15" customHeight="1">
      <c r="A159" s="66"/>
      <c r="C159" s="59"/>
      <c r="D159" s="58"/>
      <c r="E159" s="59"/>
      <c r="F159" s="59"/>
      <c r="G159" s="59"/>
      <c r="H159" s="66"/>
      <c r="I159" s="66"/>
      <c r="J159" s="66"/>
      <c r="K159" s="66"/>
      <c r="L159" s="66"/>
      <c r="M159" s="66"/>
      <c r="N159" s="66"/>
      <c r="O159" s="66"/>
      <c r="P159" s="66"/>
      <c r="Q159" s="66"/>
      <c r="R159" s="66"/>
      <c r="S159" s="66"/>
      <c r="T159" s="66"/>
      <c r="U159" s="66"/>
      <c r="V159" s="66"/>
      <c r="W159" s="66"/>
      <c r="X159" s="66"/>
      <c r="Y159" s="66"/>
      <c r="Z159" s="66"/>
      <c r="AA159" s="66"/>
      <c r="AB159" s="66"/>
      <c r="AC159" s="66"/>
      <c r="AD159" s="66"/>
    </row>
    <row r="160" ht="40.15" customHeight="1">
      <c r="A160" s="66"/>
      <c r="C160" s="59"/>
      <c r="D160" s="58"/>
      <c r="E160" s="59"/>
      <c r="F160" s="59"/>
      <c r="G160" s="59"/>
      <c r="H160" s="66"/>
      <c r="I160" s="66"/>
      <c r="J160" s="66"/>
      <c r="K160" s="66"/>
      <c r="L160" s="66"/>
      <c r="M160" s="66"/>
      <c r="N160" s="66"/>
      <c r="O160" s="66"/>
      <c r="P160" s="66"/>
      <c r="Q160" s="66"/>
      <c r="R160" s="66"/>
      <c r="S160" s="66"/>
      <c r="T160" s="66"/>
      <c r="U160" s="66"/>
      <c r="V160" s="66"/>
      <c r="W160" s="66"/>
      <c r="X160" s="66"/>
      <c r="Y160" s="66"/>
      <c r="Z160" s="66"/>
      <c r="AA160" s="66"/>
      <c r="AB160" s="66"/>
      <c r="AC160" s="66"/>
      <c r="AD160" s="66"/>
    </row>
    <row r="161" ht="40.15" customHeight="1">
      <c r="A161" s="66"/>
      <c r="C161" s="59"/>
      <c r="D161" s="58"/>
      <c r="E161" s="59"/>
      <c r="F161" s="59"/>
      <c r="G161" s="59"/>
      <c r="H161" s="66"/>
      <c r="I161" s="66"/>
      <c r="J161" s="66"/>
      <c r="K161" s="66"/>
      <c r="L161" s="66"/>
      <c r="M161" s="66"/>
      <c r="N161" s="66"/>
      <c r="O161" s="66"/>
      <c r="P161" s="66"/>
      <c r="Q161" s="66"/>
      <c r="R161" s="66"/>
      <c r="S161" s="66"/>
      <c r="T161" s="66"/>
      <c r="U161" s="66"/>
      <c r="V161" s="66"/>
      <c r="W161" s="66"/>
      <c r="X161" s="66"/>
      <c r="Y161" s="66"/>
      <c r="Z161" s="66"/>
      <c r="AA161" s="66"/>
      <c r="AB161" s="66"/>
      <c r="AC161" s="66"/>
      <c r="AD161" s="66"/>
    </row>
    <row r="162" ht="40.15" customHeight="1">
      <c r="A162" s="66"/>
      <c r="C162" s="59"/>
      <c r="D162" s="58"/>
      <c r="E162" s="59"/>
      <c r="F162" s="59"/>
      <c r="G162" s="59"/>
      <c r="H162" s="66"/>
      <c r="I162" s="66"/>
      <c r="J162" s="66"/>
      <c r="K162" s="66"/>
      <c r="L162" s="66"/>
      <c r="M162" s="66"/>
      <c r="N162" s="66"/>
      <c r="O162" s="66"/>
      <c r="P162" s="66"/>
      <c r="Q162" s="66"/>
      <c r="R162" s="66"/>
      <c r="S162" s="66"/>
      <c r="T162" s="66"/>
      <c r="U162" s="66"/>
      <c r="V162" s="66"/>
      <c r="W162" s="66"/>
      <c r="X162" s="66"/>
      <c r="Y162" s="66"/>
      <c r="Z162" s="66"/>
      <c r="AA162" s="66"/>
      <c r="AB162" s="66"/>
      <c r="AC162" s="66"/>
      <c r="AD162" s="66"/>
    </row>
    <row r="163" ht="40.15" customHeight="1">
      <c r="A163" s="66"/>
      <c r="C163" s="59"/>
      <c r="D163" s="58"/>
      <c r="E163" s="59"/>
      <c r="F163" s="59"/>
      <c r="G163" s="59"/>
      <c r="H163" s="66"/>
      <c r="I163" s="66"/>
      <c r="J163" s="66"/>
      <c r="K163" s="66"/>
      <c r="L163" s="66"/>
      <c r="M163" s="66"/>
      <c r="N163" s="66"/>
      <c r="O163" s="66"/>
      <c r="P163" s="66"/>
      <c r="Q163" s="66"/>
      <c r="R163" s="66"/>
      <c r="S163" s="66"/>
      <c r="T163" s="66"/>
      <c r="U163" s="66"/>
      <c r="V163" s="66"/>
      <c r="W163" s="66"/>
      <c r="X163" s="66"/>
      <c r="Y163" s="66"/>
      <c r="Z163" s="66"/>
      <c r="AA163" s="66"/>
      <c r="AB163" s="66"/>
      <c r="AC163" s="66"/>
      <c r="AD163" s="66"/>
    </row>
    <row r="164" ht="40.15" customHeight="1">
      <c r="A164" s="66"/>
      <c r="C164" s="59"/>
      <c r="D164" s="58"/>
      <c r="E164" s="59"/>
      <c r="F164" s="59"/>
      <c r="G164" s="59"/>
      <c r="H164" s="66"/>
      <c r="I164" s="66"/>
      <c r="J164" s="66"/>
      <c r="K164" s="66"/>
      <c r="L164" s="66"/>
      <c r="M164" s="66"/>
      <c r="N164" s="66"/>
      <c r="O164" s="66"/>
      <c r="P164" s="66"/>
      <c r="Q164" s="66"/>
      <c r="R164" s="66"/>
      <c r="S164" s="66"/>
      <c r="T164" s="66"/>
      <c r="U164" s="66"/>
      <c r="V164" s="66"/>
      <c r="W164" s="66"/>
      <c r="X164" s="66"/>
      <c r="Y164" s="66"/>
      <c r="Z164" s="66"/>
      <c r="AA164" s="66"/>
      <c r="AB164" s="66"/>
      <c r="AC164" s="66"/>
      <c r="AD164" s="66"/>
    </row>
    <row r="165" ht="40.15" customHeight="1">
      <c r="A165" s="66"/>
      <c r="C165" s="59"/>
      <c r="D165" s="58"/>
      <c r="E165" s="59"/>
      <c r="F165" s="59"/>
      <c r="G165" s="59"/>
      <c r="H165" s="66"/>
      <c r="I165" s="66"/>
      <c r="J165" s="66"/>
      <c r="K165" s="66"/>
      <c r="L165" s="66"/>
      <c r="M165" s="66"/>
      <c r="N165" s="66"/>
      <c r="O165" s="66"/>
      <c r="P165" s="66"/>
      <c r="Q165" s="66"/>
      <c r="R165" s="66"/>
      <c r="S165" s="66"/>
      <c r="T165" s="66"/>
      <c r="U165" s="66"/>
      <c r="V165" s="66"/>
      <c r="W165" s="66"/>
      <c r="X165" s="66"/>
      <c r="Y165" s="66"/>
      <c r="Z165" s="66"/>
      <c r="AA165" s="66"/>
      <c r="AB165" s="66"/>
      <c r="AC165" s="66"/>
      <c r="AD165" s="66"/>
    </row>
    <row r="166" ht="40.15" customHeight="1">
      <c r="A166" s="66"/>
      <c r="C166" s="59"/>
      <c r="D166" s="58"/>
      <c r="E166" s="59"/>
      <c r="F166" s="59"/>
      <c r="G166" s="59"/>
      <c r="H166" s="66"/>
      <c r="I166" s="66"/>
      <c r="J166" s="66"/>
      <c r="K166" s="66"/>
      <c r="L166" s="66"/>
      <c r="M166" s="66"/>
      <c r="N166" s="66"/>
      <c r="O166" s="66"/>
      <c r="P166" s="66"/>
      <c r="Q166" s="66"/>
      <c r="R166" s="66"/>
      <c r="S166" s="66"/>
      <c r="T166" s="66"/>
      <c r="U166" s="66"/>
      <c r="V166" s="66"/>
      <c r="W166" s="66"/>
      <c r="X166" s="66"/>
      <c r="Y166" s="66"/>
      <c r="Z166" s="66"/>
      <c r="AA166" s="66"/>
      <c r="AB166" s="66"/>
      <c r="AC166" s="66"/>
      <c r="AD166" s="66"/>
    </row>
    <row r="167" ht="40.15" customHeight="1">
      <c r="A167" s="66"/>
      <c r="C167" s="59"/>
      <c r="D167" s="58"/>
      <c r="E167" s="59"/>
      <c r="F167" s="59"/>
      <c r="G167" s="59"/>
      <c r="H167" s="66"/>
      <c r="I167" s="66"/>
      <c r="J167" s="66"/>
      <c r="K167" s="66"/>
      <c r="L167" s="66"/>
      <c r="M167" s="66"/>
      <c r="N167" s="66"/>
      <c r="O167" s="66"/>
      <c r="P167" s="66"/>
      <c r="Q167" s="66"/>
      <c r="R167" s="66"/>
      <c r="S167" s="66"/>
      <c r="T167" s="66"/>
      <c r="U167" s="66"/>
      <c r="V167" s="66"/>
      <c r="W167" s="66"/>
      <c r="X167" s="66"/>
      <c r="Y167" s="66"/>
      <c r="Z167" s="66"/>
      <c r="AA167" s="66"/>
      <c r="AB167" s="66"/>
      <c r="AC167" s="66"/>
      <c r="AD167" s="66"/>
    </row>
    <row r="168" ht="40.15" customHeight="1">
      <c r="A168" s="66"/>
      <c r="C168" s="59"/>
      <c r="D168" s="58"/>
      <c r="E168" s="59"/>
      <c r="F168" s="59"/>
      <c r="G168" s="59"/>
      <c r="H168" s="66"/>
      <c r="I168" s="66"/>
      <c r="J168" s="66"/>
      <c r="K168" s="66"/>
      <c r="L168" s="66"/>
      <c r="M168" s="66"/>
      <c r="N168" s="66"/>
      <c r="O168" s="66"/>
      <c r="P168" s="66"/>
      <c r="Q168" s="66"/>
      <c r="R168" s="66"/>
      <c r="S168" s="66"/>
      <c r="T168" s="66"/>
      <c r="U168" s="66"/>
      <c r="V168" s="66"/>
      <c r="W168" s="66"/>
      <c r="X168" s="66"/>
      <c r="Y168" s="66"/>
      <c r="Z168" s="66"/>
      <c r="AA168" s="66"/>
      <c r="AB168" s="66"/>
      <c r="AC168" s="66"/>
      <c r="AD168" s="66"/>
    </row>
    <row r="169" ht="40.15" customHeight="1">
      <c r="A169" s="66"/>
      <c r="C169" s="59"/>
      <c r="D169" s="58"/>
      <c r="E169" s="59"/>
      <c r="F169" s="59"/>
      <c r="G169" s="59"/>
      <c r="H169" s="66"/>
      <c r="I169" s="66"/>
      <c r="J169" s="66"/>
      <c r="K169" s="66"/>
      <c r="L169" s="66"/>
      <c r="M169" s="66"/>
      <c r="N169" s="66"/>
      <c r="O169" s="66"/>
      <c r="P169" s="66"/>
      <c r="Q169" s="66"/>
      <c r="R169" s="66"/>
      <c r="S169" s="66"/>
      <c r="T169" s="66"/>
      <c r="U169" s="66"/>
      <c r="V169" s="66"/>
      <c r="W169" s="66"/>
      <c r="X169" s="66"/>
      <c r="Y169" s="66"/>
      <c r="Z169" s="66"/>
      <c r="AA169" s="66"/>
      <c r="AB169" s="66"/>
      <c r="AC169" s="66"/>
      <c r="AD169" s="66"/>
    </row>
    <row r="170" ht="40.15" customHeight="1">
      <c r="A170" s="66"/>
      <c r="C170" s="59"/>
      <c r="D170" s="58"/>
      <c r="E170" s="59"/>
      <c r="F170" s="59"/>
      <c r="G170" s="59"/>
      <c r="H170" s="66"/>
      <c r="I170" s="66"/>
      <c r="J170" s="66"/>
      <c r="K170" s="66"/>
      <c r="L170" s="66"/>
      <c r="M170" s="66"/>
      <c r="N170" s="66"/>
      <c r="O170" s="66"/>
      <c r="P170" s="66"/>
      <c r="Q170" s="66"/>
      <c r="R170" s="66"/>
      <c r="S170" s="66"/>
      <c r="T170" s="66"/>
      <c r="U170" s="66"/>
      <c r="V170" s="66"/>
      <c r="W170" s="66"/>
      <c r="X170" s="66"/>
      <c r="Y170" s="66"/>
      <c r="Z170" s="66"/>
      <c r="AA170" s="66"/>
      <c r="AB170" s="66"/>
      <c r="AC170" s="66"/>
      <c r="AD170" s="66"/>
    </row>
    <row r="171" ht="40.15" customHeight="1">
      <c r="A171" s="66"/>
      <c r="C171" s="59"/>
      <c r="D171" s="58"/>
      <c r="E171" s="59"/>
      <c r="F171" s="59"/>
      <c r="G171" s="59"/>
      <c r="H171" s="66"/>
      <c r="I171" s="66"/>
      <c r="J171" s="66"/>
      <c r="K171" s="66"/>
      <c r="L171" s="66"/>
      <c r="M171" s="66"/>
      <c r="N171" s="66"/>
      <c r="O171" s="66"/>
      <c r="P171" s="66"/>
      <c r="Q171" s="66"/>
      <c r="R171" s="66"/>
      <c r="S171" s="66"/>
      <c r="T171" s="66"/>
      <c r="U171" s="66"/>
      <c r="V171" s="66"/>
      <c r="W171" s="66"/>
      <c r="X171" s="66"/>
      <c r="Y171" s="66"/>
      <c r="Z171" s="66"/>
      <c r="AA171" s="66"/>
      <c r="AB171" s="66"/>
      <c r="AC171" s="66"/>
      <c r="AD171" s="66"/>
    </row>
    <row r="172" ht="40.15" customHeight="1">
      <c r="A172" s="66"/>
      <c r="C172" s="59"/>
      <c r="D172" s="58"/>
      <c r="E172" s="59"/>
      <c r="F172" s="59"/>
      <c r="G172" s="59"/>
      <c r="H172" s="66"/>
      <c r="I172" s="66"/>
      <c r="J172" s="66"/>
      <c r="K172" s="66"/>
      <c r="L172" s="66"/>
      <c r="M172" s="66"/>
      <c r="N172" s="66"/>
      <c r="O172" s="66"/>
      <c r="P172" s="66"/>
      <c r="Q172" s="66"/>
      <c r="R172" s="66"/>
      <c r="S172" s="66"/>
      <c r="T172" s="66"/>
      <c r="U172" s="66"/>
      <c r="V172" s="66"/>
      <c r="W172" s="66"/>
      <c r="X172" s="66"/>
      <c r="Y172" s="66"/>
      <c r="Z172" s="66"/>
      <c r="AA172" s="66"/>
      <c r="AB172" s="66"/>
      <c r="AC172" s="66"/>
      <c r="AD172" s="66"/>
    </row>
    <row r="173" ht="40.15" customHeight="1">
      <c r="A173" s="66"/>
      <c r="C173" s="59"/>
      <c r="D173" s="58"/>
      <c r="E173" s="59"/>
      <c r="F173" s="59"/>
      <c r="G173" s="59"/>
      <c r="H173" s="66"/>
      <c r="I173" s="66"/>
      <c r="J173" s="66"/>
      <c r="K173" s="66"/>
      <c r="L173" s="66"/>
      <c r="M173" s="66"/>
      <c r="N173" s="66"/>
      <c r="O173" s="66"/>
      <c r="P173" s="66"/>
      <c r="Q173" s="66"/>
      <c r="R173" s="66"/>
      <c r="S173" s="66"/>
      <c r="T173" s="66"/>
      <c r="U173" s="66"/>
      <c r="V173" s="66"/>
      <c r="W173" s="66"/>
      <c r="X173" s="66"/>
      <c r="Y173" s="66"/>
      <c r="Z173" s="66"/>
      <c r="AA173" s="66"/>
      <c r="AB173" s="66"/>
      <c r="AC173" s="66"/>
      <c r="AD173" s="66"/>
    </row>
    <row r="174" ht="40.15" customHeight="1">
      <c r="A174" s="66"/>
      <c r="C174" s="59"/>
      <c r="D174" s="58"/>
      <c r="E174" s="59"/>
      <c r="F174" s="59"/>
      <c r="G174" s="59"/>
      <c r="H174" s="66"/>
      <c r="I174" s="66"/>
      <c r="J174" s="66"/>
      <c r="K174" s="66"/>
      <c r="L174" s="66"/>
      <c r="M174" s="66"/>
      <c r="N174" s="66"/>
      <c r="O174" s="66"/>
      <c r="P174" s="66"/>
      <c r="Q174" s="66"/>
      <c r="R174" s="66"/>
      <c r="S174" s="66"/>
      <c r="T174" s="66"/>
      <c r="U174" s="66"/>
      <c r="V174" s="66"/>
      <c r="W174" s="66"/>
      <c r="X174" s="66"/>
      <c r="Y174" s="66"/>
      <c r="Z174" s="66"/>
      <c r="AA174" s="66"/>
      <c r="AB174" s="66"/>
      <c r="AC174" s="66"/>
      <c r="AD174" s="66"/>
    </row>
    <row r="175" ht="40.15" customHeight="1">
      <c r="A175" s="66"/>
      <c r="C175" s="59"/>
      <c r="D175" s="58"/>
      <c r="E175" s="59"/>
      <c r="F175" s="59"/>
      <c r="G175" s="59"/>
      <c r="H175" s="66"/>
      <c r="I175" s="66"/>
      <c r="J175" s="66"/>
      <c r="K175" s="66"/>
      <c r="L175" s="66"/>
      <c r="M175" s="66"/>
      <c r="N175" s="66"/>
      <c r="O175" s="66"/>
      <c r="P175" s="66"/>
      <c r="Q175" s="66"/>
      <c r="R175" s="66"/>
      <c r="S175" s="66"/>
      <c r="T175" s="66"/>
      <c r="U175" s="66"/>
      <c r="V175" s="66"/>
      <c r="W175" s="66"/>
      <c r="X175" s="66"/>
      <c r="Y175" s="66"/>
      <c r="Z175" s="66"/>
      <c r="AA175" s="66"/>
      <c r="AB175" s="66"/>
      <c r="AC175" s="66"/>
      <c r="AD175" s="66"/>
    </row>
    <row r="176" ht="40.15" customHeight="1">
      <c r="A176" s="66"/>
      <c r="C176" s="59"/>
      <c r="D176" s="58"/>
      <c r="E176" s="59"/>
      <c r="F176" s="59"/>
      <c r="G176" s="59"/>
      <c r="H176" s="66"/>
      <c r="I176" s="66"/>
      <c r="J176" s="66"/>
      <c r="K176" s="66"/>
      <c r="L176" s="66"/>
      <c r="M176" s="66"/>
      <c r="N176" s="66"/>
      <c r="O176" s="66"/>
      <c r="P176" s="66"/>
      <c r="Q176" s="66"/>
      <c r="R176" s="66"/>
      <c r="S176" s="66"/>
      <c r="T176" s="66"/>
      <c r="U176" s="66"/>
      <c r="V176" s="66"/>
      <c r="W176" s="66"/>
      <c r="X176" s="66"/>
      <c r="Y176" s="66"/>
      <c r="Z176" s="66"/>
      <c r="AA176" s="66"/>
      <c r="AB176" s="66"/>
      <c r="AC176" s="66"/>
      <c r="AD176" s="66"/>
    </row>
    <row r="177" ht="40.15" customHeight="1">
      <c r="A177" s="66"/>
      <c r="C177" s="59"/>
      <c r="D177" s="58"/>
      <c r="E177" s="59"/>
      <c r="F177" s="59"/>
      <c r="G177" s="59"/>
      <c r="H177" s="66"/>
      <c r="I177" s="66"/>
      <c r="J177" s="66"/>
      <c r="K177" s="66"/>
      <c r="L177" s="66"/>
      <c r="M177" s="66"/>
      <c r="N177" s="66"/>
      <c r="O177" s="66"/>
      <c r="P177" s="66"/>
      <c r="Q177" s="66"/>
      <c r="R177" s="66"/>
      <c r="S177" s="66"/>
      <c r="T177" s="66"/>
      <c r="U177" s="66"/>
      <c r="V177" s="66"/>
      <c r="W177" s="66"/>
      <c r="X177" s="66"/>
      <c r="Y177" s="66"/>
      <c r="Z177" s="66"/>
      <c r="AA177" s="66"/>
      <c r="AB177" s="66"/>
      <c r="AC177" s="66"/>
      <c r="AD177" s="66"/>
    </row>
    <row r="178" ht="40.15" customHeight="1">
      <c r="A178" s="66"/>
      <c r="C178" s="59"/>
      <c r="D178" s="58"/>
      <c r="E178" s="59"/>
      <c r="F178" s="59"/>
      <c r="G178" s="59"/>
      <c r="H178" s="66"/>
      <c r="I178" s="66"/>
      <c r="J178" s="66"/>
      <c r="K178" s="66"/>
      <c r="L178" s="66"/>
      <c r="M178" s="66"/>
      <c r="N178" s="66"/>
      <c r="O178" s="66"/>
      <c r="P178" s="66"/>
      <c r="Q178" s="66"/>
      <c r="R178" s="66"/>
      <c r="S178" s="66"/>
      <c r="T178" s="66"/>
      <c r="U178" s="66"/>
      <c r="V178" s="66"/>
      <c r="W178" s="66"/>
      <c r="X178" s="66"/>
      <c r="Y178" s="66"/>
      <c r="Z178" s="66"/>
      <c r="AA178" s="66"/>
      <c r="AB178" s="66"/>
      <c r="AC178" s="66"/>
      <c r="AD178" s="66"/>
    </row>
    <row r="179" ht="40.15" customHeight="1">
      <c r="A179" s="66"/>
      <c r="C179" s="59"/>
      <c r="D179" s="58"/>
      <c r="E179" s="59"/>
      <c r="F179" s="59"/>
      <c r="G179" s="59"/>
      <c r="H179" s="66"/>
      <c r="I179" s="66"/>
      <c r="J179" s="66"/>
      <c r="K179" s="66"/>
      <c r="L179" s="66"/>
      <c r="M179" s="66"/>
      <c r="N179" s="66"/>
      <c r="O179" s="66"/>
      <c r="P179" s="66"/>
      <c r="Q179" s="66"/>
      <c r="R179" s="66"/>
      <c r="S179" s="66"/>
      <c r="T179" s="66"/>
      <c r="U179" s="66"/>
      <c r="V179" s="66"/>
      <c r="W179" s="66"/>
      <c r="X179" s="66"/>
      <c r="Y179" s="66"/>
      <c r="Z179" s="66"/>
      <c r="AA179" s="66"/>
      <c r="AB179" s="66"/>
      <c r="AC179" s="66"/>
      <c r="AD179" s="66"/>
    </row>
    <row r="180" ht="40.15" customHeight="1">
      <c r="A180" s="66"/>
      <c r="C180" s="59"/>
      <c r="D180" s="58"/>
      <c r="E180" s="59"/>
      <c r="F180" s="59"/>
      <c r="G180" s="59"/>
      <c r="H180" s="66"/>
      <c r="I180" s="66"/>
      <c r="J180" s="66"/>
      <c r="K180" s="66"/>
      <c r="L180" s="66"/>
      <c r="M180" s="66"/>
      <c r="N180" s="66"/>
      <c r="O180" s="66"/>
      <c r="P180" s="66"/>
      <c r="Q180" s="66"/>
      <c r="R180" s="66"/>
      <c r="S180" s="66"/>
      <c r="T180" s="66"/>
      <c r="U180" s="66"/>
      <c r="V180" s="66"/>
      <c r="W180" s="66"/>
      <c r="X180" s="66"/>
      <c r="Y180" s="66"/>
      <c r="Z180" s="66"/>
      <c r="AA180" s="66"/>
      <c r="AB180" s="66"/>
      <c r="AC180" s="66"/>
      <c r="AD180" s="66"/>
    </row>
    <row r="181" ht="40.15" customHeight="1">
      <c r="A181" s="66"/>
      <c r="C181" s="59"/>
      <c r="D181" s="58"/>
      <c r="E181" s="59"/>
      <c r="F181" s="59"/>
      <c r="G181" s="59"/>
      <c r="H181" s="66"/>
      <c r="I181" s="66"/>
      <c r="J181" s="66"/>
      <c r="K181" s="66"/>
      <c r="L181" s="66"/>
      <c r="M181" s="66"/>
      <c r="N181" s="66"/>
      <c r="O181" s="66"/>
      <c r="P181" s="66"/>
      <c r="Q181" s="66"/>
      <c r="R181" s="66"/>
      <c r="S181" s="66"/>
      <c r="T181" s="66"/>
      <c r="U181" s="66"/>
      <c r="V181" s="66"/>
      <c r="W181" s="66"/>
      <c r="X181" s="66"/>
      <c r="Y181" s="66"/>
      <c r="Z181" s="66"/>
      <c r="AA181" s="66"/>
      <c r="AB181" s="66"/>
      <c r="AC181" s="66"/>
      <c r="AD181" s="66"/>
    </row>
    <row r="182" ht="40.15" customHeight="1">
      <c r="A182" s="66"/>
      <c r="C182" s="59"/>
      <c r="D182" s="58"/>
      <c r="E182" s="59"/>
      <c r="F182" s="59"/>
      <c r="G182" s="59"/>
      <c r="H182" s="66"/>
      <c r="I182" s="66"/>
      <c r="J182" s="66"/>
      <c r="K182" s="66"/>
      <c r="L182" s="66"/>
      <c r="M182" s="66"/>
      <c r="N182" s="66"/>
      <c r="O182" s="66"/>
      <c r="P182" s="66"/>
      <c r="Q182" s="66"/>
      <c r="R182" s="66"/>
      <c r="S182" s="66"/>
      <c r="T182" s="66"/>
      <c r="U182" s="66"/>
      <c r="V182" s="66"/>
      <c r="W182" s="66"/>
      <c r="X182" s="66"/>
      <c r="Y182" s="66"/>
      <c r="Z182" s="66"/>
      <c r="AA182" s="66"/>
      <c r="AB182" s="66"/>
      <c r="AC182" s="66"/>
      <c r="AD182" s="66"/>
    </row>
    <row r="183" ht="40.15" customHeight="1">
      <c r="A183" s="66"/>
      <c r="C183" s="59"/>
      <c r="D183" s="58"/>
      <c r="E183" s="59"/>
      <c r="F183" s="59"/>
      <c r="G183" s="59"/>
      <c r="H183" s="66"/>
      <c r="I183" s="66"/>
      <c r="J183" s="66"/>
      <c r="K183" s="66"/>
      <c r="L183" s="66"/>
      <c r="M183" s="66"/>
      <c r="N183" s="66"/>
      <c r="O183" s="66"/>
      <c r="P183" s="66"/>
      <c r="Q183" s="66"/>
      <c r="R183" s="66"/>
      <c r="S183" s="66"/>
      <c r="T183" s="66"/>
      <c r="U183" s="66"/>
      <c r="V183" s="66"/>
      <c r="W183" s="66"/>
      <c r="X183" s="66"/>
      <c r="Y183" s="66"/>
      <c r="Z183" s="66"/>
      <c r="AA183" s="66"/>
      <c r="AB183" s="66"/>
      <c r="AC183" s="66"/>
      <c r="AD183" s="66"/>
    </row>
    <row r="184" ht="40.15" customHeight="1">
      <c r="A184" s="66"/>
      <c r="C184" s="59"/>
      <c r="D184" s="58"/>
      <c r="E184" s="59"/>
      <c r="F184" s="59"/>
      <c r="G184" s="59"/>
      <c r="H184" s="66"/>
      <c r="I184" s="66"/>
      <c r="J184" s="66"/>
      <c r="K184" s="66"/>
      <c r="L184" s="66"/>
      <c r="M184" s="66"/>
      <c r="N184" s="66"/>
      <c r="O184" s="66"/>
      <c r="P184" s="66"/>
      <c r="Q184" s="66"/>
      <c r="R184" s="66"/>
      <c r="S184" s="66"/>
      <c r="T184" s="66"/>
      <c r="U184" s="66"/>
      <c r="V184" s="66"/>
      <c r="W184" s="66"/>
      <c r="X184" s="66"/>
      <c r="Y184" s="66"/>
      <c r="Z184" s="66"/>
      <c r="AA184" s="66"/>
      <c r="AB184" s="66"/>
      <c r="AC184" s="66"/>
      <c r="AD184" s="66"/>
    </row>
    <row r="185" ht="40.15" customHeight="1">
      <c r="A185" s="66"/>
      <c r="C185" s="59"/>
      <c r="D185" s="58"/>
      <c r="E185" s="59"/>
      <c r="F185" s="59"/>
      <c r="G185" s="59"/>
      <c r="H185" s="66"/>
      <c r="I185" s="66"/>
      <c r="J185" s="66"/>
      <c r="K185" s="66"/>
      <c r="L185" s="66"/>
      <c r="M185" s="66"/>
      <c r="N185" s="66"/>
      <c r="O185" s="66"/>
      <c r="P185" s="66"/>
      <c r="Q185" s="66"/>
      <c r="R185" s="66"/>
      <c r="S185" s="66"/>
      <c r="T185" s="66"/>
      <c r="U185" s="66"/>
      <c r="V185" s="66"/>
      <c r="W185" s="66"/>
      <c r="X185" s="66"/>
      <c r="Y185" s="66"/>
      <c r="Z185" s="66"/>
      <c r="AA185" s="66"/>
      <c r="AB185" s="66"/>
      <c r="AC185" s="66"/>
      <c r="AD185" s="66"/>
    </row>
    <row r="186" ht="40.15" customHeight="1">
      <c r="A186" s="66"/>
      <c r="C186" s="59"/>
      <c r="D186" s="58"/>
      <c r="E186" s="59"/>
      <c r="F186" s="59"/>
      <c r="G186" s="59"/>
      <c r="H186" s="66"/>
      <c r="I186" s="66"/>
      <c r="J186" s="66"/>
      <c r="K186" s="66"/>
      <c r="L186" s="66"/>
      <c r="M186" s="66"/>
      <c r="N186" s="66"/>
      <c r="O186" s="66"/>
      <c r="P186" s="66"/>
      <c r="Q186" s="66"/>
      <c r="R186" s="66"/>
      <c r="S186" s="66"/>
      <c r="T186" s="66"/>
      <c r="U186" s="66"/>
      <c r="V186" s="66"/>
      <c r="W186" s="66"/>
      <c r="X186" s="66"/>
      <c r="Y186" s="66"/>
      <c r="Z186" s="66"/>
      <c r="AA186" s="66"/>
      <c r="AB186" s="66"/>
      <c r="AC186" s="66"/>
      <c r="AD186" s="66"/>
    </row>
    <row r="187" ht="40.15" customHeight="1">
      <c r="A187" s="66"/>
      <c r="C187" s="59"/>
      <c r="D187" s="58"/>
      <c r="E187" s="59"/>
      <c r="F187" s="59"/>
      <c r="G187" s="59"/>
      <c r="H187" s="66"/>
      <c r="I187" s="66"/>
      <c r="J187" s="66"/>
      <c r="K187" s="66"/>
      <c r="L187" s="66"/>
      <c r="M187" s="66"/>
      <c r="N187" s="66"/>
      <c r="O187" s="66"/>
      <c r="P187" s="66"/>
      <c r="Q187" s="66"/>
      <c r="R187" s="66"/>
      <c r="S187" s="66"/>
      <c r="T187" s="66"/>
      <c r="U187" s="66"/>
      <c r="V187" s="66"/>
      <c r="W187" s="66"/>
      <c r="X187" s="66"/>
      <c r="Y187" s="66"/>
      <c r="Z187" s="66"/>
      <c r="AA187" s="66"/>
      <c r="AB187" s="66"/>
      <c r="AC187" s="66"/>
      <c r="AD187" s="66"/>
    </row>
    <row r="188" ht="40.15" customHeight="1">
      <c r="A188" s="66"/>
      <c r="C188" s="59"/>
      <c r="D188" s="58"/>
      <c r="E188" s="59"/>
      <c r="F188" s="59"/>
      <c r="G188" s="59"/>
      <c r="H188" s="66"/>
      <c r="I188" s="66"/>
      <c r="J188" s="66"/>
      <c r="K188" s="66"/>
      <c r="L188" s="66"/>
      <c r="M188" s="66"/>
      <c r="N188" s="66"/>
      <c r="O188" s="66"/>
      <c r="P188" s="66"/>
      <c r="Q188" s="66"/>
      <c r="R188" s="66"/>
      <c r="S188" s="66"/>
      <c r="T188" s="66"/>
      <c r="U188" s="66"/>
      <c r="V188" s="66"/>
      <c r="W188" s="66"/>
      <c r="X188" s="66"/>
      <c r="Y188" s="66"/>
      <c r="Z188" s="66"/>
      <c r="AA188" s="66"/>
      <c r="AB188" s="66"/>
      <c r="AC188" s="66"/>
      <c r="AD188" s="66"/>
    </row>
    <row r="189" ht="40.15" customHeight="1">
      <c r="A189" s="66"/>
      <c r="C189" s="59"/>
      <c r="D189" s="58"/>
      <c r="E189" s="59"/>
      <c r="F189" s="59"/>
      <c r="G189" s="59"/>
      <c r="H189" s="66"/>
      <c r="I189" s="66"/>
      <c r="J189" s="66"/>
      <c r="K189" s="66"/>
      <c r="L189" s="66"/>
      <c r="M189" s="66"/>
      <c r="N189" s="66"/>
      <c r="O189" s="66"/>
      <c r="P189" s="66"/>
      <c r="Q189" s="66"/>
      <c r="R189" s="66"/>
      <c r="S189" s="66"/>
      <c r="T189" s="66"/>
      <c r="U189" s="66"/>
      <c r="V189" s="66"/>
      <c r="W189" s="66"/>
      <c r="X189" s="66"/>
      <c r="Y189" s="66"/>
      <c r="Z189" s="66"/>
      <c r="AA189" s="66"/>
      <c r="AB189" s="66"/>
      <c r="AC189" s="66"/>
      <c r="AD189" s="66"/>
    </row>
    <row r="190" ht="40.15" customHeight="1">
      <c r="A190" s="66"/>
      <c r="C190" s="59"/>
      <c r="D190" s="58"/>
      <c r="E190" s="59"/>
      <c r="F190" s="59"/>
      <c r="G190" s="59"/>
      <c r="H190" s="66"/>
      <c r="I190" s="66"/>
      <c r="J190" s="66"/>
      <c r="K190" s="66"/>
      <c r="L190" s="66"/>
      <c r="M190" s="66"/>
      <c r="N190" s="66"/>
      <c r="O190" s="66"/>
      <c r="P190" s="66"/>
      <c r="Q190" s="66"/>
      <c r="R190" s="66"/>
      <c r="S190" s="66"/>
      <c r="T190" s="66"/>
      <c r="U190" s="66"/>
      <c r="V190" s="66"/>
      <c r="W190" s="66"/>
      <c r="X190" s="66"/>
      <c r="Y190" s="66"/>
      <c r="Z190" s="66"/>
      <c r="AA190" s="66"/>
      <c r="AB190" s="66"/>
      <c r="AC190" s="66"/>
      <c r="AD190" s="66"/>
    </row>
    <row r="191" ht="40.15" customHeight="1">
      <c r="A191" s="66"/>
      <c r="C191" s="59"/>
      <c r="D191" s="58"/>
      <c r="E191" s="59"/>
      <c r="F191" s="59"/>
      <c r="G191" s="59"/>
      <c r="H191" s="66"/>
      <c r="I191" s="66"/>
      <c r="J191" s="66"/>
      <c r="K191" s="66"/>
      <c r="L191" s="66"/>
      <c r="M191" s="66"/>
      <c r="N191" s="66"/>
      <c r="O191" s="66"/>
      <c r="P191" s="66"/>
      <c r="Q191" s="66"/>
      <c r="R191" s="66"/>
      <c r="S191" s="66"/>
      <c r="T191" s="66"/>
      <c r="U191" s="66"/>
      <c r="V191" s="66"/>
      <c r="W191" s="66"/>
      <c r="X191" s="66"/>
      <c r="Y191" s="66"/>
      <c r="Z191" s="66"/>
      <c r="AA191" s="66"/>
      <c r="AB191" s="66"/>
      <c r="AC191" s="66"/>
      <c r="AD191" s="66"/>
    </row>
    <row r="192" ht="40.15" customHeight="1">
      <c r="A192" s="66"/>
      <c r="C192" s="59"/>
      <c r="D192" s="58"/>
      <c r="E192" s="59"/>
      <c r="F192" s="59"/>
      <c r="G192" s="59"/>
      <c r="H192" s="66"/>
      <c r="I192" s="66"/>
      <c r="J192" s="66"/>
      <c r="K192" s="66"/>
      <c r="L192" s="66"/>
      <c r="M192" s="66"/>
      <c r="N192" s="66"/>
      <c r="O192" s="66"/>
      <c r="P192" s="66"/>
      <c r="Q192" s="66"/>
      <c r="R192" s="66"/>
      <c r="S192" s="66"/>
      <c r="T192" s="66"/>
      <c r="U192" s="66"/>
      <c r="V192" s="66"/>
      <c r="W192" s="66"/>
      <c r="X192" s="66"/>
      <c r="Y192" s="66"/>
      <c r="Z192" s="66"/>
      <c r="AA192" s="66"/>
      <c r="AB192" s="66"/>
      <c r="AC192" s="66"/>
      <c r="AD192" s="66"/>
    </row>
    <row r="193" ht="40.15" customHeight="1">
      <c r="A193" s="66"/>
      <c r="C193" s="59"/>
      <c r="D193" s="58"/>
      <c r="E193" s="59"/>
      <c r="F193" s="59"/>
      <c r="G193" s="59"/>
      <c r="H193" s="66"/>
      <c r="I193" s="66"/>
      <c r="J193" s="66"/>
      <c r="K193" s="66"/>
      <c r="L193" s="66"/>
      <c r="M193" s="66"/>
      <c r="N193" s="66"/>
      <c r="O193" s="66"/>
      <c r="P193" s="66"/>
      <c r="Q193" s="66"/>
      <c r="R193" s="66"/>
      <c r="S193" s="66"/>
      <c r="T193" s="66"/>
      <c r="U193" s="66"/>
      <c r="V193" s="66"/>
      <c r="W193" s="66"/>
      <c r="X193" s="66"/>
      <c r="Y193" s="66"/>
      <c r="Z193" s="66"/>
      <c r="AA193" s="66"/>
      <c r="AB193" s="66"/>
      <c r="AC193" s="66"/>
      <c r="AD193" s="66"/>
    </row>
    <row r="194" ht="40.15" customHeight="1">
      <c r="A194" s="66"/>
      <c r="C194" s="59"/>
      <c r="D194" s="58"/>
      <c r="E194" s="59"/>
      <c r="F194" s="59"/>
      <c r="G194" s="59"/>
      <c r="H194" s="66"/>
      <c r="I194" s="66"/>
      <c r="J194" s="66"/>
      <c r="K194" s="66"/>
      <c r="L194" s="66"/>
      <c r="M194" s="66"/>
      <c r="N194" s="66"/>
      <c r="O194" s="66"/>
      <c r="P194" s="66"/>
      <c r="Q194" s="66"/>
      <c r="R194" s="66"/>
      <c r="S194" s="66"/>
      <c r="T194" s="66"/>
      <c r="U194" s="66"/>
      <c r="V194" s="66"/>
      <c r="W194" s="66"/>
      <c r="X194" s="66"/>
      <c r="Y194" s="66"/>
      <c r="Z194" s="66"/>
      <c r="AA194" s="66"/>
      <c r="AB194" s="66"/>
      <c r="AC194" s="66"/>
      <c r="AD194" s="66"/>
    </row>
    <row r="195" ht="40.15" customHeight="1">
      <c r="A195" s="66"/>
      <c r="C195" s="59"/>
      <c r="D195" s="58"/>
      <c r="E195" s="59"/>
      <c r="F195" s="59"/>
      <c r="G195" s="59"/>
      <c r="H195" s="66"/>
      <c r="I195" s="66"/>
      <c r="J195" s="66"/>
      <c r="K195" s="66"/>
      <c r="L195" s="66"/>
      <c r="M195" s="66"/>
      <c r="N195" s="66"/>
      <c r="O195" s="66"/>
      <c r="P195" s="66"/>
      <c r="Q195" s="66"/>
      <c r="R195" s="66"/>
      <c r="S195" s="66"/>
      <c r="T195" s="66"/>
      <c r="U195" s="66"/>
      <c r="V195" s="66"/>
      <c r="W195" s="66"/>
      <c r="X195" s="66"/>
      <c r="Y195" s="66"/>
      <c r="Z195" s="66"/>
      <c r="AA195" s="66"/>
      <c r="AB195" s="66"/>
      <c r="AC195" s="66"/>
      <c r="AD195" s="66"/>
    </row>
    <row r="196" ht="40.15" customHeight="1">
      <c r="A196" s="66"/>
      <c r="C196" s="59"/>
      <c r="D196" s="58"/>
      <c r="E196" s="59"/>
      <c r="F196" s="59"/>
      <c r="G196" s="59"/>
      <c r="H196" s="66"/>
      <c r="I196" s="66"/>
      <c r="J196" s="66"/>
      <c r="K196" s="66"/>
      <c r="L196" s="66"/>
      <c r="M196" s="66"/>
      <c r="N196" s="66"/>
      <c r="O196" s="66"/>
      <c r="P196" s="66"/>
      <c r="Q196" s="66"/>
      <c r="R196" s="66"/>
      <c r="S196" s="66"/>
      <c r="T196" s="66"/>
      <c r="U196" s="66"/>
      <c r="V196" s="66"/>
      <c r="W196" s="66"/>
      <c r="X196" s="66"/>
      <c r="Y196" s="66"/>
      <c r="Z196" s="66"/>
      <c r="AA196" s="66"/>
      <c r="AB196" s="66"/>
      <c r="AC196" s="66"/>
      <c r="AD196" s="66"/>
    </row>
    <row r="197" ht="40.15" customHeight="1">
      <c r="A197" s="66"/>
      <c r="C197" s="59"/>
      <c r="D197" s="58"/>
      <c r="E197" s="59"/>
      <c r="F197" s="59"/>
      <c r="G197" s="59"/>
      <c r="H197" s="66"/>
      <c r="I197" s="66"/>
      <c r="J197" s="66"/>
      <c r="K197" s="66"/>
      <c r="L197" s="66"/>
      <c r="M197" s="66"/>
      <c r="N197" s="66"/>
      <c r="O197" s="66"/>
      <c r="P197" s="66"/>
      <c r="Q197" s="66"/>
      <c r="R197" s="66"/>
      <c r="S197" s="66"/>
      <c r="T197" s="66"/>
      <c r="U197" s="66"/>
      <c r="V197" s="66"/>
      <c r="W197" s="66"/>
      <c r="X197" s="66"/>
      <c r="Y197" s="66"/>
      <c r="Z197" s="66"/>
      <c r="AA197" s="66"/>
      <c r="AB197" s="66"/>
      <c r="AC197" s="66"/>
      <c r="AD197" s="66"/>
    </row>
    <row r="198" ht="40.15" customHeight="1">
      <c r="A198" s="66"/>
      <c r="C198" s="59"/>
      <c r="D198" s="58"/>
      <c r="E198" s="59"/>
      <c r="F198" s="59"/>
      <c r="G198" s="59"/>
      <c r="H198" s="66"/>
      <c r="I198" s="66"/>
      <c r="J198" s="66"/>
      <c r="K198" s="66"/>
      <c r="L198" s="66"/>
      <c r="M198" s="66"/>
      <c r="N198" s="66"/>
      <c r="O198" s="66"/>
      <c r="P198" s="66"/>
      <c r="Q198" s="66"/>
      <c r="R198" s="66"/>
      <c r="S198" s="66"/>
      <c r="T198" s="66"/>
      <c r="U198" s="66"/>
      <c r="V198" s="66"/>
      <c r="W198" s="66"/>
      <c r="X198" s="66"/>
      <c r="Y198" s="66"/>
      <c r="Z198" s="66"/>
      <c r="AA198" s="66"/>
      <c r="AB198" s="66"/>
      <c r="AC198" s="66"/>
      <c r="AD198" s="66"/>
    </row>
    <row r="199" ht="40.15" customHeight="1">
      <c r="A199" s="66"/>
      <c r="C199" s="59"/>
      <c r="D199" s="58"/>
      <c r="E199" s="59"/>
      <c r="F199" s="59"/>
      <c r="G199" s="59"/>
      <c r="H199" s="66"/>
      <c r="I199" s="66"/>
      <c r="J199" s="66"/>
      <c r="K199" s="66"/>
      <c r="L199" s="66"/>
      <c r="M199" s="66"/>
      <c r="N199" s="66"/>
      <c r="O199" s="66"/>
      <c r="P199" s="66"/>
      <c r="Q199" s="66"/>
      <c r="R199" s="66"/>
      <c r="S199" s="66"/>
      <c r="T199" s="66"/>
      <c r="U199" s="66"/>
      <c r="V199" s="66"/>
      <c r="W199" s="66"/>
      <c r="X199" s="66"/>
      <c r="Y199" s="66"/>
      <c r="Z199" s="66"/>
      <c r="AA199" s="66"/>
      <c r="AB199" s="66"/>
      <c r="AC199" s="66"/>
      <c r="AD199" s="66"/>
    </row>
    <row r="200" ht="40.15" customHeight="1">
      <c r="A200" s="66"/>
      <c r="C200" s="59"/>
      <c r="D200" s="58"/>
      <c r="E200" s="59"/>
      <c r="F200" s="59"/>
      <c r="G200" s="59"/>
      <c r="H200" s="66"/>
      <c r="I200" s="66"/>
      <c r="J200" s="66"/>
      <c r="K200" s="66"/>
      <c r="L200" s="66"/>
      <c r="M200" s="66"/>
      <c r="N200" s="66"/>
      <c r="O200" s="66"/>
      <c r="P200" s="66"/>
      <c r="Q200" s="66"/>
      <c r="R200" s="66"/>
      <c r="S200" s="66"/>
      <c r="T200" s="66"/>
      <c r="U200" s="66"/>
      <c r="V200" s="66"/>
      <c r="W200" s="66"/>
      <c r="X200" s="66"/>
      <c r="Y200" s="66"/>
      <c r="Z200" s="66"/>
      <c r="AA200" s="66"/>
      <c r="AB200" s="66"/>
      <c r="AC200" s="66"/>
      <c r="AD200" s="66"/>
    </row>
    <row r="201" ht="40.15" customHeight="1">
      <c r="A201" s="66"/>
      <c r="C201" s="59"/>
      <c r="D201" s="58"/>
      <c r="E201" s="59"/>
      <c r="F201" s="59"/>
      <c r="G201" s="59"/>
      <c r="H201" s="66"/>
      <c r="I201" s="66"/>
      <c r="J201" s="66"/>
      <c r="K201" s="66"/>
      <c r="L201" s="66"/>
      <c r="M201" s="66"/>
      <c r="N201" s="66"/>
      <c r="O201" s="66"/>
      <c r="P201" s="66"/>
      <c r="Q201" s="66"/>
      <c r="R201" s="66"/>
      <c r="S201" s="66"/>
      <c r="T201" s="66"/>
      <c r="U201" s="66"/>
      <c r="V201" s="66"/>
      <c r="W201" s="66"/>
      <c r="X201" s="66"/>
      <c r="Y201" s="66"/>
      <c r="Z201" s="66"/>
      <c r="AA201" s="66"/>
      <c r="AB201" s="66"/>
      <c r="AC201" s="66"/>
      <c r="AD201" s="66"/>
    </row>
    <row r="202" ht="40.15" customHeight="1">
      <c r="A202" s="66"/>
      <c r="C202" s="59"/>
      <c r="D202" s="58"/>
      <c r="E202" s="59"/>
      <c r="F202" s="59"/>
      <c r="G202" s="59"/>
      <c r="H202" s="66"/>
      <c r="I202" s="66"/>
      <c r="J202" s="66"/>
      <c r="K202" s="66"/>
      <c r="L202" s="66"/>
      <c r="M202" s="66"/>
      <c r="N202" s="66"/>
      <c r="O202" s="66"/>
      <c r="P202" s="66"/>
      <c r="Q202" s="66"/>
      <c r="R202" s="66"/>
      <c r="S202" s="66"/>
      <c r="T202" s="66"/>
      <c r="U202" s="66"/>
      <c r="V202" s="66"/>
      <c r="W202" s="66"/>
      <c r="X202" s="66"/>
      <c r="Y202" s="66"/>
      <c r="Z202" s="66"/>
      <c r="AA202" s="66"/>
      <c r="AB202" s="66"/>
      <c r="AC202" s="66"/>
      <c r="AD202" s="66"/>
    </row>
    <row r="203" ht="40.15" customHeight="1">
      <c r="A203" s="66"/>
      <c r="C203" s="59"/>
      <c r="D203" s="58"/>
      <c r="E203" s="59"/>
      <c r="F203" s="59"/>
      <c r="G203" s="59"/>
      <c r="H203" s="66"/>
      <c r="I203" s="66"/>
      <c r="J203" s="66"/>
      <c r="K203" s="66"/>
      <c r="L203" s="66"/>
      <c r="M203" s="66"/>
      <c r="N203" s="66"/>
      <c r="O203" s="66"/>
      <c r="P203" s="66"/>
      <c r="Q203" s="66"/>
      <c r="R203" s="66"/>
      <c r="S203" s="66"/>
      <c r="T203" s="66"/>
      <c r="U203" s="66"/>
      <c r="V203" s="66"/>
      <c r="W203" s="66"/>
      <c r="X203" s="66"/>
      <c r="Y203" s="66"/>
      <c r="Z203" s="66"/>
      <c r="AA203" s="66"/>
      <c r="AB203" s="66"/>
      <c r="AC203" s="66"/>
      <c r="AD203" s="66"/>
    </row>
    <row r="204" ht="40.15" customHeight="1">
      <c r="A204" s="66"/>
      <c r="C204" s="59"/>
      <c r="D204" s="58"/>
      <c r="E204" s="59"/>
      <c r="F204" s="59"/>
      <c r="G204" s="59"/>
      <c r="H204" s="66"/>
      <c r="I204" s="66"/>
      <c r="J204" s="66"/>
      <c r="K204" s="66"/>
      <c r="L204" s="66"/>
      <c r="M204" s="66"/>
      <c r="N204" s="66"/>
      <c r="O204" s="66"/>
      <c r="P204" s="66"/>
      <c r="Q204" s="66"/>
      <c r="R204" s="66"/>
      <c r="S204" s="66"/>
      <c r="T204" s="66"/>
      <c r="U204" s="66"/>
      <c r="V204" s="66"/>
      <c r="W204" s="66"/>
      <c r="X204" s="66"/>
      <c r="Y204" s="66"/>
      <c r="Z204" s="66"/>
      <c r="AA204" s="66"/>
      <c r="AB204" s="66"/>
      <c r="AC204" s="66"/>
      <c r="AD204" s="66"/>
    </row>
    <row r="205" ht="40.15" customHeight="1">
      <c r="A205" s="66"/>
      <c r="C205" s="59"/>
      <c r="D205" s="58"/>
      <c r="E205" s="59"/>
      <c r="F205" s="59"/>
      <c r="G205" s="59"/>
      <c r="H205" s="66"/>
      <c r="I205" s="66"/>
      <c r="J205" s="66"/>
      <c r="K205" s="66"/>
      <c r="L205" s="66"/>
      <c r="M205" s="66"/>
      <c r="N205" s="66"/>
      <c r="O205" s="66"/>
      <c r="P205" s="66"/>
      <c r="Q205" s="66"/>
      <c r="R205" s="66"/>
      <c r="S205" s="66"/>
      <c r="T205" s="66"/>
      <c r="U205" s="66"/>
      <c r="V205" s="66"/>
      <c r="W205" s="66"/>
      <c r="X205" s="66"/>
      <c r="Y205" s="66"/>
      <c r="Z205" s="66"/>
      <c r="AA205" s="66"/>
      <c r="AB205" s="66"/>
      <c r="AC205" s="66"/>
      <c r="AD205" s="66"/>
    </row>
    <row r="206" ht="40.15" customHeight="1">
      <c r="A206" s="66"/>
      <c r="C206" s="59"/>
      <c r="D206" s="58"/>
      <c r="E206" s="59"/>
      <c r="F206" s="59"/>
      <c r="G206" s="59"/>
      <c r="H206" s="66"/>
      <c r="I206" s="66"/>
      <c r="J206" s="66"/>
      <c r="K206" s="66"/>
      <c r="L206" s="66"/>
      <c r="M206" s="66"/>
      <c r="N206" s="66"/>
      <c r="O206" s="66"/>
      <c r="P206" s="66"/>
      <c r="Q206" s="66"/>
      <c r="R206" s="66"/>
      <c r="S206" s="66"/>
      <c r="T206" s="66"/>
      <c r="U206" s="66"/>
      <c r="V206" s="66"/>
      <c r="W206" s="66"/>
      <c r="X206" s="66"/>
      <c r="Y206" s="66"/>
      <c r="Z206" s="66"/>
      <c r="AA206" s="66"/>
      <c r="AB206" s="66"/>
      <c r="AC206" s="66"/>
      <c r="AD206" s="66"/>
    </row>
    <row r="207" ht="40.15" customHeight="1">
      <c r="A207" s="66"/>
      <c r="C207" s="59"/>
      <c r="D207" s="58"/>
      <c r="E207" s="59"/>
      <c r="F207" s="59"/>
      <c r="G207" s="59"/>
      <c r="H207" s="66"/>
      <c r="I207" s="66"/>
      <c r="J207" s="66"/>
      <c r="K207" s="66"/>
      <c r="L207" s="66"/>
      <c r="M207" s="66"/>
      <c r="N207" s="66"/>
      <c r="O207" s="66"/>
      <c r="P207" s="66"/>
      <c r="Q207" s="66"/>
      <c r="R207" s="66"/>
      <c r="S207" s="66"/>
      <c r="T207" s="66"/>
      <c r="U207" s="66"/>
      <c r="V207" s="66"/>
      <c r="W207" s="66"/>
      <c r="X207" s="66"/>
      <c r="Y207" s="66"/>
      <c r="Z207" s="66"/>
      <c r="AA207" s="66"/>
      <c r="AB207" s="66"/>
      <c r="AC207" s="66"/>
      <c r="AD207" s="66"/>
    </row>
    <row r="208" ht="40.15" customHeight="1">
      <c r="A208" s="66"/>
      <c r="C208" s="59"/>
      <c r="D208" s="58"/>
      <c r="E208" s="59"/>
      <c r="F208" s="59"/>
      <c r="G208" s="59"/>
      <c r="H208" s="66"/>
      <c r="I208" s="66"/>
      <c r="J208" s="66"/>
      <c r="K208" s="66"/>
      <c r="L208" s="66"/>
      <c r="M208" s="66"/>
      <c r="N208" s="66"/>
      <c r="O208" s="66"/>
      <c r="P208" s="66"/>
      <c r="Q208" s="66"/>
      <c r="R208" s="66"/>
      <c r="S208" s="66"/>
      <c r="T208" s="66"/>
      <c r="U208" s="66"/>
      <c r="V208" s="66"/>
      <c r="W208" s="66"/>
      <c r="X208" s="66"/>
      <c r="Y208" s="66"/>
      <c r="Z208" s="66"/>
      <c r="AA208" s="66"/>
      <c r="AB208" s="66"/>
      <c r="AC208" s="66"/>
      <c r="AD208" s="66"/>
    </row>
    <row r="209" ht="40.15" customHeight="1">
      <c r="A209" s="66"/>
      <c r="C209" s="59"/>
      <c r="D209" s="58"/>
      <c r="E209" s="59"/>
      <c r="F209" s="59"/>
      <c r="G209" s="59"/>
      <c r="H209" s="66"/>
      <c r="I209" s="66"/>
      <c r="J209" s="66"/>
      <c r="K209" s="66"/>
      <c r="L209" s="66"/>
      <c r="M209" s="66"/>
      <c r="N209" s="66"/>
      <c r="O209" s="66"/>
      <c r="P209" s="66"/>
      <c r="Q209" s="66"/>
      <c r="R209" s="66"/>
      <c r="S209" s="66"/>
      <c r="T209" s="66"/>
      <c r="U209" s="66"/>
      <c r="V209" s="66"/>
      <c r="W209" s="66"/>
      <c r="X209" s="66"/>
      <c r="Y209" s="66"/>
      <c r="Z209" s="66"/>
      <c r="AA209" s="66"/>
      <c r="AB209" s="66"/>
      <c r="AC209" s="66"/>
      <c r="AD209" s="66"/>
    </row>
    <row r="210" ht="40.15" customHeight="1">
      <c r="A210" s="66"/>
      <c r="C210" s="59"/>
      <c r="D210" s="58"/>
      <c r="E210" s="59"/>
      <c r="F210" s="59"/>
      <c r="G210" s="59"/>
      <c r="H210" s="66"/>
      <c r="I210" s="66"/>
      <c r="J210" s="66"/>
      <c r="K210" s="66"/>
      <c r="L210" s="66"/>
      <c r="M210" s="66"/>
      <c r="N210" s="66"/>
      <c r="O210" s="66"/>
      <c r="P210" s="66"/>
      <c r="Q210" s="66"/>
      <c r="R210" s="66"/>
      <c r="S210" s="66"/>
      <c r="T210" s="66"/>
      <c r="U210" s="66"/>
      <c r="V210" s="66"/>
      <c r="W210" s="66"/>
      <c r="X210" s="66"/>
      <c r="Y210" s="66"/>
      <c r="Z210" s="66"/>
      <c r="AA210" s="66"/>
      <c r="AB210" s="66"/>
      <c r="AC210" s="66"/>
      <c r="AD210" s="66"/>
    </row>
    <row r="211" ht="40.15" customHeight="1">
      <c r="A211" s="66"/>
      <c r="C211" s="59"/>
      <c r="D211" s="58"/>
      <c r="E211" s="59"/>
      <c r="F211" s="59"/>
      <c r="G211" s="59"/>
      <c r="H211" s="66"/>
      <c r="I211" s="66"/>
      <c r="J211" s="66"/>
      <c r="K211" s="66"/>
      <c r="L211" s="66"/>
      <c r="M211" s="66"/>
      <c r="N211" s="66"/>
      <c r="O211" s="66"/>
      <c r="P211" s="66"/>
      <c r="Q211" s="66"/>
      <c r="R211" s="66"/>
      <c r="S211" s="66"/>
      <c r="T211" s="66"/>
      <c r="U211" s="66"/>
      <c r="V211" s="66"/>
      <c r="W211" s="66"/>
      <c r="X211" s="66"/>
      <c r="Y211" s="66"/>
      <c r="Z211" s="66"/>
      <c r="AA211" s="66"/>
      <c r="AB211" s="66"/>
      <c r="AC211" s="66"/>
      <c r="AD211" s="66"/>
    </row>
    <row r="212" ht="40.15" customHeight="1">
      <c r="A212" s="66"/>
      <c r="C212" s="59"/>
      <c r="D212" s="58"/>
      <c r="E212" s="59"/>
      <c r="F212" s="59"/>
      <c r="G212" s="59"/>
      <c r="H212" s="66"/>
      <c r="I212" s="66"/>
      <c r="J212" s="66"/>
      <c r="K212" s="66"/>
      <c r="L212" s="66"/>
      <c r="M212" s="66"/>
      <c r="N212" s="66"/>
      <c r="O212" s="66"/>
      <c r="P212" s="66"/>
      <c r="Q212" s="66"/>
      <c r="R212" s="66"/>
      <c r="S212" s="66"/>
      <c r="T212" s="66"/>
      <c r="U212" s="66"/>
      <c r="V212" s="66"/>
      <c r="W212" s="66"/>
      <c r="X212" s="66"/>
      <c r="Y212" s="66"/>
      <c r="Z212" s="66"/>
      <c r="AA212" s="66"/>
      <c r="AB212" s="66"/>
      <c r="AC212" s="66"/>
      <c r="AD212" s="66"/>
    </row>
    <row r="213" ht="40.15" customHeight="1">
      <c r="A213" s="66"/>
      <c r="C213" s="59"/>
      <c r="D213" s="58"/>
      <c r="E213" s="59"/>
      <c r="F213" s="59"/>
      <c r="G213" s="59"/>
      <c r="H213" s="66"/>
      <c r="I213" s="66"/>
      <c r="J213" s="66"/>
      <c r="K213" s="66"/>
      <c r="L213" s="66"/>
      <c r="M213" s="66"/>
      <c r="N213" s="66"/>
      <c r="O213" s="66"/>
      <c r="P213" s="66"/>
      <c r="Q213" s="66"/>
      <c r="R213" s="66"/>
      <c r="S213" s="66"/>
      <c r="T213" s="66"/>
      <c r="U213" s="66"/>
      <c r="V213" s="66"/>
      <c r="W213" s="66"/>
      <c r="X213" s="66"/>
      <c r="Y213" s="66"/>
      <c r="Z213" s="66"/>
      <c r="AA213" s="66"/>
      <c r="AB213" s="66"/>
      <c r="AC213" s="66"/>
      <c r="AD213" s="66"/>
    </row>
    <row r="214" ht="40.15" customHeight="1">
      <c r="A214" s="66"/>
      <c r="C214" s="59"/>
      <c r="D214" s="58"/>
      <c r="E214" s="59"/>
      <c r="F214" s="59"/>
      <c r="G214" s="59"/>
      <c r="H214" s="66"/>
      <c r="I214" s="66"/>
      <c r="J214" s="66"/>
      <c r="K214" s="66"/>
      <c r="L214" s="66"/>
      <c r="M214" s="66"/>
      <c r="N214" s="66"/>
      <c r="O214" s="66"/>
      <c r="P214" s="66"/>
      <c r="Q214" s="66"/>
      <c r="R214" s="66"/>
      <c r="S214" s="66"/>
      <c r="T214" s="66"/>
      <c r="U214" s="66"/>
      <c r="V214" s="66"/>
      <c r="W214" s="66"/>
      <c r="X214" s="66"/>
      <c r="Y214" s="66"/>
      <c r="Z214" s="66"/>
      <c r="AA214" s="66"/>
      <c r="AB214" s="66"/>
      <c r="AC214" s="66"/>
      <c r="AD214" s="66"/>
    </row>
    <row r="215" ht="40.15" customHeight="1">
      <c r="A215" s="66"/>
      <c r="C215" s="59"/>
      <c r="D215" s="58"/>
      <c r="E215" s="59"/>
      <c r="F215" s="59"/>
      <c r="G215" s="59"/>
      <c r="H215" s="66"/>
      <c r="I215" s="66"/>
      <c r="J215" s="66"/>
      <c r="K215" s="66"/>
      <c r="L215" s="66"/>
      <c r="M215" s="66"/>
      <c r="N215" s="66"/>
      <c r="O215" s="66"/>
      <c r="P215" s="66"/>
      <c r="Q215" s="66"/>
      <c r="R215" s="66"/>
      <c r="S215" s="66"/>
      <c r="T215" s="66"/>
      <c r="U215" s="66"/>
      <c r="V215" s="66"/>
      <c r="W215" s="66"/>
      <c r="X215" s="66"/>
      <c r="Y215" s="66"/>
      <c r="Z215" s="66"/>
      <c r="AA215" s="66"/>
      <c r="AB215" s="66"/>
      <c r="AC215" s="66"/>
      <c r="AD215" s="66"/>
    </row>
    <row r="216" ht="40.15" customHeight="1">
      <c r="A216" s="66"/>
      <c r="C216" s="59"/>
      <c r="D216" s="58"/>
      <c r="E216" s="59"/>
      <c r="F216" s="59"/>
      <c r="G216" s="59"/>
      <c r="H216" s="66"/>
      <c r="I216" s="66"/>
      <c r="J216" s="66"/>
      <c r="K216" s="66"/>
      <c r="L216" s="66"/>
      <c r="M216" s="66"/>
      <c r="N216" s="66"/>
      <c r="O216" s="66"/>
      <c r="P216" s="66"/>
      <c r="Q216" s="66"/>
      <c r="R216" s="66"/>
      <c r="S216" s="66"/>
      <c r="T216" s="66"/>
      <c r="U216" s="66"/>
      <c r="V216" s="66"/>
      <c r="W216" s="66"/>
      <c r="X216" s="66"/>
      <c r="Y216" s="66"/>
      <c r="Z216" s="66"/>
      <c r="AA216" s="66"/>
      <c r="AB216" s="66"/>
      <c r="AC216" s="66"/>
      <c r="AD216" s="66"/>
    </row>
    <row r="217" ht="40.15" customHeight="1">
      <c r="A217" s="66"/>
      <c r="C217" s="59"/>
      <c r="D217" s="58"/>
      <c r="E217" s="59"/>
      <c r="F217" s="59"/>
      <c r="G217" s="59"/>
      <c r="H217" s="66"/>
      <c r="I217" s="66"/>
      <c r="J217" s="66"/>
      <c r="K217" s="66"/>
      <c r="L217" s="66"/>
      <c r="M217" s="66"/>
      <c r="N217" s="66"/>
      <c r="O217" s="66"/>
      <c r="P217" s="66"/>
      <c r="Q217" s="66"/>
      <c r="R217" s="66"/>
      <c r="S217" s="66"/>
      <c r="T217" s="66"/>
      <c r="U217" s="66"/>
      <c r="V217" s="66"/>
      <c r="W217" s="66"/>
      <c r="X217" s="66"/>
      <c r="Y217" s="66"/>
      <c r="Z217" s="66"/>
      <c r="AA217" s="66"/>
      <c r="AB217" s="66"/>
      <c r="AC217" s="66"/>
      <c r="AD217" s="66"/>
    </row>
    <row r="218" ht="40.15" customHeight="1">
      <c r="A218" s="66"/>
      <c r="C218" s="59"/>
      <c r="D218" s="58"/>
      <c r="E218" s="59"/>
      <c r="F218" s="59"/>
      <c r="G218" s="59"/>
      <c r="H218" s="66"/>
      <c r="I218" s="66"/>
      <c r="J218" s="66"/>
      <c r="K218" s="66"/>
      <c r="L218" s="66"/>
      <c r="M218" s="66"/>
      <c r="N218" s="66"/>
      <c r="O218" s="66"/>
      <c r="P218" s="66"/>
      <c r="Q218" s="66"/>
      <c r="R218" s="66"/>
      <c r="S218" s="66"/>
      <c r="T218" s="66"/>
      <c r="U218" s="66"/>
      <c r="V218" s="66"/>
      <c r="W218" s="66"/>
      <c r="X218" s="66"/>
      <c r="Y218" s="66"/>
      <c r="Z218" s="66"/>
      <c r="AA218" s="66"/>
      <c r="AB218" s="66"/>
      <c r="AC218" s="66"/>
      <c r="AD218" s="66"/>
    </row>
    <row r="219" ht="40.15" customHeight="1">
      <c r="A219" s="66"/>
      <c r="C219" s="59"/>
      <c r="D219" s="58"/>
      <c r="E219" s="59"/>
      <c r="F219" s="59"/>
      <c r="G219" s="59"/>
      <c r="H219" s="66"/>
      <c r="I219" s="66"/>
      <c r="J219" s="66"/>
      <c r="K219" s="66"/>
      <c r="L219" s="66"/>
      <c r="M219" s="66"/>
      <c r="N219" s="66"/>
      <c r="O219" s="66"/>
      <c r="P219" s="66"/>
      <c r="Q219" s="66"/>
      <c r="R219" s="66"/>
      <c r="S219" s="66"/>
      <c r="T219" s="66"/>
      <c r="U219" s="66"/>
      <c r="V219" s="66"/>
      <c r="W219" s="66"/>
      <c r="X219" s="66"/>
      <c r="Y219" s="66"/>
      <c r="Z219" s="66"/>
      <c r="AA219" s="66"/>
      <c r="AB219" s="66"/>
      <c r="AC219" s="66"/>
      <c r="AD219" s="66"/>
    </row>
    <row r="220" ht="40.15" customHeight="1">
      <c r="A220" s="66"/>
      <c r="C220" s="59"/>
      <c r="D220" s="58"/>
      <c r="E220" s="59"/>
      <c r="F220" s="59"/>
      <c r="G220" s="59"/>
      <c r="H220" s="66"/>
      <c r="I220" s="66"/>
      <c r="J220" s="66"/>
      <c r="K220" s="66"/>
      <c r="L220" s="66"/>
      <c r="M220" s="66"/>
      <c r="N220" s="66"/>
      <c r="O220" s="66"/>
      <c r="P220" s="66"/>
      <c r="Q220" s="66"/>
      <c r="R220" s="66"/>
      <c r="S220" s="66"/>
      <c r="T220" s="66"/>
      <c r="U220" s="66"/>
      <c r="V220" s="66"/>
      <c r="W220" s="66"/>
      <c r="X220" s="66"/>
      <c r="Y220" s="66"/>
      <c r="Z220" s="66"/>
      <c r="AA220" s="66"/>
      <c r="AB220" s="66"/>
      <c r="AC220" s="66"/>
      <c r="AD220" s="66"/>
    </row>
    <row r="221" ht="40.15" customHeight="1">
      <c r="A221" s="66"/>
      <c r="C221" s="59"/>
      <c r="D221" s="58"/>
      <c r="E221" s="59"/>
      <c r="F221" s="59"/>
      <c r="G221" s="59"/>
      <c r="H221" s="66"/>
      <c r="I221" s="66"/>
      <c r="J221" s="66"/>
      <c r="K221" s="66"/>
      <c r="L221" s="66"/>
      <c r="M221" s="66"/>
      <c r="N221" s="66"/>
      <c r="O221" s="66"/>
      <c r="P221" s="66"/>
      <c r="Q221" s="66"/>
      <c r="R221" s="66"/>
      <c r="S221" s="66"/>
      <c r="T221" s="66"/>
      <c r="U221" s="66"/>
      <c r="V221" s="66"/>
      <c r="W221" s="66"/>
      <c r="X221" s="66"/>
      <c r="Y221" s="66"/>
      <c r="Z221" s="66"/>
      <c r="AA221" s="66"/>
      <c r="AB221" s="66"/>
      <c r="AC221" s="66"/>
      <c r="AD221" s="66"/>
    </row>
    <row r="222" ht="40.15" customHeight="1">
      <c r="A222" s="66"/>
      <c r="C222" s="59"/>
      <c r="D222" s="58"/>
      <c r="E222" s="59"/>
      <c r="F222" s="59"/>
      <c r="G222" s="59"/>
      <c r="H222" s="66"/>
      <c r="I222" s="66"/>
      <c r="J222" s="66"/>
      <c r="K222" s="66"/>
      <c r="L222" s="66"/>
      <c r="M222" s="66"/>
      <c r="N222" s="66"/>
      <c r="O222" s="66"/>
      <c r="P222" s="66"/>
      <c r="Q222" s="66"/>
      <c r="R222" s="66"/>
      <c r="S222" s="66"/>
      <c r="T222" s="66"/>
      <c r="U222" s="66"/>
      <c r="V222" s="66"/>
      <c r="W222" s="66"/>
      <c r="X222" s="66"/>
      <c r="Y222" s="66"/>
      <c r="Z222" s="66"/>
      <c r="AA222" s="66"/>
      <c r="AB222" s="66"/>
      <c r="AC222" s="66"/>
      <c r="AD222" s="66"/>
    </row>
    <row r="223" ht="40.15" customHeight="1">
      <c r="A223" s="66"/>
      <c r="C223" s="59"/>
      <c r="D223" s="58"/>
      <c r="E223" s="59"/>
      <c r="F223" s="59"/>
      <c r="G223" s="59"/>
      <c r="H223" s="66"/>
      <c r="I223" s="66"/>
      <c r="J223" s="66"/>
      <c r="K223" s="66"/>
      <c r="L223" s="66"/>
      <c r="M223" s="66"/>
      <c r="N223" s="66"/>
      <c r="O223" s="66"/>
      <c r="P223" s="66"/>
      <c r="Q223" s="66"/>
      <c r="R223" s="66"/>
      <c r="S223" s="66"/>
      <c r="T223" s="66"/>
      <c r="U223" s="66"/>
      <c r="V223" s="66"/>
      <c r="W223" s="66"/>
      <c r="X223" s="66"/>
      <c r="Y223" s="66"/>
      <c r="Z223" s="66"/>
      <c r="AA223" s="66"/>
      <c r="AB223" s="66"/>
      <c r="AC223" s="66"/>
      <c r="AD223" s="66"/>
    </row>
    <row r="224" ht="40.15" customHeight="1">
      <c r="A224" s="66"/>
      <c r="C224" s="59"/>
      <c r="D224" s="58"/>
      <c r="E224" s="59"/>
      <c r="F224" s="59"/>
      <c r="G224" s="59"/>
      <c r="H224" s="66"/>
      <c r="I224" s="66"/>
      <c r="J224" s="66"/>
      <c r="K224" s="66"/>
      <c r="L224" s="66"/>
      <c r="M224" s="66"/>
      <c r="N224" s="66"/>
      <c r="O224" s="66"/>
      <c r="P224" s="66"/>
      <c r="Q224" s="66"/>
      <c r="R224" s="66"/>
      <c r="S224" s="66"/>
      <c r="T224" s="66"/>
      <c r="U224" s="66"/>
      <c r="V224" s="66"/>
      <c r="W224" s="66"/>
      <c r="X224" s="66"/>
      <c r="Y224" s="66"/>
      <c r="Z224" s="66"/>
      <c r="AA224" s="66"/>
      <c r="AB224" s="66"/>
      <c r="AC224" s="66"/>
      <c r="AD224" s="66"/>
    </row>
    <row r="225" ht="40.15" customHeight="1">
      <c r="A225" s="66"/>
      <c r="C225" s="59"/>
      <c r="D225" s="58"/>
      <c r="E225" s="59"/>
      <c r="F225" s="59"/>
      <c r="G225" s="59"/>
      <c r="H225" s="66"/>
      <c r="I225" s="66"/>
      <c r="J225" s="66"/>
      <c r="K225" s="66"/>
      <c r="L225" s="66"/>
      <c r="M225" s="66"/>
      <c r="N225" s="66"/>
      <c r="O225" s="66"/>
      <c r="P225" s="66"/>
      <c r="Q225" s="66"/>
      <c r="R225" s="66"/>
      <c r="S225" s="66"/>
      <c r="T225" s="66"/>
      <c r="U225" s="66"/>
      <c r="V225" s="66"/>
      <c r="W225" s="66"/>
      <c r="X225" s="66"/>
      <c r="Y225" s="66"/>
      <c r="Z225" s="66"/>
      <c r="AA225" s="66"/>
      <c r="AB225" s="66"/>
      <c r="AC225" s="66"/>
      <c r="AD225" s="66"/>
    </row>
    <row r="226" ht="40.15" customHeight="1">
      <c r="A226" s="66"/>
      <c r="C226" s="59"/>
      <c r="D226" s="58"/>
      <c r="E226" s="59"/>
      <c r="F226" s="59"/>
      <c r="G226" s="59"/>
      <c r="H226" s="66"/>
      <c r="I226" s="66"/>
      <c r="J226" s="66"/>
      <c r="K226" s="66"/>
      <c r="L226" s="66"/>
      <c r="M226" s="66"/>
      <c r="N226" s="66"/>
      <c r="O226" s="66"/>
      <c r="P226" s="66"/>
      <c r="Q226" s="66"/>
      <c r="R226" s="66"/>
      <c r="S226" s="66"/>
      <c r="T226" s="66"/>
      <c r="U226" s="66"/>
      <c r="V226" s="66"/>
      <c r="W226" s="66"/>
      <c r="X226" s="66"/>
      <c r="Y226" s="66"/>
      <c r="Z226" s="66"/>
      <c r="AA226" s="66"/>
      <c r="AB226" s="66"/>
      <c r="AC226" s="66"/>
      <c r="AD226" s="66"/>
    </row>
    <row r="227" ht="40.15" customHeight="1">
      <c r="A227" s="66"/>
      <c r="C227" s="59"/>
      <c r="D227" s="58"/>
      <c r="E227" s="59"/>
      <c r="F227" s="59"/>
      <c r="G227" s="59"/>
      <c r="H227" s="66"/>
      <c r="I227" s="66"/>
      <c r="J227" s="66"/>
      <c r="K227" s="66"/>
      <c r="L227" s="66"/>
      <c r="M227" s="66"/>
      <c r="N227" s="66"/>
      <c r="O227" s="66"/>
      <c r="P227" s="66"/>
      <c r="Q227" s="66"/>
      <c r="R227" s="66"/>
      <c r="S227" s="66"/>
      <c r="T227" s="66"/>
      <c r="U227" s="66"/>
      <c r="V227" s="66"/>
      <c r="W227" s="66"/>
      <c r="X227" s="66"/>
      <c r="Y227" s="66"/>
      <c r="Z227" s="66"/>
      <c r="AA227" s="66"/>
      <c r="AB227" s="66"/>
      <c r="AC227" s="66"/>
      <c r="AD227" s="66"/>
    </row>
    <row r="228" ht="40.15" customHeight="1">
      <c r="A228" s="66"/>
      <c r="C228" s="59"/>
      <c r="D228" s="58"/>
      <c r="E228" s="59"/>
      <c r="F228" s="59"/>
      <c r="G228" s="59"/>
      <c r="H228" s="66"/>
      <c r="I228" s="66"/>
      <c r="J228" s="66"/>
      <c r="K228" s="66"/>
      <c r="L228" s="66"/>
      <c r="M228" s="66"/>
      <c r="N228" s="66"/>
      <c r="O228" s="66"/>
      <c r="P228" s="66"/>
      <c r="Q228" s="66"/>
      <c r="R228" s="66"/>
      <c r="S228" s="66"/>
      <c r="T228" s="66"/>
      <c r="U228" s="66"/>
      <c r="V228" s="66"/>
      <c r="W228" s="66"/>
      <c r="X228" s="66"/>
      <c r="Y228" s="66"/>
      <c r="Z228" s="66"/>
      <c r="AA228" s="66"/>
      <c r="AB228" s="66"/>
      <c r="AC228" s="66"/>
      <c r="AD228" s="66"/>
    </row>
    <row r="229" ht="40.15" customHeight="1">
      <c r="A229" s="66"/>
      <c r="C229" s="59"/>
      <c r="D229" s="58"/>
      <c r="E229" s="59"/>
      <c r="F229" s="59"/>
      <c r="G229" s="59"/>
      <c r="H229" s="66"/>
      <c r="I229" s="66"/>
      <c r="J229" s="66"/>
      <c r="K229" s="66"/>
      <c r="L229" s="66"/>
      <c r="M229" s="66"/>
      <c r="N229" s="66"/>
      <c r="O229" s="66"/>
      <c r="P229" s="66"/>
      <c r="Q229" s="66"/>
      <c r="R229" s="66"/>
      <c r="S229" s="66"/>
      <c r="T229" s="66"/>
      <c r="U229" s="66"/>
      <c r="V229" s="66"/>
      <c r="W229" s="66"/>
      <c r="X229" s="66"/>
      <c r="Y229" s="66"/>
      <c r="Z229" s="66"/>
      <c r="AA229" s="66"/>
      <c r="AB229" s="66"/>
      <c r="AC229" s="66"/>
      <c r="AD229" s="66"/>
    </row>
    <row r="230" ht="40.15" customHeight="1">
      <c r="A230" s="66"/>
      <c r="C230" s="59"/>
      <c r="D230" s="58"/>
      <c r="E230" s="59"/>
      <c r="F230" s="59"/>
      <c r="G230" s="59"/>
      <c r="H230" s="66"/>
      <c r="I230" s="66"/>
      <c r="J230" s="66"/>
      <c r="K230" s="66"/>
      <c r="L230" s="66"/>
      <c r="M230" s="66"/>
      <c r="N230" s="66"/>
      <c r="O230" s="66"/>
      <c r="P230" s="66"/>
      <c r="Q230" s="66"/>
      <c r="R230" s="66"/>
      <c r="S230" s="66"/>
      <c r="T230" s="66"/>
      <c r="U230" s="66"/>
      <c r="V230" s="66"/>
      <c r="W230" s="66"/>
      <c r="X230" s="66"/>
      <c r="Y230" s="66"/>
      <c r="Z230" s="66"/>
      <c r="AA230" s="66"/>
      <c r="AB230" s="66"/>
      <c r="AC230" s="66"/>
      <c r="AD230" s="66"/>
    </row>
    <row r="231" ht="40.15" customHeight="1">
      <c r="A231" s="66"/>
      <c r="C231" s="59"/>
      <c r="D231" s="58"/>
      <c r="E231" s="59"/>
      <c r="F231" s="59"/>
      <c r="G231" s="59"/>
      <c r="H231" s="66"/>
      <c r="I231" s="66"/>
      <c r="J231" s="66"/>
      <c r="K231" s="66"/>
      <c r="L231" s="66"/>
      <c r="M231" s="66"/>
      <c r="N231" s="66"/>
      <c r="O231" s="66"/>
      <c r="P231" s="66"/>
      <c r="Q231" s="66"/>
      <c r="R231" s="66"/>
      <c r="S231" s="66"/>
      <c r="T231" s="66"/>
      <c r="U231" s="66"/>
      <c r="V231" s="66"/>
      <c r="W231" s="66"/>
      <c r="X231" s="66"/>
      <c r="Y231" s="66"/>
      <c r="Z231" s="66"/>
      <c r="AA231" s="66"/>
      <c r="AB231" s="66"/>
      <c r="AC231" s="66"/>
      <c r="AD231" s="66"/>
    </row>
    <row r="232" ht="40.15" customHeight="1">
      <c r="A232" s="66"/>
      <c r="C232" s="59"/>
      <c r="D232" s="58"/>
      <c r="E232" s="59"/>
      <c r="F232" s="59"/>
      <c r="G232" s="59"/>
      <c r="H232" s="66"/>
      <c r="I232" s="66"/>
      <c r="J232" s="66"/>
      <c r="K232" s="66"/>
      <c r="L232" s="66"/>
      <c r="M232" s="66"/>
      <c r="N232" s="66"/>
      <c r="O232" s="66"/>
      <c r="P232" s="66"/>
      <c r="Q232" s="66"/>
      <c r="R232" s="66"/>
      <c r="S232" s="66"/>
      <c r="T232" s="66"/>
      <c r="U232" s="66"/>
      <c r="V232" s="66"/>
      <c r="W232" s="66"/>
      <c r="X232" s="66"/>
      <c r="Y232" s="66"/>
      <c r="Z232" s="66"/>
      <c r="AA232" s="66"/>
      <c r="AB232" s="66"/>
      <c r="AC232" s="66"/>
      <c r="AD232" s="66"/>
    </row>
    <row r="233" ht="40.15" customHeight="1">
      <c r="A233" s="66"/>
      <c r="C233" s="59"/>
      <c r="D233" s="58"/>
      <c r="E233" s="59"/>
      <c r="F233" s="59"/>
      <c r="G233" s="59"/>
      <c r="H233" s="66"/>
      <c r="I233" s="66"/>
      <c r="J233" s="66"/>
      <c r="K233" s="66"/>
      <c r="L233" s="66"/>
      <c r="M233" s="66"/>
      <c r="N233" s="66"/>
      <c r="O233" s="66"/>
      <c r="P233" s="66"/>
      <c r="Q233" s="66"/>
      <c r="R233" s="66"/>
      <c r="S233" s="66"/>
      <c r="T233" s="66"/>
      <c r="U233" s="66"/>
      <c r="V233" s="66"/>
      <c r="W233" s="66"/>
      <c r="X233" s="66"/>
      <c r="Y233" s="66"/>
      <c r="Z233" s="66"/>
      <c r="AA233" s="66"/>
      <c r="AB233" s="66"/>
      <c r="AC233" s="66"/>
      <c r="AD233" s="66"/>
    </row>
    <row r="234" ht="40.15" customHeight="1">
      <c r="A234" s="66"/>
      <c r="C234" s="59"/>
      <c r="D234" s="58"/>
      <c r="E234" s="59"/>
      <c r="F234" s="59"/>
      <c r="G234" s="59"/>
      <c r="H234" s="66"/>
      <c r="I234" s="66"/>
      <c r="J234" s="66"/>
      <c r="K234" s="66"/>
      <c r="L234" s="66"/>
      <c r="M234" s="66"/>
      <c r="N234" s="66"/>
      <c r="O234" s="66"/>
      <c r="P234" s="66"/>
      <c r="Q234" s="66"/>
      <c r="R234" s="66"/>
      <c r="S234" s="66"/>
      <c r="T234" s="66"/>
      <c r="U234" s="66"/>
      <c r="V234" s="66"/>
      <c r="W234" s="66"/>
      <c r="X234" s="66"/>
      <c r="Y234" s="66"/>
      <c r="Z234" s="66"/>
      <c r="AA234" s="66"/>
      <c r="AB234" s="66"/>
      <c r="AC234" s="66"/>
      <c r="AD234" s="66"/>
    </row>
    <row r="235" ht="40.15" customHeight="1">
      <c r="A235" s="66"/>
      <c r="C235" s="59"/>
      <c r="D235" s="58"/>
      <c r="E235" s="59"/>
      <c r="F235" s="59"/>
      <c r="G235" s="59"/>
      <c r="H235" s="66"/>
      <c r="I235" s="66"/>
      <c r="J235" s="66"/>
      <c r="K235" s="66"/>
      <c r="L235" s="66"/>
      <c r="M235" s="66"/>
      <c r="N235" s="66"/>
      <c r="O235" s="66"/>
      <c r="P235" s="66"/>
      <c r="Q235" s="66"/>
      <c r="R235" s="66"/>
      <c r="S235" s="66"/>
      <c r="T235" s="66"/>
      <c r="U235" s="66"/>
      <c r="V235" s="66"/>
      <c r="W235" s="66"/>
      <c r="X235" s="66"/>
      <c r="Y235" s="66"/>
      <c r="Z235" s="66"/>
      <c r="AA235" s="66"/>
      <c r="AB235" s="66"/>
      <c r="AC235" s="66"/>
      <c r="AD235" s="66"/>
    </row>
    <row r="236" ht="40.15" customHeight="1">
      <c r="A236" s="66"/>
      <c r="C236" s="59"/>
      <c r="D236" s="58"/>
      <c r="E236" s="59"/>
      <c r="F236" s="59"/>
      <c r="G236" s="59"/>
      <c r="H236" s="66"/>
      <c r="I236" s="66"/>
      <c r="J236" s="66"/>
      <c r="K236" s="66"/>
      <c r="L236" s="66"/>
      <c r="M236" s="66"/>
      <c r="N236" s="66"/>
      <c r="O236" s="66"/>
      <c r="P236" s="66"/>
      <c r="Q236" s="66"/>
      <c r="R236" s="66"/>
      <c r="S236" s="66"/>
      <c r="T236" s="66"/>
      <c r="U236" s="66"/>
      <c r="V236" s="66"/>
      <c r="W236" s="66"/>
      <c r="X236" s="66"/>
      <c r="Y236" s="66"/>
      <c r="Z236" s="66"/>
      <c r="AA236" s="66"/>
      <c r="AB236" s="66"/>
      <c r="AC236" s="66"/>
      <c r="AD236" s="66"/>
    </row>
    <row r="237" ht="40.15" customHeight="1">
      <c r="A237" s="66"/>
      <c r="C237" s="59"/>
      <c r="D237" s="58"/>
      <c r="E237" s="59"/>
      <c r="F237" s="59"/>
      <c r="G237" s="59"/>
      <c r="H237" s="66"/>
      <c r="I237" s="66"/>
      <c r="J237" s="66"/>
      <c r="K237" s="66"/>
      <c r="L237" s="66"/>
      <c r="M237" s="66"/>
      <c r="N237" s="66"/>
      <c r="O237" s="66"/>
      <c r="P237" s="66"/>
      <c r="Q237" s="66"/>
      <c r="R237" s="66"/>
      <c r="S237" s="66"/>
      <c r="T237" s="66"/>
      <c r="U237" s="66"/>
      <c r="V237" s="66"/>
      <c r="W237" s="66"/>
      <c r="X237" s="66"/>
      <c r="Y237" s="66"/>
      <c r="Z237" s="66"/>
      <c r="AA237" s="66"/>
      <c r="AB237" s="66"/>
      <c r="AC237" s="66"/>
      <c r="AD237" s="66"/>
    </row>
    <row r="238" ht="40.15" customHeight="1">
      <c r="A238" s="66"/>
      <c r="C238" s="59"/>
      <c r="D238" s="58"/>
      <c r="E238" s="59"/>
      <c r="F238" s="59"/>
      <c r="G238" s="59"/>
      <c r="H238" s="66"/>
      <c r="I238" s="66"/>
      <c r="J238" s="66"/>
      <c r="K238" s="66"/>
      <c r="L238" s="66"/>
      <c r="M238" s="66"/>
      <c r="N238" s="66"/>
      <c r="O238" s="66"/>
      <c r="P238" s="66"/>
      <c r="Q238" s="66"/>
      <c r="R238" s="66"/>
      <c r="S238" s="66"/>
      <c r="T238" s="66"/>
      <c r="U238" s="66"/>
      <c r="V238" s="66"/>
      <c r="W238" s="66"/>
      <c r="X238" s="66"/>
      <c r="Y238" s="66"/>
      <c r="Z238" s="66"/>
      <c r="AA238" s="66"/>
      <c r="AB238" s="66"/>
      <c r="AC238" s="66"/>
      <c r="AD238" s="66"/>
    </row>
    <row r="239" ht="40.15" customHeight="1">
      <c r="A239" s="66"/>
      <c r="C239" s="59"/>
      <c r="D239" s="58"/>
      <c r="E239" s="59"/>
      <c r="F239" s="59"/>
      <c r="G239" s="59"/>
      <c r="H239" s="66"/>
      <c r="I239" s="66"/>
      <c r="J239" s="66"/>
      <c r="K239" s="66"/>
      <c r="L239" s="66"/>
      <c r="M239" s="66"/>
      <c r="N239" s="66"/>
      <c r="O239" s="66"/>
      <c r="P239" s="66"/>
      <c r="Q239" s="66"/>
      <c r="R239" s="66"/>
      <c r="S239" s="66"/>
      <c r="T239" s="66"/>
      <c r="U239" s="66"/>
      <c r="V239" s="66"/>
      <c r="W239" s="66"/>
      <c r="X239" s="66"/>
      <c r="Y239" s="66"/>
      <c r="Z239" s="66"/>
      <c r="AA239" s="66"/>
      <c r="AB239" s="66"/>
      <c r="AC239" s="66"/>
      <c r="AD239" s="66"/>
    </row>
    <row r="240" ht="40.15" customHeight="1">
      <c r="A240" s="66"/>
      <c r="C240" s="59"/>
      <c r="D240" s="58"/>
      <c r="E240" s="59"/>
      <c r="F240" s="59"/>
      <c r="G240" s="59"/>
      <c r="H240" s="66"/>
      <c r="I240" s="66"/>
      <c r="J240" s="66"/>
      <c r="K240" s="66"/>
      <c r="L240" s="66"/>
      <c r="M240" s="66"/>
      <c r="N240" s="66"/>
      <c r="O240" s="66"/>
      <c r="P240" s="66"/>
      <c r="Q240" s="66"/>
      <c r="R240" s="66"/>
      <c r="S240" s="66"/>
      <c r="T240" s="66"/>
      <c r="U240" s="66"/>
      <c r="V240" s="66"/>
      <c r="W240" s="66"/>
      <c r="X240" s="66"/>
      <c r="Y240" s="66"/>
      <c r="Z240" s="66"/>
      <c r="AA240" s="66"/>
      <c r="AB240" s="66"/>
      <c r="AC240" s="66"/>
      <c r="AD240" s="66"/>
    </row>
    <row r="241" ht="40.15" customHeight="1">
      <c r="A241" s="66"/>
      <c r="C241" s="59"/>
      <c r="D241" s="58"/>
      <c r="E241" s="59"/>
      <c r="F241" s="59"/>
      <c r="G241" s="59"/>
      <c r="H241" s="66"/>
      <c r="I241" s="66"/>
      <c r="J241" s="66"/>
      <c r="K241" s="66"/>
      <c r="L241" s="66"/>
      <c r="M241" s="66"/>
      <c r="N241" s="66"/>
      <c r="O241" s="66"/>
      <c r="P241" s="66"/>
      <c r="Q241" s="66"/>
      <c r="R241" s="66"/>
      <c r="S241" s="66"/>
      <c r="T241" s="66"/>
      <c r="U241" s="66"/>
      <c r="V241" s="66"/>
      <c r="W241" s="66"/>
      <c r="X241" s="66"/>
      <c r="Y241" s="66"/>
      <c r="Z241" s="66"/>
      <c r="AA241" s="66"/>
      <c r="AB241" s="66"/>
      <c r="AC241" s="66"/>
      <c r="AD241" s="66"/>
    </row>
    <row r="242" ht="40.15" customHeight="1">
      <c r="A242" s="66"/>
      <c r="C242" s="59"/>
      <c r="D242" s="58"/>
      <c r="E242" s="59"/>
      <c r="F242" s="59"/>
      <c r="G242" s="59"/>
      <c r="H242" s="66"/>
      <c r="I242" s="66"/>
      <c r="J242" s="66"/>
      <c r="K242" s="66"/>
      <c r="L242" s="66"/>
      <c r="M242" s="66"/>
      <c r="N242" s="66"/>
      <c r="O242" s="66"/>
      <c r="P242" s="66"/>
      <c r="Q242" s="66"/>
      <c r="R242" s="66"/>
      <c r="S242" s="66"/>
      <c r="T242" s="66"/>
      <c r="U242" s="66"/>
      <c r="V242" s="66"/>
      <c r="W242" s="66"/>
      <c r="X242" s="66"/>
      <c r="Y242" s="66"/>
      <c r="Z242" s="66"/>
      <c r="AA242" s="66"/>
      <c r="AB242" s="66"/>
      <c r="AC242" s="66"/>
      <c r="AD242" s="66"/>
    </row>
    <row r="243" ht="40.15" customHeight="1">
      <c r="A243" s="66"/>
      <c r="C243" s="59"/>
      <c r="D243" s="58"/>
      <c r="E243" s="59"/>
      <c r="F243" s="59"/>
      <c r="G243" s="59"/>
      <c r="H243" s="66"/>
      <c r="I243" s="66"/>
      <c r="J243" s="66"/>
      <c r="K243" s="66"/>
      <c r="L243" s="66"/>
      <c r="M243" s="66"/>
      <c r="N243" s="66"/>
      <c r="O243" s="66"/>
      <c r="P243" s="66"/>
      <c r="Q243" s="66"/>
      <c r="R243" s="66"/>
      <c r="S243" s="66"/>
      <c r="T243" s="66"/>
      <c r="U243" s="66"/>
      <c r="V243" s="66"/>
      <c r="W243" s="66"/>
      <c r="X243" s="66"/>
      <c r="Y243" s="66"/>
      <c r="Z243" s="66"/>
      <c r="AA243" s="66"/>
      <c r="AB243" s="66"/>
      <c r="AC243" s="66"/>
      <c r="AD243" s="66"/>
    </row>
    <row r="244" ht="40.15" customHeight="1">
      <c r="A244" s="66"/>
      <c r="C244" s="59"/>
      <c r="D244" s="58"/>
      <c r="E244" s="59"/>
      <c r="F244" s="59"/>
      <c r="G244" s="59"/>
      <c r="H244" s="66"/>
      <c r="I244" s="66"/>
      <c r="J244" s="66"/>
      <c r="K244" s="66"/>
      <c r="L244" s="66"/>
      <c r="M244" s="66"/>
      <c r="N244" s="66"/>
      <c r="O244" s="66"/>
      <c r="P244" s="66"/>
      <c r="Q244" s="66"/>
      <c r="R244" s="66"/>
      <c r="S244" s="66"/>
      <c r="T244" s="66"/>
      <c r="U244" s="66"/>
      <c r="V244" s="66"/>
      <c r="W244" s="66"/>
      <c r="X244" s="66"/>
      <c r="Y244" s="66"/>
      <c r="Z244" s="66"/>
      <c r="AA244" s="66"/>
      <c r="AB244" s="66"/>
      <c r="AC244" s="66"/>
      <c r="AD244" s="66"/>
    </row>
    <row r="245" ht="40.15" customHeight="1">
      <c r="A245" s="66"/>
      <c r="C245" s="59"/>
      <c r="D245" s="58"/>
      <c r="E245" s="59"/>
      <c r="F245" s="59"/>
      <c r="G245" s="59"/>
      <c r="H245" s="66"/>
      <c r="I245" s="66"/>
      <c r="J245" s="66"/>
      <c r="K245" s="66"/>
      <c r="L245" s="66"/>
      <c r="M245" s="66"/>
      <c r="N245" s="66"/>
      <c r="O245" s="66"/>
      <c r="P245" s="66"/>
      <c r="Q245" s="66"/>
      <c r="R245" s="66"/>
      <c r="S245" s="66"/>
      <c r="T245" s="66"/>
      <c r="U245" s="66"/>
      <c r="V245" s="66"/>
      <c r="W245" s="66"/>
      <c r="X245" s="66"/>
      <c r="Y245" s="66"/>
      <c r="Z245" s="66"/>
      <c r="AA245" s="66"/>
      <c r="AB245" s="66"/>
      <c r="AC245" s="66"/>
      <c r="AD245" s="66"/>
    </row>
    <row r="246" ht="40.15" customHeight="1">
      <c r="A246" s="66"/>
      <c r="C246" s="59"/>
      <c r="D246" s="58"/>
      <c r="E246" s="59"/>
      <c r="F246" s="59"/>
      <c r="G246" s="59"/>
      <c r="H246" s="66"/>
      <c r="I246" s="66"/>
      <c r="J246" s="66"/>
      <c r="K246" s="66"/>
      <c r="L246" s="66"/>
      <c r="M246" s="66"/>
      <c r="N246" s="66"/>
      <c r="O246" s="66"/>
      <c r="P246" s="66"/>
      <c r="Q246" s="66"/>
      <c r="R246" s="66"/>
      <c r="S246" s="66"/>
      <c r="T246" s="66"/>
      <c r="U246" s="66"/>
      <c r="V246" s="66"/>
      <c r="W246" s="66"/>
      <c r="X246" s="66"/>
      <c r="Y246" s="66"/>
      <c r="Z246" s="66"/>
      <c r="AA246" s="66"/>
      <c r="AB246" s="66"/>
      <c r="AC246" s="66"/>
      <c r="AD246" s="66"/>
    </row>
    <row r="247" ht="40.15" customHeight="1">
      <c r="A247" s="66"/>
      <c r="C247" s="59"/>
      <c r="D247" s="58"/>
      <c r="E247" s="59"/>
      <c r="F247" s="59"/>
      <c r="G247" s="59"/>
      <c r="H247" s="66"/>
      <c r="I247" s="66"/>
      <c r="J247" s="66"/>
      <c r="K247" s="66"/>
      <c r="L247" s="66"/>
      <c r="M247" s="66"/>
      <c r="N247" s="66"/>
      <c r="O247" s="66"/>
      <c r="P247" s="66"/>
      <c r="Q247" s="66"/>
      <c r="R247" s="66"/>
      <c r="S247" s="66"/>
      <c r="T247" s="66"/>
      <c r="U247" s="66"/>
      <c r="V247" s="66"/>
      <c r="W247" s="66"/>
      <c r="X247" s="66"/>
      <c r="Y247" s="66"/>
      <c r="Z247" s="66"/>
      <c r="AA247" s="66"/>
      <c r="AB247" s="66"/>
      <c r="AC247" s="66"/>
      <c r="AD247" s="66"/>
    </row>
    <row r="248" ht="40.15" customHeight="1">
      <c r="A248" s="66"/>
      <c r="C248" s="59"/>
      <c r="D248" s="58"/>
      <c r="E248" s="59"/>
      <c r="F248" s="59"/>
      <c r="G248" s="59"/>
      <c r="H248" s="66"/>
      <c r="I248" s="66"/>
      <c r="J248" s="66"/>
      <c r="K248" s="66"/>
      <c r="L248" s="66"/>
      <c r="M248" s="66"/>
      <c r="N248" s="66"/>
      <c r="O248" s="66"/>
      <c r="P248" s="66"/>
      <c r="Q248" s="66"/>
      <c r="R248" s="66"/>
      <c r="S248" s="66"/>
      <c r="T248" s="66"/>
      <c r="U248" s="66"/>
      <c r="V248" s="66"/>
      <c r="W248" s="66"/>
      <c r="X248" s="66"/>
      <c r="Y248" s="66"/>
      <c r="Z248" s="66"/>
      <c r="AA248" s="66"/>
      <c r="AB248" s="66"/>
      <c r="AC248" s="66"/>
      <c r="AD248" s="66"/>
    </row>
    <row r="249" ht="40.15" customHeight="1">
      <c r="A249" s="66"/>
      <c r="C249" s="59"/>
      <c r="D249" s="58"/>
      <c r="E249" s="59"/>
      <c r="F249" s="59"/>
      <c r="G249" s="59"/>
      <c r="H249" s="66"/>
      <c r="I249" s="66"/>
      <c r="J249" s="66"/>
      <c r="K249" s="66"/>
      <c r="L249" s="66"/>
      <c r="M249" s="66"/>
      <c r="N249" s="66"/>
      <c r="O249" s="66"/>
      <c r="P249" s="66"/>
      <c r="Q249" s="66"/>
      <c r="R249" s="66"/>
      <c r="S249" s="66"/>
      <c r="T249" s="66"/>
      <c r="U249" s="66"/>
      <c r="V249" s="66"/>
      <c r="W249" s="66"/>
      <c r="X249" s="66"/>
      <c r="Y249" s="66"/>
      <c r="Z249" s="66"/>
      <c r="AA249" s="66"/>
      <c r="AB249" s="66"/>
      <c r="AC249" s="66"/>
      <c r="AD249" s="66"/>
    </row>
    <row r="250" ht="40.15" customHeight="1">
      <c r="A250" s="66"/>
      <c r="C250" s="59"/>
      <c r="D250" s="58"/>
      <c r="E250" s="59"/>
      <c r="F250" s="59"/>
      <c r="G250" s="59"/>
      <c r="H250" s="66"/>
      <c r="I250" s="66"/>
      <c r="J250" s="66"/>
      <c r="K250" s="66"/>
      <c r="L250" s="66"/>
      <c r="M250" s="66"/>
      <c r="N250" s="66"/>
      <c r="O250" s="66"/>
      <c r="P250" s="66"/>
      <c r="Q250" s="66"/>
      <c r="R250" s="66"/>
      <c r="S250" s="66"/>
      <c r="T250" s="66"/>
      <c r="U250" s="66"/>
      <c r="V250" s="66"/>
      <c r="W250" s="66"/>
      <c r="X250" s="66"/>
      <c r="Y250" s="66"/>
      <c r="Z250" s="66"/>
      <c r="AA250" s="66"/>
      <c r="AB250" s="66"/>
      <c r="AC250" s="66"/>
      <c r="AD250" s="66"/>
    </row>
    <row r="251" ht="40.15" customHeight="1">
      <c r="A251" s="66"/>
      <c r="C251" s="59"/>
      <c r="D251" s="58"/>
      <c r="E251" s="59"/>
      <c r="F251" s="59"/>
      <c r="G251" s="59"/>
      <c r="H251" s="66"/>
      <c r="I251" s="66"/>
      <c r="J251" s="66"/>
      <c r="K251" s="66"/>
      <c r="L251" s="66"/>
      <c r="M251" s="66"/>
      <c r="N251" s="66"/>
      <c r="O251" s="66"/>
      <c r="P251" s="66"/>
      <c r="Q251" s="66"/>
      <c r="R251" s="66"/>
      <c r="S251" s="66"/>
      <c r="T251" s="66"/>
      <c r="U251" s="66"/>
      <c r="V251" s="66"/>
      <c r="W251" s="66"/>
      <c r="X251" s="66"/>
      <c r="Y251" s="66"/>
      <c r="Z251" s="66"/>
      <c r="AA251" s="66"/>
      <c r="AB251" s="66"/>
      <c r="AC251" s="66"/>
      <c r="AD251" s="66"/>
    </row>
    <row r="252" ht="40.15" customHeight="1">
      <c r="A252" s="66"/>
      <c r="C252" s="59"/>
      <c r="D252" s="58"/>
      <c r="E252" s="59"/>
      <c r="F252" s="59"/>
      <c r="G252" s="59"/>
      <c r="H252" s="66"/>
      <c r="I252" s="66"/>
      <c r="J252" s="66"/>
      <c r="K252" s="66"/>
      <c r="L252" s="66"/>
      <c r="M252" s="66"/>
      <c r="N252" s="66"/>
      <c r="O252" s="66"/>
      <c r="P252" s="66"/>
      <c r="Q252" s="66"/>
      <c r="R252" s="66"/>
      <c r="S252" s="66"/>
      <c r="T252" s="66"/>
      <c r="U252" s="66"/>
      <c r="V252" s="66"/>
      <c r="W252" s="66"/>
      <c r="X252" s="66"/>
      <c r="Y252" s="66"/>
      <c r="Z252" s="66"/>
      <c r="AA252" s="66"/>
      <c r="AB252" s="66"/>
      <c r="AC252" s="66"/>
      <c r="AD252" s="66"/>
    </row>
    <row r="253" ht="40.15" customHeight="1">
      <c r="A253" s="66"/>
      <c r="C253" s="59"/>
      <c r="D253" s="58"/>
      <c r="E253" s="59"/>
      <c r="F253" s="59"/>
      <c r="G253" s="59"/>
      <c r="H253" s="66"/>
      <c r="I253" s="66"/>
      <c r="J253" s="66"/>
      <c r="K253" s="66"/>
      <c r="L253" s="66"/>
      <c r="M253" s="66"/>
      <c r="N253" s="66"/>
      <c r="O253" s="66"/>
      <c r="P253" s="66"/>
      <c r="Q253" s="66"/>
      <c r="R253" s="66"/>
      <c r="S253" s="66"/>
      <c r="T253" s="66"/>
      <c r="U253" s="66"/>
      <c r="V253" s="66"/>
      <c r="W253" s="66"/>
      <c r="X253" s="66"/>
      <c r="Y253" s="66"/>
      <c r="Z253" s="66"/>
      <c r="AA253" s="66"/>
      <c r="AB253" s="66"/>
      <c r="AC253" s="66"/>
      <c r="AD253" s="66"/>
    </row>
    <row r="254" ht="40.15" customHeight="1">
      <c r="A254" s="66"/>
      <c r="C254" s="59"/>
      <c r="D254" s="58"/>
      <c r="E254" s="59"/>
      <c r="F254" s="59"/>
      <c r="G254" s="59"/>
      <c r="H254" s="66"/>
      <c r="I254" s="66"/>
      <c r="J254" s="66"/>
      <c r="K254" s="66"/>
      <c r="L254" s="66"/>
      <c r="M254" s="66"/>
      <c r="N254" s="66"/>
      <c r="O254" s="66"/>
      <c r="P254" s="66"/>
      <c r="Q254" s="66"/>
      <c r="R254" s="66"/>
      <c r="S254" s="66"/>
      <c r="T254" s="66"/>
      <c r="U254" s="66"/>
      <c r="V254" s="66"/>
      <c r="W254" s="66"/>
      <c r="X254" s="66"/>
      <c r="Y254" s="66"/>
      <c r="Z254" s="66"/>
      <c r="AA254" s="66"/>
      <c r="AB254" s="66"/>
      <c r="AC254" s="66"/>
      <c r="AD254" s="66"/>
    </row>
    <row r="255" ht="40.15" customHeight="1">
      <c r="A255" s="66"/>
      <c r="C255" s="59"/>
      <c r="D255" s="58"/>
      <c r="E255" s="59"/>
      <c r="F255" s="59"/>
      <c r="G255" s="59"/>
      <c r="H255" s="66"/>
      <c r="I255" s="66"/>
      <c r="J255" s="66"/>
      <c r="K255" s="66"/>
      <c r="L255" s="66"/>
      <c r="M255" s="66"/>
      <c r="N255" s="66"/>
      <c r="O255" s="66"/>
      <c r="P255" s="66"/>
      <c r="Q255" s="66"/>
      <c r="R255" s="66"/>
      <c r="S255" s="66"/>
      <c r="T255" s="66"/>
      <c r="U255" s="66"/>
      <c r="V255" s="66"/>
      <c r="W255" s="66"/>
      <c r="X255" s="66"/>
      <c r="Y255" s="66"/>
      <c r="Z255" s="66"/>
      <c r="AA255" s="66"/>
      <c r="AB255" s="66"/>
      <c r="AC255" s="66"/>
      <c r="AD255" s="66"/>
    </row>
    <row r="256" ht="40.15" customHeight="1">
      <c r="A256" s="66"/>
      <c r="C256" s="59"/>
      <c r="D256" s="58"/>
      <c r="E256" s="59"/>
      <c r="F256" s="59"/>
      <c r="G256" s="59"/>
      <c r="H256" s="66"/>
      <c r="I256" s="66"/>
      <c r="J256" s="66"/>
      <c r="K256" s="66"/>
      <c r="L256" s="66"/>
      <c r="M256" s="66"/>
      <c r="N256" s="66"/>
      <c r="O256" s="66"/>
      <c r="P256" s="66"/>
      <c r="Q256" s="66"/>
      <c r="R256" s="66"/>
      <c r="S256" s="66"/>
      <c r="T256" s="66"/>
      <c r="U256" s="66"/>
      <c r="V256" s="66"/>
      <c r="W256" s="66"/>
      <c r="X256" s="66"/>
      <c r="Y256" s="66"/>
      <c r="Z256" s="66"/>
      <c r="AA256" s="66"/>
      <c r="AB256" s="66"/>
      <c r="AC256" s="66"/>
      <c r="AD256" s="66"/>
    </row>
    <row r="257" ht="40.15" customHeight="1">
      <c r="A257" s="66"/>
      <c r="C257" s="59"/>
      <c r="D257" s="58"/>
      <c r="E257" s="59"/>
      <c r="F257" s="59"/>
      <c r="G257" s="59"/>
      <c r="H257" s="66"/>
      <c r="I257" s="66"/>
      <c r="J257" s="66"/>
      <c r="K257" s="66"/>
      <c r="L257" s="66"/>
      <c r="M257" s="66"/>
      <c r="N257" s="66"/>
      <c r="O257" s="66"/>
      <c r="P257" s="66"/>
      <c r="Q257" s="66"/>
      <c r="R257" s="66"/>
      <c r="S257" s="66"/>
      <c r="T257" s="66"/>
      <c r="U257" s="66"/>
      <c r="V257" s="66"/>
      <c r="W257" s="66"/>
      <c r="X257" s="66"/>
      <c r="Y257" s="66"/>
      <c r="Z257" s="66"/>
      <c r="AA257" s="66"/>
      <c r="AB257" s="66"/>
      <c r="AC257" s="66"/>
      <c r="AD257" s="66"/>
    </row>
    <row r="258" ht="40.15" customHeight="1">
      <c r="A258" s="66"/>
      <c r="C258" s="59"/>
      <c r="D258" s="58"/>
      <c r="E258" s="59"/>
      <c r="F258" s="59"/>
      <c r="G258" s="59"/>
      <c r="H258" s="66"/>
      <c r="I258" s="66"/>
      <c r="J258" s="66"/>
      <c r="K258" s="66"/>
      <c r="L258" s="66"/>
      <c r="M258" s="66"/>
      <c r="N258" s="66"/>
      <c r="O258" s="66"/>
      <c r="P258" s="66"/>
      <c r="Q258" s="66"/>
      <c r="R258" s="66"/>
      <c r="S258" s="66"/>
      <c r="T258" s="66"/>
      <c r="U258" s="66"/>
      <c r="V258" s="66"/>
      <c r="W258" s="66"/>
      <c r="X258" s="66"/>
      <c r="Y258" s="66"/>
      <c r="Z258" s="66"/>
      <c r="AA258" s="66"/>
      <c r="AB258" s="66"/>
      <c r="AC258" s="66"/>
      <c r="AD258" s="66"/>
    </row>
    <row r="259" ht="40.15" customHeight="1">
      <c r="A259" s="66"/>
      <c r="C259" s="59"/>
      <c r="D259" s="58"/>
      <c r="E259" s="59"/>
      <c r="F259" s="59"/>
      <c r="G259" s="59"/>
      <c r="H259" s="66"/>
      <c r="I259" s="66"/>
      <c r="J259" s="66"/>
      <c r="K259" s="66"/>
      <c r="L259" s="66"/>
      <c r="M259" s="66"/>
      <c r="N259" s="66"/>
      <c r="O259" s="66"/>
      <c r="P259" s="66"/>
      <c r="Q259" s="66"/>
      <c r="R259" s="66"/>
      <c r="S259" s="66"/>
      <c r="T259" s="66"/>
      <c r="U259" s="66"/>
      <c r="V259" s="66"/>
      <c r="W259" s="66"/>
      <c r="X259" s="66"/>
      <c r="Y259" s="66"/>
      <c r="Z259" s="66"/>
      <c r="AA259" s="66"/>
      <c r="AB259" s="66"/>
      <c r="AC259" s="66"/>
      <c r="AD259" s="66"/>
    </row>
    <row r="260" ht="40.15" customHeight="1">
      <c r="A260" s="66"/>
      <c r="C260" s="59"/>
      <c r="D260" s="58"/>
      <c r="E260" s="59"/>
      <c r="F260" s="59"/>
      <c r="G260" s="59"/>
      <c r="H260" s="66"/>
      <c r="I260" s="66"/>
      <c r="J260" s="66"/>
      <c r="K260" s="66"/>
      <c r="L260" s="66"/>
      <c r="M260" s="66"/>
      <c r="N260" s="66"/>
      <c r="O260" s="66"/>
      <c r="P260" s="66"/>
      <c r="Q260" s="66"/>
      <c r="R260" s="66"/>
      <c r="S260" s="66"/>
      <c r="T260" s="66"/>
      <c r="U260" s="66"/>
      <c r="V260" s="66"/>
      <c r="W260" s="66"/>
      <c r="X260" s="66"/>
      <c r="Y260" s="66"/>
      <c r="Z260" s="66"/>
      <c r="AA260" s="66"/>
      <c r="AB260" s="66"/>
      <c r="AC260" s="66"/>
      <c r="AD260" s="66"/>
    </row>
    <row r="261" ht="40.15" customHeight="1">
      <c r="A261" s="66"/>
      <c r="C261" s="59"/>
      <c r="D261" s="58"/>
      <c r="E261" s="59"/>
      <c r="F261" s="59"/>
      <c r="G261" s="59"/>
      <c r="H261" s="66"/>
      <c r="I261" s="66"/>
      <c r="J261" s="66"/>
      <c r="K261" s="66"/>
      <c r="L261" s="66"/>
      <c r="M261" s="66"/>
      <c r="N261" s="66"/>
      <c r="O261" s="66"/>
      <c r="P261" s="66"/>
      <c r="Q261" s="66"/>
      <c r="R261" s="66"/>
      <c r="S261" s="66"/>
      <c r="T261" s="66"/>
      <c r="U261" s="66"/>
      <c r="V261" s="66"/>
      <c r="W261" s="66"/>
      <c r="X261" s="66"/>
      <c r="Y261" s="66"/>
      <c r="Z261" s="66"/>
      <c r="AA261" s="66"/>
      <c r="AB261" s="66"/>
      <c r="AC261" s="66"/>
      <c r="AD261" s="66"/>
    </row>
    <row r="262" ht="40.15" customHeight="1">
      <c r="A262" s="66"/>
      <c r="C262" s="59"/>
      <c r="D262" s="58"/>
      <c r="E262" s="59"/>
      <c r="F262" s="59"/>
      <c r="G262" s="59"/>
      <c r="H262" s="66"/>
      <c r="I262" s="66"/>
      <c r="J262" s="66"/>
      <c r="K262" s="66"/>
      <c r="L262" s="66"/>
      <c r="M262" s="66"/>
      <c r="N262" s="66"/>
      <c r="O262" s="66"/>
      <c r="P262" s="66"/>
      <c r="Q262" s="66"/>
      <c r="R262" s="66"/>
      <c r="S262" s="66"/>
      <c r="T262" s="66"/>
      <c r="U262" s="66"/>
      <c r="V262" s="66"/>
      <c r="W262" s="66"/>
      <c r="X262" s="66"/>
      <c r="Y262" s="66"/>
      <c r="Z262" s="66"/>
      <c r="AA262" s="66"/>
      <c r="AB262" s="66"/>
      <c r="AC262" s="66"/>
      <c r="AD262" s="66"/>
    </row>
    <row r="263" ht="40.15" customHeight="1">
      <c r="A263" s="66"/>
      <c r="C263" s="59"/>
      <c r="D263" s="58"/>
      <c r="E263" s="59"/>
      <c r="F263" s="59"/>
      <c r="G263" s="59"/>
      <c r="H263" s="66"/>
      <c r="I263" s="66"/>
      <c r="J263" s="66"/>
      <c r="K263" s="66"/>
      <c r="L263" s="66"/>
      <c r="M263" s="66"/>
      <c r="N263" s="66"/>
      <c r="O263" s="66"/>
      <c r="P263" s="66"/>
      <c r="Q263" s="66"/>
      <c r="R263" s="66"/>
      <c r="S263" s="66"/>
      <c r="T263" s="66"/>
      <c r="U263" s="66"/>
      <c r="V263" s="66"/>
      <c r="W263" s="66"/>
      <c r="X263" s="66"/>
      <c r="Y263" s="66"/>
      <c r="Z263" s="66"/>
      <c r="AA263" s="66"/>
      <c r="AB263" s="66"/>
      <c r="AC263" s="66"/>
      <c r="AD263" s="66"/>
    </row>
    <row r="264" ht="40.15" customHeight="1">
      <c r="A264" s="66"/>
      <c r="C264" s="59"/>
      <c r="D264" s="58"/>
      <c r="E264" s="59"/>
      <c r="F264" s="59"/>
      <c r="G264" s="59"/>
      <c r="H264" s="66"/>
      <c r="I264" s="66"/>
      <c r="J264" s="66"/>
      <c r="K264" s="66"/>
      <c r="L264" s="66"/>
      <c r="M264" s="66"/>
      <c r="N264" s="66"/>
      <c r="O264" s="66"/>
      <c r="P264" s="66"/>
      <c r="Q264" s="66"/>
      <c r="R264" s="66"/>
      <c r="S264" s="66"/>
      <c r="T264" s="66"/>
      <c r="U264" s="66"/>
      <c r="V264" s="66"/>
      <c r="W264" s="66"/>
      <c r="X264" s="66"/>
      <c r="Y264" s="66"/>
      <c r="Z264" s="66"/>
      <c r="AA264" s="66"/>
      <c r="AB264" s="66"/>
      <c r="AC264" s="66"/>
      <c r="AD264" s="66"/>
    </row>
    <row r="265" ht="40.15" customHeight="1">
      <c r="A265" s="66"/>
      <c r="C265" s="59"/>
      <c r="D265" s="58"/>
      <c r="E265" s="59"/>
      <c r="F265" s="59"/>
      <c r="G265" s="59"/>
      <c r="H265" s="66"/>
      <c r="I265" s="66"/>
      <c r="J265" s="66"/>
      <c r="K265" s="66"/>
      <c r="L265" s="66"/>
      <c r="M265" s="66"/>
      <c r="N265" s="66"/>
      <c r="O265" s="66"/>
      <c r="P265" s="66"/>
      <c r="Q265" s="66"/>
      <c r="R265" s="66"/>
      <c r="S265" s="66"/>
      <c r="T265" s="66"/>
      <c r="U265" s="66"/>
      <c r="V265" s="66"/>
      <c r="W265" s="66"/>
      <c r="X265" s="66"/>
      <c r="Y265" s="66"/>
      <c r="Z265" s="66"/>
      <c r="AA265" s="66"/>
      <c r="AB265" s="66"/>
      <c r="AC265" s="66"/>
      <c r="AD265" s="66"/>
    </row>
    <row r="266" ht="40.15" customHeight="1">
      <c r="A266" s="66"/>
      <c r="C266" s="59"/>
      <c r="D266" s="58"/>
      <c r="E266" s="59"/>
      <c r="F266" s="59"/>
      <c r="G266" s="59"/>
      <c r="H266" s="66"/>
      <c r="I266" s="66"/>
      <c r="J266" s="66"/>
      <c r="K266" s="66"/>
      <c r="L266" s="66"/>
      <c r="M266" s="66"/>
      <c r="N266" s="66"/>
      <c r="O266" s="66"/>
      <c r="P266" s="66"/>
      <c r="Q266" s="66"/>
      <c r="R266" s="66"/>
      <c r="S266" s="66"/>
      <c r="T266" s="66"/>
      <c r="U266" s="66"/>
      <c r="V266" s="66"/>
      <c r="W266" s="66"/>
      <c r="X266" s="66"/>
      <c r="Y266" s="66"/>
      <c r="Z266" s="66"/>
      <c r="AA266" s="66"/>
      <c r="AB266" s="66"/>
      <c r="AC266" s="66"/>
      <c r="AD266" s="66"/>
    </row>
    <row r="267" ht="40.15" customHeight="1">
      <c r="A267" s="66"/>
      <c r="C267" s="59"/>
      <c r="D267" s="58"/>
      <c r="E267" s="59"/>
      <c r="F267" s="59"/>
      <c r="G267" s="59"/>
      <c r="H267" s="66"/>
      <c r="I267" s="66"/>
      <c r="J267" s="66"/>
      <c r="K267" s="66"/>
      <c r="L267" s="66"/>
      <c r="M267" s="66"/>
      <c r="N267" s="66"/>
      <c r="O267" s="66"/>
      <c r="P267" s="66"/>
      <c r="Q267" s="66"/>
      <c r="R267" s="66"/>
      <c r="S267" s="66"/>
      <c r="T267" s="66"/>
      <c r="U267" s="66"/>
      <c r="V267" s="66"/>
      <c r="W267" s="66"/>
      <c r="X267" s="66"/>
      <c r="Y267" s="66"/>
      <c r="Z267" s="66"/>
      <c r="AA267" s="66"/>
      <c r="AB267" s="66"/>
      <c r="AC267" s="66"/>
      <c r="AD267" s="66"/>
    </row>
    <row r="268" ht="40.15" customHeight="1">
      <c r="A268" s="66"/>
      <c r="C268" s="59"/>
      <c r="D268" s="58"/>
      <c r="E268" s="59"/>
      <c r="F268" s="59"/>
      <c r="G268" s="59"/>
      <c r="H268" s="66"/>
      <c r="I268" s="66"/>
      <c r="J268" s="66"/>
      <c r="K268" s="66"/>
      <c r="L268" s="66"/>
      <c r="M268" s="66"/>
      <c r="N268" s="66"/>
      <c r="O268" s="66"/>
      <c r="P268" s="66"/>
      <c r="Q268" s="66"/>
      <c r="R268" s="66"/>
      <c r="S268" s="66"/>
      <c r="T268" s="66"/>
      <c r="U268" s="66"/>
      <c r="V268" s="66"/>
      <c r="W268" s="66"/>
      <c r="X268" s="66"/>
      <c r="Y268" s="66"/>
      <c r="Z268" s="66"/>
      <c r="AA268" s="66"/>
      <c r="AB268" s="66"/>
      <c r="AC268" s="66"/>
      <c r="AD268" s="66"/>
    </row>
    <row r="269" ht="40.15" customHeight="1">
      <c r="A269" s="66"/>
      <c r="C269" s="59"/>
      <c r="D269" s="58"/>
      <c r="E269" s="59"/>
      <c r="F269" s="59"/>
      <c r="G269" s="59"/>
      <c r="H269" s="66"/>
      <c r="I269" s="66"/>
      <c r="J269" s="66"/>
      <c r="K269" s="66"/>
      <c r="L269" s="66"/>
      <c r="M269" s="66"/>
      <c r="N269" s="66"/>
      <c r="O269" s="66"/>
      <c r="P269" s="66"/>
      <c r="Q269" s="66"/>
      <c r="R269" s="66"/>
      <c r="S269" s="66"/>
      <c r="T269" s="66"/>
      <c r="U269" s="66"/>
      <c r="V269" s="66"/>
      <c r="W269" s="66"/>
      <c r="X269" s="66"/>
      <c r="Y269" s="66"/>
      <c r="Z269" s="66"/>
      <c r="AA269" s="66"/>
      <c r="AB269" s="66"/>
      <c r="AC269" s="66"/>
      <c r="AD269" s="66"/>
    </row>
    <row r="270" ht="40.15" customHeight="1">
      <c r="A270" s="66"/>
      <c r="C270" s="59"/>
      <c r="D270" s="58"/>
      <c r="E270" s="59"/>
      <c r="F270" s="59"/>
      <c r="G270" s="59"/>
      <c r="H270" s="66"/>
      <c r="I270" s="66"/>
      <c r="J270" s="66"/>
      <c r="K270" s="66"/>
      <c r="L270" s="66"/>
      <c r="M270" s="66"/>
      <c r="N270" s="66"/>
      <c r="O270" s="66"/>
      <c r="P270" s="66"/>
      <c r="Q270" s="66"/>
      <c r="R270" s="66"/>
      <c r="S270" s="66"/>
      <c r="T270" s="66"/>
      <c r="U270" s="66"/>
      <c r="V270" s="66"/>
      <c r="W270" s="66"/>
      <c r="X270" s="66"/>
      <c r="Y270" s="66"/>
      <c r="Z270" s="66"/>
      <c r="AA270" s="66"/>
      <c r="AB270" s="66"/>
      <c r="AC270" s="66"/>
      <c r="AD270" s="66"/>
    </row>
    <row r="271" ht="40.15" customHeight="1">
      <c r="A271" s="66"/>
      <c r="C271" s="59"/>
      <c r="D271" s="58"/>
      <c r="E271" s="59"/>
      <c r="F271" s="59"/>
      <c r="G271" s="59"/>
      <c r="H271" s="66"/>
      <c r="I271" s="66"/>
      <c r="J271" s="66"/>
      <c r="K271" s="66"/>
      <c r="L271" s="66"/>
      <c r="M271" s="66"/>
      <c r="N271" s="66"/>
      <c r="O271" s="66"/>
      <c r="P271" s="66"/>
      <c r="Q271" s="66"/>
      <c r="R271" s="66"/>
      <c r="S271" s="66"/>
      <c r="T271" s="66"/>
      <c r="U271" s="66"/>
      <c r="V271" s="66"/>
      <c r="W271" s="66"/>
      <c r="X271" s="66"/>
      <c r="Y271" s="66"/>
      <c r="Z271" s="66"/>
      <c r="AA271" s="66"/>
      <c r="AB271" s="66"/>
      <c r="AC271" s="66"/>
      <c r="AD271" s="66"/>
    </row>
    <row r="272" ht="40.15" customHeight="1">
      <c r="A272" s="66"/>
      <c r="C272" s="59"/>
      <c r="D272" s="58"/>
      <c r="E272" s="59"/>
      <c r="F272" s="59"/>
      <c r="G272" s="59"/>
      <c r="H272" s="66"/>
      <c r="I272" s="66"/>
      <c r="J272" s="66"/>
      <c r="K272" s="66"/>
      <c r="L272" s="66"/>
      <c r="M272" s="66"/>
      <c r="N272" s="66"/>
      <c r="O272" s="66"/>
      <c r="P272" s="66"/>
      <c r="Q272" s="66"/>
      <c r="R272" s="66"/>
      <c r="S272" s="66"/>
      <c r="T272" s="66"/>
      <c r="U272" s="66"/>
      <c r="V272" s="66"/>
      <c r="W272" s="66"/>
      <c r="X272" s="66"/>
      <c r="Y272" s="66"/>
      <c r="Z272" s="66"/>
      <c r="AA272" s="66"/>
      <c r="AB272" s="66"/>
      <c r="AC272" s="66"/>
      <c r="AD272" s="66"/>
    </row>
    <row r="273" ht="40.15" customHeight="1">
      <c r="A273" s="66"/>
      <c r="C273" s="59"/>
      <c r="D273" s="58"/>
      <c r="E273" s="59"/>
      <c r="F273" s="59"/>
      <c r="G273" s="59"/>
      <c r="H273" s="66"/>
      <c r="I273" s="66"/>
      <c r="J273" s="66"/>
      <c r="K273" s="66"/>
      <c r="L273" s="66"/>
      <c r="M273" s="66"/>
      <c r="N273" s="66"/>
      <c r="O273" s="66"/>
      <c r="P273" s="66"/>
      <c r="Q273" s="66"/>
      <c r="R273" s="66"/>
      <c r="S273" s="66"/>
      <c r="T273" s="66"/>
      <c r="U273" s="66"/>
      <c r="V273" s="66"/>
      <c r="W273" s="66"/>
      <c r="X273" s="66"/>
      <c r="Y273" s="66"/>
      <c r="Z273" s="66"/>
      <c r="AA273" s="66"/>
      <c r="AB273" s="66"/>
      <c r="AC273" s="66"/>
      <c r="AD273" s="66"/>
    </row>
    <row r="274" ht="40.15" customHeight="1">
      <c r="A274" s="66"/>
      <c r="C274" s="59"/>
      <c r="D274" s="58"/>
      <c r="E274" s="59"/>
      <c r="F274" s="59"/>
      <c r="G274" s="59"/>
      <c r="H274" s="66"/>
      <c r="I274" s="66"/>
      <c r="J274" s="66"/>
      <c r="K274" s="66"/>
      <c r="L274" s="66"/>
      <c r="M274" s="66"/>
      <c r="N274" s="66"/>
      <c r="O274" s="66"/>
      <c r="P274" s="66"/>
      <c r="Q274" s="66"/>
      <c r="R274" s="66"/>
      <c r="S274" s="66"/>
      <c r="T274" s="66"/>
      <c r="U274" s="66"/>
      <c r="V274" s="66"/>
      <c r="W274" s="66"/>
      <c r="X274" s="66"/>
      <c r="Y274" s="66"/>
      <c r="Z274" s="66"/>
      <c r="AA274" s="66"/>
      <c r="AB274" s="66"/>
      <c r="AC274" s="66"/>
      <c r="AD274" s="66"/>
    </row>
    <row r="275" ht="40.15" customHeight="1">
      <c r="A275" s="66"/>
      <c r="C275" s="59"/>
      <c r="D275" s="58"/>
      <c r="E275" s="59"/>
      <c r="F275" s="59"/>
      <c r="G275" s="59"/>
      <c r="H275" s="66"/>
      <c r="I275" s="66"/>
      <c r="J275" s="66"/>
      <c r="K275" s="66"/>
      <c r="L275" s="66"/>
      <c r="M275" s="66"/>
      <c r="N275" s="66"/>
      <c r="O275" s="66"/>
      <c r="P275" s="66"/>
      <c r="Q275" s="66"/>
      <c r="R275" s="66"/>
      <c r="S275" s="66"/>
      <c r="T275" s="66"/>
      <c r="U275" s="66"/>
      <c r="V275" s="66"/>
      <c r="W275" s="66"/>
      <c r="X275" s="66"/>
      <c r="Y275" s="66"/>
      <c r="Z275" s="66"/>
      <c r="AA275" s="66"/>
      <c r="AB275" s="66"/>
      <c r="AC275" s="66"/>
      <c r="AD275" s="66"/>
    </row>
    <row r="276" ht="40.15" customHeight="1">
      <c r="A276" s="66"/>
      <c r="C276" s="59"/>
      <c r="D276" s="58"/>
      <c r="E276" s="59"/>
      <c r="F276" s="59"/>
      <c r="G276" s="59"/>
      <c r="H276" s="66"/>
      <c r="I276" s="66"/>
      <c r="J276" s="66"/>
      <c r="K276" s="66"/>
      <c r="L276" s="66"/>
      <c r="M276" s="66"/>
      <c r="N276" s="66"/>
      <c r="O276" s="66"/>
      <c r="P276" s="66"/>
      <c r="Q276" s="66"/>
      <c r="R276" s="66"/>
      <c r="S276" s="66"/>
      <c r="T276" s="66"/>
      <c r="U276" s="66"/>
      <c r="V276" s="66"/>
      <c r="W276" s="66"/>
      <c r="X276" s="66"/>
      <c r="Y276" s="66"/>
      <c r="Z276" s="66"/>
      <c r="AA276" s="66"/>
      <c r="AB276" s="66"/>
      <c r="AC276" s="66"/>
      <c r="AD276" s="66"/>
    </row>
    <row r="277" ht="40.15" customHeight="1">
      <c r="A277" s="66"/>
      <c r="C277" s="59"/>
      <c r="D277" s="58"/>
      <c r="E277" s="59"/>
      <c r="F277" s="59"/>
      <c r="G277" s="59"/>
      <c r="H277" s="66"/>
      <c r="I277" s="66"/>
      <c r="J277" s="66"/>
      <c r="K277" s="66"/>
      <c r="L277" s="66"/>
      <c r="M277" s="66"/>
      <c r="N277" s="66"/>
      <c r="O277" s="66"/>
      <c r="P277" s="66"/>
      <c r="Q277" s="66"/>
      <c r="R277" s="66"/>
      <c r="S277" s="66"/>
      <c r="T277" s="66"/>
      <c r="U277" s="66"/>
      <c r="V277" s="66"/>
      <c r="W277" s="66"/>
      <c r="X277" s="66"/>
      <c r="Y277" s="66"/>
      <c r="Z277" s="66"/>
      <c r="AA277" s="66"/>
      <c r="AB277" s="66"/>
      <c r="AC277" s="66"/>
      <c r="AD277" s="66"/>
    </row>
    <row r="278" ht="40.15" customHeight="1">
      <c r="A278" s="66"/>
      <c r="C278" s="59"/>
      <c r="D278" s="58"/>
      <c r="E278" s="59"/>
      <c r="F278" s="59"/>
      <c r="G278" s="59"/>
      <c r="H278" s="66"/>
      <c r="I278" s="66"/>
      <c r="J278" s="66"/>
      <c r="K278" s="66"/>
      <c r="L278" s="66"/>
      <c r="M278" s="66"/>
      <c r="N278" s="66"/>
      <c r="O278" s="66"/>
      <c r="P278" s="66"/>
      <c r="Q278" s="66"/>
      <c r="R278" s="66"/>
      <c r="S278" s="66"/>
      <c r="T278" s="66"/>
      <c r="U278" s="66"/>
      <c r="V278" s="66"/>
      <c r="W278" s="66"/>
      <c r="X278" s="66"/>
      <c r="Y278" s="66"/>
      <c r="Z278" s="66"/>
      <c r="AA278" s="66"/>
      <c r="AB278" s="66"/>
      <c r="AC278" s="66"/>
      <c r="AD278" s="66"/>
    </row>
    <row r="279" ht="40.15" customHeight="1">
      <c r="A279" s="66"/>
      <c r="C279" s="59"/>
      <c r="D279" s="58"/>
      <c r="E279" s="59"/>
      <c r="F279" s="59"/>
      <c r="G279" s="59"/>
      <c r="H279" s="66"/>
      <c r="I279" s="66"/>
      <c r="J279" s="66"/>
      <c r="K279" s="66"/>
      <c r="L279" s="66"/>
      <c r="M279" s="66"/>
      <c r="N279" s="66"/>
      <c r="O279" s="66"/>
      <c r="P279" s="66"/>
      <c r="Q279" s="66"/>
      <c r="R279" s="66"/>
      <c r="S279" s="66"/>
      <c r="T279" s="66"/>
      <c r="U279" s="66"/>
      <c r="V279" s="66"/>
      <c r="W279" s="66"/>
      <c r="X279" s="66"/>
      <c r="Y279" s="66"/>
      <c r="Z279" s="66"/>
      <c r="AA279" s="66"/>
      <c r="AB279" s="66"/>
      <c r="AC279" s="66"/>
      <c r="AD279" s="66"/>
    </row>
    <row r="280" ht="40.15" customHeight="1">
      <c r="A280" s="66"/>
      <c r="C280" s="59"/>
      <c r="D280" s="58"/>
      <c r="E280" s="59"/>
      <c r="F280" s="59"/>
      <c r="G280" s="59"/>
      <c r="H280" s="66"/>
      <c r="I280" s="66"/>
      <c r="J280" s="66"/>
      <c r="K280" s="66"/>
      <c r="L280" s="66"/>
      <c r="M280" s="66"/>
      <c r="N280" s="66"/>
      <c r="O280" s="66"/>
      <c r="P280" s="66"/>
      <c r="Q280" s="66"/>
      <c r="R280" s="66"/>
      <c r="S280" s="66"/>
      <c r="T280" s="66"/>
      <c r="U280" s="66"/>
      <c r="V280" s="66"/>
      <c r="W280" s="66"/>
      <c r="X280" s="66"/>
      <c r="Y280" s="66"/>
      <c r="Z280" s="66"/>
      <c r="AA280" s="66"/>
      <c r="AB280" s="66"/>
      <c r="AC280" s="66"/>
      <c r="AD280" s="66"/>
    </row>
    <row r="281" ht="40.15" customHeight="1">
      <c r="A281" s="66"/>
      <c r="C281" s="59"/>
      <c r="D281" s="58"/>
      <c r="E281" s="59"/>
      <c r="F281" s="59"/>
      <c r="G281" s="59"/>
      <c r="H281" s="66"/>
      <c r="I281" s="66"/>
      <c r="J281" s="66"/>
      <c r="K281" s="66"/>
      <c r="L281" s="66"/>
      <c r="M281" s="66"/>
      <c r="N281" s="66"/>
      <c r="O281" s="66"/>
      <c r="P281" s="66"/>
      <c r="Q281" s="66"/>
      <c r="R281" s="66"/>
      <c r="S281" s="66"/>
      <c r="T281" s="66"/>
      <c r="U281" s="66"/>
      <c r="V281" s="66"/>
      <c r="W281" s="66"/>
      <c r="X281" s="66"/>
      <c r="Y281" s="66"/>
      <c r="Z281" s="66"/>
      <c r="AA281" s="66"/>
      <c r="AB281" s="66"/>
      <c r="AC281" s="66"/>
      <c r="AD281" s="66"/>
    </row>
    <row r="282" ht="40.15" customHeight="1">
      <c r="A282" s="66"/>
      <c r="C282" s="59"/>
      <c r="D282" s="58"/>
      <c r="E282" s="59"/>
      <c r="F282" s="59"/>
      <c r="G282" s="59"/>
      <c r="H282" s="66"/>
      <c r="I282" s="66"/>
      <c r="J282" s="66"/>
      <c r="K282" s="66"/>
      <c r="L282" s="66"/>
      <c r="M282" s="66"/>
      <c r="N282" s="66"/>
      <c r="O282" s="66"/>
      <c r="P282" s="66"/>
      <c r="Q282" s="66"/>
      <c r="R282" s="66"/>
      <c r="S282" s="66"/>
      <c r="T282" s="66"/>
      <c r="U282" s="66"/>
      <c r="V282" s="66"/>
      <c r="W282" s="66"/>
      <c r="X282" s="66"/>
      <c r="Y282" s="66"/>
      <c r="Z282" s="66"/>
      <c r="AA282" s="66"/>
      <c r="AB282" s="66"/>
      <c r="AC282" s="66"/>
      <c r="AD282" s="66"/>
    </row>
    <row r="283" ht="40.15" customHeight="1">
      <c r="A283" s="66"/>
      <c r="C283" s="59"/>
      <c r="D283" s="58"/>
      <c r="E283" s="59"/>
      <c r="F283" s="59"/>
      <c r="G283" s="59"/>
      <c r="H283" s="66"/>
      <c r="I283" s="66"/>
      <c r="J283" s="66"/>
      <c r="K283" s="66"/>
      <c r="L283" s="66"/>
      <c r="M283" s="66"/>
      <c r="N283" s="66"/>
      <c r="O283" s="66"/>
      <c r="P283" s="66"/>
      <c r="Q283" s="66"/>
      <c r="R283" s="66"/>
      <c r="S283" s="66"/>
      <c r="T283" s="66"/>
      <c r="U283" s="66"/>
      <c r="V283" s="66"/>
      <c r="W283" s="66"/>
      <c r="X283" s="66"/>
      <c r="Y283" s="66"/>
      <c r="Z283" s="66"/>
      <c r="AA283" s="66"/>
      <c r="AB283" s="66"/>
      <c r="AC283" s="66"/>
      <c r="AD283" s="66"/>
    </row>
    <row r="284" ht="40.15" customHeight="1">
      <c r="A284" s="66"/>
      <c r="C284" s="59"/>
      <c r="D284" s="58"/>
      <c r="E284" s="59"/>
      <c r="F284" s="59"/>
      <c r="G284" s="59"/>
      <c r="H284" s="66"/>
      <c r="I284" s="66"/>
      <c r="J284" s="66"/>
      <c r="K284" s="66"/>
      <c r="L284" s="66"/>
      <c r="M284" s="66"/>
      <c r="N284" s="66"/>
      <c r="O284" s="66"/>
      <c r="P284" s="66"/>
      <c r="Q284" s="66"/>
      <c r="R284" s="66"/>
      <c r="S284" s="66"/>
      <c r="T284" s="66"/>
      <c r="U284" s="66"/>
      <c r="V284" s="66"/>
      <c r="W284" s="66"/>
      <c r="X284" s="66"/>
      <c r="Y284" s="66"/>
      <c r="Z284" s="66"/>
      <c r="AA284" s="66"/>
      <c r="AB284" s="66"/>
      <c r="AC284" s="66"/>
      <c r="AD284" s="66"/>
    </row>
    <row r="285" ht="40.15" customHeight="1">
      <c r="A285" s="66"/>
      <c r="C285" s="59"/>
      <c r="D285" s="58"/>
      <c r="E285" s="59"/>
      <c r="F285" s="59"/>
      <c r="G285" s="59"/>
      <c r="H285" s="66"/>
      <c r="I285" s="66"/>
      <c r="J285" s="66"/>
      <c r="K285" s="66"/>
      <c r="L285" s="66"/>
      <c r="M285" s="66"/>
      <c r="N285" s="66"/>
      <c r="O285" s="66"/>
      <c r="P285" s="66"/>
      <c r="Q285" s="66"/>
      <c r="R285" s="66"/>
      <c r="S285" s="66"/>
      <c r="T285" s="66"/>
      <c r="U285" s="66"/>
      <c r="V285" s="66"/>
      <c r="W285" s="66"/>
      <c r="X285" s="66"/>
      <c r="Y285" s="66"/>
      <c r="Z285" s="66"/>
      <c r="AA285" s="66"/>
      <c r="AB285" s="66"/>
      <c r="AC285" s="66"/>
      <c r="AD285" s="66"/>
    </row>
    <row r="286" ht="40.15" customHeight="1">
      <c r="A286" s="66"/>
      <c r="C286" s="59"/>
      <c r="D286" s="58"/>
      <c r="E286" s="59"/>
      <c r="F286" s="59"/>
      <c r="G286" s="59"/>
      <c r="H286" s="66"/>
      <c r="I286" s="66"/>
      <c r="J286" s="66"/>
      <c r="K286" s="66"/>
      <c r="L286" s="66"/>
      <c r="M286" s="66"/>
      <c r="N286" s="66"/>
      <c r="O286" s="66"/>
      <c r="P286" s="66"/>
      <c r="Q286" s="66"/>
      <c r="R286" s="66"/>
      <c r="S286" s="66"/>
      <c r="T286" s="66"/>
      <c r="U286" s="66"/>
      <c r="V286" s="66"/>
      <c r="W286" s="66"/>
      <c r="X286" s="66"/>
      <c r="Y286" s="66"/>
      <c r="Z286" s="66"/>
      <c r="AA286" s="66"/>
      <c r="AB286" s="66"/>
      <c r="AC286" s="66"/>
      <c r="AD286" s="66"/>
    </row>
    <row r="287" ht="40.15" customHeight="1">
      <c r="A287" s="66"/>
      <c r="C287" s="59"/>
      <c r="D287" s="58"/>
      <c r="E287" s="59"/>
      <c r="F287" s="59"/>
      <c r="G287" s="59"/>
      <c r="H287" s="66"/>
      <c r="I287" s="66"/>
      <c r="J287" s="66"/>
      <c r="K287" s="66"/>
      <c r="L287" s="66"/>
      <c r="M287" s="66"/>
      <c r="N287" s="66"/>
      <c r="O287" s="66"/>
      <c r="P287" s="66"/>
      <c r="Q287" s="66"/>
      <c r="R287" s="66"/>
      <c r="S287" s="66"/>
      <c r="T287" s="66"/>
      <c r="U287" s="66"/>
      <c r="V287" s="66"/>
      <c r="W287" s="66"/>
      <c r="X287" s="66"/>
      <c r="Y287" s="66"/>
      <c r="Z287" s="66"/>
      <c r="AA287" s="66"/>
      <c r="AB287" s="66"/>
      <c r="AC287" s="66"/>
      <c r="AD287" s="66"/>
    </row>
    <row r="288" ht="40.15" customHeight="1">
      <c r="A288" s="66"/>
      <c r="C288" s="59"/>
      <c r="D288" s="58"/>
      <c r="E288" s="59"/>
      <c r="F288" s="59"/>
      <c r="G288" s="59"/>
      <c r="H288" s="66"/>
      <c r="I288" s="66"/>
      <c r="J288" s="66"/>
      <c r="K288" s="66"/>
      <c r="L288" s="66"/>
      <c r="M288" s="66"/>
      <c r="N288" s="66"/>
      <c r="O288" s="66"/>
      <c r="P288" s="66"/>
      <c r="Q288" s="66"/>
      <c r="R288" s="66"/>
      <c r="S288" s="66"/>
      <c r="T288" s="66"/>
      <c r="U288" s="66"/>
      <c r="V288" s="66"/>
      <c r="W288" s="66"/>
      <c r="X288" s="66"/>
      <c r="Y288" s="66"/>
      <c r="Z288" s="66"/>
      <c r="AA288" s="66"/>
      <c r="AB288" s="66"/>
      <c r="AC288" s="66"/>
      <c r="AD288" s="66"/>
    </row>
    <row r="289" ht="40.15" customHeight="1">
      <c r="A289" s="66"/>
      <c r="C289" s="59"/>
      <c r="D289" s="58"/>
      <c r="E289" s="59"/>
      <c r="F289" s="59"/>
      <c r="G289" s="59"/>
      <c r="H289" s="66"/>
      <c r="I289" s="66"/>
      <c r="J289" s="66"/>
      <c r="K289" s="66"/>
      <c r="L289" s="66"/>
      <c r="M289" s="66"/>
      <c r="N289" s="66"/>
      <c r="O289" s="66"/>
      <c r="P289" s="66"/>
      <c r="Q289" s="66"/>
      <c r="R289" s="66"/>
      <c r="S289" s="66"/>
      <c r="T289" s="66"/>
      <c r="U289" s="66"/>
      <c r="V289" s="66"/>
      <c r="W289" s="66"/>
      <c r="X289" s="66"/>
      <c r="Y289" s="66"/>
      <c r="Z289" s="66"/>
      <c r="AA289" s="66"/>
      <c r="AB289" s="66"/>
      <c r="AC289" s="66"/>
      <c r="AD289" s="66"/>
    </row>
    <row r="290" ht="40.15" customHeight="1">
      <c r="A290" s="66"/>
      <c r="C290" s="59"/>
      <c r="D290" s="58"/>
      <c r="E290" s="59"/>
      <c r="F290" s="59"/>
      <c r="G290" s="59"/>
      <c r="H290" s="66"/>
      <c r="I290" s="66"/>
      <c r="J290" s="66"/>
      <c r="K290" s="66"/>
      <c r="L290" s="66"/>
      <c r="M290" s="66"/>
      <c r="N290" s="66"/>
      <c r="O290" s="66"/>
      <c r="P290" s="66"/>
      <c r="Q290" s="66"/>
      <c r="R290" s="66"/>
      <c r="S290" s="66"/>
      <c r="T290" s="66"/>
      <c r="U290" s="66"/>
      <c r="V290" s="66"/>
      <c r="W290" s="66"/>
      <c r="X290" s="66"/>
      <c r="Y290" s="66"/>
      <c r="Z290" s="66"/>
      <c r="AA290" s="66"/>
      <c r="AB290" s="66"/>
      <c r="AC290" s="66"/>
      <c r="AD290" s="66"/>
    </row>
    <row r="291" ht="40.15" customHeight="1">
      <c r="A291" s="66"/>
      <c r="C291" s="59"/>
      <c r="D291" s="58"/>
      <c r="E291" s="59"/>
      <c r="F291" s="59"/>
      <c r="G291" s="59"/>
      <c r="H291" s="66"/>
      <c r="I291" s="66"/>
      <c r="J291" s="66"/>
      <c r="K291" s="66"/>
      <c r="L291" s="66"/>
      <c r="M291" s="66"/>
      <c r="N291" s="66"/>
      <c r="O291" s="66"/>
      <c r="P291" s="66"/>
      <c r="Q291" s="66"/>
      <c r="R291" s="66"/>
      <c r="S291" s="66"/>
      <c r="T291" s="66"/>
      <c r="U291" s="66"/>
      <c r="V291" s="66"/>
      <c r="W291" s="66"/>
      <c r="X291" s="66"/>
      <c r="Y291" s="66"/>
      <c r="Z291" s="66"/>
      <c r="AA291" s="66"/>
      <c r="AB291" s="66"/>
      <c r="AC291" s="66"/>
      <c r="AD291" s="66"/>
    </row>
    <row r="292" ht="40.15" customHeight="1">
      <c r="A292" s="66"/>
      <c r="C292" s="59"/>
      <c r="D292" s="58"/>
      <c r="E292" s="59"/>
      <c r="F292" s="59"/>
      <c r="G292" s="59"/>
      <c r="H292" s="66"/>
      <c r="I292" s="66"/>
      <c r="J292" s="66"/>
      <c r="K292" s="66"/>
      <c r="L292" s="66"/>
      <c r="M292" s="66"/>
      <c r="N292" s="66"/>
      <c r="O292" s="66"/>
      <c r="P292" s="66"/>
      <c r="Q292" s="66"/>
      <c r="R292" s="66"/>
      <c r="S292" s="66"/>
      <c r="T292" s="66"/>
      <c r="U292" s="66"/>
      <c r="V292" s="66"/>
      <c r="W292" s="66"/>
      <c r="X292" s="66"/>
      <c r="Y292" s="66"/>
      <c r="Z292" s="66"/>
      <c r="AA292" s="66"/>
      <c r="AB292" s="66"/>
      <c r="AC292" s="66"/>
      <c r="AD292" s="66"/>
    </row>
    <row r="293" ht="40.15" customHeight="1">
      <c r="A293" s="66"/>
      <c r="C293" s="59"/>
      <c r="D293" s="58"/>
      <c r="E293" s="59"/>
      <c r="F293" s="59"/>
      <c r="G293" s="59"/>
      <c r="H293" s="66"/>
      <c r="I293" s="66"/>
      <c r="J293" s="66"/>
      <c r="K293" s="66"/>
      <c r="L293" s="66"/>
      <c r="M293" s="66"/>
      <c r="N293" s="66"/>
      <c r="O293" s="66"/>
      <c r="P293" s="66"/>
      <c r="Q293" s="66"/>
      <c r="R293" s="66"/>
      <c r="S293" s="66"/>
      <c r="T293" s="66"/>
      <c r="U293" s="66"/>
      <c r="V293" s="66"/>
      <c r="W293" s="66"/>
      <c r="X293" s="66"/>
      <c r="Y293" s="66"/>
      <c r="Z293" s="66"/>
      <c r="AA293" s="66"/>
      <c r="AB293" s="66"/>
      <c r="AC293" s="66"/>
      <c r="AD293" s="66"/>
    </row>
    <row r="294" ht="40.15" customHeight="1">
      <c r="A294" s="66"/>
      <c r="C294" s="59"/>
      <c r="D294" s="58"/>
      <c r="E294" s="59"/>
      <c r="F294" s="59"/>
      <c r="G294" s="59"/>
      <c r="H294" s="66"/>
      <c r="I294" s="66"/>
      <c r="J294" s="66"/>
      <c r="K294" s="66"/>
      <c r="L294" s="66"/>
      <c r="M294" s="66"/>
      <c r="N294" s="66"/>
      <c r="O294" s="66"/>
      <c r="P294" s="66"/>
      <c r="Q294" s="66"/>
      <c r="R294" s="66"/>
      <c r="S294" s="66"/>
      <c r="T294" s="66"/>
      <c r="U294" s="66"/>
      <c r="V294" s="66"/>
      <c r="W294" s="66"/>
      <c r="X294" s="66"/>
      <c r="Y294" s="66"/>
      <c r="Z294" s="66"/>
      <c r="AA294" s="66"/>
      <c r="AB294" s="66"/>
      <c r="AC294" s="66"/>
      <c r="AD294" s="66"/>
    </row>
    <row r="295" ht="40.15" customHeight="1">
      <c r="A295" s="66"/>
      <c r="C295" s="59"/>
      <c r="D295" s="58"/>
      <c r="E295" s="59"/>
      <c r="F295" s="59"/>
      <c r="G295" s="59"/>
      <c r="H295" s="66"/>
      <c r="I295" s="66"/>
      <c r="J295" s="66"/>
      <c r="K295" s="66"/>
      <c r="L295" s="66"/>
      <c r="M295" s="66"/>
      <c r="N295" s="66"/>
      <c r="O295" s="66"/>
      <c r="P295" s="66"/>
      <c r="Q295" s="66"/>
      <c r="R295" s="66"/>
      <c r="S295" s="66"/>
      <c r="T295" s="66"/>
      <c r="U295" s="66"/>
      <c r="V295" s="66"/>
      <c r="W295" s="66"/>
      <c r="X295" s="66"/>
      <c r="Y295" s="66"/>
      <c r="Z295" s="66"/>
      <c r="AA295" s="66"/>
      <c r="AB295" s="66"/>
      <c r="AC295" s="66"/>
      <c r="AD295" s="66"/>
    </row>
    <row r="296" ht="40.15" customHeight="1">
      <c r="A296" s="66"/>
      <c r="C296" s="59"/>
      <c r="D296" s="58"/>
      <c r="E296" s="59"/>
      <c r="F296" s="59"/>
      <c r="G296" s="59"/>
      <c r="H296" s="66"/>
      <c r="I296" s="66"/>
      <c r="J296" s="66"/>
      <c r="K296" s="66"/>
      <c r="L296" s="66"/>
      <c r="M296" s="66"/>
      <c r="N296" s="66"/>
      <c r="O296" s="66"/>
      <c r="P296" s="66"/>
      <c r="Q296" s="66"/>
      <c r="R296" s="66"/>
      <c r="S296" s="66"/>
      <c r="T296" s="66"/>
      <c r="U296" s="66"/>
      <c r="V296" s="66"/>
      <c r="W296" s="66"/>
      <c r="X296" s="66"/>
      <c r="Y296" s="66"/>
      <c r="Z296" s="66"/>
      <c r="AA296" s="66"/>
      <c r="AB296" s="66"/>
      <c r="AC296" s="66"/>
      <c r="AD296" s="66"/>
    </row>
    <row r="297" ht="40.15" customHeight="1">
      <c r="A297" s="66"/>
      <c r="C297" s="59"/>
      <c r="D297" s="58"/>
      <c r="E297" s="59"/>
      <c r="F297" s="59"/>
      <c r="G297" s="59"/>
      <c r="H297" s="66"/>
      <c r="I297" s="66"/>
      <c r="J297" s="66"/>
      <c r="K297" s="66"/>
      <c r="L297" s="66"/>
      <c r="M297" s="66"/>
      <c r="N297" s="66"/>
      <c r="O297" s="66"/>
      <c r="P297" s="66"/>
      <c r="Q297" s="66"/>
      <c r="R297" s="66"/>
      <c r="S297" s="66"/>
      <c r="T297" s="66"/>
      <c r="U297" s="66"/>
      <c r="V297" s="66"/>
      <c r="W297" s="66"/>
      <c r="X297" s="66"/>
      <c r="Y297" s="66"/>
      <c r="Z297" s="66"/>
      <c r="AA297" s="66"/>
      <c r="AB297" s="66"/>
      <c r="AC297" s="66"/>
      <c r="AD297" s="66"/>
    </row>
    <row r="298" ht="40.15" customHeight="1">
      <c r="A298" s="66"/>
      <c r="C298" s="59"/>
      <c r="D298" s="58"/>
      <c r="E298" s="59"/>
      <c r="F298" s="59"/>
      <c r="G298" s="59"/>
      <c r="H298" s="66"/>
      <c r="I298" s="66"/>
      <c r="J298" s="66"/>
      <c r="K298" s="66"/>
      <c r="L298" s="66"/>
      <c r="M298" s="66"/>
      <c r="N298" s="66"/>
      <c r="O298" s="66"/>
      <c r="P298" s="66"/>
      <c r="Q298" s="66"/>
      <c r="R298" s="66"/>
      <c r="S298" s="66"/>
      <c r="T298" s="66"/>
      <c r="U298" s="66"/>
      <c r="V298" s="66"/>
      <c r="W298" s="66"/>
      <c r="X298" s="66"/>
      <c r="Y298" s="66"/>
      <c r="Z298" s="66"/>
      <c r="AA298" s="66"/>
      <c r="AB298" s="66"/>
      <c r="AC298" s="66"/>
      <c r="AD298" s="66"/>
    </row>
    <row r="299" ht="40.15" customHeight="1">
      <c r="A299" s="66"/>
      <c r="C299" s="59"/>
      <c r="D299" s="58"/>
      <c r="E299" s="59"/>
      <c r="F299" s="59"/>
      <c r="G299" s="59"/>
      <c r="H299" s="66"/>
      <c r="I299" s="66"/>
      <c r="J299" s="66"/>
      <c r="K299" s="66"/>
      <c r="L299" s="66"/>
      <c r="M299" s="66"/>
      <c r="N299" s="66"/>
      <c r="O299" s="66"/>
      <c r="P299" s="66"/>
      <c r="Q299" s="66"/>
      <c r="R299" s="66"/>
      <c r="S299" s="66"/>
      <c r="T299" s="66"/>
      <c r="U299" s="66"/>
      <c r="V299" s="66"/>
      <c r="W299" s="66"/>
      <c r="X299" s="66"/>
      <c r="Y299" s="66"/>
      <c r="Z299" s="66"/>
      <c r="AA299" s="66"/>
      <c r="AB299" s="66"/>
      <c r="AC299" s="66"/>
      <c r="AD299" s="66"/>
    </row>
    <row r="300" ht="40.15" customHeight="1">
      <c r="A300" s="66"/>
      <c r="C300" s="59"/>
      <c r="D300" s="58"/>
      <c r="E300" s="59"/>
      <c r="F300" s="59"/>
      <c r="G300" s="59"/>
      <c r="H300" s="66"/>
      <c r="I300" s="66"/>
      <c r="J300" s="66"/>
      <c r="K300" s="66"/>
      <c r="L300" s="66"/>
      <c r="M300" s="66"/>
      <c r="N300" s="66"/>
      <c r="O300" s="66"/>
      <c r="P300" s="66"/>
      <c r="Q300" s="66"/>
      <c r="R300" s="66"/>
      <c r="S300" s="66"/>
      <c r="T300" s="66"/>
      <c r="U300" s="66"/>
      <c r="V300" s="66"/>
      <c r="W300" s="66"/>
      <c r="X300" s="66"/>
      <c r="Y300" s="66"/>
      <c r="Z300" s="66"/>
      <c r="AA300" s="66"/>
      <c r="AB300" s="66"/>
      <c r="AC300" s="66"/>
      <c r="AD300" s="66"/>
    </row>
    <row r="301" ht="40.15" customHeight="1">
      <c r="A301" s="66"/>
      <c r="C301" s="59"/>
      <c r="D301" s="58"/>
      <c r="E301" s="59"/>
      <c r="F301" s="59"/>
      <c r="G301" s="59"/>
      <c r="H301" s="66"/>
      <c r="I301" s="66"/>
      <c r="J301" s="66"/>
      <c r="K301" s="66"/>
      <c r="L301" s="66"/>
      <c r="M301" s="66"/>
      <c r="N301" s="66"/>
      <c r="O301" s="66"/>
      <c r="P301" s="66"/>
      <c r="Q301" s="66"/>
      <c r="R301" s="66"/>
      <c r="S301" s="66"/>
      <c r="T301" s="66"/>
      <c r="U301" s="66"/>
      <c r="V301" s="66"/>
      <c r="W301" s="66"/>
      <c r="X301" s="66"/>
      <c r="Y301" s="66"/>
      <c r="Z301" s="66"/>
      <c r="AA301" s="66"/>
      <c r="AB301" s="66"/>
      <c r="AC301" s="66"/>
      <c r="AD301" s="66"/>
    </row>
    <row r="302" ht="40.15" customHeight="1">
      <c r="A302" s="66"/>
      <c r="C302" s="59"/>
      <c r="D302" s="58"/>
      <c r="E302" s="59"/>
      <c r="F302" s="59"/>
      <c r="G302" s="59"/>
      <c r="H302" s="66"/>
      <c r="I302" s="66"/>
      <c r="J302" s="66"/>
      <c r="K302" s="66"/>
      <c r="L302" s="66"/>
      <c r="M302" s="66"/>
      <c r="N302" s="66"/>
      <c r="O302" s="66"/>
      <c r="P302" s="66"/>
      <c r="Q302" s="66"/>
      <c r="R302" s="66"/>
      <c r="S302" s="66"/>
      <c r="T302" s="66"/>
      <c r="U302" s="66"/>
      <c r="V302" s="66"/>
      <c r="W302" s="66"/>
      <c r="X302" s="66"/>
      <c r="Y302" s="66"/>
      <c r="Z302" s="66"/>
      <c r="AA302" s="66"/>
      <c r="AB302" s="66"/>
      <c r="AC302" s="66"/>
      <c r="AD302" s="66"/>
    </row>
    <row r="303" ht="40.15" customHeight="1">
      <c r="A303" s="66"/>
      <c r="C303" s="59"/>
      <c r="D303" s="58"/>
      <c r="E303" s="59"/>
      <c r="F303" s="59"/>
      <c r="G303" s="59"/>
      <c r="H303" s="66"/>
      <c r="I303" s="66"/>
      <c r="J303" s="66"/>
      <c r="K303" s="66"/>
      <c r="L303" s="66"/>
      <c r="M303" s="66"/>
      <c r="N303" s="66"/>
      <c r="O303" s="66"/>
      <c r="P303" s="66"/>
      <c r="Q303" s="66"/>
      <c r="R303" s="66"/>
      <c r="S303" s="66"/>
      <c r="T303" s="66"/>
      <c r="U303" s="66"/>
      <c r="V303" s="66"/>
      <c r="W303" s="66"/>
      <c r="X303" s="66"/>
      <c r="Y303" s="66"/>
      <c r="Z303" s="66"/>
      <c r="AA303" s="66"/>
      <c r="AB303" s="66"/>
      <c r="AC303" s="66"/>
      <c r="AD303" s="66"/>
    </row>
    <row r="304" ht="40.15" customHeight="1">
      <c r="A304" s="66"/>
      <c r="C304" s="59"/>
      <c r="D304" s="58"/>
      <c r="E304" s="59"/>
      <c r="F304" s="59"/>
      <c r="G304" s="59"/>
      <c r="H304" s="66"/>
      <c r="I304" s="66"/>
      <c r="J304" s="66"/>
      <c r="K304" s="66"/>
      <c r="L304" s="66"/>
      <c r="M304" s="66"/>
      <c r="N304" s="66"/>
      <c r="O304" s="66"/>
      <c r="P304" s="66"/>
      <c r="Q304" s="66"/>
      <c r="R304" s="66"/>
      <c r="S304" s="66"/>
      <c r="T304" s="66"/>
      <c r="U304" s="66"/>
      <c r="V304" s="66"/>
      <c r="W304" s="66"/>
      <c r="X304" s="66"/>
      <c r="Y304" s="66"/>
      <c r="Z304" s="66"/>
      <c r="AA304" s="66"/>
      <c r="AB304" s="66"/>
      <c r="AC304" s="66"/>
      <c r="AD304" s="66"/>
    </row>
    <row r="305" ht="40.15" customHeight="1">
      <c r="A305" s="66"/>
      <c r="C305" s="59"/>
      <c r="D305" s="58"/>
      <c r="E305" s="59"/>
      <c r="F305" s="59"/>
      <c r="G305" s="59"/>
      <c r="H305" s="66"/>
      <c r="I305" s="66"/>
      <c r="J305" s="66"/>
      <c r="K305" s="66"/>
      <c r="L305" s="66"/>
      <c r="M305" s="66"/>
      <c r="N305" s="66"/>
      <c r="O305" s="66"/>
      <c r="P305" s="66"/>
      <c r="Q305" s="66"/>
      <c r="R305" s="66"/>
      <c r="S305" s="66"/>
      <c r="T305" s="66"/>
      <c r="U305" s="66"/>
      <c r="V305" s="66"/>
      <c r="W305" s="66"/>
      <c r="X305" s="66"/>
      <c r="Y305" s="66"/>
      <c r="Z305" s="66"/>
      <c r="AA305" s="66"/>
      <c r="AB305" s="66"/>
      <c r="AC305" s="66"/>
      <c r="AD305" s="66"/>
    </row>
    <row r="306" ht="40.15" customHeight="1">
      <c r="A306" s="66"/>
      <c r="C306" s="59"/>
      <c r="D306" s="58"/>
      <c r="E306" s="59"/>
      <c r="F306" s="59"/>
      <c r="G306" s="59"/>
      <c r="H306" s="66"/>
      <c r="I306" s="66"/>
      <c r="J306" s="66"/>
      <c r="K306" s="66"/>
      <c r="L306" s="66"/>
      <c r="M306" s="66"/>
      <c r="N306" s="66"/>
      <c r="O306" s="66"/>
      <c r="P306" s="66"/>
      <c r="Q306" s="66"/>
      <c r="R306" s="66"/>
      <c r="S306" s="66"/>
      <c r="T306" s="66"/>
      <c r="U306" s="66"/>
      <c r="V306" s="66"/>
      <c r="W306" s="66"/>
      <c r="X306" s="66"/>
      <c r="Y306" s="66"/>
      <c r="Z306" s="66"/>
      <c r="AA306" s="66"/>
      <c r="AB306" s="66"/>
      <c r="AC306" s="66"/>
      <c r="AD306" s="66"/>
    </row>
    <row r="307" ht="40.15" customHeight="1">
      <c r="A307" s="66"/>
      <c r="C307" s="59"/>
      <c r="D307" s="58"/>
      <c r="E307" s="59"/>
      <c r="F307" s="59"/>
      <c r="G307" s="59"/>
      <c r="H307" s="66"/>
      <c r="I307" s="66"/>
      <c r="J307" s="66"/>
      <c r="K307" s="66"/>
      <c r="L307" s="66"/>
      <c r="M307" s="66"/>
      <c r="N307" s="66"/>
      <c r="O307" s="66"/>
      <c r="P307" s="66"/>
      <c r="Q307" s="66"/>
      <c r="R307" s="66"/>
      <c r="S307" s="66"/>
      <c r="T307" s="66"/>
      <c r="U307" s="66"/>
      <c r="V307" s="66"/>
      <c r="W307" s="66"/>
      <c r="X307" s="66"/>
      <c r="Y307" s="66"/>
      <c r="Z307" s="66"/>
      <c r="AA307" s="66"/>
      <c r="AB307" s="66"/>
      <c r="AC307" s="66"/>
      <c r="AD307" s="66"/>
    </row>
    <row r="308" ht="40.15" customHeight="1">
      <c r="A308" s="66"/>
      <c r="C308" s="59"/>
      <c r="D308" s="58"/>
      <c r="E308" s="59"/>
      <c r="F308" s="59"/>
      <c r="G308" s="59"/>
      <c r="H308" s="66"/>
      <c r="I308" s="66"/>
      <c r="J308" s="66"/>
      <c r="K308" s="66"/>
      <c r="L308" s="66"/>
      <c r="M308" s="66"/>
      <c r="N308" s="66"/>
      <c r="O308" s="66"/>
      <c r="P308" s="66"/>
      <c r="Q308" s="66"/>
      <c r="R308" s="66"/>
      <c r="S308" s="66"/>
      <c r="T308" s="66"/>
      <c r="U308" s="66"/>
      <c r="V308" s="66"/>
      <c r="W308" s="66"/>
      <c r="X308" s="66"/>
      <c r="Y308" s="66"/>
      <c r="Z308" s="66"/>
      <c r="AA308" s="66"/>
      <c r="AB308" s="66"/>
      <c r="AC308" s="66"/>
      <c r="AD308" s="66"/>
    </row>
    <row r="309" ht="40.15" customHeight="1">
      <c r="A309" s="66"/>
      <c r="C309" s="59"/>
      <c r="D309" s="58"/>
      <c r="E309" s="59"/>
      <c r="F309" s="59"/>
      <c r="G309" s="59"/>
      <c r="H309" s="66"/>
      <c r="I309" s="66"/>
      <c r="J309" s="66"/>
      <c r="K309" s="66"/>
      <c r="L309" s="66"/>
      <c r="M309" s="66"/>
      <c r="N309" s="66"/>
      <c r="O309" s="66"/>
      <c r="P309" s="66"/>
      <c r="Q309" s="66"/>
      <c r="R309" s="66"/>
      <c r="S309" s="66"/>
      <c r="T309" s="66"/>
      <c r="U309" s="66"/>
      <c r="V309" s="66"/>
      <c r="W309" s="66"/>
      <c r="X309" s="66"/>
      <c r="Y309" s="66"/>
      <c r="Z309" s="66"/>
      <c r="AA309" s="66"/>
      <c r="AB309" s="66"/>
      <c r="AC309" s="66"/>
      <c r="AD309" s="66"/>
    </row>
    <row r="310" ht="40.15" customHeight="1">
      <c r="A310" s="66"/>
      <c r="C310" s="59"/>
      <c r="D310" s="58"/>
      <c r="E310" s="59"/>
      <c r="F310" s="59"/>
      <c r="G310" s="59"/>
      <c r="H310" s="66"/>
      <c r="I310" s="66"/>
      <c r="J310" s="66"/>
      <c r="K310" s="66"/>
      <c r="L310" s="66"/>
      <c r="M310" s="66"/>
      <c r="N310" s="66"/>
      <c r="O310" s="66"/>
      <c r="P310" s="66"/>
      <c r="Q310" s="66"/>
      <c r="R310" s="66"/>
      <c r="S310" s="66"/>
      <c r="T310" s="66"/>
      <c r="U310" s="66"/>
      <c r="V310" s="66"/>
      <c r="W310" s="66"/>
      <c r="X310" s="66"/>
      <c r="Y310" s="66"/>
      <c r="Z310" s="66"/>
      <c r="AA310" s="66"/>
      <c r="AB310" s="66"/>
      <c r="AC310" s="66"/>
      <c r="AD310" s="66"/>
    </row>
    <row r="311" ht="40.15" customHeight="1">
      <c r="A311" s="66"/>
      <c r="C311" s="59"/>
      <c r="D311" s="58"/>
      <c r="E311" s="59"/>
      <c r="F311" s="59"/>
      <c r="G311" s="59"/>
      <c r="H311" s="66"/>
      <c r="I311" s="66"/>
      <c r="J311" s="66"/>
      <c r="K311" s="66"/>
      <c r="L311" s="66"/>
      <c r="M311" s="66"/>
      <c r="N311" s="66"/>
      <c r="O311" s="66"/>
      <c r="P311" s="66"/>
      <c r="Q311" s="66"/>
      <c r="R311" s="66"/>
      <c r="S311" s="66"/>
      <c r="T311" s="66"/>
      <c r="U311" s="66"/>
      <c r="V311" s="66"/>
      <c r="W311" s="66"/>
      <c r="X311" s="66"/>
      <c r="Y311" s="66"/>
      <c r="Z311" s="66"/>
      <c r="AA311" s="66"/>
      <c r="AB311" s="66"/>
      <c r="AC311" s="66"/>
      <c r="AD311" s="66"/>
    </row>
    <row r="312" ht="40.15" customHeight="1">
      <c r="A312" s="66"/>
      <c r="C312" s="59"/>
      <c r="D312" s="58"/>
      <c r="E312" s="59"/>
      <c r="F312" s="59"/>
      <c r="G312" s="59"/>
      <c r="H312" s="66"/>
      <c r="I312" s="66"/>
      <c r="J312" s="66"/>
      <c r="K312" s="66"/>
      <c r="L312" s="66"/>
      <c r="M312" s="66"/>
      <c r="N312" s="66"/>
      <c r="O312" s="66"/>
      <c r="P312" s="66"/>
      <c r="Q312" s="66"/>
      <c r="R312" s="66"/>
      <c r="S312" s="66"/>
      <c r="T312" s="66"/>
      <c r="U312" s="66"/>
      <c r="V312" s="66"/>
      <c r="W312" s="66"/>
      <c r="X312" s="66"/>
      <c r="Y312" s="66"/>
      <c r="Z312" s="66"/>
      <c r="AA312" s="66"/>
      <c r="AB312" s="66"/>
      <c r="AC312" s="66"/>
      <c r="AD312" s="66"/>
    </row>
    <row r="313" ht="40.15" customHeight="1">
      <c r="A313" s="66"/>
      <c r="C313" s="59"/>
      <c r="D313" s="58"/>
      <c r="E313" s="59"/>
      <c r="F313" s="59"/>
      <c r="G313" s="59"/>
      <c r="H313" s="66"/>
      <c r="I313" s="66"/>
      <c r="J313" s="66"/>
      <c r="K313" s="66"/>
      <c r="L313" s="66"/>
      <c r="M313" s="66"/>
      <c r="N313" s="66"/>
      <c r="O313" s="66"/>
      <c r="P313" s="66"/>
      <c r="Q313" s="66"/>
      <c r="R313" s="66"/>
      <c r="S313" s="66"/>
      <c r="T313" s="66"/>
      <c r="U313" s="66"/>
      <c r="V313" s="66"/>
      <c r="W313" s="66"/>
      <c r="X313" s="66"/>
      <c r="Y313" s="66"/>
      <c r="Z313" s="66"/>
      <c r="AA313" s="66"/>
      <c r="AB313" s="66"/>
      <c r="AC313" s="66"/>
      <c r="AD313" s="66"/>
    </row>
    <row r="314" ht="40.15" customHeight="1">
      <c r="A314" s="66"/>
      <c r="C314" s="59"/>
      <c r="D314" s="58"/>
      <c r="E314" s="59"/>
      <c r="F314" s="59"/>
      <c r="G314" s="59"/>
      <c r="H314" s="66"/>
      <c r="I314" s="66"/>
      <c r="J314" s="66"/>
      <c r="K314" s="66"/>
      <c r="L314" s="66"/>
      <c r="M314" s="66"/>
      <c r="N314" s="66"/>
      <c r="O314" s="66"/>
      <c r="P314" s="66"/>
      <c r="Q314" s="66"/>
      <c r="R314" s="66"/>
      <c r="S314" s="66"/>
      <c r="T314" s="66"/>
      <c r="U314" s="66"/>
      <c r="V314" s="66"/>
      <c r="W314" s="66"/>
      <c r="X314" s="66"/>
      <c r="Y314" s="66"/>
      <c r="Z314" s="66"/>
      <c r="AA314" s="66"/>
      <c r="AB314" s="66"/>
      <c r="AC314" s="66"/>
      <c r="AD314" s="66"/>
    </row>
    <row r="315" ht="40.15" customHeight="1">
      <c r="A315" s="66"/>
      <c r="C315" s="59"/>
      <c r="D315" s="58"/>
      <c r="E315" s="59"/>
      <c r="F315" s="59"/>
      <c r="G315" s="59"/>
      <c r="H315" s="66"/>
      <c r="I315" s="66"/>
      <c r="J315" s="66"/>
      <c r="K315" s="66"/>
      <c r="L315" s="66"/>
      <c r="M315" s="66"/>
      <c r="N315" s="66"/>
      <c r="O315" s="66"/>
      <c r="P315" s="66"/>
      <c r="Q315" s="66"/>
      <c r="R315" s="66"/>
      <c r="S315" s="66"/>
      <c r="T315" s="66"/>
      <c r="U315" s="66"/>
      <c r="V315" s="66"/>
      <c r="W315" s="66"/>
      <c r="X315" s="66"/>
      <c r="Y315" s="66"/>
      <c r="Z315" s="66"/>
      <c r="AA315" s="66"/>
      <c r="AB315" s="66"/>
      <c r="AC315" s="66"/>
      <c r="AD315" s="66"/>
    </row>
    <row r="316" ht="40.15" customHeight="1">
      <c r="A316" s="66"/>
      <c r="C316" s="59"/>
      <c r="D316" s="58"/>
      <c r="E316" s="59"/>
      <c r="F316" s="59"/>
      <c r="G316" s="59"/>
      <c r="H316" s="66"/>
      <c r="I316" s="66"/>
      <c r="J316" s="66"/>
      <c r="K316" s="66"/>
      <c r="L316" s="66"/>
      <c r="M316" s="66"/>
      <c r="N316" s="66"/>
      <c r="O316" s="66"/>
      <c r="P316" s="66"/>
      <c r="Q316" s="66"/>
      <c r="R316" s="66"/>
      <c r="S316" s="66"/>
      <c r="T316" s="66"/>
      <c r="U316" s="66"/>
      <c r="V316" s="66"/>
      <c r="W316" s="66"/>
      <c r="X316" s="66"/>
      <c r="Y316" s="66"/>
      <c r="Z316" s="66"/>
      <c r="AA316" s="66"/>
      <c r="AB316" s="66"/>
      <c r="AC316" s="66"/>
      <c r="AD316" s="66"/>
    </row>
    <row r="317" ht="40.15" customHeight="1">
      <c r="A317" s="66"/>
      <c r="C317" s="59"/>
      <c r="D317" s="58"/>
      <c r="E317" s="59"/>
      <c r="F317" s="59"/>
      <c r="G317" s="59"/>
      <c r="H317" s="66"/>
      <c r="I317" s="66"/>
      <c r="J317" s="66"/>
      <c r="K317" s="66"/>
      <c r="L317" s="66"/>
      <c r="M317" s="66"/>
      <c r="N317" s="66"/>
      <c r="O317" s="66"/>
      <c r="P317" s="66"/>
      <c r="Q317" s="66"/>
      <c r="R317" s="66"/>
      <c r="S317" s="66"/>
      <c r="T317" s="66"/>
      <c r="U317" s="66"/>
      <c r="V317" s="66"/>
      <c r="W317" s="66"/>
      <c r="X317" s="66"/>
      <c r="Y317" s="66"/>
      <c r="Z317" s="66"/>
      <c r="AA317" s="66"/>
      <c r="AB317" s="66"/>
      <c r="AC317" s="66"/>
      <c r="AD317" s="66"/>
    </row>
    <row r="318" ht="40.15" customHeight="1">
      <c r="A318" s="66"/>
      <c r="C318" s="59"/>
      <c r="D318" s="58"/>
      <c r="E318" s="59"/>
      <c r="F318" s="59"/>
      <c r="G318" s="59"/>
      <c r="H318" s="66"/>
      <c r="I318" s="66"/>
      <c r="J318" s="66"/>
      <c r="K318" s="66"/>
      <c r="L318" s="66"/>
      <c r="M318" s="66"/>
      <c r="N318" s="66"/>
      <c r="O318" s="66"/>
      <c r="P318" s="66"/>
      <c r="Q318" s="66"/>
      <c r="R318" s="66"/>
      <c r="S318" s="66"/>
      <c r="T318" s="66"/>
      <c r="U318" s="66"/>
      <c r="V318" s="66"/>
      <c r="W318" s="66"/>
      <c r="X318" s="66"/>
      <c r="Y318" s="66"/>
      <c r="Z318" s="66"/>
      <c r="AA318" s="66"/>
      <c r="AB318" s="66"/>
      <c r="AC318" s="66"/>
      <c r="AD318" s="66"/>
    </row>
    <row r="319" ht="40.15" customHeight="1">
      <c r="A319" s="66"/>
      <c r="C319" s="59"/>
      <c r="D319" s="58"/>
      <c r="E319" s="59"/>
      <c r="F319" s="59"/>
      <c r="G319" s="59"/>
      <c r="H319" s="66"/>
      <c r="I319" s="66"/>
      <c r="J319" s="66"/>
      <c r="K319" s="66"/>
      <c r="L319" s="66"/>
      <c r="M319" s="66"/>
      <c r="N319" s="66"/>
      <c r="O319" s="66"/>
      <c r="P319" s="66"/>
      <c r="Q319" s="66"/>
      <c r="R319" s="66"/>
      <c r="S319" s="66"/>
      <c r="T319" s="66"/>
      <c r="U319" s="66"/>
      <c r="V319" s="66"/>
      <c r="W319" s="66"/>
      <c r="X319" s="66"/>
      <c r="Y319" s="66"/>
      <c r="Z319" s="66"/>
      <c r="AA319" s="66"/>
      <c r="AB319" s="66"/>
      <c r="AC319" s="66"/>
      <c r="AD319" s="66"/>
    </row>
    <row r="320" ht="40.15" customHeight="1">
      <c r="A320" s="66"/>
      <c r="C320" s="59"/>
      <c r="D320" s="58"/>
      <c r="E320" s="59"/>
      <c r="F320" s="59"/>
      <c r="G320" s="59"/>
      <c r="H320" s="66"/>
      <c r="I320" s="66"/>
      <c r="J320" s="66"/>
      <c r="K320" s="66"/>
      <c r="L320" s="66"/>
      <c r="M320" s="66"/>
      <c r="N320" s="66"/>
      <c r="O320" s="66"/>
      <c r="P320" s="66"/>
      <c r="Q320" s="66"/>
      <c r="R320" s="66"/>
      <c r="S320" s="66"/>
      <c r="T320" s="66"/>
      <c r="U320" s="66"/>
      <c r="V320" s="66"/>
      <c r="W320" s="66"/>
      <c r="X320" s="66"/>
      <c r="Y320" s="66"/>
      <c r="Z320" s="66"/>
      <c r="AA320" s="66"/>
      <c r="AB320" s="66"/>
      <c r="AC320" s="66"/>
      <c r="AD320" s="66"/>
    </row>
    <row r="321" ht="40.15" customHeight="1">
      <c r="A321" s="66"/>
      <c r="C321" s="59"/>
      <c r="D321" s="58"/>
      <c r="E321" s="59"/>
      <c r="F321" s="59"/>
      <c r="G321" s="59"/>
      <c r="H321" s="66"/>
      <c r="I321" s="66"/>
      <c r="J321" s="66"/>
      <c r="K321" s="66"/>
      <c r="L321" s="66"/>
      <c r="M321" s="66"/>
      <c r="N321" s="66"/>
      <c r="O321" s="66"/>
      <c r="P321" s="66"/>
      <c r="Q321" s="66"/>
      <c r="R321" s="66"/>
      <c r="S321" s="66"/>
      <c r="T321" s="66"/>
      <c r="U321" s="66"/>
      <c r="V321" s="66"/>
      <c r="W321" s="66"/>
      <c r="X321" s="66"/>
      <c r="Y321" s="66"/>
      <c r="Z321" s="66"/>
      <c r="AA321" s="66"/>
      <c r="AB321" s="66"/>
      <c r="AC321" s="66"/>
      <c r="AD321" s="66"/>
    </row>
    <row r="322" ht="40.15" customHeight="1">
      <c r="A322" s="66"/>
      <c r="C322" s="59"/>
      <c r="D322" s="58"/>
      <c r="E322" s="59"/>
      <c r="F322" s="59"/>
      <c r="G322" s="59"/>
      <c r="H322" s="66"/>
      <c r="I322" s="66"/>
      <c r="J322" s="66"/>
      <c r="K322" s="66"/>
      <c r="L322" s="66"/>
      <c r="M322" s="66"/>
      <c r="N322" s="66"/>
      <c r="O322" s="66"/>
      <c r="P322" s="66"/>
      <c r="Q322" s="66"/>
      <c r="R322" s="66"/>
      <c r="S322" s="66"/>
      <c r="T322" s="66"/>
      <c r="U322" s="66"/>
      <c r="V322" s="66"/>
      <c r="W322" s="66"/>
      <c r="X322" s="66"/>
      <c r="Y322" s="66"/>
      <c r="Z322" s="66"/>
      <c r="AA322" s="66"/>
      <c r="AB322" s="66"/>
      <c r="AC322" s="66"/>
      <c r="AD322" s="66"/>
    </row>
    <row r="323" ht="40.15" customHeight="1">
      <c r="A323" s="66"/>
      <c r="C323" s="59"/>
      <c r="D323" s="58"/>
      <c r="E323" s="59"/>
      <c r="F323" s="59"/>
      <c r="G323" s="59"/>
      <c r="H323" s="66"/>
      <c r="I323" s="66"/>
      <c r="J323" s="66"/>
      <c r="K323" s="66"/>
      <c r="L323" s="66"/>
      <c r="M323" s="66"/>
      <c r="N323" s="66"/>
      <c r="O323" s="66"/>
      <c r="P323" s="66"/>
      <c r="Q323" s="66"/>
      <c r="R323" s="66"/>
      <c r="S323" s="66"/>
      <c r="T323" s="66"/>
      <c r="U323" s="66"/>
      <c r="V323" s="66"/>
      <c r="W323" s="66"/>
      <c r="X323" s="66"/>
      <c r="Y323" s="66"/>
      <c r="Z323" s="66"/>
      <c r="AA323" s="66"/>
      <c r="AB323" s="66"/>
      <c r="AC323" s="66"/>
      <c r="AD323" s="66"/>
    </row>
    <row r="324" ht="40.15" customHeight="1">
      <c r="A324" s="66"/>
      <c r="C324" s="59"/>
      <c r="D324" s="58"/>
      <c r="E324" s="59"/>
      <c r="F324" s="59"/>
      <c r="G324" s="59"/>
      <c r="H324" s="66"/>
      <c r="I324" s="66"/>
      <c r="J324" s="66"/>
      <c r="K324" s="66"/>
      <c r="L324" s="66"/>
      <c r="M324" s="66"/>
      <c r="N324" s="66"/>
      <c r="O324" s="66"/>
      <c r="P324" s="66"/>
      <c r="Q324" s="66"/>
      <c r="R324" s="66"/>
      <c r="S324" s="66"/>
      <c r="T324" s="66"/>
      <c r="U324" s="66"/>
      <c r="V324" s="66"/>
      <c r="W324" s="66"/>
      <c r="X324" s="66"/>
      <c r="Y324" s="66"/>
      <c r="Z324" s="66"/>
      <c r="AA324" s="66"/>
      <c r="AB324" s="66"/>
      <c r="AC324" s="66"/>
      <c r="AD324" s="66"/>
    </row>
    <row r="325" ht="40.15" customHeight="1">
      <c r="A325" s="66"/>
      <c r="C325" s="59"/>
      <c r="D325" s="58"/>
      <c r="E325" s="59"/>
      <c r="F325" s="59"/>
      <c r="G325" s="59"/>
      <c r="H325" s="66"/>
      <c r="I325" s="66"/>
      <c r="J325" s="66"/>
      <c r="K325" s="66"/>
      <c r="L325" s="66"/>
      <c r="M325" s="66"/>
      <c r="N325" s="66"/>
      <c r="O325" s="66"/>
      <c r="P325" s="66"/>
      <c r="Q325" s="66"/>
      <c r="R325" s="66"/>
      <c r="S325" s="66"/>
      <c r="T325" s="66"/>
      <c r="U325" s="66"/>
      <c r="V325" s="66"/>
      <c r="W325" s="66"/>
      <c r="X325" s="66"/>
      <c r="Y325" s="66"/>
      <c r="Z325" s="66"/>
      <c r="AA325" s="66"/>
      <c r="AB325" s="66"/>
      <c r="AC325" s="66"/>
      <c r="AD325" s="66"/>
    </row>
    <row r="326" ht="40.15" customHeight="1">
      <c r="A326" s="66"/>
      <c r="C326" s="59"/>
      <c r="D326" s="58"/>
      <c r="E326" s="59"/>
      <c r="F326" s="59"/>
      <c r="G326" s="59"/>
      <c r="H326" s="66"/>
      <c r="I326" s="66"/>
      <c r="J326" s="66"/>
      <c r="K326" s="66"/>
      <c r="L326" s="66"/>
      <c r="M326" s="66"/>
      <c r="N326" s="66"/>
      <c r="O326" s="66"/>
      <c r="P326" s="66"/>
      <c r="Q326" s="66"/>
      <c r="R326" s="66"/>
      <c r="S326" s="66"/>
      <c r="T326" s="66"/>
      <c r="U326" s="66"/>
      <c r="V326" s="66"/>
      <c r="W326" s="66"/>
      <c r="X326" s="66"/>
      <c r="Y326" s="66"/>
      <c r="Z326" s="66"/>
      <c r="AA326" s="66"/>
      <c r="AB326" s="66"/>
      <c r="AC326" s="66"/>
      <c r="AD326" s="66"/>
    </row>
    <row r="327" ht="40.15" customHeight="1">
      <c r="A327" s="66"/>
      <c r="C327" s="59"/>
      <c r="D327" s="58"/>
      <c r="E327" s="59"/>
      <c r="F327" s="59"/>
      <c r="G327" s="59"/>
      <c r="H327" s="66"/>
      <c r="I327" s="66"/>
      <c r="J327" s="66"/>
      <c r="K327" s="66"/>
      <c r="L327" s="66"/>
      <c r="M327" s="66"/>
      <c r="N327" s="66"/>
      <c r="O327" s="66"/>
      <c r="P327" s="66"/>
      <c r="Q327" s="66"/>
      <c r="R327" s="66"/>
      <c r="S327" s="66"/>
      <c r="T327" s="66"/>
      <c r="U327" s="66"/>
      <c r="V327" s="66"/>
      <c r="W327" s="66"/>
      <c r="X327" s="66"/>
      <c r="Y327" s="66"/>
      <c r="Z327" s="66"/>
      <c r="AA327" s="66"/>
      <c r="AB327" s="66"/>
      <c r="AC327" s="66"/>
      <c r="AD327" s="66"/>
    </row>
    <row r="328" ht="40.15" customHeight="1">
      <c r="A328" s="66"/>
      <c r="C328" s="59"/>
      <c r="D328" s="58"/>
      <c r="E328" s="59"/>
      <c r="F328" s="59"/>
      <c r="G328" s="59"/>
      <c r="H328" s="66"/>
      <c r="I328" s="66"/>
      <c r="J328" s="66"/>
      <c r="K328" s="66"/>
      <c r="L328" s="66"/>
      <c r="M328" s="66"/>
      <c r="N328" s="66"/>
      <c r="O328" s="66"/>
      <c r="P328" s="66"/>
      <c r="Q328" s="66"/>
      <c r="R328" s="66"/>
      <c r="S328" s="66"/>
      <c r="T328" s="66"/>
      <c r="U328" s="66"/>
      <c r="V328" s="66"/>
      <c r="W328" s="66"/>
      <c r="X328" s="66"/>
      <c r="Y328" s="66"/>
      <c r="Z328" s="66"/>
      <c r="AA328" s="66"/>
      <c r="AB328" s="66"/>
      <c r="AC328" s="66"/>
      <c r="AD328" s="66"/>
    </row>
    <row r="329" ht="40.15" customHeight="1">
      <c r="A329" s="66"/>
      <c r="C329" s="59"/>
      <c r="D329" s="58"/>
      <c r="E329" s="59"/>
      <c r="F329" s="59"/>
      <c r="G329" s="59"/>
      <c r="H329" s="66"/>
      <c r="I329" s="66"/>
      <c r="J329" s="66"/>
      <c r="K329" s="66"/>
      <c r="L329" s="66"/>
      <c r="M329" s="66"/>
      <c r="N329" s="66"/>
      <c r="O329" s="66"/>
      <c r="P329" s="66"/>
      <c r="Q329" s="66"/>
      <c r="R329" s="66"/>
      <c r="S329" s="66"/>
      <c r="T329" s="66"/>
      <c r="U329" s="66"/>
      <c r="V329" s="66"/>
      <c r="W329" s="66"/>
      <c r="X329" s="66"/>
      <c r="Y329" s="66"/>
      <c r="Z329" s="66"/>
      <c r="AA329" s="66"/>
      <c r="AB329" s="66"/>
      <c r="AC329" s="66"/>
      <c r="AD329" s="66"/>
    </row>
    <row r="330" ht="40.15" customHeight="1">
      <c r="A330" s="66"/>
      <c r="C330" s="59"/>
      <c r="D330" s="58"/>
      <c r="E330" s="59"/>
      <c r="F330" s="59"/>
      <c r="G330" s="59"/>
      <c r="H330" s="66"/>
      <c r="I330" s="66"/>
      <c r="J330" s="66"/>
      <c r="K330" s="66"/>
      <c r="L330" s="66"/>
      <c r="M330" s="66"/>
      <c r="N330" s="66"/>
      <c r="O330" s="66"/>
      <c r="P330" s="66"/>
      <c r="Q330" s="66"/>
      <c r="R330" s="66"/>
      <c r="S330" s="66"/>
      <c r="T330" s="66"/>
      <c r="U330" s="66"/>
      <c r="V330" s="66"/>
      <c r="W330" s="66"/>
      <c r="X330" s="66"/>
      <c r="Y330" s="66"/>
      <c r="Z330" s="66"/>
      <c r="AA330" s="66"/>
      <c r="AB330" s="66"/>
      <c r="AC330" s="66"/>
      <c r="AD330" s="66"/>
    </row>
    <row r="331" ht="40.15" customHeight="1">
      <c r="A331" s="66"/>
      <c r="C331" s="59"/>
      <c r="D331" s="58"/>
      <c r="E331" s="59"/>
      <c r="F331" s="59"/>
      <c r="G331" s="59"/>
      <c r="H331" s="66"/>
      <c r="I331" s="66"/>
      <c r="J331" s="66"/>
      <c r="K331" s="66"/>
      <c r="L331" s="66"/>
      <c r="M331" s="66"/>
      <c r="N331" s="66"/>
      <c r="O331" s="66"/>
      <c r="P331" s="66"/>
      <c r="Q331" s="66"/>
      <c r="R331" s="66"/>
      <c r="S331" s="66"/>
      <c r="T331" s="66"/>
      <c r="U331" s="66"/>
      <c r="V331" s="66"/>
      <c r="W331" s="66"/>
      <c r="X331" s="66"/>
      <c r="Y331" s="66"/>
      <c r="Z331" s="66"/>
      <c r="AA331" s="66"/>
      <c r="AB331" s="66"/>
      <c r="AC331" s="66"/>
      <c r="AD331" s="66"/>
    </row>
    <row r="332" ht="40.15" customHeight="1">
      <c r="A332" s="66"/>
      <c r="C332" s="59"/>
      <c r="D332" s="58"/>
      <c r="E332" s="59"/>
      <c r="F332" s="59"/>
      <c r="G332" s="59"/>
      <c r="H332" s="66"/>
      <c r="I332" s="66"/>
      <c r="J332" s="66"/>
      <c r="K332" s="66"/>
      <c r="L332" s="66"/>
      <c r="M332" s="66"/>
      <c r="N332" s="66"/>
      <c r="O332" s="66"/>
      <c r="P332" s="66"/>
      <c r="Q332" s="66"/>
      <c r="R332" s="66"/>
      <c r="S332" s="66"/>
      <c r="T332" s="66"/>
      <c r="U332" s="66"/>
      <c r="V332" s="66"/>
      <c r="W332" s="66"/>
      <c r="X332" s="66"/>
      <c r="Y332" s="66"/>
      <c r="Z332" s="66"/>
      <c r="AA332" s="66"/>
      <c r="AB332" s="66"/>
      <c r="AC332" s="66"/>
      <c r="AD332" s="66"/>
    </row>
    <row r="333" ht="40.15" customHeight="1">
      <c r="A333" s="66"/>
      <c r="C333" s="59"/>
      <c r="D333" s="58"/>
      <c r="E333" s="59"/>
      <c r="F333" s="59"/>
      <c r="G333" s="59"/>
      <c r="H333" s="66"/>
      <c r="I333" s="66"/>
      <c r="J333" s="66"/>
      <c r="K333" s="66"/>
      <c r="L333" s="66"/>
      <c r="M333" s="66"/>
      <c r="N333" s="66"/>
      <c r="O333" s="66"/>
      <c r="P333" s="66"/>
      <c r="Q333" s="66"/>
      <c r="R333" s="66"/>
      <c r="S333" s="66"/>
      <c r="T333" s="66"/>
      <c r="U333" s="66"/>
      <c r="V333" s="66"/>
      <c r="W333" s="66"/>
      <c r="X333" s="66"/>
      <c r="Y333" s="66"/>
      <c r="Z333" s="66"/>
      <c r="AA333" s="66"/>
      <c r="AB333" s="66"/>
      <c r="AC333" s="66"/>
      <c r="AD333" s="66"/>
    </row>
    <row r="334" ht="40.15" customHeight="1">
      <c r="A334" s="66"/>
      <c r="C334" s="59"/>
      <c r="D334" s="58"/>
      <c r="E334" s="59"/>
      <c r="F334" s="59"/>
      <c r="G334" s="59"/>
      <c r="H334" s="66"/>
      <c r="I334" s="66"/>
      <c r="J334" s="66"/>
      <c r="K334" s="66"/>
      <c r="L334" s="66"/>
      <c r="M334" s="66"/>
      <c r="N334" s="66"/>
      <c r="O334" s="66"/>
      <c r="P334" s="66"/>
      <c r="Q334" s="66"/>
      <c r="R334" s="66"/>
      <c r="S334" s="66"/>
      <c r="T334" s="66"/>
      <c r="U334" s="66"/>
      <c r="V334" s="66"/>
      <c r="W334" s="66"/>
      <c r="X334" s="66"/>
      <c r="Y334" s="66"/>
      <c r="Z334" s="66"/>
      <c r="AA334" s="66"/>
      <c r="AB334" s="66"/>
      <c r="AC334" s="66"/>
      <c r="AD334" s="66"/>
    </row>
    <row r="335" ht="40.15" customHeight="1">
      <c r="A335" s="66"/>
      <c r="C335" s="59"/>
      <c r="D335" s="58"/>
      <c r="E335" s="59"/>
      <c r="F335" s="59"/>
      <c r="G335" s="59"/>
      <c r="H335" s="66"/>
      <c r="I335" s="66"/>
      <c r="J335" s="66"/>
      <c r="K335" s="66"/>
      <c r="L335" s="66"/>
      <c r="M335" s="66"/>
      <c r="N335" s="66"/>
      <c r="O335" s="66"/>
      <c r="P335" s="66"/>
      <c r="Q335" s="66"/>
      <c r="R335" s="66"/>
      <c r="S335" s="66"/>
      <c r="T335" s="66"/>
      <c r="U335" s="66"/>
      <c r="V335" s="66"/>
      <c r="W335" s="66"/>
      <c r="X335" s="66"/>
      <c r="Y335" s="66"/>
      <c r="Z335" s="66"/>
      <c r="AA335" s="66"/>
      <c r="AB335" s="66"/>
      <c r="AC335" s="66"/>
      <c r="AD335" s="66"/>
    </row>
    <row r="336" ht="40.15" customHeight="1">
      <c r="A336" s="66"/>
      <c r="C336" s="59"/>
      <c r="D336" s="58"/>
      <c r="E336" s="59"/>
      <c r="F336" s="59"/>
      <c r="G336" s="59"/>
      <c r="H336" s="66"/>
      <c r="I336" s="66"/>
      <c r="J336" s="66"/>
      <c r="K336" s="66"/>
      <c r="L336" s="66"/>
      <c r="M336" s="66"/>
      <c r="N336" s="66"/>
      <c r="O336" s="66"/>
      <c r="P336" s="66"/>
      <c r="Q336" s="66"/>
      <c r="R336" s="66"/>
      <c r="S336" s="66"/>
      <c r="T336" s="66"/>
      <c r="U336" s="66"/>
      <c r="V336" s="66"/>
      <c r="W336" s="66"/>
      <c r="X336" s="66"/>
      <c r="Y336" s="66"/>
      <c r="Z336" s="66"/>
      <c r="AA336" s="66"/>
      <c r="AB336" s="66"/>
      <c r="AC336" s="66"/>
      <c r="AD336" s="66"/>
    </row>
    <row r="337" ht="40.15" customHeight="1">
      <c r="A337" s="66"/>
      <c r="C337" s="59"/>
      <c r="D337" s="58"/>
      <c r="E337" s="59"/>
      <c r="F337" s="59"/>
      <c r="G337" s="59"/>
      <c r="H337" s="66"/>
      <c r="I337" s="66"/>
      <c r="J337" s="66"/>
      <c r="K337" s="66"/>
      <c r="L337" s="66"/>
      <c r="M337" s="66"/>
      <c r="N337" s="66"/>
      <c r="O337" s="66"/>
      <c r="P337" s="66"/>
      <c r="Q337" s="66"/>
      <c r="R337" s="66"/>
      <c r="S337" s="66"/>
      <c r="T337" s="66"/>
      <c r="U337" s="66"/>
      <c r="V337" s="66"/>
      <c r="W337" s="66"/>
      <c r="X337" s="66"/>
      <c r="Y337" s="66"/>
      <c r="Z337" s="66"/>
      <c r="AA337" s="66"/>
      <c r="AB337" s="66"/>
      <c r="AC337" s="66"/>
      <c r="AD337" s="66"/>
    </row>
    <row r="338" ht="40.15" customHeight="1">
      <c r="A338" s="66"/>
      <c r="C338" s="59"/>
      <c r="D338" s="58"/>
      <c r="E338" s="59"/>
      <c r="F338" s="59"/>
      <c r="G338" s="59"/>
      <c r="H338" s="66"/>
      <c r="I338" s="66"/>
      <c r="J338" s="66"/>
      <c r="K338" s="66"/>
      <c r="L338" s="66"/>
      <c r="M338" s="66"/>
      <c r="N338" s="66"/>
      <c r="O338" s="66"/>
      <c r="P338" s="66"/>
      <c r="Q338" s="66"/>
      <c r="R338" s="66"/>
      <c r="S338" s="66"/>
      <c r="T338" s="66"/>
      <c r="U338" s="66"/>
      <c r="V338" s="66"/>
      <c r="W338" s="66"/>
      <c r="X338" s="66"/>
      <c r="Y338" s="66"/>
      <c r="Z338" s="66"/>
      <c r="AA338" s="66"/>
      <c r="AB338" s="66"/>
      <c r="AC338" s="66"/>
      <c r="AD338" s="66"/>
    </row>
    <row r="339" ht="40.15" customHeight="1">
      <c r="A339" s="66"/>
      <c r="C339" s="59"/>
      <c r="D339" s="58"/>
      <c r="E339" s="59"/>
      <c r="F339" s="59"/>
      <c r="G339" s="59"/>
      <c r="H339" s="66"/>
      <c r="I339" s="66"/>
      <c r="J339" s="66"/>
      <c r="K339" s="66"/>
      <c r="L339" s="66"/>
      <c r="M339" s="66"/>
      <c r="N339" s="66"/>
      <c r="O339" s="66"/>
      <c r="P339" s="66"/>
      <c r="Q339" s="66"/>
      <c r="R339" s="66"/>
      <c r="S339" s="66"/>
      <c r="T339" s="66"/>
      <c r="U339" s="66"/>
      <c r="V339" s="66"/>
      <c r="W339" s="66"/>
      <c r="X339" s="66"/>
      <c r="Y339" s="66"/>
      <c r="Z339" s="66"/>
      <c r="AA339" s="66"/>
      <c r="AB339" s="66"/>
      <c r="AC339" s="66"/>
      <c r="AD339" s="66"/>
    </row>
    <row r="340" ht="40.15" customHeight="1">
      <c r="A340" s="66"/>
      <c r="C340" s="59"/>
      <c r="D340" s="58"/>
      <c r="E340" s="59"/>
      <c r="F340" s="59"/>
      <c r="G340" s="59"/>
      <c r="H340" s="66"/>
      <c r="I340" s="66"/>
      <c r="J340" s="66"/>
      <c r="K340" s="66"/>
      <c r="L340" s="66"/>
      <c r="M340" s="66"/>
      <c r="N340" s="66"/>
      <c r="O340" s="66"/>
      <c r="P340" s="66"/>
      <c r="Q340" s="66"/>
      <c r="R340" s="66"/>
      <c r="S340" s="66"/>
      <c r="T340" s="66"/>
      <c r="U340" s="66"/>
      <c r="V340" s="66"/>
      <c r="W340" s="66"/>
      <c r="X340" s="66"/>
      <c r="Y340" s="66"/>
      <c r="Z340" s="66"/>
      <c r="AA340" s="66"/>
      <c r="AB340" s="66"/>
      <c r="AC340" s="66"/>
      <c r="AD340" s="66"/>
    </row>
    <row r="341" ht="40.15" customHeight="1">
      <c r="A341" s="66"/>
      <c r="C341" s="59"/>
      <c r="D341" s="58"/>
      <c r="E341" s="59"/>
      <c r="F341" s="59"/>
      <c r="G341" s="59"/>
      <c r="H341" s="66"/>
      <c r="I341" s="66"/>
      <c r="J341" s="66"/>
      <c r="K341" s="66"/>
      <c r="L341" s="66"/>
      <c r="M341" s="66"/>
      <c r="N341" s="66"/>
      <c r="O341" s="66"/>
      <c r="P341" s="66"/>
      <c r="Q341" s="66"/>
      <c r="R341" s="66"/>
      <c r="S341" s="66"/>
      <c r="T341" s="66"/>
      <c r="U341" s="66"/>
      <c r="V341" s="66"/>
      <c r="W341" s="66"/>
      <c r="X341" s="66"/>
      <c r="Y341" s="66"/>
      <c r="Z341" s="66"/>
      <c r="AA341" s="66"/>
      <c r="AB341" s="66"/>
      <c r="AC341" s="66"/>
      <c r="AD341" s="66"/>
    </row>
    <row r="342" ht="40.15" customHeight="1">
      <c r="A342" s="66"/>
      <c r="C342" s="59"/>
      <c r="D342" s="58"/>
      <c r="E342" s="59"/>
      <c r="F342" s="59"/>
      <c r="G342" s="59"/>
      <c r="H342" s="66"/>
      <c r="I342" s="66"/>
      <c r="J342" s="66"/>
      <c r="K342" s="66"/>
      <c r="L342" s="66"/>
      <c r="M342" s="66"/>
      <c r="N342" s="66"/>
      <c r="O342" s="66"/>
      <c r="P342" s="66"/>
      <c r="Q342" s="66"/>
      <c r="R342" s="66"/>
      <c r="S342" s="66"/>
      <c r="T342" s="66"/>
      <c r="U342" s="66"/>
      <c r="V342" s="66"/>
      <c r="W342" s="66"/>
      <c r="X342" s="66"/>
      <c r="Y342" s="66"/>
      <c r="Z342" s="66"/>
      <c r="AA342" s="66"/>
      <c r="AB342" s="66"/>
      <c r="AC342" s="66"/>
      <c r="AD342" s="66"/>
    </row>
    <row r="343" ht="40.15" customHeight="1">
      <c r="A343" s="66"/>
      <c r="C343" s="59"/>
      <c r="D343" s="58"/>
      <c r="E343" s="59"/>
      <c r="F343" s="59"/>
      <c r="G343" s="59"/>
      <c r="H343" s="66"/>
      <c r="I343" s="66"/>
      <c r="J343" s="66"/>
      <c r="K343" s="66"/>
      <c r="L343" s="66"/>
      <c r="M343" s="66"/>
      <c r="N343" s="66"/>
      <c r="O343" s="66"/>
      <c r="P343" s="66"/>
      <c r="Q343" s="66"/>
      <c r="R343" s="66"/>
      <c r="S343" s="66"/>
      <c r="T343" s="66"/>
      <c r="U343" s="66"/>
      <c r="V343" s="66"/>
      <c r="W343" s="66"/>
      <c r="X343" s="66"/>
      <c r="Y343" s="66"/>
      <c r="Z343" s="66"/>
      <c r="AA343" s="66"/>
      <c r="AB343" s="66"/>
      <c r="AC343" s="66"/>
      <c r="AD343" s="66"/>
    </row>
    <row r="344" ht="40.15" customHeight="1">
      <c r="A344" s="66"/>
      <c r="C344" s="59"/>
      <c r="D344" s="58"/>
      <c r="E344" s="59"/>
      <c r="F344" s="59"/>
      <c r="G344" s="59"/>
      <c r="H344" s="66"/>
      <c r="I344" s="66"/>
      <c r="J344" s="66"/>
      <c r="K344" s="66"/>
      <c r="L344" s="66"/>
      <c r="M344" s="66"/>
      <c r="N344" s="66"/>
      <c r="O344" s="66"/>
      <c r="P344" s="66"/>
      <c r="Q344" s="66"/>
      <c r="R344" s="66"/>
      <c r="S344" s="66"/>
      <c r="T344" s="66"/>
      <c r="U344" s="66"/>
      <c r="V344" s="66"/>
      <c r="W344" s="66"/>
      <c r="X344" s="66"/>
      <c r="Y344" s="66"/>
      <c r="Z344" s="66"/>
      <c r="AA344" s="66"/>
      <c r="AB344" s="66"/>
      <c r="AC344" s="66"/>
      <c r="AD344" s="66"/>
    </row>
    <row r="345" ht="40.15" customHeight="1">
      <c r="A345" s="66"/>
      <c r="C345" s="59"/>
      <c r="D345" s="58"/>
      <c r="E345" s="59"/>
      <c r="F345" s="59"/>
      <c r="G345" s="59"/>
      <c r="H345" s="66"/>
      <c r="I345" s="66"/>
      <c r="J345" s="66"/>
      <c r="K345" s="66"/>
      <c r="L345" s="66"/>
      <c r="M345" s="66"/>
      <c r="N345" s="66"/>
      <c r="O345" s="66"/>
      <c r="P345" s="66"/>
      <c r="Q345" s="66"/>
      <c r="R345" s="66"/>
      <c r="S345" s="66"/>
      <c r="T345" s="66"/>
      <c r="U345" s="66"/>
      <c r="V345" s="66"/>
      <c r="W345" s="66"/>
      <c r="X345" s="66"/>
      <c r="Y345" s="66"/>
      <c r="Z345" s="66"/>
      <c r="AA345" s="66"/>
      <c r="AB345" s="66"/>
      <c r="AC345" s="66"/>
      <c r="AD345" s="66"/>
    </row>
    <row r="346" ht="40.15" customHeight="1">
      <c r="A346" s="66"/>
      <c r="C346" s="59"/>
      <c r="D346" s="58"/>
      <c r="E346" s="59"/>
      <c r="F346" s="59"/>
      <c r="G346" s="59"/>
      <c r="H346" s="66"/>
      <c r="I346" s="66"/>
      <c r="J346" s="66"/>
      <c r="K346" s="66"/>
      <c r="L346" s="66"/>
      <c r="M346" s="66"/>
      <c r="N346" s="66"/>
      <c r="O346" s="66"/>
      <c r="P346" s="66"/>
      <c r="Q346" s="66"/>
      <c r="R346" s="66"/>
      <c r="S346" s="66"/>
      <c r="T346" s="66"/>
      <c r="U346" s="66"/>
      <c r="V346" s="66"/>
      <c r="W346" s="66"/>
      <c r="X346" s="66"/>
      <c r="Y346" s="66"/>
      <c r="Z346" s="66"/>
      <c r="AA346" s="66"/>
      <c r="AB346" s="66"/>
      <c r="AC346" s="66"/>
      <c r="AD346" s="66"/>
    </row>
    <row r="347" ht="40.15" customHeight="1">
      <c r="A347" s="66"/>
      <c r="C347" s="59"/>
      <c r="D347" s="58"/>
      <c r="E347" s="59"/>
      <c r="F347" s="59"/>
      <c r="G347" s="59"/>
      <c r="H347" s="66"/>
      <c r="I347" s="66"/>
      <c r="J347" s="66"/>
      <c r="K347" s="66"/>
      <c r="L347" s="66"/>
      <c r="M347" s="66"/>
      <c r="N347" s="66"/>
      <c r="O347" s="66"/>
      <c r="P347" s="66"/>
      <c r="Q347" s="66"/>
      <c r="R347" s="66"/>
      <c r="S347" s="66"/>
      <c r="T347" s="66"/>
      <c r="U347" s="66"/>
      <c r="V347" s="66"/>
      <c r="W347" s="66"/>
      <c r="X347" s="66"/>
      <c r="Y347" s="66"/>
      <c r="Z347" s="66"/>
      <c r="AA347" s="66"/>
      <c r="AB347" s="66"/>
      <c r="AC347" s="66"/>
      <c r="AD347" s="66"/>
    </row>
    <row r="348" ht="40.15" customHeight="1">
      <c r="A348" s="66"/>
      <c r="C348" s="59"/>
      <c r="D348" s="58"/>
      <c r="E348" s="59"/>
      <c r="F348" s="59"/>
      <c r="G348" s="59"/>
      <c r="H348" s="66"/>
      <c r="I348" s="66"/>
      <c r="J348" s="66"/>
      <c r="K348" s="66"/>
      <c r="L348" s="66"/>
      <c r="M348" s="66"/>
      <c r="N348" s="66"/>
      <c r="O348" s="66"/>
      <c r="P348" s="66"/>
      <c r="Q348" s="66"/>
      <c r="R348" s="66"/>
      <c r="S348" s="66"/>
      <c r="T348" s="66"/>
      <c r="U348" s="66"/>
      <c r="V348" s="66"/>
      <c r="W348" s="66"/>
      <c r="X348" s="66"/>
      <c r="Y348" s="66"/>
      <c r="Z348" s="66"/>
      <c r="AA348" s="66"/>
      <c r="AB348" s="66"/>
      <c r="AC348" s="66"/>
      <c r="AD348" s="66"/>
    </row>
    <row r="349" ht="40.15" customHeight="1">
      <c r="A349" s="66"/>
      <c r="C349" s="59"/>
      <c r="D349" s="58"/>
      <c r="E349" s="59"/>
      <c r="F349" s="59"/>
      <c r="G349" s="59"/>
      <c r="H349" s="66"/>
      <c r="I349" s="66"/>
      <c r="J349" s="66"/>
      <c r="K349" s="66"/>
      <c r="L349" s="66"/>
      <c r="M349" s="66"/>
      <c r="N349" s="66"/>
      <c r="O349" s="66"/>
      <c r="P349" s="66"/>
      <c r="Q349" s="66"/>
      <c r="R349" s="66"/>
      <c r="S349" s="66"/>
      <c r="T349" s="66"/>
      <c r="U349" s="66"/>
      <c r="V349" s="66"/>
      <c r="W349" s="66"/>
      <c r="X349" s="66"/>
      <c r="Y349" s="66"/>
      <c r="Z349" s="66"/>
      <c r="AA349" s="66"/>
      <c r="AB349" s="66"/>
      <c r="AC349" s="66"/>
      <c r="AD349" s="66"/>
    </row>
    <row r="350" ht="40.15" customHeight="1">
      <c r="A350" s="66"/>
      <c r="C350" s="59"/>
      <c r="D350" s="58"/>
      <c r="E350" s="59"/>
      <c r="F350" s="59"/>
      <c r="G350" s="59"/>
      <c r="H350" s="66"/>
      <c r="I350" s="66"/>
      <c r="J350" s="66"/>
      <c r="K350" s="66"/>
      <c r="L350" s="66"/>
      <c r="M350" s="66"/>
      <c r="N350" s="66"/>
      <c r="O350" s="66"/>
      <c r="P350" s="66"/>
      <c r="Q350" s="66"/>
      <c r="R350" s="66"/>
      <c r="S350" s="66"/>
      <c r="T350" s="66"/>
      <c r="U350" s="66"/>
      <c r="V350" s="66"/>
      <c r="W350" s="66"/>
      <c r="X350" s="66"/>
      <c r="Y350" s="66"/>
      <c r="Z350" s="66"/>
      <c r="AA350" s="66"/>
      <c r="AB350" s="66"/>
      <c r="AC350" s="66"/>
      <c r="AD350" s="66"/>
    </row>
    <row r="351" ht="40.15" customHeight="1">
      <c r="A351" s="66"/>
      <c r="C351" s="59"/>
      <c r="D351" s="58"/>
      <c r="E351" s="59"/>
      <c r="F351" s="59"/>
      <c r="G351" s="59"/>
      <c r="H351" s="66"/>
      <c r="I351" s="66"/>
      <c r="J351" s="66"/>
      <c r="K351" s="66"/>
      <c r="L351" s="66"/>
      <c r="M351" s="66"/>
      <c r="N351" s="66"/>
      <c r="O351" s="66"/>
      <c r="P351" s="66"/>
      <c r="Q351" s="66"/>
      <c r="R351" s="66"/>
      <c r="S351" s="66"/>
      <c r="T351" s="66"/>
      <c r="U351" s="66"/>
      <c r="V351" s="66"/>
      <c r="W351" s="66"/>
      <c r="X351" s="66"/>
      <c r="Y351" s="66"/>
      <c r="Z351" s="66"/>
      <c r="AA351" s="66"/>
      <c r="AB351" s="66"/>
      <c r="AC351" s="66"/>
      <c r="AD351" s="66"/>
    </row>
    <row r="352" ht="40.15" customHeight="1">
      <c r="A352" s="66"/>
      <c r="C352" s="59"/>
      <c r="D352" s="58"/>
      <c r="E352" s="59"/>
      <c r="F352" s="59"/>
      <c r="G352" s="59"/>
      <c r="H352" s="66"/>
      <c r="I352" s="66"/>
      <c r="J352" s="66"/>
      <c r="K352" s="66"/>
      <c r="L352" s="66"/>
      <c r="M352" s="66"/>
      <c r="N352" s="66"/>
      <c r="O352" s="66"/>
      <c r="P352" s="66"/>
      <c r="Q352" s="66"/>
      <c r="R352" s="66"/>
      <c r="S352" s="66"/>
      <c r="T352" s="66"/>
      <c r="U352" s="66"/>
      <c r="V352" s="66"/>
      <c r="W352" s="66"/>
      <c r="X352" s="66"/>
      <c r="Y352" s="66"/>
      <c r="Z352" s="66"/>
      <c r="AA352" s="66"/>
      <c r="AB352" s="66"/>
      <c r="AC352" s="66"/>
      <c r="AD352" s="66"/>
    </row>
    <row r="353" ht="40.15" customHeight="1">
      <c r="A353" s="66"/>
      <c r="C353" s="59"/>
      <c r="D353" s="58"/>
      <c r="E353" s="59"/>
      <c r="F353" s="59"/>
      <c r="G353" s="59"/>
      <c r="H353" s="66"/>
      <c r="I353" s="66"/>
      <c r="J353" s="66"/>
      <c r="K353" s="66"/>
      <c r="L353" s="66"/>
      <c r="M353" s="66"/>
      <c r="N353" s="66"/>
      <c r="O353" s="66"/>
      <c r="P353" s="66"/>
      <c r="Q353" s="66"/>
      <c r="R353" s="66"/>
      <c r="S353" s="66"/>
      <c r="T353" s="66"/>
      <c r="U353" s="66"/>
      <c r="V353" s="66"/>
      <c r="W353" s="66"/>
      <c r="X353" s="66"/>
      <c r="Y353" s="66"/>
      <c r="Z353" s="66"/>
      <c r="AA353" s="66"/>
      <c r="AB353" s="66"/>
      <c r="AC353" s="66"/>
      <c r="AD353" s="66"/>
    </row>
    <row r="354" ht="40.15" customHeight="1">
      <c r="A354" s="66"/>
      <c r="C354" s="59"/>
      <c r="D354" s="58"/>
      <c r="E354" s="59"/>
      <c r="F354" s="59"/>
      <c r="G354" s="59"/>
      <c r="H354" s="66"/>
      <c r="I354" s="66"/>
      <c r="J354" s="66"/>
      <c r="K354" s="66"/>
      <c r="L354" s="66"/>
      <c r="M354" s="66"/>
      <c r="N354" s="66"/>
      <c r="O354" s="66"/>
      <c r="P354" s="66"/>
      <c r="Q354" s="66"/>
      <c r="R354" s="66"/>
      <c r="S354" s="66"/>
      <c r="T354" s="66"/>
      <c r="U354" s="66"/>
      <c r="V354" s="66"/>
      <c r="W354" s="66"/>
      <c r="X354" s="66"/>
      <c r="Y354" s="66"/>
      <c r="Z354" s="66"/>
      <c r="AA354" s="66"/>
      <c r="AB354" s="66"/>
      <c r="AC354" s="66"/>
      <c r="AD354" s="66"/>
    </row>
    <row r="355" ht="40.15" customHeight="1">
      <c r="A355" s="66"/>
      <c r="C355" s="59"/>
      <c r="D355" s="58"/>
      <c r="E355" s="59"/>
      <c r="F355" s="59"/>
      <c r="G355" s="59"/>
      <c r="H355" s="66"/>
      <c r="I355" s="66"/>
      <c r="J355" s="66"/>
      <c r="K355" s="97"/>
      <c r="L355" s="97"/>
      <c r="M355" s="97"/>
      <c r="N355" s="97"/>
      <c r="O355" s="97"/>
      <c r="P355" s="97"/>
      <c r="Q355" s="97"/>
      <c r="R355" s="97"/>
      <c r="S355" s="97"/>
      <c r="T355" s="97"/>
      <c r="U355" s="97"/>
      <c r="V355" s="97"/>
      <c r="W355" s="97"/>
      <c r="X355" s="97"/>
      <c r="Y355" s="97"/>
      <c r="Z355" s="97"/>
      <c r="AA355" s="97"/>
      <c r="AB355" s="97"/>
      <c r="AC355" s="97"/>
      <c r="AD355" s="97"/>
    </row>
    <row r="356" ht="40.15" customHeight="1">
      <c r="A356" s="66"/>
      <c r="C356" s="59"/>
      <c r="D356" s="58"/>
      <c r="E356" s="59"/>
      <c r="F356" s="59"/>
      <c r="G356" s="59"/>
      <c r="H356" s="66"/>
      <c r="I356" s="66"/>
      <c r="J356" s="66"/>
    </row>
    <row r="357" ht="40.15" customHeight="1">
      <c r="A357" s="66"/>
      <c r="C357" s="59"/>
      <c r="D357" s="58"/>
      <c r="E357" s="59"/>
      <c r="F357" s="59"/>
      <c r="G357" s="59"/>
      <c r="H357" s="66"/>
      <c r="I357" s="66"/>
      <c r="J357" s="66"/>
    </row>
    <row r="358" ht="40.15" customHeight="1">
      <c r="A358" s="66"/>
      <c r="C358" s="59"/>
      <c r="D358" s="58"/>
      <c r="E358" s="59"/>
      <c r="F358" s="59"/>
      <c r="G358" s="59"/>
      <c r="H358" s="66"/>
      <c r="I358" s="66"/>
      <c r="J358" s="66"/>
    </row>
    <row r="359" ht="40.15" customHeight="1">
      <c r="A359" s="66"/>
      <c r="C359" s="59"/>
      <c r="D359" s="58"/>
      <c r="E359" s="59"/>
      <c r="F359" s="59"/>
      <c r="G359" s="59"/>
      <c r="H359" s="66"/>
      <c r="I359" s="66"/>
      <c r="J359" s="66"/>
    </row>
    <row r="360" ht="40.15" customHeight="1">
      <c r="A360" s="66"/>
      <c r="C360" s="59"/>
      <c r="D360" s="58"/>
      <c r="E360" s="59"/>
      <c r="F360" s="59"/>
      <c r="G360" s="59"/>
      <c r="H360" s="66"/>
      <c r="I360" s="66"/>
      <c r="J360" s="66"/>
    </row>
    <row r="361" ht="40.15" customHeight="1">
      <c r="A361" s="66"/>
      <c r="C361" s="59"/>
      <c r="D361" s="58"/>
      <c r="E361" s="59"/>
      <c r="F361" s="59"/>
      <c r="G361" s="59"/>
      <c r="H361" s="66"/>
      <c r="I361" s="66"/>
      <c r="J361" s="66"/>
    </row>
    <row r="362" ht="40.15" customHeight="1">
      <c r="A362" s="66"/>
      <c r="C362" s="59"/>
      <c r="D362" s="58"/>
      <c r="E362" s="59"/>
      <c r="F362" s="59"/>
      <c r="G362" s="59"/>
      <c r="H362" s="66"/>
      <c r="I362" s="66"/>
      <c r="J362" s="66"/>
    </row>
    <row r="363" ht="40.15" customHeight="1">
      <c r="A363" s="66"/>
      <c r="C363" s="59"/>
      <c r="D363" s="58"/>
      <c r="E363" s="59"/>
      <c r="F363" s="59"/>
      <c r="G363" s="59"/>
      <c r="H363" s="66"/>
      <c r="I363" s="66"/>
      <c r="J363" s="66"/>
    </row>
    <row r="364" ht="40.15" customHeight="1">
      <c r="A364" s="66"/>
      <c r="C364" s="59"/>
      <c r="D364" s="58"/>
      <c r="E364" s="59"/>
      <c r="F364" s="59"/>
      <c r="G364" s="59"/>
      <c r="H364" s="66"/>
      <c r="I364" s="66"/>
      <c r="J364" s="66"/>
    </row>
    <row r="365" ht="40.15" customHeight="1">
      <c r="A365" s="66"/>
      <c r="C365" s="59"/>
      <c r="D365" s="58"/>
      <c r="E365" s="59"/>
      <c r="F365" s="59"/>
      <c r="G365" s="59"/>
      <c r="H365" s="66"/>
      <c r="I365" s="66"/>
      <c r="J365" s="97"/>
    </row>
    <row r="366" ht="40.15" customHeight="1">
      <c r="C366" s="59"/>
      <c r="D366" s="58"/>
      <c r="E366" s="59"/>
      <c r="F366" s="59"/>
      <c r="G366" s="59"/>
    </row>
    <row r="367" ht="40.15" customHeight="1">
      <c r="C367" s="59"/>
      <c r="D367" s="58"/>
      <c r="E367" s="59"/>
      <c r="F367" s="59"/>
      <c r="G367" s="59"/>
    </row>
    <row r="368" ht="40.15" customHeight="1">
      <c r="C368" s="59"/>
      <c r="D368" s="58"/>
      <c r="E368" s="59"/>
      <c r="F368" s="59"/>
      <c r="G368" s="59"/>
    </row>
    <row r="369" ht="40.15" customHeight="1">
      <c r="C369" s="59"/>
      <c r="D369" s="58"/>
      <c r="E369" s="59"/>
      <c r="F369" s="59"/>
      <c r="G369" s="59"/>
    </row>
    <row r="370" ht="40.15" customHeight="1">
      <c r="C370" s="59"/>
      <c r="D370" s="58"/>
      <c r="E370" s="59"/>
      <c r="F370" s="59"/>
      <c r="G370" s="59"/>
    </row>
  </sheetData>
  <sheetProtection algorithmName="SHA-512" hashValue="VoP61r8SfgKqnyoNQ7nnC/0s3SX7ydKfJuGgxqOaCZd4aSNUn46wQh2P7FWE579ofVf9OXEZk63/IKv8vfJZ+g==" saltValue="eCmNtwhO1wXXNTmVigdwRg==" spinCount="100000" sheet="1" objects="1" scenarios="1" selectLockedCells="1"/>
  <mergeCells>
    <mergeCell ref="L13:M13"/>
    <mergeCell ref="L8:M8"/>
    <mergeCell ref="L9:M9"/>
    <mergeCell ref="L10:M10"/>
    <mergeCell ref="L11:M11"/>
    <mergeCell ref="L12:M12"/>
    <mergeCell ref="K19:L19"/>
    <mergeCell ref="U19:V19"/>
    <mergeCell ref="L15:M15"/>
    <mergeCell ref="L16:M16"/>
    <mergeCell ref="L14:M14"/>
    <mergeCell ref="K18:L18"/>
    <mergeCell ref="U18:V18"/>
    <mergeCell ref="L6:M6"/>
    <mergeCell ref="L7:M7"/>
    <mergeCell ref="X4:AB4"/>
    <mergeCell ref="L4:M4"/>
    <mergeCell ref="N4:R4"/>
    <mergeCell ref="S4:W4"/>
    <mergeCell ref="F1:G1"/>
    <mergeCell ref="K2:L2"/>
    <mergeCell ref="N2:O2"/>
    <mergeCell ref="K1:AD1"/>
    <mergeCell ref="AC4:AC5"/>
    <mergeCell ref="AD4:AD5"/>
    <mergeCell ref="L5:M5"/>
    <mergeCell ref="K4:K5"/>
  </mergeCells>
  <conditionalFormatting sqref="AC4">
    <cfRule type="cellIs" dxfId="0" priority="11" operator="equal">
      <formula>"check"</formula>
    </cfRule>
  </conditionalFormatting>
  <conditionalFormatting sqref="L5:L14 L16 N5:AB5">
    <cfRule type="cellIs" dxfId="0" priority="14" operator="equal">
      <formula>"check"</formula>
    </cfRule>
  </conditionalFormatting>
  <conditionalFormatting sqref="L4 S4 X4 N4">
    <cfRule type="cellIs" dxfId="0" priority="15" operator="equal">
      <formula>"check"</formula>
    </cfRule>
  </conditionalFormatting>
  <conditionalFormatting sqref="L15">
    <cfRule type="cellIs" dxfId="0" priority="13" operator="equal">
      <formula>"check"</formula>
    </cfRule>
  </conditionalFormatting>
  <conditionalFormatting sqref="AD4">
    <cfRule type="cellIs" dxfId="0" priority="12" operator="equal">
      <formula>"check"</formula>
    </cfRule>
  </conditionalFormatting>
  <conditionalFormatting sqref="P23:P37">
    <cfRule type="cellIs" dxfId="0" priority="9" operator="equal">
      <formula>"check"</formula>
    </cfRule>
  </conditionalFormatting>
  <conditionalFormatting sqref="O23:O25">
    <cfRule type="cellIs" dxfId="0" priority="10" operator="equal">
      <formula>"check"</formula>
    </cfRule>
  </conditionalFormatting>
  <conditionalFormatting sqref="P22:T22">
    <cfRule type="cellIs" dxfId="0" priority="8" operator="equal">
      <formula>"check"</formula>
    </cfRule>
  </conditionalFormatting>
  <conditionalFormatting sqref="K4">
    <cfRule type="cellIs" dxfId="0" priority="7" operator="equal">
      <formula>"check"</formula>
    </cfRule>
  </conditionalFormatting>
  <conditionalFormatting sqref="AC6:AC16 S6:W11">
    <cfRule type="cellIs" dxfId="0" priority="3" operator="equal">
      <formula>"check"</formula>
    </cfRule>
  </conditionalFormatting>
  <conditionalFormatting sqref="Y11:AB11">
    <cfRule type="cellIs" dxfId="0" priority="4" operator="equal">
      <formula>"check"</formula>
    </cfRule>
  </conditionalFormatting>
  <conditionalFormatting sqref="N6:R16">
    <cfRule type="cellIs" dxfId="0" priority="2" operator="equal">
      <formula>"check"</formula>
    </cfRule>
  </conditionalFormatting>
  <conditionalFormatting sqref="S12:AB16">
    <cfRule type="cellIs" dxfId="0" priority="1" operator="equal">
      <formula>"check"</formula>
    </cfRule>
  </conditionalFormatting>
  <conditionalFormatting sqref="AD6:AD16">
    <cfRule type="iconSet" priority="69">
      <iconSet iconSet="3Symbols">
        <cfvo type="percent" val="0"/>
        <cfvo type="percent" val="33"/>
        <cfvo type="percent" val="67"/>
      </iconSet>
    </cfRule>
  </conditionalFormatting>
  <dataValidations count="3">
    <dataValidation type="list" allowBlank="1" showInputMessage="1" showErrorMessage="1" sqref="R2">
      <formula1>INDIRECT($P$2)</formula1>
    </dataValidation>
    <dataValidation type="list" allowBlank="1" showInputMessage="1" showErrorMessage="1" sqref="V2">
      <formula1>INDIRECT(SUBSTITUTE($P$2&amp;$T$2," ",""))</formula1>
    </dataValidation>
    <dataValidation type="list" allowBlank="1" showInputMessage="1" showErrorMessage="1" sqref="T2">
      <formula1>INDIRECT(SUBSTITUTE($P$2&amp;$R$2," ",""))</formula1>
    </dataValidation>
  </dataValidations>
  <pageMargins left="0.7" right="0.7" top="0.75" bottom="0.75" header="0.3" footer="0.3"/>
  <pageSetup scale="23" orientation="portrait"/>
  <headerFooter/>
  <colBreaks count="1" manualBreakCount="1">
    <brk id="9" max="16383" man="1"/>
  </colBreaks>
  <drawing r:id="rId2"/>
  <legacyDrawing r:id="rId3"/>
  <mc:AlternateContent xmlns:mc="http://schemas.openxmlformats.org/markup-compatibility/2006">
    <mc:Choice Requires="x14">
      <controls>
        <mc:AlternateContent xmlns:mc="http://schemas.openxmlformats.org/markup-compatibility/2006">
          <mc:Choice Requires="x14">
            <control shapeId="9217" r:id="rId4" name="Button 1">
              <controlPr defaultSize="0" print="0" autoFill="0" autoPict="0" macro="[0]!Button2_Click" altText="Complete">
                <anchor moveWithCells="1" sizeWithCells="1">
                  <from>
                    <xdr:col>9</xdr:col>
                    <xdr:colOff>819150</xdr:colOff>
                    <xdr:row>1</xdr:row>
                    <xdr:rowOff>38100</xdr:rowOff>
                  </from>
                  <to>
                    <xdr:col>11</xdr:col>
                    <xdr:colOff>0</xdr:colOff>
                    <xdr:row>2</xdr:row>
                    <xdr:rowOff>12700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3">
        <x14:dataValidation type="list" allowBlank="1" showInputMessage="1" showErrorMessage="1">
          <x14:formula1>
            <xm:f>Data_donotedit!$A$2:$A$10</xm:f>
          </x14:formula1>
          <xm:sqref>P2</xm:sqref>
        </x14:dataValidation>
        <x14:dataValidation type="list" showInputMessage="1" showErrorMessage="1">
          <x14:formula1>
            <xm:f>Data_donotedit!$F$2:$F$7</xm:f>
          </x14:formula1>
          <xm:sqref>M2</xm:sqref>
        </x14:dataValidation>
        <x14:dataValidation type="list" allowBlank="1" showInputMessage="1" showErrorMessage="1">
          <x14:formula1>
            <xm:f>Data_donotedit!$C$2:$C$5</xm:f>
          </x14:formula1>
          <xm:sqref>Y2</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XEQ1250"/>
  <sheetViews>
    <sheetView tabSelected="1" topLeftCell="A127" zoomScale="80" zoomScaleNormal="80" workbookViewId="0">
      <selection activeCell="C129" sqref="C129"/>
    </sheetView>
  </sheetViews>
  <sheetFormatPr defaultColWidth="8.81640625" defaultRowHeight="45" customHeight="1" x14ac:dyDescent="0.35"/>
  <cols>
    <col min="1" max="1" width="12.54296875" customWidth="1" style="283"/>
    <col min="2" max="2" bestFit="1" width="16.7265625" customWidth="1" style="251"/>
    <col min="3" max="3" width="103.26953125" customWidth="1" style="270"/>
    <col min="4" max="4" width="12.26953125" customWidth="1" style="278"/>
    <col min="5" max="5" width="13" customWidth="1" style="278"/>
    <col min="6" max="6" width="14.7265625" customWidth="1" style="278"/>
    <col min="7" max="7" bestFit="1" width="18.7265625" customWidth="1" style="225"/>
    <col min="8" max="16384" width="8.81640625" customWidth="1" style="67"/>
  </cols>
  <sheetData>
    <row r="1" ht="45" customHeight="1">
      <c r="A1" s="219" t="s">
        <v>63</v>
      </c>
      <c r="B1" s="220" t="s">
        <v>64</v>
      </c>
      <c r="C1" s="221" t="s">
        <v>65</v>
      </c>
      <c r="D1" s="222"/>
      <c r="E1" s="223" t="s">
        <v>66</v>
      </c>
      <c r="F1" s="224"/>
    </row>
    <row r="2" ht="45" customHeight="1">
      <c r="A2" s="226"/>
      <c r="B2" s="227" t="s">
        <v>67</v>
      </c>
      <c r="C2" s="228" t="s">
        <v>68</v>
      </c>
      <c r="D2" s="228"/>
      <c r="E2" s="229"/>
      <c r="F2" s="298">
        <v>3369</v>
      </c>
      <c r="G2" s="207" t="s">
        <v>67</v>
      </c>
    </row>
    <row r="3" ht="45" customHeight="1">
      <c r="A3" s="226"/>
      <c r="B3" s="230" t="s">
        <v>69</v>
      </c>
      <c r="C3" s="228" t="s">
        <v>70</v>
      </c>
      <c r="D3" s="228"/>
      <c r="E3" s="231"/>
      <c r="F3" s="298">
        <f>_xlfn.IFNA(VLOOKUP(B3,Worksheet!$C$3:$G$46,5,FALSE),F3)</f>
        <v>11</v>
      </c>
      <c r="G3" s="207" t="s">
        <v>67</v>
      </c>
    </row>
    <row r="4" ht="45" customHeight="1">
      <c r="A4" s="226"/>
      <c r="B4" s="230" t="s">
        <v>71</v>
      </c>
      <c r="C4" s="228" t="s">
        <v>72</v>
      </c>
      <c r="D4" s="232"/>
      <c r="E4" s="231"/>
      <c r="F4" s="298">
        <f>_xlfn.IFNA(VLOOKUP(B4,Worksheet!$C$3:$G$46,5,FALSE),F4)</f>
        <v>198</v>
      </c>
      <c r="G4" s="207" t="s">
        <v>67</v>
      </c>
    </row>
    <row r="5" ht="45" customHeight="1">
      <c r="A5" s="226"/>
      <c r="B5" s="230" t="s">
        <v>73</v>
      </c>
      <c r="C5" s="228" t="s">
        <v>74</v>
      </c>
      <c r="D5" s="228"/>
      <c r="E5" s="231"/>
      <c r="F5" s="298">
        <f>_xlfn.IFNA(VLOOKUP(B5,Worksheet!$C$3:$G$46,5,FALSE),F5)</f>
        <v>11</v>
      </c>
      <c r="G5" s="207" t="s">
        <v>67</v>
      </c>
    </row>
    <row r="6" ht="45" customHeight="1">
      <c r="A6" s="226"/>
      <c r="B6" s="233" t="s">
        <v>75</v>
      </c>
      <c r="C6" s="234" t="s">
        <v>76</v>
      </c>
      <c r="D6" s="235"/>
      <c r="E6" s="236"/>
      <c r="F6" s="237">
        <f>_xlfn.IFNA(VLOOKUP(F2,Data_donotedit!$BE$2:$BG$25,3,TRUE),0)</f>
        <v>75</v>
      </c>
      <c r="G6" s="207" t="s">
        <v>67</v>
      </c>
    </row>
    <row r="7" ht="45" customHeight="1">
      <c r="A7" s="226"/>
      <c r="B7" s="238"/>
      <c r="C7" s="239" t="s">
        <v>77</v>
      </c>
      <c r="D7" s="240" t="s">
        <v>78</v>
      </c>
      <c r="E7" s="240" t="s">
        <v>79</v>
      </c>
      <c r="F7" s="241" t="s">
        <v>80</v>
      </c>
      <c r="G7" s="207" t="s">
        <v>67</v>
      </c>
    </row>
    <row r="8" ht="45" customHeight="1">
      <c r="A8" s="226"/>
      <c r="B8" s="238">
        <v>1111</v>
      </c>
      <c r="C8" s="242" t="s">
        <v>81</v>
      </c>
      <c r="D8" s="299">
        <v>0</v>
      </c>
      <c r="E8" s="299">
        <v>0</v>
      </c>
      <c r="F8" s="299">
        <v>0</v>
      </c>
      <c r="G8" s="207" t="s">
        <v>67</v>
      </c>
    </row>
    <row r="9" ht="45" customHeight="1">
      <c r="A9" s="226"/>
      <c r="B9" s="238">
        <v>1112</v>
      </c>
      <c r="C9" s="242" t="s">
        <v>82</v>
      </c>
      <c r="D9" s="299">
        <v>0</v>
      </c>
      <c r="E9" s="299">
        <v>0</v>
      </c>
      <c r="F9" s="299">
        <v>0</v>
      </c>
      <c r="G9" s="207" t="s">
        <v>67</v>
      </c>
    </row>
    <row r="10" ht="45" customHeight="1">
      <c r="A10" s="226"/>
      <c r="B10" s="238">
        <v>1113</v>
      </c>
      <c r="C10" s="242" t="s">
        <v>83</v>
      </c>
      <c r="D10" s="299">
        <v>47</v>
      </c>
      <c r="E10" s="299">
        <v>23</v>
      </c>
      <c r="F10" s="299">
        <v>35</v>
      </c>
      <c r="G10" s="207" t="s">
        <v>67</v>
      </c>
    </row>
    <row r="11" ht="45" customHeight="1">
      <c r="A11" s="226"/>
      <c r="B11" s="238">
        <v>1114</v>
      </c>
      <c r="C11" s="243" t="s">
        <v>84</v>
      </c>
      <c r="D11" s="299">
        <v>47</v>
      </c>
      <c r="E11" s="299">
        <v>23</v>
      </c>
      <c r="F11" s="299">
        <v>35</v>
      </c>
      <c r="G11" s="207" t="s">
        <v>67</v>
      </c>
    </row>
    <row r="12" ht="45" customHeight="1">
      <c r="A12" s="226"/>
      <c r="B12" s="238">
        <v>1115</v>
      </c>
      <c r="C12" s="242" t="s">
        <v>85</v>
      </c>
      <c r="D12" s="299">
        <v>0</v>
      </c>
      <c r="E12" s="299">
        <v>0</v>
      </c>
      <c r="F12" s="299">
        <v>0</v>
      </c>
      <c r="G12" s="207" t="s">
        <v>67</v>
      </c>
    </row>
    <row r="13" ht="45" customHeight="1">
      <c r="A13" s="226" t="s">
        <v>86</v>
      </c>
      <c r="B13" s="238">
        <v>1116</v>
      </c>
      <c r="C13" s="242" t="s">
        <v>87</v>
      </c>
      <c r="D13" s="299">
        <v>40</v>
      </c>
      <c r="E13" s="299">
        <v>18</v>
      </c>
      <c r="F13" s="299">
        <v>28</v>
      </c>
      <c r="G13" s="207" t="s">
        <v>67</v>
      </c>
    </row>
    <row r="14" ht="45" customHeight="1">
      <c r="A14" s="226"/>
      <c r="B14" s="238">
        <v>1117</v>
      </c>
      <c r="C14" s="242" t="s">
        <v>88</v>
      </c>
      <c r="D14" s="299">
        <v>40</v>
      </c>
      <c r="E14" s="299">
        <v>18</v>
      </c>
      <c r="F14" s="299">
        <v>28</v>
      </c>
      <c r="G14" s="207" t="s">
        <v>67</v>
      </c>
    </row>
    <row r="15" ht="45" customHeight="1">
      <c r="A15" s="226">
        <v>1116</v>
      </c>
      <c r="B15" s="238">
        <v>1121</v>
      </c>
      <c r="C15" s="243" t="str">
        <f>C13</f>
        <v>How many HTC clients have a completed Client intake form </v>
      </c>
      <c r="D15" s="300">
        <v>40</v>
      </c>
      <c r="E15" s="300">
        <v>18</v>
      </c>
      <c r="F15" s="300">
        <v>28</v>
      </c>
      <c r="G15" s="207"/>
    </row>
    <row r="16" ht="45" customHeight="1">
      <c r="A16" s="226"/>
      <c r="B16" s="238">
        <v>1122</v>
      </c>
      <c r="C16" s="243" t="s">
        <v>89</v>
      </c>
      <c r="D16" s="299">
        <v>40</v>
      </c>
      <c r="E16" s="299">
        <v>18</v>
      </c>
      <c r="F16" s="299">
        <v>28</v>
      </c>
      <c r="G16" s="207" t="s">
        <v>67</v>
      </c>
    </row>
    <row r="17" ht="45" customHeight="1">
      <c r="A17" s="226"/>
      <c r="B17" s="238">
        <v>1123</v>
      </c>
      <c r="C17" s="242" t="s">
        <v>90</v>
      </c>
      <c r="D17" s="299">
        <v>40</v>
      </c>
      <c r="E17" s="299">
        <v>18</v>
      </c>
      <c r="F17" s="299">
        <v>28</v>
      </c>
      <c r="G17" s="207" t="s">
        <v>67</v>
      </c>
    </row>
    <row r="18" ht="45" customHeight="1">
      <c r="A18" s="226"/>
      <c r="B18" s="238">
        <v>1124</v>
      </c>
      <c r="C18" s="242" t="s">
        <v>91</v>
      </c>
      <c r="D18" s="299">
        <v>40</v>
      </c>
      <c r="E18" s="299">
        <v>18</v>
      </c>
      <c r="F18" s="299">
        <v>28</v>
      </c>
      <c r="G18" s="207" t="s">
        <v>67</v>
      </c>
    </row>
    <row r="19" ht="45" customHeight="1">
      <c r="A19" s="226"/>
      <c r="B19" s="238">
        <v>1125</v>
      </c>
      <c r="C19" s="242" t="s">
        <v>92</v>
      </c>
      <c r="D19" s="299">
        <v>40</v>
      </c>
      <c r="E19" s="299">
        <v>18</v>
      </c>
      <c r="F19" s="299">
        <v>28</v>
      </c>
      <c r="G19" s="207" t="s">
        <v>67</v>
      </c>
    </row>
    <row r="20" ht="45" customHeight="1">
      <c r="A20" s="226"/>
      <c r="B20" s="238">
        <v>1126</v>
      </c>
      <c r="C20" s="242" t="s">
        <v>93</v>
      </c>
      <c r="D20" s="299">
        <v>40</v>
      </c>
      <c r="E20" s="299">
        <v>18</v>
      </c>
      <c r="F20" s="299">
        <v>28</v>
      </c>
      <c r="G20" s="207" t="s">
        <v>67</v>
      </c>
    </row>
    <row r="21" ht="45" customHeight="1">
      <c r="A21" s="226"/>
      <c r="B21" s="238">
        <v>1127</v>
      </c>
      <c r="C21" s="242" t="s">
        <v>94</v>
      </c>
      <c r="D21" s="299">
        <v>40</v>
      </c>
      <c r="E21" s="299">
        <v>18</v>
      </c>
      <c r="F21" s="299">
        <v>28</v>
      </c>
      <c r="G21" s="207" t="s">
        <v>67</v>
      </c>
    </row>
    <row r="22" ht="45" customHeight="1">
      <c r="A22" s="226"/>
      <c r="B22" s="238"/>
      <c r="C22" s="245" t="s">
        <v>95</v>
      </c>
      <c r="D22" s="246"/>
      <c r="E22" s="246"/>
      <c r="F22" s="247"/>
      <c r="G22" s="207" t="s">
        <v>67</v>
      </c>
    </row>
    <row r="23" ht="45" customHeight="1">
      <c r="A23" s="226"/>
      <c r="B23" s="238">
        <v>1131</v>
      </c>
      <c r="C23" s="242" t="s">
        <v>96</v>
      </c>
      <c r="D23" s="299">
        <v>467</v>
      </c>
      <c r="E23" s="299">
        <v>384</v>
      </c>
      <c r="F23" s="299">
        <v>295</v>
      </c>
      <c r="G23" s="207" t="s">
        <v>67</v>
      </c>
    </row>
    <row r="24" ht="45" customHeight="1">
      <c r="A24" s="226"/>
      <c r="B24" s="238">
        <v>1132</v>
      </c>
      <c r="C24" s="242" t="s">
        <v>97</v>
      </c>
      <c r="D24" s="299">
        <v>627</v>
      </c>
      <c r="E24" s="299">
        <v>649</v>
      </c>
      <c r="F24" s="299">
        <v>598</v>
      </c>
      <c r="G24" s="207" t="s">
        <v>67</v>
      </c>
    </row>
    <row r="25" ht="45" customHeight="1">
      <c r="A25" s="226"/>
      <c r="B25" s="238">
        <v>1133</v>
      </c>
      <c r="C25" s="242" t="s">
        <v>98</v>
      </c>
      <c r="D25" s="299">
        <v>1002</v>
      </c>
      <c r="E25" s="299">
        <v>644</v>
      </c>
      <c r="F25" s="299">
        <v>1052</v>
      </c>
      <c r="G25" s="207" t="s">
        <v>67</v>
      </c>
    </row>
    <row r="26" ht="45" customHeight="1">
      <c r="A26" s="226"/>
      <c r="B26" s="238">
        <v>1134</v>
      </c>
      <c r="C26" s="242" t="s">
        <v>99</v>
      </c>
      <c r="D26" s="299">
        <v>92</v>
      </c>
      <c r="E26" s="299">
        <v>389</v>
      </c>
      <c r="F26" s="299">
        <v>200</v>
      </c>
      <c r="G26" s="207" t="s">
        <v>67</v>
      </c>
    </row>
    <row r="27" ht="45" customHeight="1">
      <c r="A27" s="226"/>
      <c r="B27" s="238">
        <v>1135</v>
      </c>
      <c r="C27" s="242" t="s">
        <v>100</v>
      </c>
      <c r="D27" s="299">
        <v>1094</v>
      </c>
      <c r="E27" s="299">
        <v>1033</v>
      </c>
      <c r="F27" s="299">
        <v>1258</v>
      </c>
      <c r="G27" s="207" t="s">
        <v>67</v>
      </c>
    </row>
    <row r="28" ht="45" customHeight="1">
      <c r="A28" s="226"/>
      <c r="B28" s="238">
        <v>1136</v>
      </c>
      <c r="C28" s="242" t="s">
        <v>101</v>
      </c>
      <c r="D28" s="299">
        <v>1094</v>
      </c>
      <c r="E28" s="299">
        <v>1033</v>
      </c>
      <c r="F28" s="299">
        <v>1258</v>
      </c>
      <c r="G28" s="207" t="s">
        <v>67</v>
      </c>
    </row>
    <row r="29" ht="45" customHeight="1">
      <c r="A29" s="226"/>
      <c r="B29" s="238">
        <v>1137</v>
      </c>
      <c r="C29" s="242" t="s">
        <v>102</v>
      </c>
      <c r="D29" s="299">
        <v>67</v>
      </c>
      <c r="E29" s="299">
        <v>11</v>
      </c>
      <c r="F29" s="299">
        <v>45</v>
      </c>
      <c r="G29" s="207" t="s">
        <v>67</v>
      </c>
    </row>
    <row r="30" ht="45" customHeight="1">
      <c r="A30" s="226"/>
      <c r="B30" s="238">
        <v>1138</v>
      </c>
      <c r="C30" s="242" t="s">
        <v>103</v>
      </c>
      <c r="D30" s="299">
        <v>1027</v>
      </c>
      <c r="E30" s="299">
        <v>1022</v>
      </c>
      <c r="F30" s="299">
        <v>1213</v>
      </c>
      <c r="G30" s="207" t="s">
        <v>67</v>
      </c>
    </row>
    <row r="31" ht="45" customHeight="1">
      <c r="A31" s="226">
        <v>1116</v>
      </c>
      <c r="B31" s="238">
        <v>1141</v>
      </c>
      <c r="C31" s="242" t="s">
        <v>104</v>
      </c>
      <c r="D31" s="300">
        <v>40</v>
      </c>
      <c r="E31" s="300">
        <v>18</v>
      </c>
      <c r="F31" s="300">
        <v>28</v>
      </c>
      <c r="G31" s="207"/>
    </row>
    <row r="32" ht="45" customHeight="1">
      <c r="A32" s="226"/>
      <c r="B32" s="238">
        <v>1142</v>
      </c>
      <c r="C32" s="243" t="s">
        <v>105</v>
      </c>
      <c r="D32" s="300">
        <v>40</v>
      </c>
      <c r="E32" s="300">
        <v>18</v>
      </c>
      <c r="F32" s="300">
        <v>28</v>
      </c>
      <c r="G32" s="207"/>
    </row>
    <row r="33" ht="45" customHeight="1">
      <c r="A33" s="226"/>
      <c r="B33" s="238">
        <v>1143</v>
      </c>
      <c r="C33" s="242" t="s">
        <v>106</v>
      </c>
      <c r="D33" s="299">
        <v>1094</v>
      </c>
      <c r="E33" s="299">
        <v>1033</v>
      </c>
      <c r="F33" s="299">
        <v>1258</v>
      </c>
      <c r="G33" s="207" t="s">
        <v>67</v>
      </c>
    </row>
    <row r="34" ht="45" customHeight="1">
      <c r="A34" s="226"/>
      <c r="B34" s="238">
        <v>1144</v>
      </c>
      <c r="C34" s="242" t="s">
        <v>107</v>
      </c>
      <c r="D34" s="299">
        <v>0</v>
      </c>
      <c r="E34" s="299">
        <v>0</v>
      </c>
      <c r="F34" s="299">
        <v>0</v>
      </c>
      <c r="G34" s="207" t="s">
        <v>67</v>
      </c>
    </row>
    <row r="35" ht="45" customHeight="1">
      <c r="A35" s="226"/>
      <c r="B35" s="238">
        <v>1145</v>
      </c>
      <c r="C35" s="242" t="s">
        <v>108</v>
      </c>
      <c r="D35" s="299">
        <v>0</v>
      </c>
      <c r="E35" s="299">
        <v>0</v>
      </c>
      <c r="F35" s="299">
        <v>0</v>
      </c>
      <c r="G35" s="207" t="s">
        <v>67</v>
      </c>
    </row>
    <row r="36" ht="45" customHeight="1">
      <c r="A36" s="226"/>
      <c r="B36" s="238">
        <v>1151</v>
      </c>
      <c r="C36" s="248" t="s">
        <v>109</v>
      </c>
      <c r="D36" s="249" t="e">
        <f>D37/D38</f>
        <v>#DIV/0!</v>
      </c>
      <c r="E36" s="249" t="e">
        <f ref="E36:F36" t="shared" si="1">E37/E38</f>
        <v>#DIV/0!</v>
      </c>
      <c r="F36" s="249" t="e">
        <f t="shared" si="1"/>
        <v>#DIV/0!</v>
      </c>
      <c r="G36" s="207"/>
    </row>
    <row r="37" ht="45" customHeight="1">
      <c r="A37" s="226"/>
      <c r="B37" s="238">
        <v>1152</v>
      </c>
      <c r="C37" s="242" t="s">
        <v>110</v>
      </c>
      <c r="D37" s="299">
        <v>1002</v>
      </c>
      <c r="E37" s="299">
        <v>644</v>
      </c>
      <c r="F37" s="299">
        <v>1052</v>
      </c>
      <c r="G37" s="207" t="s">
        <v>67</v>
      </c>
    </row>
    <row r="38" ht="45" customHeight="1">
      <c r="A38" s="226"/>
      <c r="B38" s="238">
        <v>1153</v>
      </c>
      <c r="C38" s="242" t="s">
        <v>111</v>
      </c>
      <c r="D38" s="299">
        <v>0</v>
      </c>
      <c r="E38" s="299">
        <v>0</v>
      </c>
      <c r="F38" s="299">
        <v>0</v>
      </c>
      <c r="G38" s="207" t="s">
        <v>67</v>
      </c>
    </row>
    <row r="39" ht="45" customHeight="1">
      <c r="A39" s="226"/>
      <c r="B39" s="238">
        <v>1154</v>
      </c>
      <c r="C39" s="248" t="s">
        <v>112</v>
      </c>
      <c r="D39" s="249" t="e">
        <f>D40/D41</f>
        <v>#DIV/0!</v>
      </c>
      <c r="E39" s="249" t="e">
        <f ref="E39:F39" t="shared" si="2">E40/E41</f>
        <v>#DIV/0!</v>
      </c>
      <c r="F39" s="249" t="e">
        <f t="shared" si="2"/>
        <v>#DIV/0!</v>
      </c>
      <c r="G39" s="207"/>
    </row>
    <row r="40" ht="45" customHeight="1">
      <c r="A40" s="226"/>
      <c r="B40" s="238">
        <v>1155</v>
      </c>
      <c r="C40" s="242" t="s">
        <v>110</v>
      </c>
      <c r="D40" s="299">
        <v>1002</v>
      </c>
      <c r="E40" s="299">
        <v>644</v>
      </c>
      <c r="F40" s="299">
        <v>1052</v>
      </c>
      <c r="G40" s="207" t="s">
        <v>67</v>
      </c>
    </row>
    <row r="41" ht="45" customHeight="1">
      <c r="A41" s="226"/>
      <c r="B41" s="238">
        <v>1156</v>
      </c>
      <c r="C41" s="242" t="s">
        <v>113</v>
      </c>
      <c r="D41" s="299">
        <v>0</v>
      </c>
      <c r="E41" s="299">
        <v>0</v>
      </c>
      <c r="F41" s="299">
        <v>0</v>
      </c>
      <c r="G41" s="207" t="s">
        <v>67</v>
      </c>
    </row>
    <row r="42" ht="45" customHeight="1">
      <c r="A42" s="226"/>
      <c r="B42" s="238">
        <v>1157</v>
      </c>
      <c r="C42" s="248" t="s">
        <v>114</v>
      </c>
      <c r="D42" s="249" t="e">
        <f>D43/D44</f>
        <v>#DIV/0!</v>
      </c>
      <c r="E42" s="249" t="e">
        <f ref="E42:F42" t="shared" si="3">E43/E44</f>
        <v>#DIV/0!</v>
      </c>
      <c r="F42" s="249" t="e">
        <f t="shared" si="3"/>
        <v>#DIV/0!</v>
      </c>
      <c r="G42" s="207"/>
    </row>
    <row r="43" ht="45" customHeight="1">
      <c r="A43" s="226"/>
      <c r="B43" s="238">
        <v>1158</v>
      </c>
      <c r="C43" s="242" t="s">
        <v>115</v>
      </c>
      <c r="D43" s="299">
        <v>62</v>
      </c>
      <c r="E43" s="299">
        <v>11</v>
      </c>
      <c r="F43" s="299">
        <v>40</v>
      </c>
      <c r="G43" s="207" t="s">
        <v>67</v>
      </c>
    </row>
    <row r="44" ht="45" customHeight="1" s="250" customFormat="1">
      <c r="A44" s="226"/>
      <c r="B44" s="238">
        <v>1159</v>
      </c>
      <c r="C44" s="242" t="s">
        <v>116</v>
      </c>
      <c r="D44" s="299">
        <v>0</v>
      </c>
      <c r="E44" s="299">
        <v>0</v>
      </c>
      <c r="F44" s="299">
        <v>0</v>
      </c>
      <c r="G44" s="207" t="s">
        <v>67</v>
      </c>
    </row>
    <row r="45" ht="45" customHeight="1" s="250" customFormat="1">
      <c r="A45" s="226"/>
      <c r="B45" s="251"/>
      <c r="C45" s="252"/>
      <c r="D45" s="253"/>
      <c r="E45" s="254"/>
      <c r="F45" s="254"/>
      <c r="G45" s="207"/>
    </row>
    <row r="46" ht="45" customHeight="1" s="250" customFormat="1">
      <c r="A46" s="226"/>
      <c r="B46" s="255" t="s">
        <v>117</v>
      </c>
      <c r="C46" s="256" t="s">
        <v>118</v>
      </c>
      <c r="D46" s="228"/>
      <c r="E46" s="231"/>
      <c r="F46" s="298">
        <v>502</v>
      </c>
      <c r="G46" s="207" t="s">
        <v>117</v>
      </c>
    </row>
    <row r="47" ht="45" customHeight="1" s="250" customFormat="1">
      <c r="A47" s="226"/>
      <c r="B47" s="257" t="s">
        <v>119</v>
      </c>
      <c r="C47" s="228" t="s">
        <v>120</v>
      </c>
      <c r="D47" s="232"/>
      <c r="E47" s="231"/>
      <c r="F47" s="298">
        <v>2</v>
      </c>
      <c r="G47" s="207" t="s">
        <v>117</v>
      </c>
    </row>
    <row r="48" ht="45" customHeight="1">
      <c r="A48" s="226"/>
      <c r="B48" s="257" t="s">
        <v>121</v>
      </c>
      <c r="C48" s="228" t="s">
        <v>122</v>
      </c>
      <c r="D48" s="228"/>
      <c r="E48" s="258"/>
      <c r="F48" s="298">
        <f>_xlfn.IFNA(VLOOKUP(B48,Worksheet!$C$3:$G$46,5,FALSE),F48)</f>
        <v>0</v>
      </c>
      <c r="G48" s="207" t="s">
        <v>117</v>
      </c>
    </row>
    <row r="49" ht="45" customHeight="1">
      <c r="A49" s="226"/>
      <c r="B49" s="259" t="s">
        <v>123</v>
      </c>
      <c r="C49" s="260" t="s">
        <v>124</v>
      </c>
      <c r="D49" s="235"/>
      <c r="E49" s="261"/>
      <c r="F49" s="237">
        <f>_xlfn.IFNA(VLOOKUP(F46,Data_donotedit!$BE$2:$BG$25,3,TRUE),0)</f>
        <v>35</v>
      </c>
      <c r="G49" s="207" t="s">
        <v>117</v>
      </c>
    </row>
    <row r="50" ht="45" customHeight="1">
      <c r="A50" s="226"/>
      <c r="B50" s="238"/>
      <c r="C50" s="262" t="s">
        <v>125</v>
      </c>
      <c r="D50" s="240" t="s">
        <v>126</v>
      </c>
      <c r="E50" s="240" t="s">
        <v>79</v>
      </c>
      <c r="F50" s="241" t="s">
        <v>80</v>
      </c>
      <c r="G50" s="207" t="s">
        <v>117</v>
      </c>
    </row>
    <row r="51" ht="45" customHeight="1">
      <c r="A51" s="263" t="s">
        <v>127</v>
      </c>
      <c r="B51" s="238">
        <v>1211</v>
      </c>
      <c r="C51" s="242" t="s">
        <v>128</v>
      </c>
      <c r="D51" s="299">
        <v>0</v>
      </c>
      <c r="E51" s="299">
        <v>0</v>
      </c>
      <c r="F51" s="299">
        <v>0</v>
      </c>
      <c r="G51" s="207" t="s">
        <v>117</v>
      </c>
    </row>
    <row r="52" ht="45" customHeight="1">
      <c r="A52" s="263" t="s">
        <v>129</v>
      </c>
      <c r="B52" s="238">
        <v>1212</v>
      </c>
      <c r="C52" s="242" t="s">
        <v>130</v>
      </c>
      <c r="D52" s="299">
        <v>0</v>
      </c>
      <c r="E52" s="299">
        <v>0</v>
      </c>
      <c r="F52" s="299">
        <v>0</v>
      </c>
      <c r="G52" s="207" t="s">
        <v>117</v>
      </c>
    </row>
    <row r="53" ht="45" customHeight="1">
      <c r="A53" s="226"/>
      <c r="B53" s="238">
        <v>1213</v>
      </c>
      <c r="C53" s="242" t="s">
        <v>131</v>
      </c>
      <c r="D53" s="299">
        <v>22</v>
      </c>
      <c r="E53" s="299">
        <v>38</v>
      </c>
      <c r="F53" s="299">
        <v>28</v>
      </c>
      <c r="G53" s="207" t="s">
        <v>117</v>
      </c>
    </row>
    <row r="54" ht="45" customHeight="1">
      <c r="A54" s="226"/>
      <c r="B54" s="238">
        <v>1214</v>
      </c>
      <c r="C54" s="264" t="s">
        <v>132</v>
      </c>
      <c r="D54" s="299">
        <v>22</v>
      </c>
      <c r="E54" s="299">
        <v>38</v>
      </c>
      <c r="F54" s="299">
        <v>28</v>
      </c>
      <c r="G54" s="207" t="s">
        <v>117</v>
      </c>
    </row>
    <row r="55" ht="45" customHeight="1">
      <c r="A55" s="226"/>
      <c r="B55" s="238">
        <v>1215</v>
      </c>
      <c r="C55" s="242" t="s">
        <v>133</v>
      </c>
      <c r="D55" s="299">
        <v>22</v>
      </c>
      <c r="E55" s="299">
        <v>38</v>
      </c>
      <c r="F55" s="299">
        <v>28</v>
      </c>
      <c r="G55" s="207" t="s">
        <v>117</v>
      </c>
    </row>
    <row r="56" ht="45" customHeight="1">
      <c r="A56" s="226"/>
      <c r="B56" s="238">
        <v>1216</v>
      </c>
      <c r="C56" s="243" t="s">
        <v>134</v>
      </c>
      <c r="D56" s="299">
        <v>22</v>
      </c>
      <c r="E56" s="299">
        <v>30</v>
      </c>
      <c r="F56" s="299">
        <v>28</v>
      </c>
      <c r="G56" s="207" t="s">
        <v>117</v>
      </c>
    </row>
    <row r="57" ht="45" customHeight="1">
      <c r="A57" s="226"/>
      <c r="B57" s="238">
        <v>1217</v>
      </c>
      <c r="C57" s="243" t="s">
        <v>135</v>
      </c>
      <c r="D57" s="299">
        <v>5</v>
      </c>
      <c r="E57" s="299">
        <v>11</v>
      </c>
      <c r="F57" s="299">
        <v>10</v>
      </c>
      <c r="G57" s="207" t="s">
        <v>117</v>
      </c>
    </row>
    <row r="58" ht="45" customHeight="1">
      <c r="A58" s="226"/>
      <c r="B58" s="238">
        <v>1218</v>
      </c>
      <c r="C58" s="243" t="s">
        <v>136</v>
      </c>
      <c r="D58" s="299">
        <v>1</v>
      </c>
      <c r="E58" s="299">
        <v>2</v>
      </c>
      <c r="F58" s="299">
        <v>1</v>
      </c>
      <c r="G58" s="207" t="s">
        <v>117</v>
      </c>
    </row>
    <row r="59" ht="45" customHeight="1">
      <c r="A59" s="226"/>
      <c r="B59" s="238">
        <v>1221</v>
      </c>
      <c r="C59" s="264" t="s">
        <v>137</v>
      </c>
      <c r="D59" s="299">
        <v>22</v>
      </c>
      <c r="E59" s="299">
        <v>38</v>
      </c>
      <c r="F59" s="299">
        <v>28</v>
      </c>
      <c r="G59" s="207" t="s">
        <v>117</v>
      </c>
    </row>
    <row r="60" ht="45" customHeight="1">
      <c r="A60" s="226"/>
      <c r="B60" s="238">
        <v>1222</v>
      </c>
      <c r="C60" s="264" t="s">
        <v>138</v>
      </c>
      <c r="D60" s="299">
        <v>17</v>
      </c>
      <c r="E60" s="299">
        <v>27</v>
      </c>
      <c r="F60" s="299">
        <v>18</v>
      </c>
      <c r="G60" s="207" t="s">
        <v>117</v>
      </c>
    </row>
    <row r="61" ht="45" customHeight="1">
      <c r="A61" s="226"/>
      <c r="B61" s="238">
        <v>1223</v>
      </c>
      <c r="C61" s="264" t="s">
        <v>139</v>
      </c>
      <c r="D61" s="299">
        <v>17</v>
      </c>
      <c r="E61" s="299">
        <v>27</v>
      </c>
      <c r="F61" s="299">
        <v>18</v>
      </c>
      <c r="G61" s="207" t="s">
        <v>117</v>
      </c>
    </row>
    <row r="62" ht="54.65" customHeight="1">
      <c r="A62" s="226"/>
      <c r="B62" s="238">
        <v>1224</v>
      </c>
      <c r="C62" s="264" t="s">
        <v>140</v>
      </c>
      <c r="D62" s="299">
        <v>17</v>
      </c>
      <c r="E62" s="299">
        <v>27</v>
      </c>
      <c r="F62" s="299">
        <v>18</v>
      </c>
      <c r="G62" s="207" t="s">
        <v>117</v>
      </c>
    </row>
    <row r="63" ht="66.65" customHeight="1">
      <c r="A63" s="226"/>
      <c r="B63" s="238">
        <v>1225</v>
      </c>
      <c r="C63" s="264" t="s">
        <v>141</v>
      </c>
      <c r="D63" s="299">
        <v>17</v>
      </c>
      <c r="E63" s="299">
        <v>27</v>
      </c>
      <c r="F63" s="299">
        <v>18</v>
      </c>
      <c r="G63" s="207" t="s">
        <v>117</v>
      </c>
    </row>
    <row r="64" ht="45" customHeight="1">
      <c r="A64" s="226"/>
      <c r="B64" s="238">
        <v>1226</v>
      </c>
      <c r="C64" s="264" t="s">
        <v>142</v>
      </c>
      <c r="D64" s="299">
        <v>5</v>
      </c>
      <c r="E64" s="299">
        <v>11</v>
      </c>
      <c r="F64" s="299">
        <v>10</v>
      </c>
      <c r="G64" s="207" t="s">
        <v>117</v>
      </c>
    </row>
    <row r="65" ht="45" customHeight="1">
      <c r="A65" s="226"/>
      <c r="B65" s="238">
        <v>1227</v>
      </c>
      <c r="C65" s="264" t="s">
        <v>143</v>
      </c>
      <c r="D65" s="299">
        <v>5</v>
      </c>
      <c r="E65" s="299">
        <v>11</v>
      </c>
      <c r="F65" s="299">
        <v>10</v>
      </c>
      <c r="G65" s="207" t="s">
        <v>117</v>
      </c>
    </row>
    <row r="66" ht="45" customHeight="1">
      <c r="A66" s="226"/>
      <c r="B66" s="238"/>
      <c r="C66" s="245" t="s">
        <v>144</v>
      </c>
      <c r="D66" s="246"/>
      <c r="E66" s="246"/>
      <c r="F66" s="247"/>
      <c r="G66" s="207" t="s">
        <v>117</v>
      </c>
    </row>
    <row r="67" ht="45" customHeight="1">
      <c r="A67" s="226"/>
      <c r="B67" s="238">
        <v>1231</v>
      </c>
      <c r="C67" s="242" t="s">
        <v>145</v>
      </c>
      <c r="D67" s="299">
        <v>44</v>
      </c>
      <c r="E67" s="299">
        <v>66</v>
      </c>
      <c r="F67" s="299">
        <v>30</v>
      </c>
      <c r="G67" s="207" t="s">
        <v>117</v>
      </c>
    </row>
    <row r="68" ht="42" customHeight="1">
      <c r="A68" s="226"/>
      <c r="B68" s="238">
        <v>1232</v>
      </c>
      <c r="C68" s="242" t="s">
        <v>146</v>
      </c>
      <c r="D68" s="299">
        <v>0</v>
      </c>
      <c r="E68" s="299">
        <v>0</v>
      </c>
      <c r="F68" s="299">
        <v>0</v>
      </c>
      <c r="G68" s="207" t="s">
        <v>117</v>
      </c>
    </row>
    <row r="69" ht="44.5" customHeight="1">
      <c r="A69" s="226"/>
      <c r="B69" s="238">
        <v>1233</v>
      </c>
      <c r="C69" s="242" t="s">
        <v>147</v>
      </c>
      <c r="D69" s="299">
        <v>5</v>
      </c>
      <c r="E69" s="299">
        <v>11</v>
      </c>
      <c r="F69" s="299">
        <v>10</v>
      </c>
      <c r="G69" s="207" t="s">
        <v>117</v>
      </c>
    </row>
    <row r="70" ht="45" customHeight="1">
      <c r="A70" s="226"/>
      <c r="B70" s="238">
        <v>1234</v>
      </c>
      <c r="C70" s="242" t="s">
        <v>148</v>
      </c>
      <c r="D70" s="299">
        <v>0</v>
      </c>
      <c r="E70" s="299">
        <v>0</v>
      </c>
      <c r="F70" s="299">
        <v>0</v>
      </c>
      <c r="G70" s="207" t="s">
        <v>117</v>
      </c>
    </row>
    <row r="71" ht="45" customHeight="1">
      <c r="A71" s="226"/>
      <c r="B71" s="238">
        <v>1235</v>
      </c>
      <c r="C71" s="242" t="s">
        <v>149</v>
      </c>
      <c r="D71" s="299">
        <v>43</v>
      </c>
      <c r="E71" s="299">
        <v>64</v>
      </c>
      <c r="F71" s="299">
        <v>29</v>
      </c>
      <c r="G71" s="207" t="s">
        <v>117</v>
      </c>
    </row>
    <row r="72" ht="45" customHeight="1">
      <c r="A72" s="226"/>
      <c r="B72" s="238">
        <v>1236</v>
      </c>
      <c r="C72" s="242" t="s">
        <v>150</v>
      </c>
      <c r="D72" s="299">
        <v>1</v>
      </c>
      <c r="E72" s="299">
        <v>2</v>
      </c>
      <c r="F72" s="299">
        <v>1</v>
      </c>
      <c r="G72" s="207" t="s">
        <v>117</v>
      </c>
    </row>
    <row r="73" ht="45" customHeight="1">
      <c r="A73" s="226"/>
      <c r="B73" s="238">
        <v>1241</v>
      </c>
      <c r="C73" s="242" t="s">
        <v>151</v>
      </c>
      <c r="D73" s="299">
        <v>44</v>
      </c>
      <c r="E73" s="299">
        <v>66</v>
      </c>
      <c r="F73" s="299">
        <v>30</v>
      </c>
      <c r="G73" s="207" t="s">
        <v>117</v>
      </c>
    </row>
    <row r="74" ht="45" customHeight="1">
      <c r="A74" s="226"/>
      <c r="B74" s="238">
        <v>1242</v>
      </c>
      <c r="C74" s="242" t="s">
        <v>152</v>
      </c>
      <c r="D74" s="299">
        <v>5</v>
      </c>
      <c r="E74" s="299">
        <v>11</v>
      </c>
      <c r="F74" s="299">
        <v>10</v>
      </c>
      <c r="G74" s="207" t="s">
        <v>117</v>
      </c>
    </row>
    <row r="75" ht="45" customHeight="1">
      <c r="A75" s="226"/>
      <c r="B75" s="238">
        <v>1243</v>
      </c>
      <c r="C75" s="243" t="s">
        <v>153</v>
      </c>
      <c r="D75" s="299">
        <v>44</v>
      </c>
      <c r="E75" s="299">
        <v>66</v>
      </c>
      <c r="F75" s="299">
        <v>30</v>
      </c>
      <c r="G75" s="207" t="s">
        <v>117</v>
      </c>
    </row>
    <row r="76" ht="45" customHeight="1">
      <c r="A76" s="226"/>
      <c r="B76" s="238">
        <v>1244</v>
      </c>
      <c r="C76" s="243" t="s">
        <v>154</v>
      </c>
      <c r="D76" s="299">
        <v>5</v>
      </c>
      <c r="E76" s="299">
        <v>11</v>
      </c>
      <c r="F76" s="299">
        <v>10</v>
      </c>
      <c r="G76" s="207" t="s">
        <v>117</v>
      </c>
    </row>
    <row r="77" ht="45" customHeight="1">
      <c r="A77" s="226"/>
      <c r="B77" s="238">
        <v>1245</v>
      </c>
      <c r="C77" s="243" t="s">
        <v>155</v>
      </c>
      <c r="D77" s="299">
        <v>44</v>
      </c>
      <c r="E77" s="299">
        <v>66</v>
      </c>
      <c r="F77" s="299">
        <v>30</v>
      </c>
      <c r="G77" s="207" t="s">
        <v>117</v>
      </c>
    </row>
    <row r="78" ht="45" customHeight="1">
      <c r="A78" s="226"/>
      <c r="B78" s="238">
        <v>1246</v>
      </c>
      <c r="C78" s="243" t="s">
        <v>156</v>
      </c>
      <c r="D78" s="299">
        <v>5</v>
      </c>
      <c r="E78" s="299">
        <v>11</v>
      </c>
      <c r="F78" s="299">
        <v>10</v>
      </c>
      <c r="G78" s="207" t="s">
        <v>117</v>
      </c>
    </row>
    <row r="79" ht="45" customHeight="1">
      <c r="A79" s="226"/>
      <c r="B79" s="238">
        <v>1247</v>
      </c>
      <c r="C79" s="242" t="s">
        <v>157</v>
      </c>
      <c r="D79" s="299">
        <v>0</v>
      </c>
      <c r="E79" s="299">
        <v>0</v>
      </c>
      <c r="F79" s="299">
        <v>0</v>
      </c>
      <c r="G79" s="207" t="s">
        <v>117</v>
      </c>
    </row>
    <row r="80" ht="45" customHeight="1">
      <c r="A80" s="226"/>
      <c r="B80" s="238">
        <v>1248</v>
      </c>
      <c r="C80" s="242" t="s">
        <v>158</v>
      </c>
      <c r="D80" s="299">
        <v>0</v>
      </c>
      <c r="E80" s="299">
        <v>0</v>
      </c>
      <c r="F80" s="299">
        <v>0</v>
      </c>
      <c r="G80" s="207" t="s">
        <v>117</v>
      </c>
    </row>
    <row r="81" ht="45" customHeight="1">
      <c r="A81" s="219"/>
      <c r="B81" s="238">
        <v>1251</v>
      </c>
      <c r="C81" s="221" t="s">
        <v>159</v>
      </c>
      <c r="D81" s="282" t="e">
        <f>D82/D83</f>
        <v>#DIV/0!</v>
      </c>
      <c r="E81" s="282" t="e">
        <f ref="E81:F81" t="shared" si="4">E82/E83</f>
        <v>#DIV/0!</v>
      </c>
      <c r="F81" s="282" t="e">
        <f t="shared" si="4"/>
        <v>#DIV/0!</v>
      </c>
      <c r="G81" s="207"/>
    </row>
    <row r="82" ht="45" customHeight="1">
      <c r="A82" s="226"/>
      <c r="B82" s="238">
        <v>1252</v>
      </c>
      <c r="C82" s="242" t="s">
        <v>160</v>
      </c>
      <c r="D82" s="299">
        <v>44</v>
      </c>
      <c r="E82" s="299">
        <v>66</v>
      </c>
      <c r="F82" s="299">
        <v>30</v>
      </c>
      <c r="G82" s="207" t="s">
        <v>117</v>
      </c>
    </row>
    <row r="83" ht="45" customHeight="1">
      <c r="A83" s="226"/>
      <c r="B83" s="238">
        <v>1253</v>
      </c>
      <c r="C83" s="242" t="s">
        <v>161</v>
      </c>
      <c r="D83" s="299">
        <v>0</v>
      </c>
      <c r="E83" s="299">
        <v>0</v>
      </c>
      <c r="F83" s="299">
        <v>0</v>
      </c>
      <c r="G83" s="207" t="s">
        <v>117</v>
      </c>
    </row>
    <row r="84" ht="45" customHeight="1">
      <c r="A84" s="219"/>
      <c r="B84" s="238">
        <v>1254</v>
      </c>
      <c r="C84" s="221" t="s">
        <v>162</v>
      </c>
      <c r="D84" s="282" t="e">
        <f>D85/D86</f>
        <v>#DIV/0!</v>
      </c>
      <c r="E84" s="282" t="e">
        <f ref="E84:F84" t="shared" si="5">E85/E86</f>
        <v>#DIV/0!</v>
      </c>
      <c r="F84" s="282" t="e">
        <f t="shared" si="5"/>
        <v>#DIV/0!</v>
      </c>
      <c r="G84" s="207"/>
    </row>
    <row r="85" ht="45" customHeight="1">
      <c r="A85" s="226"/>
      <c r="B85" s="238">
        <v>1255</v>
      </c>
      <c r="C85" s="242" t="s">
        <v>163</v>
      </c>
      <c r="D85" s="299">
        <v>1</v>
      </c>
      <c r="E85" s="299">
        <v>2</v>
      </c>
      <c r="F85" s="299">
        <v>1</v>
      </c>
      <c r="G85" s="207" t="s">
        <v>117</v>
      </c>
    </row>
    <row r="86" ht="45" customHeight="1">
      <c r="A86" s="226"/>
      <c r="B86" s="238">
        <v>1256</v>
      </c>
      <c r="C86" s="242" t="s">
        <v>164</v>
      </c>
      <c r="D86" s="299">
        <v>0</v>
      </c>
      <c r="E86" s="299">
        <v>0</v>
      </c>
      <c r="F86" s="299">
        <v>0</v>
      </c>
      <c r="G86" s="207" t="s">
        <v>117</v>
      </c>
    </row>
    <row r="87" ht="45" customHeight="1">
      <c r="A87" s="219"/>
      <c r="B87" s="238">
        <v>1257</v>
      </c>
      <c r="C87" s="221" t="s">
        <v>165</v>
      </c>
      <c r="D87" s="282" t="e">
        <f>D88/D89</f>
        <v>#DIV/0!</v>
      </c>
      <c r="E87" s="282" t="e">
        <f ref="E87:F87" t="shared" si="6">E88/E89</f>
        <v>#DIV/0!</v>
      </c>
      <c r="F87" s="282" t="e">
        <f t="shared" si="6"/>
        <v>#DIV/0!</v>
      </c>
      <c r="G87" s="207"/>
    </row>
    <row r="88" ht="45" customHeight="1">
      <c r="A88" s="226"/>
      <c r="B88" s="238">
        <v>1258</v>
      </c>
      <c r="C88" s="242" t="s">
        <v>166</v>
      </c>
      <c r="D88" s="299">
        <v>5</v>
      </c>
      <c r="E88" s="299">
        <v>11</v>
      </c>
      <c r="F88" s="299">
        <v>10</v>
      </c>
      <c r="G88" s="207" t="s">
        <v>117</v>
      </c>
    </row>
    <row r="89" ht="45" customHeight="1">
      <c r="A89" s="226"/>
      <c r="B89" s="238">
        <v>1259</v>
      </c>
      <c r="C89" s="242" t="s">
        <v>167</v>
      </c>
      <c r="D89" s="299">
        <v>0</v>
      </c>
      <c r="E89" s="299">
        <v>0</v>
      </c>
      <c r="F89" s="299">
        <v>0</v>
      </c>
      <c r="G89" s="207" t="s">
        <v>117</v>
      </c>
    </row>
    <row r="90" ht="45" customHeight="1">
      <c r="A90" s="226"/>
      <c r="C90" s="252"/>
      <c r="D90" s="253"/>
      <c r="E90" s="254"/>
      <c r="F90" s="254"/>
      <c r="G90" s="265"/>
    </row>
    <row r="91" ht="45" customHeight="1">
      <c r="A91" s="226"/>
      <c r="B91" s="220" t="s">
        <v>168</v>
      </c>
      <c r="C91" s="260" t="s">
        <v>169</v>
      </c>
      <c r="D91" s="228"/>
      <c r="E91" s="231"/>
      <c r="F91" s="298">
        <v>49</v>
      </c>
      <c r="G91" s="265" t="s">
        <v>168</v>
      </c>
    </row>
    <row r="92" ht="45" customHeight="1">
      <c r="A92" s="226"/>
      <c r="B92" s="238"/>
      <c r="C92" s="262" t="s">
        <v>170</v>
      </c>
      <c r="D92" s="266" t="s">
        <v>171</v>
      </c>
      <c r="E92" s="267" t="s">
        <v>79</v>
      </c>
      <c r="F92" s="267" t="s">
        <v>80</v>
      </c>
      <c r="G92" s="265" t="s">
        <v>168</v>
      </c>
    </row>
    <row r="93" ht="45" customHeight="1">
      <c r="A93" s="226"/>
      <c r="B93" s="238">
        <v>1313</v>
      </c>
      <c r="C93" s="242" t="s">
        <v>172</v>
      </c>
      <c r="D93" s="299">
        <v>6</v>
      </c>
      <c r="E93" s="299">
        <v>13</v>
      </c>
      <c r="F93" s="299">
        <v>11</v>
      </c>
      <c r="G93" s="265" t="s">
        <v>168</v>
      </c>
    </row>
    <row r="94" ht="45" customHeight="1">
      <c r="A94" s="226"/>
      <c r="B94" s="238">
        <v>1314</v>
      </c>
      <c r="C94" s="268" t="s">
        <v>173</v>
      </c>
      <c r="D94" s="299">
        <v>6</v>
      </c>
      <c r="E94" s="299">
        <v>3</v>
      </c>
      <c r="F94" s="299">
        <v>1</v>
      </c>
      <c r="G94" s="265" t="s">
        <v>168</v>
      </c>
    </row>
    <row r="95" ht="45" customHeight="1">
      <c r="A95" s="226"/>
      <c r="B95" s="238">
        <v>1315</v>
      </c>
      <c r="C95" s="243" t="s">
        <v>174</v>
      </c>
      <c r="D95" s="299">
        <v>6</v>
      </c>
      <c r="E95" s="299">
        <v>3</v>
      </c>
      <c r="F95" s="299">
        <v>1</v>
      </c>
      <c r="G95" s="265" t="s">
        <v>168</v>
      </c>
    </row>
    <row r="96" ht="45" customHeight="1" s="269" customFormat="1">
      <c r="A96" s="226"/>
      <c r="B96" s="238">
        <v>1316</v>
      </c>
      <c r="C96" s="243" t="s">
        <v>175</v>
      </c>
      <c r="D96" s="299">
        <v>6</v>
      </c>
      <c r="E96" s="299">
        <v>3</v>
      </c>
      <c r="F96" s="299">
        <v>1</v>
      </c>
      <c r="G96" s="265" t="s">
        <v>168</v>
      </c>
    </row>
    <row r="97" ht="45" customHeight="1" s="269" customFormat="1">
      <c r="A97" s="226"/>
      <c r="B97" s="238">
        <v>1321</v>
      </c>
      <c r="C97" s="242" t="s">
        <v>176</v>
      </c>
      <c r="D97" s="299">
        <v>6</v>
      </c>
      <c r="E97" s="299">
        <v>13</v>
      </c>
      <c r="F97" s="299">
        <v>11</v>
      </c>
      <c r="G97" s="265" t="s">
        <v>168</v>
      </c>
    </row>
    <row r="98" ht="45" customHeight="1" s="269" customFormat="1">
      <c r="A98" s="226"/>
      <c r="B98" s="238">
        <v>1322</v>
      </c>
      <c r="C98" s="242" t="s">
        <v>177</v>
      </c>
      <c r="D98" s="299">
        <v>6</v>
      </c>
      <c r="E98" s="299">
        <v>13</v>
      </c>
      <c r="F98" s="299">
        <v>11</v>
      </c>
      <c r="G98" s="265" t="s">
        <v>168</v>
      </c>
    </row>
    <row r="99" ht="45" customHeight="1" s="269" customFormat="1">
      <c r="A99" s="226"/>
      <c r="B99" s="238">
        <v>1323</v>
      </c>
      <c r="C99" s="242" t="s">
        <v>178</v>
      </c>
      <c r="D99" s="299">
        <v>3</v>
      </c>
      <c r="E99" s="299">
        <v>1</v>
      </c>
      <c r="F99" s="299">
        <v>1</v>
      </c>
      <c r="G99" s="265" t="s">
        <v>168</v>
      </c>
    </row>
    <row r="100" ht="45" customHeight="1" s="269" customFormat="1">
      <c r="A100" s="226"/>
      <c r="B100" s="238">
        <v>1324</v>
      </c>
      <c r="C100" s="242" t="s">
        <v>179</v>
      </c>
      <c r="D100" s="299">
        <v>6</v>
      </c>
      <c r="E100" s="299">
        <v>3</v>
      </c>
      <c r="F100" s="299">
        <v>1</v>
      </c>
      <c r="G100" s="265" t="s">
        <v>168</v>
      </c>
    </row>
    <row r="101" ht="45" customHeight="1" s="269" customFormat="1">
      <c r="A101" s="226"/>
      <c r="B101" s="238">
        <v>1331</v>
      </c>
      <c r="C101" s="242" t="s">
        <v>180</v>
      </c>
      <c r="D101" s="299">
        <v>5</v>
      </c>
      <c r="E101" s="299">
        <v>1</v>
      </c>
      <c r="F101" s="299">
        <v>1</v>
      </c>
      <c r="G101" s="265" t="s">
        <v>168</v>
      </c>
    </row>
    <row r="102" ht="45" customHeight="1" s="269" customFormat="1">
      <c r="A102" s="226"/>
      <c r="B102" s="238">
        <v>1332</v>
      </c>
      <c r="C102" s="242" t="s">
        <v>181</v>
      </c>
      <c r="D102" s="299">
        <v>1</v>
      </c>
      <c r="E102" s="299">
        <v>2</v>
      </c>
      <c r="F102" s="299">
        <v>0</v>
      </c>
      <c r="G102" s="265" t="s">
        <v>168</v>
      </c>
    </row>
    <row r="103" ht="45" customHeight="1" s="269" customFormat="1">
      <c r="A103" s="226"/>
      <c r="B103" s="238">
        <v>1333</v>
      </c>
      <c r="C103" s="242" t="s">
        <v>182</v>
      </c>
      <c r="D103" s="299">
        <v>1</v>
      </c>
      <c r="E103" s="299">
        <v>2</v>
      </c>
      <c r="F103" s="299">
        <v>0</v>
      </c>
      <c r="G103" s="265" t="s">
        <v>168</v>
      </c>
    </row>
    <row r="104" ht="45" customHeight="1" s="269" customFormat="1">
      <c r="A104" s="226"/>
      <c r="B104" s="238">
        <v>1334</v>
      </c>
      <c r="C104" s="242" t="s">
        <v>183</v>
      </c>
      <c r="D104" s="299">
        <v>0</v>
      </c>
      <c r="E104" s="299">
        <v>0</v>
      </c>
      <c r="F104" s="299">
        <v>0</v>
      </c>
      <c r="G104" s="265" t="s">
        <v>168</v>
      </c>
    </row>
    <row r="105" ht="45" customHeight="1" s="269" customFormat="1">
      <c r="A105" s="226"/>
      <c r="B105" s="238">
        <v>1335</v>
      </c>
      <c r="C105" s="242" t="s">
        <v>184</v>
      </c>
      <c r="D105" s="299">
        <v>0</v>
      </c>
      <c r="E105" s="299">
        <v>0</v>
      </c>
      <c r="F105" s="299">
        <v>0</v>
      </c>
      <c r="G105" s="265" t="s">
        <v>168</v>
      </c>
    </row>
    <row r="106" ht="45" customHeight="1" s="269" customFormat="1">
      <c r="A106" s="226"/>
      <c r="B106" s="238">
        <v>1341</v>
      </c>
      <c r="C106" s="242" t="s">
        <v>185</v>
      </c>
      <c r="D106" s="299">
        <v>1</v>
      </c>
      <c r="E106" s="299">
        <v>2</v>
      </c>
      <c r="F106" s="299">
        <v>1</v>
      </c>
      <c r="G106" s="265" t="s">
        <v>168</v>
      </c>
    </row>
    <row r="107" ht="45" customHeight="1" s="269" customFormat="1">
      <c r="A107" s="226"/>
      <c r="B107" s="238">
        <v>1342</v>
      </c>
      <c r="C107" s="242" t="s">
        <v>186</v>
      </c>
      <c r="D107" s="249" t="e">
        <f>D108/D109</f>
        <v>#DIV/0!</v>
      </c>
      <c r="E107" s="249" t="e">
        <f ref="E107:F107" t="shared" si="7">E108/E109</f>
        <v>#DIV/0!</v>
      </c>
      <c r="F107" s="249" t="e">
        <f t="shared" si="7"/>
        <v>#DIV/0!</v>
      </c>
      <c r="G107" s="265"/>
    </row>
    <row r="108" ht="45" customHeight="1" s="269" customFormat="1">
      <c r="A108" s="226"/>
      <c r="B108" s="238">
        <v>1343</v>
      </c>
      <c r="C108" s="242" t="s">
        <v>187</v>
      </c>
      <c r="D108" s="299">
        <v>0</v>
      </c>
      <c r="E108" s="299">
        <v>0</v>
      </c>
      <c r="F108" s="299">
        <v>0</v>
      </c>
      <c r="G108" s="265" t="s">
        <v>168</v>
      </c>
    </row>
    <row r="109" ht="45" customHeight="1" s="269" customFormat="1">
      <c r="A109" s="226"/>
      <c r="B109" s="238">
        <v>1344</v>
      </c>
      <c r="C109" s="242" t="s">
        <v>188</v>
      </c>
      <c r="D109" s="299">
        <v>0</v>
      </c>
      <c r="E109" s="299">
        <v>0</v>
      </c>
      <c r="F109" s="299">
        <v>0</v>
      </c>
      <c r="G109" s="265" t="s">
        <v>168</v>
      </c>
    </row>
    <row r="110" ht="45" customHeight="1" s="269" customFormat="1">
      <c r="A110" s="226"/>
      <c r="B110" s="238">
        <v>1351</v>
      </c>
      <c r="C110" s="221" t="s">
        <v>189</v>
      </c>
      <c r="D110" s="282" t="e">
        <f>D111/D112</f>
        <v>#DIV/0!</v>
      </c>
      <c r="E110" s="282" t="e">
        <f ref="E110:F110" t="shared" si="8">E111/E112</f>
        <v>#DIV/0!</v>
      </c>
      <c r="F110" s="282" t="e">
        <f t="shared" si="8"/>
        <v>#DIV/0!</v>
      </c>
      <c r="G110" s="265"/>
    </row>
    <row r="111" ht="45" customHeight="1" s="269" customFormat="1">
      <c r="A111" s="226"/>
      <c r="B111" s="238">
        <v>1352</v>
      </c>
      <c r="C111" s="242" t="s">
        <v>190</v>
      </c>
      <c r="D111" s="299">
        <v>5</v>
      </c>
      <c r="E111" s="299">
        <v>1</v>
      </c>
      <c r="F111" s="299">
        <v>1</v>
      </c>
      <c r="G111" s="265" t="s">
        <v>168</v>
      </c>
    </row>
    <row r="112" ht="45" customHeight="1" s="269" customFormat="1">
      <c r="A112" s="226"/>
      <c r="B112" s="238">
        <v>1353</v>
      </c>
      <c r="C112" s="242" t="s">
        <v>191</v>
      </c>
      <c r="D112" s="299">
        <v>0</v>
      </c>
      <c r="E112" s="299">
        <v>0</v>
      </c>
      <c r="F112" s="299">
        <v>0</v>
      </c>
      <c r="G112" s="265" t="s">
        <v>168</v>
      </c>
    </row>
    <row r="113" ht="45" customHeight="1" s="269" customFormat="1">
      <c r="A113" s="226"/>
      <c r="B113" s="238">
        <v>1354</v>
      </c>
      <c r="C113" s="221" t="s">
        <v>192</v>
      </c>
      <c r="D113" s="282" t="e">
        <f>D114/D115</f>
        <v>#DIV/0!</v>
      </c>
      <c r="E113" s="282" t="e">
        <f ref="E113:F113" t="shared" si="9">E114/E115</f>
        <v>#DIV/0!</v>
      </c>
      <c r="F113" s="282" t="e">
        <f t="shared" si="9"/>
        <v>#DIV/0!</v>
      </c>
      <c r="G113" s="265"/>
    </row>
    <row r="114" ht="45" customHeight="1" s="269" customFormat="1">
      <c r="A114" s="226"/>
      <c r="B114" s="238">
        <v>1355</v>
      </c>
      <c r="C114" s="242" t="s">
        <v>190</v>
      </c>
      <c r="D114" s="299">
        <v>5</v>
      </c>
      <c r="E114" s="299">
        <v>1</v>
      </c>
      <c r="F114" s="299">
        <v>1</v>
      </c>
      <c r="G114" s="265" t="s">
        <v>168</v>
      </c>
    </row>
    <row r="115" ht="45" customHeight="1" s="269" customFormat="1">
      <c r="A115" s="226"/>
      <c r="B115" s="238">
        <v>1356</v>
      </c>
      <c r="C115" s="242" t="s">
        <v>193</v>
      </c>
      <c r="D115" s="299">
        <v>0</v>
      </c>
      <c r="E115" s="299">
        <v>0</v>
      </c>
      <c r="F115" s="299">
        <v>0</v>
      </c>
      <c r="G115" s="265" t="s">
        <v>168</v>
      </c>
    </row>
    <row r="116" ht="45" customHeight="1" s="269" customFormat="1">
      <c r="A116" s="226"/>
      <c r="B116" s="251"/>
      <c r="C116" s="270"/>
      <c r="D116" s="271"/>
      <c r="E116" s="244"/>
      <c r="F116" s="244"/>
      <c r="G116" s="207"/>
    </row>
    <row r="117" ht="45" customHeight="1" s="269" customFormat="1">
      <c r="A117" s="226"/>
      <c r="B117" s="220" t="s">
        <v>194</v>
      </c>
      <c r="C117" s="260" t="s">
        <v>195</v>
      </c>
      <c r="D117" s="228"/>
      <c r="E117" s="231"/>
      <c r="F117" s="298">
        <v>63</v>
      </c>
      <c r="G117" s="207" t="s">
        <v>194</v>
      </c>
    </row>
    <row r="118" ht="45" customHeight="1" s="269" customFormat="1">
      <c r="A118" s="226"/>
      <c r="B118" s="272"/>
      <c r="C118" s="262" t="s">
        <v>196</v>
      </c>
      <c r="D118" s="240" t="s">
        <v>126</v>
      </c>
      <c r="E118" s="241" t="s">
        <v>79</v>
      </c>
      <c r="F118" s="241" t="s">
        <v>80</v>
      </c>
      <c r="G118" s="207" t="s">
        <v>194</v>
      </c>
    </row>
    <row r="119" ht="45" customHeight="1" s="269" customFormat="1">
      <c r="A119" s="226"/>
      <c r="B119" s="238">
        <v>1413</v>
      </c>
      <c r="C119" s="242" t="s">
        <v>197</v>
      </c>
      <c r="D119" s="299">
        <v>43</v>
      </c>
      <c r="E119" s="299">
        <v>38</v>
      </c>
      <c r="F119" s="299">
        <v>21</v>
      </c>
      <c r="G119" s="207" t="s">
        <v>194</v>
      </c>
    </row>
    <row r="120" ht="45" customHeight="1" s="269" customFormat="1">
      <c r="A120" s="226"/>
      <c r="B120" s="238">
        <v>1414</v>
      </c>
      <c r="C120" s="243" t="s">
        <v>198</v>
      </c>
      <c r="D120" s="299">
        <v>40</v>
      </c>
      <c r="E120" s="299">
        <v>33</v>
      </c>
      <c r="F120" s="299">
        <v>18</v>
      </c>
      <c r="G120" s="207" t="s">
        <v>194</v>
      </c>
    </row>
    <row r="121" ht="45" customHeight="1" s="269" customFormat="1">
      <c r="A121" s="226"/>
      <c r="B121" s="238">
        <v>1422</v>
      </c>
      <c r="C121" s="242" t="s">
        <v>199</v>
      </c>
      <c r="D121" s="299">
        <v>43</v>
      </c>
      <c r="E121" s="299">
        <v>38</v>
      </c>
      <c r="F121" s="299">
        <v>21</v>
      </c>
      <c r="G121" s="207" t="s">
        <v>194</v>
      </c>
    </row>
    <row r="122" ht="45" customHeight="1" s="269" customFormat="1">
      <c r="A122" s="226"/>
      <c r="B122" s="238">
        <v>1423</v>
      </c>
      <c r="C122" s="242" t="s">
        <v>200</v>
      </c>
      <c r="D122" s="299">
        <v>40</v>
      </c>
      <c r="E122" s="299">
        <v>33</v>
      </c>
      <c r="F122" s="299">
        <v>18</v>
      </c>
      <c r="G122" s="207" t="s">
        <v>194</v>
      </c>
    </row>
    <row r="123" ht="45" customHeight="1" s="269" customFormat="1">
      <c r="A123" s="226"/>
      <c r="B123" s="238">
        <v>1424</v>
      </c>
      <c r="C123" s="242" t="s">
        <v>201</v>
      </c>
      <c r="D123" s="299">
        <v>0</v>
      </c>
      <c r="E123" s="299">
        <v>0</v>
      </c>
      <c r="F123" s="299">
        <v>0</v>
      </c>
      <c r="G123" s="207" t="s">
        <v>194</v>
      </c>
    </row>
    <row r="124" ht="45" customHeight="1" s="269" customFormat="1">
      <c r="A124" s="226"/>
      <c r="B124" s="238">
        <v>1425</v>
      </c>
      <c r="C124" s="242" t="s">
        <v>202</v>
      </c>
      <c r="D124" s="299">
        <v>20</v>
      </c>
      <c r="E124" s="299">
        <v>12</v>
      </c>
      <c r="F124" s="299">
        <v>1</v>
      </c>
      <c r="G124" s="207" t="s">
        <v>194</v>
      </c>
    </row>
    <row r="125" ht="45" customHeight="1" s="269" customFormat="1">
      <c r="A125" s="226"/>
      <c r="B125" s="238"/>
      <c r="C125" s="242" t="s">
        <v>203</v>
      </c>
      <c r="D125" s="300" t="s">
        <v>204</v>
      </c>
      <c r="E125" s="300"/>
      <c r="F125" s="300"/>
      <c r="G125" s="207"/>
    </row>
    <row r="126" ht="45" customHeight="1" s="269" customFormat="1">
      <c r="A126" s="226"/>
      <c r="B126" s="238">
        <v>1431</v>
      </c>
      <c r="C126" s="242" t="s">
        <v>205</v>
      </c>
      <c r="D126" s="299">
        <v>19</v>
      </c>
      <c r="E126" s="299">
        <v>11</v>
      </c>
      <c r="F126" s="299">
        <v>0</v>
      </c>
      <c r="G126" s="207" t="s">
        <v>194</v>
      </c>
    </row>
    <row r="127" ht="45" customHeight="1" s="269" customFormat="1">
      <c r="A127" s="226"/>
      <c r="B127" s="238">
        <v>1432</v>
      </c>
      <c r="C127" s="242" t="s">
        <v>206</v>
      </c>
      <c r="D127" s="299">
        <v>1</v>
      </c>
      <c r="E127" s="299">
        <v>1</v>
      </c>
      <c r="F127" s="299">
        <v>1</v>
      </c>
      <c r="G127" s="207" t="s">
        <v>194</v>
      </c>
    </row>
    <row r="128" ht="45" customHeight="1" s="269" customFormat="1">
      <c r="A128" s="226"/>
      <c r="B128" s="238">
        <v>1433</v>
      </c>
      <c r="C128" s="242" t="s">
        <v>207</v>
      </c>
      <c r="D128" s="299">
        <v>1</v>
      </c>
      <c r="E128" s="299">
        <v>0</v>
      </c>
      <c r="F128" s="299">
        <v>0</v>
      </c>
      <c r="G128" s="207" t="s">
        <v>194</v>
      </c>
    </row>
    <row r="129" ht="45" customHeight="1" s="269" customFormat="1">
      <c r="A129" s="226"/>
      <c r="B129" s="238">
        <v>1434</v>
      </c>
      <c r="C129" s="242" t="s">
        <v>208</v>
      </c>
      <c r="D129" s="299">
        <v>0</v>
      </c>
      <c r="E129" s="299">
        <v>12</v>
      </c>
      <c r="F129" s="299">
        <v>1</v>
      </c>
      <c r="G129" s="207" t="s">
        <v>194</v>
      </c>
    </row>
    <row r="130" ht="45" customHeight="1" s="269" customFormat="1">
      <c r="A130" s="226"/>
      <c r="B130" s="238">
        <v>1435</v>
      </c>
      <c r="C130" s="242" t="s">
        <v>209</v>
      </c>
      <c r="D130" s="299">
        <v>12</v>
      </c>
      <c r="E130" s="299">
        <v>15</v>
      </c>
      <c r="F130" s="299">
        <v>15</v>
      </c>
      <c r="G130" s="207" t="s">
        <v>194</v>
      </c>
    </row>
    <row r="131" ht="45" customHeight="1" s="269" customFormat="1">
      <c r="A131" s="226"/>
      <c r="B131" s="238">
        <v>1441</v>
      </c>
      <c r="C131" s="242" t="s">
        <v>210</v>
      </c>
      <c r="D131" s="299">
        <v>0</v>
      </c>
      <c r="E131" s="299">
        <v>0</v>
      </c>
      <c r="F131" s="299">
        <v>0</v>
      </c>
      <c r="G131" s="207" t="s">
        <v>194</v>
      </c>
    </row>
    <row r="132" ht="45" customHeight="1" s="269" customFormat="1">
      <c r="A132" s="226"/>
      <c r="B132" s="238">
        <v>1442</v>
      </c>
      <c r="C132" s="242" t="s">
        <v>211</v>
      </c>
      <c r="D132" s="299">
        <f>D120</f>
        <v>0</v>
      </c>
      <c r="E132" s="299">
        <f>E120</f>
        <v>0</v>
      </c>
      <c r="F132" s="299">
        <f>F120</f>
        <v>0</v>
      </c>
      <c r="G132" s="207"/>
    </row>
    <row r="133" ht="45" customHeight="1" s="269" customFormat="1">
      <c r="A133" s="226"/>
      <c r="B133" s="238">
        <v>1443</v>
      </c>
      <c r="C133" s="242" t="s">
        <v>212</v>
      </c>
      <c r="D133" s="299">
        <v>0</v>
      </c>
      <c r="E133" s="299">
        <v>0</v>
      </c>
      <c r="F133" s="299">
        <v>0</v>
      </c>
      <c r="G133" s="207" t="s">
        <v>194</v>
      </c>
    </row>
    <row r="134" ht="49.9" customHeight="1" s="269" customFormat="1">
      <c r="A134" s="226"/>
      <c r="B134" s="238">
        <v>1451</v>
      </c>
      <c r="C134" s="221" t="s">
        <v>213</v>
      </c>
      <c r="D134" s="282" t="e">
        <f>D135/D136</f>
        <v>#DIV/0!</v>
      </c>
      <c r="E134" s="282" t="e">
        <f ref="E134:F134" t="shared" si="10">E135/E136</f>
        <v>#DIV/0!</v>
      </c>
      <c r="F134" s="282" t="e">
        <f t="shared" si="10"/>
        <v>#DIV/0!</v>
      </c>
      <c r="G134" s="207"/>
    </row>
    <row r="135" ht="51" customHeight="1" s="269" customFormat="1">
      <c r="A135" s="226"/>
      <c r="B135" s="238">
        <v>1452</v>
      </c>
      <c r="C135" s="242" t="s">
        <v>214</v>
      </c>
      <c r="D135" s="299">
        <v>31</v>
      </c>
      <c r="E135" s="299">
        <v>18</v>
      </c>
      <c r="F135" s="299">
        <v>15</v>
      </c>
      <c r="G135" s="207" t="s">
        <v>194</v>
      </c>
    </row>
    <row r="136" ht="45" customHeight="1" s="269" customFormat="1">
      <c r="A136" s="226"/>
      <c r="B136" s="238">
        <v>1453</v>
      </c>
      <c r="C136" s="242" t="s">
        <v>215</v>
      </c>
      <c r="D136" s="299">
        <v>0</v>
      </c>
      <c r="E136" s="299">
        <v>0</v>
      </c>
      <c r="F136" s="299">
        <v>0</v>
      </c>
      <c r="G136" s="207" t="s">
        <v>194</v>
      </c>
    </row>
    <row r="137" ht="52.15" customHeight="1" s="269" customFormat="1">
      <c r="A137" s="226"/>
      <c r="B137" s="238">
        <v>1454</v>
      </c>
      <c r="C137" s="221" t="s">
        <v>216</v>
      </c>
      <c r="D137" s="282" t="e">
        <f>D138/D139</f>
        <v>#DIV/0!</v>
      </c>
      <c r="E137" s="282" t="e">
        <f ref="E137:F137" t="shared" si="11">E138/E139</f>
        <v>#DIV/0!</v>
      </c>
      <c r="F137" s="282" t="e">
        <f t="shared" si="11"/>
        <v>#DIV/0!</v>
      </c>
      <c r="G137" s="207"/>
    </row>
    <row r="138" ht="45" customHeight="1" s="269" customFormat="1">
      <c r="A138" s="226"/>
      <c r="B138" s="238">
        <v>1455</v>
      </c>
      <c r="C138" s="242" t="s">
        <v>217</v>
      </c>
      <c r="D138" s="299">
        <v>31</v>
      </c>
      <c r="E138" s="299">
        <v>19</v>
      </c>
      <c r="F138" s="299">
        <v>16</v>
      </c>
      <c r="G138" s="207" t="s">
        <v>194</v>
      </c>
    </row>
    <row r="139" ht="45" customHeight="1">
      <c r="A139" s="226"/>
      <c r="B139" s="238">
        <v>1456</v>
      </c>
      <c r="C139" s="242" t="s">
        <v>218</v>
      </c>
      <c r="D139" s="299">
        <v>0</v>
      </c>
      <c r="E139" s="299">
        <v>0</v>
      </c>
      <c r="F139" s="299">
        <v>0</v>
      </c>
      <c r="G139" s="207" t="s">
        <v>194</v>
      </c>
    </row>
    <row r="140" ht="45" customHeight="1">
      <c r="A140" s="226"/>
      <c r="B140" s="273"/>
      <c r="D140" s="271"/>
      <c r="E140" s="244"/>
      <c r="F140" s="244"/>
      <c r="G140" s="207"/>
    </row>
    <row r="141" ht="45" customHeight="1">
      <c r="A141" s="226"/>
      <c r="B141" s="227" t="s">
        <v>219</v>
      </c>
      <c r="C141" s="228" t="s">
        <v>220</v>
      </c>
      <c r="D141" s="228"/>
      <c r="E141" s="258"/>
      <c r="F141" s="298">
        <v>126</v>
      </c>
      <c r="G141" s="207" t="s">
        <v>219</v>
      </c>
    </row>
    <row r="142" ht="45" customHeight="1">
      <c r="A142" s="226"/>
      <c r="B142" s="233" t="s">
        <v>221</v>
      </c>
      <c r="C142" s="260" t="s">
        <v>222</v>
      </c>
      <c r="D142" s="235"/>
      <c r="E142" s="274"/>
      <c r="F142" s="237">
        <f>_xlfn.IFNA(VLOOKUP(F141,Data_donotedit!$BE$2:$BG$25,3,TRUE),F141)</f>
        <v>0</v>
      </c>
      <c r="G142" s="207" t="s">
        <v>219</v>
      </c>
    </row>
    <row r="143" ht="45" customHeight="1">
      <c r="A143" s="226"/>
      <c r="B143" s="238"/>
      <c r="C143" s="275" t="s">
        <v>223</v>
      </c>
      <c r="D143" s="240" t="s">
        <v>126</v>
      </c>
      <c r="E143" s="240" t="s">
        <v>79</v>
      </c>
      <c r="F143" s="241" t="s">
        <v>80</v>
      </c>
      <c r="G143" s="207" t="s">
        <v>219</v>
      </c>
    </row>
    <row r="144" ht="45" customHeight="1">
      <c r="A144" s="226"/>
      <c r="B144" s="238">
        <v>1513</v>
      </c>
      <c r="C144" s="268" t="s">
        <v>224</v>
      </c>
      <c r="D144" s="299">
        <v>0</v>
      </c>
      <c r="E144" s="299">
        <v>0</v>
      </c>
      <c r="F144" s="299">
        <v>0</v>
      </c>
      <c r="G144" s="207" t="s">
        <v>219</v>
      </c>
    </row>
    <row r="145" ht="45" customHeight="1">
      <c r="A145" s="226"/>
      <c r="B145" s="238">
        <v>1514</v>
      </c>
      <c r="C145" s="264" t="s">
        <v>225</v>
      </c>
      <c r="D145" s="299">
        <v>19</v>
      </c>
      <c r="E145" s="299">
        <v>19</v>
      </c>
      <c r="F145" s="299">
        <v>17</v>
      </c>
      <c r="G145" s="207" t="s">
        <v>219</v>
      </c>
    </row>
    <row r="146" ht="45" customHeight="1">
      <c r="A146" s="226">
        <v>1541</v>
      </c>
      <c r="B146" s="238">
        <v>1515</v>
      </c>
      <c r="C146" s="264" t="s">
        <v>226</v>
      </c>
      <c r="D146" s="299">
        <v>15</v>
      </c>
      <c r="E146" s="299">
        <v>13</v>
      </c>
      <c r="F146" s="299">
        <v>17</v>
      </c>
      <c r="G146" s="207" t="s">
        <v>219</v>
      </c>
    </row>
    <row r="147" ht="45" customHeight="1">
      <c r="A147" s="226"/>
      <c r="B147" s="238">
        <v>1521</v>
      </c>
      <c r="C147" s="264" t="s">
        <v>227</v>
      </c>
      <c r="D147" s="299">
        <v>15</v>
      </c>
      <c r="E147" s="299">
        <v>13</v>
      </c>
      <c r="F147" s="299">
        <v>17</v>
      </c>
      <c r="G147" s="207" t="s">
        <v>219</v>
      </c>
    </row>
    <row r="148" ht="45" customHeight="1">
      <c r="A148" s="226"/>
      <c r="B148" s="238">
        <v>1522</v>
      </c>
      <c r="C148" s="264" t="s">
        <v>228</v>
      </c>
      <c r="D148" s="299">
        <v>0</v>
      </c>
      <c r="E148" s="299">
        <v>0</v>
      </c>
      <c r="F148" s="299">
        <v>0</v>
      </c>
      <c r="G148" s="207" t="s">
        <v>219</v>
      </c>
    </row>
    <row r="149" ht="45" customHeight="1">
      <c r="A149" s="226"/>
      <c r="B149" s="238">
        <v>1523</v>
      </c>
      <c r="C149" s="264" t="s">
        <v>229</v>
      </c>
      <c r="D149" s="299">
        <v>0</v>
      </c>
      <c r="E149" s="299">
        <v>0</v>
      </c>
      <c r="F149" s="299">
        <v>0</v>
      </c>
      <c r="G149" s="207" t="s">
        <v>219</v>
      </c>
    </row>
    <row r="150" ht="45" customHeight="1">
      <c r="A150" s="226"/>
      <c r="B150" s="238">
        <v>1524</v>
      </c>
      <c r="C150" s="264" t="s">
        <v>230</v>
      </c>
      <c r="D150" s="299">
        <v>15</v>
      </c>
      <c r="E150" s="299">
        <v>13</v>
      </c>
      <c r="F150" s="299">
        <v>17</v>
      </c>
      <c r="G150" s="207" t="s">
        <v>219</v>
      </c>
    </row>
    <row r="151" ht="45" customHeight="1">
      <c r="A151" s="226"/>
      <c r="B151" s="238">
        <v>1531</v>
      </c>
      <c r="C151" s="242" t="s">
        <v>231</v>
      </c>
      <c r="D151" s="299">
        <v>0</v>
      </c>
      <c r="E151" s="299">
        <v>0</v>
      </c>
      <c r="F151" s="299">
        <v>0</v>
      </c>
      <c r="G151" s="207" t="s">
        <v>219</v>
      </c>
    </row>
    <row r="152" ht="45" customHeight="1">
      <c r="A152" s="226"/>
      <c r="B152" s="238">
        <v>1532</v>
      </c>
      <c r="C152" s="242" t="s">
        <v>232</v>
      </c>
      <c r="D152" s="299">
        <v>0</v>
      </c>
      <c r="E152" s="299">
        <v>0</v>
      </c>
      <c r="F152" s="299">
        <v>0</v>
      </c>
      <c r="G152" s="207" t="s">
        <v>219</v>
      </c>
    </row>
    <row r="153" ht="45" customHeight="1">
      <c r="A153" s="226"/>
      <c r="B153" s="238">
        <v>1533</v>
      </c>
      <c r="C153" s="242" t="s">
        <v>233</v>
      </c>
      <c r="D153" s="299">
        <v>19</v>
      </c>
      <c r="E153" s="299">
        <v>18</v>
      </c>
      <c r="F153" s="299">
        <v>18</v>
      </c>
      <c r="G153" s="207" t="s">
        <v>219</v>
      </c>
    </row>
    <row r="154" ht="45" customHeight="1">
      <c r="A154" s="226"/>
      <c r="B154" s="238">
        <v>1534</v>
      </c>
      <c r="C154" s="242" t="s">
        <v>234</v>
      </c>
      <c r="D154" s="299">
        <v>2</v>
      </c>
      <c r="E154" s="299">
        <v>3</v>
      </c>
      <c r="F154" s="299">
        <v>1</v>
      </c>
      <c r="G154" s="207" t="s">
        <v>219</v>
      </c>
    </row>
    <row r="155" ht="45" customHeight="1">
      <c r="A155" s="226"/>
      <c r="B155" s="238">
        <v>1541</v>
      </c>
      <c r="C155" s="242" t="s">
        <v>235</v>
      </c>
      <c r="D155" s="299">
        <v>2</v>
      </c>
      <c r="E155" s="299">
        <v>3</v>
      </c>
      <c r="F155" s="299">
        <v>1</v>
      </c>
      <c r="G155" s="207" t="s">
        <v>219</v>
      </c>
    </row>
    <row r="156" ht="45" customHeight="1">
      <c r="A156" s="226"/>
      <c r="B156" s="238">
        <v>1542</v>
      </c>
      <c r="C156" s="264" t="s">
        <v>236</v>
      </c>
      <c r="D156" s="299">
        <v>0</v>
      </c>
      <c r="E156" s="299">
        <v>0</v>
      </c>
      <c r="F156" s="299">
        <v>0</v>
      </c>
      <c r="G156" s="207" t="s">
        <v>219</v>
      </c>
    </row>
    <row r="157" ht="45" customHeight="1">
      <c r="A157" s="226"/>
      <c r="B157" s="238">
        <v>1543</v>
      </c>
      <c r="C157" s="264" t="s">
        <v>237</v>
      </c>
      <c r="D157" s="299">
        <v>2</v>
      </c>
      <c r="E157" s="299">
        <v>3</v>
      </c>
      <c r="F157" s="299">
        <v>1</v>
      </c>
      <c r="G157" s="207" t="s">
        <v>219</v>
      </c>
    </row>
    <row r="158" ht="45" customHeight="1">
      <c r="A158" s="226"/>
      <c r="B158" s="238">
        <v>1544</v>
      </c>
      <c r="C158" s="242" t="s">
        <v>238</v>
      </c>
      <c r="D158" s="299">
        <v>0</v>
      </c>
      <c r="E158" s="299">
        <v>0</v>
      </c>
      <c r="F158" s="299">
        <v>0</v>
      </c>
      <c r="G158" s="207" t="s">
        <v>219</v>
      </c>
    </row>
    <row r="159" ht="45" customHeight="1">
      <c r="A159" s="226"/>
      <c r="B159" s="238">
        <v>1551</v>
      </c>
      <c r="C159" s="221" t="s">
        <v>239</v>
      </c>
      <c r="D159" s="282" t="e">
        <f>D160/D161</f>
        <v>#DIV/0!</v>
      </c>
      <c r="E159" s="282" t="e">
        <f ref="E159:F159" t="shared" si="12">E160/E161</f>
        <v>#DIV/0!</v>
      </c>
      <c r="F159" s="282" t="e">
        <f t="shared" si="12"/>
        <v>#DIV/0!</v>
      </c>
      <c r="G159" s="207"/>
    </row>
    <row r="160" ht="45" customHeight="1">
      <c r="A160" s="226"/>
      <c r="B160" s="238">
        <v>1552</v>
      </c>
      <c r="C160" s="242" t="s">
        <v>240</v>
      </c>
      <c r="D160" s="299">
        <v>21</v>
      </c>
      <c r="E160" s="299">
        <v>21</v>
      </c>
      <c r="F160" s="299">
        <v>19</v>
      </c>
      <c r="G160" s="207" t="s">
        <v>219</v>
      </c>
    </row>
    <row r="161" ht="45" customHeight="1">
      <c r="A161" s="226"/>
      <c r="B161" s="238">
        <v>1553</v>
      </c>
      <c r="C161" s="242" t="s">
        <v>241</v>
      </c>
      <c r="D161" s="299">
        <v>0</v>
      </c>
      <c r="E161" s="299">
        <v>0</v>
      </c>
      <c r="F161" s="299">
        <v>0</v>
      </c>
      <c r="G161" s="207" t="s">
        <v>219</v>
      </c>
    </row>
    <row r="162" ht="45" customHeight="1">
      <c r="A162" s="226"/>
      <c r="B162" s="238">
        <v>1554</v>
      </c>
      <c r="C162" s="221" t="s">
        <v>242</v>
      </c>
      <c r="D162" s="282" t="e">
        <f>D163/D164</f>
        <v>#DIV/0!</v>
      </c>
      <c r="E162" s="282" t="e">
        <f ref="E162:F162" t="shared" si="13">E163/E164</f>
        <v>#DIV/0!</v>
      </c>
      <c r="F162" s="282" t="e">
        <f t="shared" si="13"/>
        <v>#DIV/0!</v>
      </c>
      <c r="G162" s="207"/>
    </row>
    <row r="163" ht="45" customHeight="1">
      <c r="A163" s="226"/>
      <c r="B163" s="238">
        <v>1555</v>
      </c>
      <c r="C163" s="242" t="s">
        <v>243</v>
      </c>
      <c r="D163" s="299">
        <v>0</v>
      </c>
      <c r="E163" s="299">
        <v>0</v>
      </c>
      <c r="F163" s="299">
        <v>0</v>
      </c>
      <c r="G163" s="207" t="s">
        <v>219</v>
      </c>
    </row>
    <row r="164" ht="45" customHeight="1">
      <c r="A164" s="226"/>
      <c r="B164" s="238">
        <v>1556</v>
      </c>
      <c r="C164" s="242" t="s">
        <v>241</v>
      </c>
      <c r="D164" s="299">
        <v>0</v>
      </c>
      <c r="E164" s="299">
        <v>0</v>
      </c>
      <c r="F164" s="299">
        <v>0</v>
      </c>
      <c r="G164" s="207" t="s">
        <v>219</v>
      </c>
    </row>
    <row r="165" ht="45" customHeight="1">
      <c r="A165" s="226"/>
      <c r="C165" s="276"/>
      <c r="D165" s="277"/>
      <c r="G165" s="207"/>
    </row>
    <row r="166" ht="45" customHeight="1">
      <c r="A166" s="226"/>
      <c r="B166" s="279" t="s">
        <v>244</v>
      </c>
      <c r="C166" s="260" t="s">
        <v>245</v>
      </c>
      <c r="D166" s="228"/>
      <c r="E166" s="231"/>
      <c r="F166" s="298">
        <v>5280</v>
      </c>
      <c r="G166" s="207" t="s">
        <v>244</v>
      </c>
    </row>
    <row r="167" ht="45" customHeight="1">
      <c r="A167" s="226"/>
      <c r="B167" s="280" t="s">
        <v>246</v>
      </c>
      <c r="C167" s="260" t="s">
        <v>247</v>
      </c>
      <c r="D167" s="228"/>
      <c r="E167" s="231"/>
      <c r="F167" s="237">
        <f>_xlfn.IFNA(VLOOKUP(F166,Data_donotedit!$BE$2:$BG$25,3,TRUE),F166)</f>
        <v>30</v>
      </c>
      <c r="G167" s="207" t="s">
        <v>244</v>
      </c>
    </row>
    <row r="168" ht="45" customHeight="1">
      <c r="A168" s="226"/>
      <c r="B168" s="279"/>
      <c r="C168" s="262" t="s">
        <v>248</v>
      </c>
      <c r="D168" s="240" t="s">
        <v>126</v>
      </c>
      <c r="E168" s="241" t="s">
        <v>79</v>
      </c>
      <c r="F168" s="241" t="s">
        <v>80</v>
      </c>
      <c r="G168" s="207" t="s">
        <v>244</v>
      </c>
    </row>
    <row r="169" ht="45" customHeight="1">
      <c r="A169" s="226"/>
      <c r="B169" s="238">
        <v>1611</v>
      </c>
      <c r="C169" s="242" t="s">
        <v>249</v>
      </c>
      <c r="D169" s="299">
        <v>0</v>
      </c>
      <c r="E169" s="299">
        <v>0</v>
      </c>
      <c r="F169" s="299">
        <v>0</v>
      </c>
      <c r="G169" s="207" t="s">
        <v>244</v>
      </c>
    </row>
    <row r="170" ht="45" customHeight="1">
      <c r="A170" s="226"/>
      <c r="B170" s="238">
        <v>1612</v>
      </c>
      <c r="C170" s="242" t="s">
        <v>250</v>
      </c>
      <c r="D170" s="299">
        <v>0</v>
      </c>
      <c r="E170" s="299">
        <v>0</v>
      </c>
      <c r="F170" s="299">
        <v>0</v>
      </c>
      <c r="G170" s="207" t="s">
        <v>244</v>
      </c>
    </row>
    <row r="171" ht="45" customHeight="1">
      <c r="A171" s="226"/>
      <c r="B171" s="238">
        <v>1613</v>
      </c>
      <c r="C171" s="242" t="s">
        <v>224</v>
      </c>
      <c r="D171" s="299">
        <v>33</v>
      </c>
      <c r="E171" s="299">
        <v>22</v>
      </c>
      <c r="F171" s="299">
        <v>32</v>
      </c>
      <c r="G171" s="207" t="s">
        <v>244</v>
      </c>
    </row>
    <row r="172" ht="45" customHeight="1">
      <c r="A172" s="226"/>
      <c r="B172" s="238">
        <v>1614</v>
      </c>
      <c r="C172" s="281" t="s">
        <v>251</v>
      </c>
      <c r="D172" s="299">
        <v>33</v>
      </c>
      <c r="E172" s="299">
        <v>22</v>
      </c>
      <c r="F172" s="299">
        <v>32</v>
      </c>
      <c r="G172" s="207" t="s">
        <v>244</v>
      </c>
    </row>
    <row r="173" ht="45" customHeight="1">
      <c r="A173" s="226"/>
      <c r="B173" s="238">
        <v>1615</v>
      </c>
      <c r="C173" s="242" t="s">
        <v>252</v>
      </c>
      <c r="D173" s="299">
        <v>0</v>
      </c>
      <c r="E173" s="299">
        <v>0</v>
      </c>
      <c r="F173" s="299">
        <v>0</v>
      </c>
      <c r="G173" s="207" t="s">
        <v>244</v>
      </c>
    </row>
    <row r="174" ht="45" customHeight="1">
      <c r="A174" s="226"/>
      <c r="B174" s="238">
        <v>1616</v>
      </c>
      <c r="C174" s="242" t="s">
        <v>253</v>
      </c>
      <c r="D174" s="299">
        <v>33</v>
      </c>
      <c r="E174" s="299">
        <v>29</v>
      </c>
      <c r="F174" s="299">
        <v>32</v>
      </c>
      <c r="G174" s="207" t="s">
        <v>244</v>
      </c>
    </row>
    <row r="175" ht="45" customHeight="1">
      <c r="A175" s="226"/>
      <c r="B175" s="238">
        <v>1621</v>
      </c>
      <c r="C175" s="242" t="s">
        <v>254</v>
      </c>
      <c r="D175" s="299">
        <v>33</v>
      </c>
      <c r="E175" s="299">
        <v>22</v>
      </c>
      <c r="F175" s="299">
        <v>32</v>
      </c>
      <c r="G175" s="207" t="s">
        <v>244</v>
      </c>
    </row>
    <row r="176" ht="45" customHeight="1">
      <c r="A176" s="226"/>
      <c r="B176" s="238">
        <v>1622</v>
      </c>
      <c r="C176" s="242" t="s">
        <v>255</v>
      </c>
      <c r="D176" s="299">
        <v>33</v>
      </c>
      <c r="E176" s="299">
        <v>29</v>
      </c>
      <c r="F176" s="299">
        <v>32</v>
      </c>
      <c r="G176" s="207" t="s">
        <v>244</v>
      </c>
    </row>
    <row r="177" ht="45" customHeight="1">
      <c r="A177" s="226"/>
      <c r="B177" s="238">
        <v>1623</v>
      </c>
      <c r="C177" s="242" t="s">
        <v>256</v>
      </c>
      <c r="D177" s="299">
        <v>0</v>
      </c>
      <c r="E177" s="299">
        <v>0</v>
      </c>
      <c r="F177" s="299">
        <v>0</v>
      </c>
      <c r="G177" s="207" t="s">
        <v>244</v>
      </c>
    </row>
    <row r="178" ht="45" customHeight="1">
      <c r="A178" s="226"/>
      <c r="B178" s="238">
        <v>1624</v>
      </c>
      <c r="C178" s="242" t="s">
        <v>257</v>
      </c>
      <c r="D178" s="299">
        <v>33</v>
      </c>
      <c r="E178" s="299">
        <v>22</v>
      </c>
      <c r="F178" s="299">
        <v>32</v>
      </c>
      <c r="G178" s="207" t="s">
        <v>244</v>
      </c>
    </row>
    <row r="179" ht="45" customHeight="1">
      <c r="A179" s="226"/>
      <c r="B179" s="238">
        <v>1625</v>
      </c>
      <c r="C179" s="242" t="s">
        <v>258</v>
      </c>
      <c r="D179" s="299">
        <v>33</v>
      </c>
      <c r="E179" s="299">
        <v>22</v>
      </c>
      <c r="F179" s="299">
        <v>32</v>
      </c>
      <c r="G179" s="207" t="s">
        <v>244</v>
      </c>
    </row>
    <row r="180" ht="45" customHeight="1">
      <c r="A180" s="226"/>
      <c r="B180" s="238"/>
      <c r="C180" s="245" t="s">
        <v>259</v>
      </c>
      <c r="D180" s="246"/>
      <c r="E180" s="246"/>
      <c r="F180" s="247"/>
      <c r="G180" s="207" t="s">
        <v>244</v>
      </c>
    </row>
    <row r="181" ht="45" customHeight="1">
      <c r="A181" s="226"/>
      <c r="B181" s="238">
        <v>1631</v>
      </c>
      <c r="C181" s="242" t="s">
        <v>260</v>
      </c>
      <c r="D181" s="299">
        <v>1163</v>
      </c>
      <c r="E181" s="299">
        <v>1221</v>
      </c>
      <c r="F181" s="299">
        <v>1116</v>
      </c>
      <c r="G181" s="207" t="s">
        <v>244</v>
      </c>
    </row>
    <row r="182" ht="45" customHeight="1">
      <c r="A182" s="226"/>
      <c r="B182" s="238">
        <v>1632</v>
      </c>
      <c r="C182" s="242" t="s">
        <v>261</v>
      </c>
      <c r="D182" s="299">
        <v>3318</v>
      </c>
      <c r="E182" s="299">
        <v>3709</v>
      </c>
      <c r="F182" s="299">
        <v>3785</v>
      </c>
      <c r="G182" s="207" t="s">
        <v>244</v>
      </c>
    </row>
    <row r="183" ht="45" customHeight="1">
      <c r="A183" s="226"/>
      <c r="B183" s="238">
        <v>1633</v>
      </c>
      <c r="C183" s="242" t="s">
        <v>262</v>
      </c>
      <c r="D183" s="299">
        <v>4950</v>
      </c>
      <c r="E183" s="299">
        <v>4889</v>
      </c>
      <c r="F183" s="299">
        <v>4959</v>
      </c>
      <c r="G183" s="207" t="s">
        <v>244</v>
      </c>
    </row>
    <row r="184" ht="45" customHeight="1">
      <c r="A184" s="226"/>
      <c r="B184" s="238">
        <v>1634</v>
      </c>
      <c r="C184" s="242" t="s">
        <v>263</v>
      </c>
      <c r="D184" s="299">
        <v>329</v>
      </c>
      <c r="E184" s="299">
        <v>323</v>
      </c>
      <c r="F184" s="299">
        <v>321</v>
      </c>
      <c r="G184" s="207" t="s">
        <v>244</v>
      </c>
    </row>
    <row r="185" ht="45" customHeight="1">
      <c r="A185" s="226"/>
      <c r="B185" s="238">
        <v>1635</v>
      </c>
      <c r="C185" s="242" t="s">
        <v>264</v>
      </c>
      <c r="D185" s="299">
        <v>0</v>
      </c>
      <c r="E185" s="299">
        <v>0</v>
      </c>
      <c r="F185" s="299">
        <v>0</v>
      </c>
      <c r="G185" s="207" t="s">
        <v>244</v>
      </c>
    </row>
    <row r="186" ht="45" customHeight="1">
      <c r="A186" s="226"/>
      <c r="B186" s="238">
        <v>1641</v>
      </c>
      <c r="C186" s="242" t="s">
        <v>265</v>
      </c>
      <c r="D186" s="299">
        <v>3212</v>
      </c>
      <c r="E186" s="299">
        <v>3108</v>
      </c>
      <c r="F186" s="299">
        <v>2319</v>
      </c>
      <c r="G186" s="207" t="s">
        <v>244</v>
      </c>
    </row>
    <row r="187" ht="45" customHeight="1">
      <c r="A187" s="226"/>
      <c r="B187" s="238">
        <v>1642</v>
      </c>
      <c r="C187" s="242" t="s">
        <v>264</v>
      </c>
      <c r="D187" s="299">
        <v>0</v>
      </c>
      <c r="E187" s="299">
        <v>0</v>
      </c>
      <c r="F187" s="299">
        <v>0</v>
      </c>
      <c r="G187" s="207" t="s">
        <v>244</v>
      </c>
    </row>
    <row r="188" ht="45" customHeight="1">
      <c r="A188" s="226"/>
      <c r="B188" s="238">
        <v>1643</v>
      </c>
      <c r="C188" s="242" t="s">
        <v>266</v>
      </c>
      <c r="D188" s="299">
        <v>5279</v>
      </c>
      <c r="E188" s="299">
        <v>5212</v>
      </c>
      <c r="F188" s="299">
        <v>5280</v>
      </c>
      <c r="G188" s="207" t="s">
        <v>244</v>
      </c>
    </row>
    <row r="189" ht="45" customHeight="1">
      <c r="A189" s="226"/>
      <c r="B189" s="238">
        <v>1644</v>
      </c>
      <c r="C189" s="242" t="s">
        <v>267</v>
      </c>
      <c r="D189" s="299">
        <v>0</v>
      </c>
      <c r="E189" s="299">
        <v>0</v>
      </c>
      <c r="F189" s="299">
        <v>0</v>
      </c>
      <c r="G189" s="207" t="s">
        <v>244</v>
      </c>
    </row>
    <row r="190" ht="45" customHeight="1">
      <c r="A190" s="226"/>
      <c r="B190" s="238">
        <v>1651</v>
      </c>
      <c r="C190" s="221" t="s">
        <v>268</v>
      </c>
      <c r="D190" s="282" t="e">
        <f>D191/D192</f>
        <v>#DIV/0!</v>
      </c>
      <c r="E190" s="282" t="e">
        <f ref="E190:F190" t="shared" si="14">E191/E192</f>
        <v>#DIV/0!</v>
      </c>
      <c r="F190" s="282" t="e">
        <f t="shared" si="14"/>
        <v>#DIV/0!</v>
      </c>
      <c r="G190" s="207"/>
    </row>
    <row r="191" ht="45" customHeight="1">
      <c r="A191" s="226"/>
      <c r="B191" s="238">
        <v>1652</v>
      </c>
      <c r="C191" s="242" t="s">
        <v>269</v>
      </c>
      <c r="D191" s="299">
        <v>7031</v>
      </c>
      <c r="E191" s="299">
        <v>7069</v>
      </c>
      <c r="F191" s="299">
        <v>7104</v>
      </c>
      <c r="G191" s="207" t="s">
        <v>244</v>
      </c>
    </row>
    <row r="192" ht="45" customHeight="1">
      <c r="A192" s="226"/>
      <c r="B192" s="238">
        <v>1653</v>
      </c>
      <c r="C192" s="242" t="s">
        <v>270</v>
      </c>
      <c r="D192" s="299">
        <v>5212</v>
      </c>
      <c r="E192" s="299">
        <v>5300</v>
      </c>
      <c r="F192" s="299">
        <v>6426</v>
      </c>
      <c r="G192" s="207" t="s">
        <v>244</v>
      </c>
    </row>
    <row r="193" ht="45" customHeight="1">
      <c r="A193" s="226"/>
      <c r="B193" s="238">
        <v>1654</v>
      </c>
      <c r="C193" s="221" t="s">
        <v>271</v>
      </c>
      <c r="D193" s="282" t="e">
        <f>D194/D195</f>
        <v>#DIV/0!</v>
      </c>
      <c r="E193" s="282" t="e">
        <f ref="E193:F193" t="shared" si="15">E194/E195</f>
        <v>#DIV/0!</v>
      </c>
      <c r="F193" s="282" t="e">
        <f t="shared" si="15"/>
        <v>#DIV/0!</v>
      </c>
      <c r="G193" s="207"/>
    </row>
    <row r="194" ht="45" customHeight="1">
      <c r="A194" s="226"/>
      <c r="B194" s="238">
        <v>1655</v>
      </c>
      <c r="C194" s="242" t="s">
        <v>272</v>
      </c>
      <c r="D194" s="299">
        <v>0</v>
      </c>
      <c r="E194" s="299">
        <v>0</v>
      </c>
      <c r="F194" s="299">
        <v>0</v>
      </c>
      <c r="G194" s="207" t="s">
        <v>244</v>
      </c>
    </row>
    <row r="195" ht="45" customHeight="1">
      <c r="A195" s="226"/>
      <c r="B195" s="238">
        <v>1656</v>
      </c>
      <c r="C195" s="242" t="s">
        <v>273</v>
      </c>
      <c r="D195" s="299">
        <v>0</v>
      </c>
      <c r="E195" s="299">
        <v>0</v>
      </c>
      <c r="F195" s="299">
        <v>0</v>
      </c>
      <c r="G195" s="207" t="s">
        <v>244</v>
      </c>
    </row>
    <row r="196" ht="45" customHeight="1">
      <c r="A196" s="226"/>
      <c r="B196" s="238">
        <v>1657</v>
      </c>
      <c r="C196" s="221" t="s">
        <v>274</v>
      </c>
      <c r="D196" s="282" t="e">
        <f>D197/D198</f>
        <v>#DIV/0!</v>
      </c>
      <c r="E196" s="282" t="e">
        <f ref="E196:F196" t="shared" si="16">E197/E198</f>
        <v>#DIV/0!</v>
      </c>
      <c r="F196" s="282" t="e">
        <f t="shared" si="16"/>
        <v>#DIV/0!</v>
      </c>
      <c r="G196" s="207"/>
    </row>
    <row r="197" ht="45" customHeight="1">
      <c r="A197" s="226"/>
      <c r="B197" s="238">
        <v>1658</v>
      </c>
      <c r="C197" s="242" t="s">
        <v>275</v>
      </c>
      <c r="D197" s="299">
        <v>0</v>
      </c>
      <c r="E197" s="299">
        <v>0</v>
      </c>
      <c r="F197" s="299">
        <v>0</v>
      </c>
      <c r="G197" s="207" t="s">
        <v>244</v>
      </c>
    </row>
    <row r="198" ht="45" customHeight="1">
      <c r="A198" s="226"/>
      <c r="B198" s="238">
        <v>1659</v>
      </c>
      <c r="C198" s="242" t="s">
        <v>276</v>
      </c>
      <c r="D198" s="299">
        <v>0</v>
      </c>
      <c r="E198" s="299">
        <v>0</v>
      </c>
      <c r="F198" s="299">
        <v>0</v>
      </c>
      <c r="G198" s="207" t="s">
        <v>244</v>
      </c>
    </row>
    <row r="199" ht="45" customHeight="1">
      <c r="A199" s="226"/>
      <c r="B199" s="238">
        <v>1660</v>
      </c>
      <c r="C199" s="221" t="s">
        <v>277</v>
      </c>
      <c r="D199" s="282" t="e">
        <f>D200/D201</f>
        <v>#DIV/0!</v>
      </c>
      <c r="E199" s="282" t="e">
        <f ref="E199:F199" t="shared" si="17">E200/E201</f>
        <v>#DIV/0!</v>
      </c>
      <c r="F199" s="282" t="e">
        <f t="shared" si="17"/>
        <v>#DIV/0!</v>
      </c>
      <c r="G199" s="207"/>
    </row>
    <row r="200" ht="45" customHeight="1">
      <c r="A200" s="226"/>
      <c r="B200" s="238">
        <v>1661</v>
      </c>
      <c r="C200" s="242" t="s">
        <v>278</v>
      </c>
      <c r="D200" s="299">
        <v>0</v>
      </c>
      <c r="E200" s="299">
        <v>0</v>
      </c>
      <c r="F200" s="299">
        <v>0</v>
      </c>
      <c r="G200" s="207" t="s">
        <v>244</v>
      </c>
    </row>
    <row r="201" ht="45" customHeight="1">
      <c r="A201" s="226"/>
      <c r="B201" s="238">
        <v>1662</v>
      </c>
      <c r="C201" s="242" t="s">
        <v>279</v>
      </c>
      <c r="D201" s="299">
        <v>0</v>
      </c>
      <c r="E201" s="299">
        <v>0</v>
      </c>
      <c r="F201" s="299">
        <v>0</v>
      </c>
      <c r="G201" s="207" t="s">
        <v>244</v>
      </c>
    </row>
    <row r="202" ht="45" customHeight="1">
      <c r="G202" s="207"/>
    </row>
    <row r="203" ht="45" customHeight="1">
      <c r="G203" s="207"/>
    </row>
    <row r="204" ht="45" customHeight="1">
      <c r="G204" s="207"/>
    </row>
    <row r="205" ht="45" customHeight="1">
      <c r="G205" s="207"/>
    </row>
    <row r="206" ht="45" customHeight="1">
      <c r="G206" s="207"/>
    </row>
    <row r="207" ht="45" customHeight="1">
      <c r="G207" s="207"/>
    </row>
    <row r="208" ht="45" customHeight="1">
      <c r="G208" s="207"/>
    </row>
    <row r="209" ht="45" customHeight="1">
      <c r="G209" s="284"/>
    </row>
    <row r="210" ht="45" customHeight="1">
      <c r="G210" s="284"/>
    </row>
    <row r="211" ht="45" customHeight="1">
      <c r="G211" s="284"/>
    </row>
    <row r="212" ht="45" customHeight="1">
      <c r="G212" s="284"/>
    </row>
    <row r="213" ht="45" customHeight="1">
      <c r="G213" s="284"/>
    </row>
    <row r="214" ht="45" customHeight="1">
      <c r="G214" s="284"/>
    </row>
    <row r="215" ht="45" customHeight="1">
      <c r="G215" s="284"/>
    </row>
    <row r="216" ht="45" customHeight="1">
      <c r="G216" s="284"/>
    </row>
    <row r="217" ht="45" customHeight="1">
      <c r="G217" s="284"/>
    </row>
    <row r="218" ht="45" customHeight="1">
      <c r="G218" s="284"/>
    </row>
    <row r="219" ht="45" customHeight="1">
      <c r="G219" s="284"/>
    </row>
    <row r="220" ht="45" customHeight="1">
      <c r="G220" s="284"/>
    </row>
    <row r="221" ht="45" customHeight="1">
      <c r="G221" s="284"/>
    </row>
    <row r="222" ht="45" customHeight="1">
      <c r="G222" s="284"/>
    </row>
    <row r="223" ht="45" customHeight="1">
      <c r="G223" s="284"/>
    </row>
    <row r="224" ht="45" customHeight="1">
      <c r="G224" s="284"/>
    </row>
    <row r="225" ht="45" customHeight="1">
      <c r="G225" s="284"/>
    </row>
    <row r="226" ht="45" customHeight="1">
      <c r="G226" s="284"/>
    </row>
    <row r="227" ht="45" customHeight="1">
      <c r="G227" s="284"/>
    </row>
    <row r="228" ht="45" customHeight="1">
      <c r="G228" s="284"/>
    </row>
    <row r="229" ht="45" customHeight="1">
      <c r="G229" s="284"/>
    </row>
    <row r="230" ht="45" customHeight="1">
      <c r="G230" s="284"/>
    </row>
    <row r="231" ht="45" customHeight="1">
      <c r="G231" s="284"/>
    </row>
    <row r="232" ht="45" customHeight="1">
      <c r="G232" s="284"/>
    </row>
    <row r="233" ht="45" customHeight="1">
      <c r="G233" s="284"/>
    </row>
    <row r="234" ht="45" customHeight="1">
      <c r="G234" s="284"/>
    </row>
    <row r="235" ht="45" customHeight="1">
      <c r="G235" s="284"/>
    </row>
    <row r="236" ht="45" customHeight="1">
      <c r="G236" s="284"/>
    </row>
    <row r="237" ht="45" customHeight="1">
      <c r="G237" s="284"/>
    </row>
    <row r="238" ht="45" customHeight="1">
      <c r="G238" s="284"/>
    </row>
    <row r="239" ht="45" customHeight="1">
      <c r="G239" s="284"/>
    </row>
    <row r="240" ht="45" customHeight="1">
      <c r="G240" s="284"/>
    </row>
    <row r="241" ht="45" customHeight="1">
      <c r="G241" s="284"/>
    </row>
    <row r="242" ht="45" customHeight="1">
      <c r="G242" s="284"/>
    </row>
    <row r="243" ht="45" customHeight="1">
      <c r="G243" s="284"/>
    </row>
    <row r="326" ht="45" customHeight="1" s="269" customFormat="1">
      <c r="A326" s="283"/>
      <c r="B326" s="251"/>
      <c r="C326" s="270"/>
      <c r="D326" s="278"/>
      <c r="E326" s="278"/>
      <c r="F326" s="278"/>
      <c r="G326" s="285"/>
    </row>
    <row r="327" ht="45" customHeight="1" s="269" customFormat="1">
      <c r="A327" s="283"/>
      <c r="B327" s="251"/>
      <c r="C327" s="270"/>
      <c r="D327" s="278"/>
      <c r="E327" s="278"/>
      <c r="F327" s="278"/>
      <c r="G327" s="285"/>
    </row>
    <row r="328" ht="45" customHeight="1" s="269" customFormat="1">
      <c r="A328" s="283"/>
      <c r="B328" s="251"/>
      <c r="C328" s="270"/>
      <c r="D328" s="278"/>
      <c r="E328" s="278"/>
      <c r="F328" s="278"/>
      <c r="G328" s="285"/>
    </row>
    <row r="329" ht="45" customHeight="1" s="269" customFormat="1">
      <c r="A329" s="283"/>
      <c r="B329" s="251"/>
      <c r="C329" s="270"/>
      <c r="D329" s="278"/>
      <c r="E329" s="278"/>
      <c r="F329" s="278"/>
      <c r="G329" s="285"/>
    </row>
    <row r="330" ht="45" customHeight="1" s="269" customFormat="1">
      <c r="A330" s="283"/>
      <c r="B330" s="251"/>
      <c r="C330" s="270"/>
      <c r="D330" s="278"/>
      <c r="E330" s="278"/>
      <c r="F330" s="278"/>
      <c r="G330" s="285"/>
    </row>
    <row r="331" ht="45" customHeight="1" s="269" customFormat="1">
      <c r="A331" s="283"/>
      <c r="B331" s="251"/>
      <c r="C331" s="270"/>
      <c r="D331" s="278"/>
      <c r="E331" s="278"/>
      <c r="F331" s="278"/>
      <c r="G331" s="285"/>
    </row>
    <row r="332" ht="45" customHeight="1" s="269" customFormat="1">
      <c r="A332" s="283"/>
      <c r="B332" s="251"/>
      <c r="C332" s="270"/>
      <c r="D332" s="278"/>
      <c r="E332" s="278"/>
      <c r="F332" s="278"/>
      <c r="G332" s="285"/>
    </row>
    <row r="333" ht="45" customHeight="1" s="269" customFormat="1">
      <c r="A333" s="283"/>
      <c r="B333" s="251"/>
      <c r="C333" s="270"/>
      <c r="D333" s="278"/>
      <c r="E333" s="278"/>
      <c r="F333" s="278"/>
      <c r="G333" s="285"/>
    </row>
    <row r="334" ht="45" customHeight="1" s="269" customFormat="1">
      <c r="A334" s="283"/>
      <c r="B334" s="251"/>
      <c r="C334" s="270"/>
      <c r="D334" s="278"/>
      <c r="E334" s="278"/>
      <c r="F334" s="278"/>
      <c r="G334" s="285"/>
    </row>
    <row r="335" ht="45" customHeight="1" s="269" customFormat="1">
      <c r="A335" s="283"/>
      <c r="B335" s="251"/>
      <c r="C335" s="270"/>
      <c r="D335" s="278"/>
      <c r="E335" s="278"/>
      <c r="F335" s="278"/>
      <c r="G335" s="285"/>
    </row>
    <row r="336" ht="45" customHeight="1" s="269" customFormat="1">
      <c r="A336" s="283"/>
      <c r="B336" s="251"/>
      <c r="C336" s="270"/>
      <c r="D336" s="278"/>
      <c r="E336" s="278"/>
      <c r="F336" s="278"/>
      <c r="G336" s="285"/>
    </row>
    <row r="337" ht="45" customHeight="1" s="269" customFormat="1">
      <c r="A337" s="283"/>
      <c r="B337" s="251"/>
      <c r="C337" s="270"/>
      <c r="D337" s="278"/>
      <c r="E337" s="278"/>
      <c r="F337" s="278"/>
      <c r="G337" s="285"/>
    </row>
    <row r="338" ht="45" customHeight="1" s="269" customFormat="1">
      <c r="A338" s="283"/>
      <c r="B338" s="251"/>
      <c r="C338" s="270"/>
      <c r="D338" s="278"/>
      <c r="E338" s="278"/>
      <c r="F338" s="278"/>
      <c r="G338" s="285"/>
    </row>
    <row r="339" ht="45" customHeight="1" s="269" customFormat="1">
      <c r="A339" s="283"/>
      <c r="B339" s="251"/>
      <c r="C339" s="270"/>
      <c r="D339" s="278"/>
      <c r="E339" s="278"/>
      <c r="F339" s="278"/>
      <c r="G339" s="285"/>
    </row>
    <row r="340" ht="45" customHeight="1" s="269" customFormat="1">
      <c r="A340" s="283"/>
      <c r="B340" s="251"/>
      <c r="C340" s="270"/>
      <c r="D340" s="278"/>
      <c r="E340" s="278"/>
      <c r="F340" s="278"/>
      <c r="G340" s="285"/>
    </row>
    <row r="341" ht="45" customHeight="1" s="269" customFormat="1">
      <c r="A341" s="283"/>
      <c r="B341" s="251"/>
      <c r="C341" s="270"/>
      <c r="D341" s="278"/>
      <c r="E341" s="278"/>
      <c r="F341" s="278"/>
      <c r="G341" s="285"/>
    </row>
    <row r="342" ht="45" customHeight="1" s="269" customFormat="1">
      <c r="A342" s="283"/>
      <c r="B342" s="251"/>
      <c r="C342" s="270"/>
      <c r="D342" s="278"/>
      <c r="E342" s="278"/>
      <c r="F342" s="278"/>
      <c r="G342" s="285"/>
    </row>
    <row r="343" ht="45" customHeight="1" s="269" customFormat="1">
      <c r="A343" s="283"/>
      <c r="B343" s="251"/>
      <c r="C343" s="270"/>
      <c r="D343" s="278"/>
      <c r="E343" s="278"/>
      <c r="F343" s="278"/>
      <c r="G343" s="285"/>
    </row>
    <row r="344" ht="45" customHeight="1" s="269" customFormat="1">
      <c r="A344" s="283"/>
      <c r="B344" s="251"/>
      <c r="C344" s="270"/>
      <c r="D344" s="278"/>
      <c r="E344" s="278"/>
      <c r="F344" s="278"/>
      <c r="G344" s="285"/>
    </row>
    <row r="345" ht="45" customHeight="1" s="269" customFormat="1">
      <c r="A345" s="283"/>
      <c r="B345" s="251"/>
      <c r="C345" s="270"/>
      <c r="D345" s="278"/>
      <c r="E345" s="278"/>
      <c r="F345" s="278"/>
      <c r="G345" s="285"/>
    </row>
    <row r="346" ht="45" customHeight="1" s="269" customFormat="1">
      <c r="A346" s="283"/>
      <c r="B346" s="251"/>
      <c r="C346" s="270"/>
      <c r="D346" s="278"/>
      <c r="E346" s="278"/>
      <c r="F346" s="278"/>
      <c r="G346" s="285"/>
    </row>
    <row r="347" ht="45" customHeight="1" s="269" customFormat="1">
      <c r="A347" s="283"/>
      <c r="B347" s="251"/>
      <c r="C347" s="270"/>
      <c r="D347" s="278"/>
      <c r="E347" s="278"/>
      <c r="F347" s="278"/>
      <c r="G347" s="285"/>
    </row>
    <row r="348" ht="45" customHeight="1" s="269" customFormat="1">
      <c r="A348" s="283"/>
      <c r="B348" s="251"/>
      <c r="C348" s="270"/>
      <c r="D348" s="278"/>
      <c r="E348" s="278"/>
      <c r="F348" s="278"/>
      <c r="G348" s="285"/>
    </row>
    <row r="349" ht="45" customHeight="1" s="269" customFormat="1">
      <c r="A349" s="283"/>
      <c r="B349" s="251"/>
      <c r="C349" s="270"/>
      <c r="D349" s="278"/>
      <c r="E349" s="278"/>
      <c r="F349" s="278"/>
      <c r="G349" s="285"/>
    </row>
    <row r="350" ht="45" customHeight="1" s="269" customFormat="1">
      <c r="A350" s="283"/>
      <c r="B350" s="251"/>
      <c r="C350" s="270"/>
      <c r="D350" s="278"/>
      <c r="E350" s="278"/>
      <c r="F350" s="278"/>
      <c r="G350" s="285"/>
    </row>
    <row r="351" ht="45" customHeight="1" s="269" customFormat="1">
      <c r="A351" s="283"/>
      <c r="B351" s="251"/>
      <c r="C351" s="270"/>
      <c r="D351" s="278"/>
      <c r="E351" s="278"/>
      <c r="F351" s="278"/>
      <c r="G351" s="285"/>
    </row>
    <row r="352" ht="45" customHeight="1" s="269" customFormat="1">
      <c r="A352" s="283"/>
      <c r="B352" s="251"/>
      <c r="C352" s="270"/>
      <c r="D352" s="278"/>
      <c r="E352" s="278"/>
      <c r="F352" s="278"/>
      <c r="G352" s="285"/>
    </row>
    <row r="353" ht="45" customHeight="1" s="269" customFormat="1">
      <c r="A353" s="283"/>
      <c r="B353" s="251"/>
      <c r="C353" s="270"/>
      <c r="D353" s="278"/>
      <c r="E353" s="278"/>
      <c r="F353" s="278"/>
      <c r="G353" s="285"/>
    </row>
    <row r="354" ht="45" customHeight="1" s="269" customFormat="1">
      <c r="A354" s="283"/>
      <c r="B354" s="251"/>
      <c r="C354" s="270"/>
      <c r="D354" s="278"/>
      <c r="E354" s="278"/>
      <c r="F354" s="278"/>
      <c r="G354" s="285"/>
    </row>
    <row r="355" ht="45" customHeight="1" s="269" customFormat="1">
      <c r="A355" s="283"/>
      <c r="B355" s="251"/>
      <c r="C355" s="270"/>
      <c r="D355" s="278"/>
      <c r="E355" s="278"/>
      <c r="F355" s="278"/>
      <c r="G355" s="285"/>
    </row>
    <row r="356" ht="45" customHeight="1" s="269" customFormat="1">
      <c r="A356" s="283"/>
      <c r="B356" s="251"/>
      <c r="C356" s="270"/>
      <c r="D356" s="278"/>
      <c r="E356" s="278"/>
      <c r="F356" s="278"/>
      <c r="G356" s="285"/>
    </row>
    <row r="357" ht="45" customHeight="1" s="269" customFormat="1">
      <c r="A357" s="283"/>
      <c r="B357" s="251"/>
      <c r="C357" s="270"/>
      <c r="D357" s="278"/>
      <c r="E357" s="278"/>
      <c r="F357" s="278"/>
      <c r="G357" s="285"/>
    </row>
    <row r="358" ht="45" customHeight="1" s="269" customFormat="1">
      <c r="A358" s="283"/>
      <c r="B358" s="251"/>
      <c r="C358" s="270"/>
      <c r="D358" s="278"/>
      <c r="E358" s="278"/>
      <c r="F358" s="278"/>
      <c r="G358" s="285"/>
    </row>
    <row r="359" ht="45" customHeight="1" s="269" customFormat="1">
      <c r="A359" s="283"/>
      <c r="B359" s="251"/>
      <c r="C359" s="270"/>
      <c r="D359" s="278"/>
      <c r="E359" s="278"/>
      <c r="F359" s="278"/>
      <c r="G359" s="285"/>
    </row>
    <row r="360" ht="45" customHeight="1" s="269" customFormat="1">
      <c r="A360" s="283"/>
      <c r="B360" s="251"/>
      <c r="C360" s="270"/>
      <c r="D360" s="278"/>
      <c r="E360" s="278"/>
      <c r="F360" s="278"/>
      <c r="G360" s="285"/>
    </row>
    <row r="361" ht="45" customHeight="1" s="269" customFormat="1">
      <c r="A361" s="283"/>
      <c r="B361" s="251"/>
      <c r="C361" s="270"/>
      <c r="D361" s="278"/>
      <c r="E361" s="278"/>
      <c r="F361" s="278"/>
      <c r="G361" s="285"/>
    </row>
    <row r="362" ht="45" customHeight="1" s="269" customFormat="1">
      <c r="A362" s="283"/>
      <c r="B362" s="251"/>
      <c r="C362" s="270"/>
      <c r="D362" s="278"/>
      <c r="E362" s="278"/>
      <c r="F362" s="278"/>
      <c r="G362" s="285"/>
    </row>
    <row r="363" ht="45" customHeight="1" s="269" customFormat="1">
      <c r="A363" s="283"/>
      <c r="B363" s="251"/>
      <c r="C363" s="270"/>
      <c r="D363" s="278"/>
      <c r="E363" s="278"/>
      <c r="F363" s="278"/>
      <c r="G363" s="285"/>
    </row>
    <row r="364" ht="45" customHeight="1" s="269" customFormat="1">
      <c r="A364" s="283"/>
      <c r="B364" s="251"/>
      <c r="C364" s="270"/>
      <c r="D364" s="278"/>
      <c r="E364" s="278"/>
      <c r="F364" s="278"/>
      <c r="G364" s="285"/>
    </row>
    <row r="365" ht="45" customHeight="1" s="269" customFormat="1">
      <c r="A365" s="283"/>
      <c r="B365" s="251"/>
      <c r="C365" s="270"/>
      <c r="D365" s="278"/>
      <c r="E365" s="278"/>
      <c r="F365" s="278"/>
      <c r="G365" s="285"/>
    </row>
    <row r="366" ht="45" customHeight="1" s="269" customFormat="1">
      <c r="A366" s="283"/>
      <c r="B366" s="251"/>
      <c r="C366" s="270"/>
      <c r="D366" s="278"/>
      <c r="E366" s="278"/>
      <c r="F366" s="278"/>
      <c r="G366" s="285"/>
    </row>
    <row r="367" ht="45" customHeight="1" s="269" customFormat="1">
      <c r="A367" s="283"/>
      <c r="B367" s="251"/>
      <c r="C367" s="270"/>
      <c r="D367" s="278"/>
      <c r="E367" s="278"/>
      <c r="F367" s="278"/>
      <c r="G367" s="285"/>
    </row>
    <row r="368" ht="45" customHeight="1" s="269" customFormat="1">
      <c r="A368" s="283"/>
      <c r="B368" s="251"/>
      <c r="C368" s="270"/>
      <c r="D368" s="278"/>
      <c r="E368" s="278"/>
      <c r="F368" s="278"/>
      <c r="G368" s="285"/>
    </row>
    <row r="369" ht="45" customHeight="1" s="269" customFormat="1">
      <c r="A369" s="283"/>
      <c r="B369" s="251"/>
      <c r="C369" s="270"/>
      <c r="D369" s="278"/>
      <c r="E369" s="278"/>
      <c r="F369" s="278"/>
      <c r="G369" s="285"/>
    </row>
    <row r="370" ht="45" customHeight="1" s="269" customFormat="1">
      <c r="A370" s="283"/>
      <c r="B370" s="251"/>
      <c r="C370" s="270"/>
      <c r="D370" s="278"/>
      <c r="E370" s="278"/>
      <c r="F370" s="278"/>
      <c r="G370" s="285"/>
    </row>
    <row r="371" ht="45" customHeight="1" s="269" customFormat="1">
      <c r="A371" s="283"/>
      <c r="B371" s="251"/>
      <c r="C371" s="270"/>
      <c r="D371" s="278"/>
      <c r="E371" s="278"/>
      <c r="F371" s="278"/>
      <c r="G371" s="285"/>
    </row>
    <row r="372" ht="45" customHeight="1" s="269" customFormat="1">
      <c r="A372" s="283"/>
      <c r="B372" s="251"/>
      <c r="C372" s="270"/>
      <c r="D372" s="278"/>
      <c r="E372" s="278"/>
      <c r="F372" s="278"/>
      <c r="G372" s="285"/>
    </row>
    <row r="373" ht="45" customHeight="1" s="269" customFormat="1">
      <c r="A373" s="283"/>
      <c r="B373" s="251"/>
      <c r="C373" s="270"/>
      <c r="D373" s="278"/>
      <c r="E373" s="278"/>
      <c r="F373" s="278"/>
      <c r="G373" s="285"/>
    </row>
    <row r="374" ht="45" customHeight="1" s="269" customFormat="1">
      <c r="A374" s="283"/>
      <c r="B374" s="251"/>
      <c r="C374" s="270"/>
      <c r="D374" s="278"/>
      <c r="E374" s="278"/>
      <c r="F374" s="278"/>
      <c r="G374" s="285"/>
    </row>
    <row r="377" ht="45" customHeight="1" s="269" customFormat="1">
      <c r="A377" s="283"/>
      <c r="B377" s="251"/>
      <c r="C377" s="270"/>
      <c r="D377" s="278"/>
      <c r="E377" s="278"/>
      <c r="F377" s="278"/>
      <c r="G377" s="285"/>
    </row>
    <row r="378" ht="45" customHeight="1" s="269" customFormat="1">
      <c r="A378" s="283"/>
      <c r="B378" s="251"/>
      <c r="C378" s="270"/>
      <c r="D378" s="278"/>
      <c r="E378" s="278"/>
      <c r="F378" s="278"/>
      <c r="G378" s="285"/>
    </row>
    <row r="453" ht="45" customHeight="1" s="269" customFormat="1">
      <c r="A453" s="283"/>
      <c r="B453" s="251"/>
      <c r="C453" s="270"/>
      <c r="D453" s="278"/>
      <c r="E453" s="278"/>
      <c r="F453" s="278"/>
      <c r="G453" s="285"/>
    </row>
    <row r="454" ht="45" customHeight="1" s="269" customFormat="1">
      <c r="A454" s="283"/>
      <c r="B454" s="251"/>
      <c r="C454" s="270"/>
      <c r="D454" s="278"/>
      <c r="E454" s="278"/>
      <c r="F454" s="278"/>
      <c r="G454" s="285"/>
    </row>
    <row r="455" ht="45" customHeight="1" s="269" customFormat="1">
      <c r="A455" s="283"/>
      <c r="B455" s="251"/>
      <c r="C455" s="270"/>
      <c r="D455" s="278"/>
      <c r="E455" s="278"/>
      <c r="F455" s="278"/>
      <c r="G455" s="285"/>
    </row>
    <row r="456" ht="45" customHeight="1" s="269" customFormat="1">
      <c r="A456" s="283"/>
      <c r="B456" s="251"/>
      <c r="C456" s="270"/>
      <c r="D456" s="278"/>
      <c r="E456" s="278"/>
      <c r="F456" s="278"/>
      <c r="G456" s="285"/>
    </row>
    <row r="457" ht="45" customHeight="1" s="269" customFormat="1">
      <c r="A457" s="283"/>
      <c r="B457" s="251"/>
      <c r="C457" s="270"/>
      <c r="D457" s="278"/>
      <c r="E457" s="278"/>
      <c r="F457" s="278"/>
      <c r="G457" s="285"/>
    </row>
    <row r="458" ht="45" customHeight="1" s="269" customFormat="1">
      <c r="A458" s="283"/>
      <c r="B458" s="251"/>
      <c r="C458" s="270"/>
      <c r="D458" s="278"/>
      <c r="E458" s="278"/>
      <c r="F458" s="278"/>
      <c r="G458" s="285"/>
    </row>
    <row r="459" ht="45" customHeight="1" s="269" customFormat="1">
      <c r="A459" s="283"/>
      <c r="B459" s="251"/>
      <c r="C459" s="270"/>
      <c r="D459" s="278"/>
      <c r="E459" s="278"/>
      <c r="F459" s="278"/>
      <c r="G459" s="285"/>
    </row>
    <row r="460" ht="45" customHeight="1" s="269" customFormat="1">
      <c r="A460" s="283"/>
      <c r="B460" s="251"/>
      <c r="C460" s="270"/>
      <c r="D460" s="278"/>
      <c r="E460" s="278"/>
      <c r="F460" s="278"/>
      <c r="G460" s="285"/>
    </row>
    <row r="461" ht="45" customHeight="1" s="269" customFormat="1">
      <c r="A461" s="283"/>
      <c r="B461" s="251"/>
      <c r="C461" s="270"/>
      <c r="D461" s="278"/>
      <c r="E461" s="278"/>
      <c r="F461" s="278"/>
      <c r="G461" s="285"/>
    </row>
    <row r="462" ht="45" customHeight="1" s="269" customFormat="1">
      <c r="A462" s="283"/>
      <c r="B462" s="251"/>
      <c r="C462" s="270"/>
      <c r="D462" s="278"/>
      <c r="E462" s="278"/>
      <c r="F462" s="278"/>
      <c r="G462" s="285"/>
    </row>
    <row r="463" ht="45" customHeight="1" s="269" customFormat="1">
      <c r="A463" s="283"/>
      <c r="B463" s="251"/>
      <c r="C463" s="270"/>
      <c r="D463" s="278"/>
      <c r="E463" s="278"/>
      <c r="F463" s="278"/>
      <c r="G463" s="285"/>
    </row>
    <row r="464" ht="45" customHeight="1" s="269" customFormat="1">
      <c r="A464" s="283"/>
      <c r="B464" s="251"/>
      <c r="C464" s="270"/>
      <c r="D464" s="278"/>
      <c r="E464" s="278"/>
      <c r="F464" s="278"/>
      <c r="G464" s="285"/>
    </row>
    <row r="465" ht="45" customHeight="1" s="269" customFormat="1">
      <c r="A465" s="283"/>
      <c r="B465" s="251"/>
      <c r="C465" s="270"/>
      <c r="D465" s="278"/>
      <c r="E465" s="278"/>
      <c r="F465" s="278"/>
      <c r="G465" s="285"/>
    </row>
    <row r="466" ht="45" customHeight="1" s="269" customFormat="1">
      <c r="A466" s="283"/>
      <c r="B466" s="251"/>
      <c r="C466" s="270"/>
      <c r="D466" s="278"/>
      <c r="E466" s="278"/>
      <c r="F466" s="278"/>
      <c r="G466" s="285"/>
    </row>
    <row r="546" ht="45" customHeight="1" s="269" customFormat="1">
      <c r="A546" s="283"/>
      <c r="B546" s="251"/>
      <c r="C546" s="270"/>
      <c r="D546" s="278"/>
      <c r="E546" s="278"/>
      <c r="F546" s="278"/>
      <c r="G546" s="285"/>
    </row>
    <row r="547" ht="45" customHeight="1" s="269" customFormat="1">
      <c r="A547" s="283"/>
      <c r="B547" s="251"/>
      <c r="C547" s="270"/>
      <c r="D547" s="278"/>
      <c r="E547" s="278"/>
      <c r="F547" s="278"/>
      <c r="G547" s="285"/>
    </row>
    <row r="548" ht="45" customHeight="1" s="269" customFormat="1">
      <c r="A548" s="283"/>
      <c r="B548" s="251"/>
      <c r="C548" s="270"/>
      <c r="D548" s="278"/>
      <c r="E548" s="278"/>
      <c r="F548" s="278"/>
      <c r="G548" s="285"/>
    </row>
    <row r="555" ht="45" customHeight="1" s="269" customFormat="1">
      <c r="A555" s="283"/>
      <c r="B555" s="251"/>
      <c r="C555" s="270"/>
      <c r="D555" s="278"/>
      <c r="E555" s="278"/>
      <c r="F555" s="278"/>
      <c r="G555" s="285"/>
    </row>
    <row r="556" ht="45" customHeight="1" s="269" customFormat="1">
      <c r="A556" s="283"/>
      <c r="B556" s="251"/>
      <c r="C556" s="270"/>
      <c r="D556" s="278"/>
      <c r="E556" s="278"/>
      <c r="F556" s="278"/>
      <c r="G556" s="285"/>
    </row>
    <row r="557" ht="45" customHeight="1" s="269" customFormat="1">
      <c r="A557" s="283"/>
      <c r="B557" s="251"/>
      <c r="C557" s="270"/>
      <c r="D557" s="278"/>
      <c r="E557" s="278"/>
      <c r="F557" s="278"/>
      <c r="G557" s="285"/>
    </row>
    <row r="558" ht="45" customHeight="1" s="269" customFormat="1">
      <c r="A558" s="283"/>
      <c r="B558" s="251"/>
      <c r="C558" s="270"/>
      <c r="D558" s="278"/>
      <c r="E558" s="278"/>
      <c r="F558" s="278"/>
      <c r="G558" s="285"/>
    </row>
    <row r="559" ht="45" customHeight="1" s="269" customFormat="1">
      <c r="A559" s="283"/>
      <c r="B559" s="251"/>
      <c r="C559" s="270"/>
      <c r="D559" s="278"/>
      <c r="E559" s="278"/>
      <c r="F559" s="278"/>
      <c r="G559" s="285"/>
    </row>
    <row r="560" ht="45" customHeight="1" s="269" customFormat="1">
      <c r="A560" s="283"/>
      <c r="B560" s="251"/>
      <c r="C560" s="270"/>
      <c r="D560" s="278"/>
      <c r="E560" s="278"/>
      <c r="F560" s="278"/>
      <c r="G560" s="285"/>
    </row>
    <row r="868" ht="45" customHeight="1">
      <c r="G868" s="286"/>
      <c r="H868" s="287"/>
      <c r="I868" s="287"/>
      <c r="J868" s="287"/>
      <c r="K868" s="287"/>
      <c r="L868" s="287"/>
      <c r="M868" s="287"/>
      <c r="N868" s="287"/>
      <c r="O868" s="287"/>
      <c r="P868" s="287"/>
      <c r="Q868" s="287"/>
      <c r="R868" s="287"/>
      <c r="S868" s="287"/>
      <c r="T868" s="287"/>
      <c r="U868" s="287"/>
      <c r="V868" s="288"/>
      <c r="W868" s="289"/>
      <c r="X868" s="289"/>
      <c r="Y868" s="289"/>
      <c r="Z868" s="289"/>
      <c r="AA868" s="289"/>
      <c r="AB868" s="289"/>
      <c r="AC868" s="289"/>
      <c r="AD868" s="289"/>
      <c r="AE868" s="289"/>
      <c r="AF868" s="289"/>
      <c r="AG868" s="289"/>
      <c r="AH868" s="289"/>
      <c r="AI868" s="289"/>
      <c r="AJ868" s="289"/>
      <c r="AK868" s="289"/>
      <c r="AL868" s="289"/>
      <c r="AM868" s="289"/>
      <c r="AN868" s="289"/>
      <c r="AO868" s="289"/>
      <c r="AP868" s="289"/>
      <c r="AQ868" s="289"/>
      <c r="AR868" s="289"/>
      <c r="AS868" s="289"/>
      <c r="AT868" s="289"/>
      <c r="AU868" s="289"/>
      <c r="AV868" s="289"/>
      <c r="AW868" s="289"/>
      <c r="AX868" s="289"/>
      <c r="AY868" s="289"/>
      <c r="AZ868" s="289"/>
      <c r="BA868" s="289"/>
      <c r="BB868" s="289"/>
      <c r="BC868" s="289"/>
      <c r="BD868" s="289"/>
      <c r="BE868" s="289"/>
      <c r="BF868" s="289"/>
      <c r="BG868" s="289"/>
      <c r="BH868" s="289"/>
      <c r="BI868" s="289"/>
      <c r="BJ868" s="289"/>
      <c r="BK868" s="289"/>
      <c r="BL868" s="289"/>
      <c r="BM868" s="289"/>
      <c r="BN868" s="289"/>
      <c r="BO868" s="289"/>
      <c r="BP868" s="289"/>
      <c r="BQ868" s="289"/>
      <c r="BR868" s="289"/>
      <c r="BS868" s="289"/>
      <c r="BT868" s="289"/>
      <c r="BU868" s="289"/>
      <c r="BV868" s="289"/>
      <c r="BW868" s="289"/>
      <c r="BX868" s="289"/>
      <c r="BY868" s="289"/>
      <c r="BZ868" s="289"/>
      <c r="CA868" s="289"/>
      <c r="CB868" s="289"/>
      <c r="CC868" s="289"/>
      <c r="CD868" s="289"/>
      <c r="CE868" s="289"/>
      <c r="CF868" s="289"/>
      <c r="CG868" s="289" t="s">
        <v>280</v>
      </c>
      <c r="CH868" s="289" t="s">
        <v>280</v>
      </c>
      <c r="CI868" s="289" t="s">
        <v>280</v>
      </c>
      <c r="CJ868" s="289" t="s">
        <v>280</v>
      </c>
      <c r="CK868" s="289" t="s">
        <v>280</v>
      </c>
      <c r="CL868" s="289" t="s">
        <v>280</v>
      </c>
      <c r="CM868" s="289" t="s">
        <v>280</v>
      </c>
      <c r="CN868" s="289" t="s">
        <v>280</v>
      </c>
      <c r="CO868" s="289" t="s">
        <v>280</v>
      </c>
      <c r="CP868" s="289" t="s">
        <v>280</v>
      </c>
      <c r="CQ868" s="289" t="s">
        <v>280</v>
      </c>
      <c r="CR868" s="289" t="s">
        <v>280</v>
      </c>
      <c r="CS868" s="289" t="s">
        <v>280</v>
      </c>
      <c r="CT868" s="289" t="s">
        <v>280</v>
      </c>
      <c r="CU868" s="289" t="s">
        <v>280</v>
      </c>
      <c r="CV868" s="289" t="s">
        <v>280</v>
      </c>
      <c r="CW868" s="289" t="s">
        <v>280</v>
      </c>
      <c r="CX868" s="289" t="s">
        <v>280</v>
      </c>
      <c r="CY868" s="289" t="s">
        <v>280</v>
      </c>
      <c r="CZ868" s="289" t="s">
        <v>280</v>
      </c>
      <c r="DA868" s="289" t="s">
        <v>280</v>
      </c>
      <c r="DB868" s="289" t="s">
        <v>280</v>
      </c>
      <c r="DC868" s="289" t="s">
        <v>280</v>
      </c>
      <c r="DD868" s="289" t="s">
        <v>280</v>
      </c>
      <c r="DE868" s="289" t="s">
        <v>280</v>
      </c>
      <c r="DF868" s="289" t="s">
        <v>280</v>
      </c>
      <c r="DG868" s="289" t="s">
        <v>280</v>
      </c>
      <c r="DH868" s="289" t="s">
        <v>280</v>
      </c>
      <c r="DI868" s="289" t="s">
        <v>280</v>
      </c>
      <c r="DJ868" s="289" t="s">
        <v>280</v>
      </c>
      <c r="DK868" s="289" t="s">
        <v>280</v>
      </c>
      <c r="DL868" s="289" t="s">
        <v>280</v>
      </c>
      <c r="DM868" s="289" t="s">
        <v>280</v>
      </c>
      <c r="DN868" s="289" t="s">
        <v>280</v>
      </c>
      <c r="DO868" s="289" t="s">
        <v>280</v>
      </c>
      <c r="DP868" s="289" t="s">
        <v>280</v>
      </c>
      <c r="DQ868" s="289" t="s">
        <v>280</v>
      </c>
      <c r="DR868" s="289" t="s">
        <v>280</v>
      </c>
      <c r="DS868" s="289" t="s">
        <v>280</v>
      </c>
      <c r="DT868" s="289" t="s">
        <v>280</v>
      </c>
      <c r="DU868" s="289" t="s">
        <v>280</v>
      </c>
      <c r="DV868" s="289" t="s">
        <v>280</v>
      </c>
      <c r="DW868" s="289" t="s">
        <v>280</v>
      </c>
      <c r="DX868" s="289" t="s">
        <v>280</v>
      </c>
      <c r="DY868" s="289" t="s">
        <v>280</v>
      </c>
      <c r="DZ868" s="289" t="s">
        <v>280</v>
      </c>
      <c r="EA868" s="289" t="s">
        <v>280</v>
      </c>
      <c r="EB868" s="289" t="s">
        <v>280</v>
      </c>
      <c r="EC868" s="289" t="s">
        <v>280</v>
      </c>
      <c r="ED868" s="289" t="s">
        <v>280</v>
      </c>
      <c r="EE868" s="289" t="s">
        <v>280</v>
      </c>
      <c r="EF868" s="289" t="s">
        <v>280</v>
      </c>
      <c r="EG868" s="289" t="s">
        <v>280</v>
      </c>
      <c r="EH868" s="289" t="s">
        <v>280</v>
      </c>
      <c r="EI868" s="289" t="s">
        <v>280</v>
      </c>
      <c r="EJ868" s="289" t="s">
        <v>280</v>
      </c>
      <c r="EK868" s="289" t="s">
        <v>280</v>
      </c>
      <c r="EL868" s="289" t="s">
        <v>280</v>
      </c>
      <c r="EM868" s="289" t="s">
        <v>280</v>
      </c>
      <c r="EN868" s="289" t="s">
        <v>280</v>
      </c>
      <c r="EO868" s="289" t="s">
        <v>280</v>
      </c>
      <c r="EP868" s="289" t="s">
        <v>280</v>
      </c>
      <c r="EQ868" s="289" t="s">
        <v>280</v>
      </c>
      <c r="ER868" s="289" t="s">
        <v>280</v>
      </c>
      <c r="ES868" s="289" t="s">
        <v>280</v>
      </c>
      <c r="ET868" s="289" t="s">
        <v>280</v>
      </c>
      <c r="EU868" s="289" t="s">
        <v>280</v>
      </c>
      <c r="EV868" s="289" t="s">
        <v>280</v>
      </c>
      <c r="EW868" s="289" t="s">
        <v>280</v>
      </c>
      <c r="EX868" s="289" t="s">
        <v>280</v>
      </c>
      <c r="EY868" s="289" t="s">
        <v>280</v>
      </c>
      <c r="EZ868" s="289" t="s">
        <v>280</v>
      </c>
      <c r="FA868" s="289" t="s">
        <v>280</v>
      </c>
      <c r="FB868" s="289" t="s">
        <v>280</v>
      </c>
      <c r="FC868" s="289" t="s">
        <v>280</v>
      </c>
      <c r="FD868" s="289" t="s">
        <v>280</v>
      </c>
      <c r="FE868" s="289" t="s">
        <v>280</v>
      </c>
      <c r="FF868" s="289" t="s">
        <v>280</v>
      </c>
      <c r="FG868" s="289" t="s">
        <v>280</v>
      </c>
      <c r="FH868" s="290" t="s">
        <v>280</v>
      </c>
      <c r="FI868" s="290" t="s">
        <v>280</v>
      </c>
      <c r="FJ868" s="290" t="s">
        <v>280</v>
      </c>
      <c r="FK868" s="290" t="s">
        <v>280</v>
      </c>
      <c r="FL868" s="290" t="s">
        <v>280</v>
      </c>
      <c r="FM868" s="290" t="s">
        <v>280</v>
      </c>
      <c r="FN868" s="290" t="s">
        <v>280</v>
      </c>
      <c r="FO868" s="290" t="s">
        <v>280</v>
      </c>
      <c r="FP868" s="290" t="s">
        <v>280</v>
      </c>
      <c r="FQ868" s="290" t="s">
        <v>280</v>
      </c>
      <c r="FR868" s="290" t="s">
        <v>280</v>
      </c>
      <c r="FS868" s="290" t="s">
        <v>280</v>
      </c>
      <c r="FT868" s="290" t="s">
        <v>280</v>
      </c>
      <c r="FU868" s="290" t="s">
        <v>280</v>
      </c>
      <c r="FV868" s="290" t="s">
        <v>280</v>
      </c>
      <c r="FW868" s="290" t="s">
        <v>280</v>
      </c>
      <c r="FX868" s="290" t="s">
        <v>280</v>
      </c>
      <c r="FY868" s="290" t="s">
        <v>280</v>
      </c>
      <c r="FZ868" s="290" t="s">
        <v>280</v>
      </c>
      <c r="GA868" s="290" t="s">
        <v>280</v>
      </c>
      <c r="GB868" s="290" t="s">
        <v>280</v>
      </c>
      <c r="GC868" s="290" t="s">
        <v>280</v>
      </c>
      <c r="GD868" s="290" t="s">
        <v>280</v>
      </c>
      <c r="GE868" s="290" t="s">
        <v>280</v>
      </c>
      <c r="GF868" s="290" t="s">
        <v>280</v>
      </c>
      <c r="GG868" s="290" t="s">
        <v>280</v>
      </c>
      <c r="GH868" s="290" t="s">
        <v>280</v>
      </c>
      <c r="GI868" s="290" t="s">
        <v>280</v>
      </c>
      <c r="GJ868" s="290" t="s">
        <v>280</v>
      </c>
      <c r="GK868" s="290" t="s">
        <v>280</v>
      </c>
      <c r="GL868" s="290" t="s">
        <v>280</v>
      </c>
      <c r="GM868" s="290" t="s">
        <v>280</v>
      </c>
      <c r="GN868" s="290" t="s">
        <v>280</v>
      </c>
      <c r="GO868" s="290" t="s">
        <v>280</v>
      </c>
      <c r="GP868" s="290" t="s">
        <v>280</v>
      </c>
      <c r="GQ868" s="290" t="s">
        <v>280</v>
      </c>
      <c r="GR868" s="290" t="s">
        <v>280</v>
      </c>
      <c r="GS868" s="290" t="s">
        <v>280</v>
      </c>
      <c r="GT868" s="290" t="s">
        <v>280</v>
      </c>
      <c r="GU868" s="290" t="s">
        <v>280</v>
      </c>
      <c r="GV868" s="290" t="s">
        <v>280</v>
      </c>
      <c r="GW868" s="290" t="s">
        <v>280</v>
      </c>
      <c r="GX868" s="290" t="s">
        <v>280</v>
      </c>
      <c r="GY868" s="290" t="s">
        <v>280</v>
      </c>
      <c r="GZ868" s="290" t="s">
        <v>280</v>
      </c>
      <c r="HA868" s="290" t="s">
        <v>280</v>
      </c>
      <c r="HB868" s="290" t="s">
        <v>280</v>
      </c>
      <c r="HC868" s="290" t="s">
        <v>280</v>
      </c>
      <c r="HD868" s="290" t="s">
        <v>280</v>
      </c>
      <c r="HE868" s="290" t="s">
        <v>280</v>
      </c>
      <c r="HF868" s="290" t="s">
        <v>280</v>
      </c>
      <c r="HG868" s="290" t="s">
        <v>280</v>
      </c>
      <c r="HH868" s="290" t="s">
        <v>280</v>
      </c>
      <c r="HI868" s="290" t="s">
        <v>280</v>
      </c>
      <c r="HJ868" s="290" t="s">
        <v>280</v>
      </c>
      <c r="HK868" s="290" t="s">
        <v>280</v>
      </c>
      <c r="HL868" s="290" t="s">
        <v>280</v>
      </c>
      <c r="HM868" s="290" t="s">
        <v>280</v>
      </c>
      <c r="HN868" s="290" t="s">
        <v>280</v>
      </c>
      <c r="HO868" s="290" t="s">
        <v>280</v>
      </c>
      <c r="HP868" s="290" t="s">
        <v>280</v>
      </c>
      <c r="HQ868" s="290" t="s">
        <v>280</v>
      </c>
      <c r="HR868" s="290" t="s">
        <v>280</v>
      </c>
      <c r="HS868" s="290" t="s">
        <v>280</v>
      </c>
      <c r="HT868" s="290" t="s">
        <v>280</v>
      </c>
      <c r="HU868" s="290" t="s">
        <v>280</v>
      </c>
      <c r="HV868" s="290" t="s">
        <v>280</v>
      </c>
      <c r="HW868" s="290" t="s">
        <v>280</v>
      </c>
      <c r="HX868" s="290" t="s">
        <v>280</v>
      </c>
      <c r="HY868" s="290" t="s">
        <v>280</v>
      </c>
      <c r="HZ868" s="290" t="s">
        <v>280</v>
      </c>
      <c r="IA868" s="290" t="s">
        <v>280</v>
      </c>
      <c r="IB868" s="290" t="s">
        <v>280</v>
      </c>
      <c r="IC868" s="290" t="s">
        <v>280</v>
      </c>
      <c r="ID868" s="290" t="s">
        <v>280</v>
      </c>
      <c r="IE868" s="290" t="s">
        <v>280</v>
      </c>
      <c r="IF868" s="290" t="s">
        <v>280</v>
      </c>
      <c r="IG868" s="290" t="s">
        <v>280</v>
      </c>
      <c r="IH868" s="290" t="s">
        <v>280</v>
      </c>
      <c r="II868" s="290" t="s">
        <v>280</v>
      </c>
      <c r="IJ868" s="290" t="s">
        <v>280</v>
      </c>
      <c r="IK868" s="290" t="s">
        <v>280</v>
      </c>
      <c r="IL868" s="290" t="s">
        <v>280</v>
      </c>
      <c r="IM868" s="290" t="s">
        <v>280</v>
      </c>
      <c r="IN868" s="290" t="s">
        <v>280</v>
      </c>
      <c r="IO868" s="290" t="s">
        <v>280</v>
      </c>
      <c r="IP868" s="290" t="s">
        <v>280</v>
      </c>
      <c r="IQ868" s="290" t="s">
        <v>280</v>
      </c>
      <c r="IR868" s="290" t="s">
        <v>280</v>
      </c>
      <c r="IS868" s="290" t="s">
        <v>280</v>
      </c>
      <c r="IT868" s="290" t="s">
        <v>280</v>
      </c>
      <c r="IU868" s="290" t="s">
        <v>280</v>
      </c>
      <c r="IV868" s="290" t="s">
        <v>280</v>
      </c>
      <c r="IW868" s="290" t="s">
        <v>280</v>
      </c>
      <c r="IX868" s="290" t="s">
        <v>280</v>
      </c>
      <c r="IY868" s="290" t="s">
        <v>280</v>
      </c>
      <c r="IZ868" s="290" t="s">
        <v>280</v>
      </c>
      <c r="JA868" s="290" t="s">
        <v>280</v>
      </c>
      <c r="JB868" s="290" t="s">
        <v>280</v>
      </c>
      <c r="JC868" s="290" t="s">
        <v>280</v>
      </c>
      <c r="JD868" s="290" t="s">
        <v>280</v>
      </c>
      <c r="JE868" s="290" t="s">
        <v>280</v>
      </c>
      <c r="JF868" s="290" t="s">
        <v>280</v>
      </c>
      <c r="JG868" s="290" t="s">
        <v>280</v>
      </c>
      <c r="JH868" s="290" t="s">
        <v>280</v>
      </c>
      <c r="JI868" s="290" t="s">
        <v>280</v>
      </c>
      <c r="JJ868" s="290" t="s">
        <v>280</v>
      </c>
      <c r="JK868" s="290" t="s">
        <v>280</v>
      </c>
      <c r="JL868" s="290" t="s">
        <v>280</v>
      </c>
      <c r="JM868" s="290" t="s">
        <v>280</v>
      </c>
      <c r="JN868" s="290" t="s">
        <v>280</v>
      </c>
      <c r="JO868" s="290" t="s">
        <v>280</v>
      </c>
      <c r="JP868" s="290" t="s">
        <v>280</v>
      </c>
      <c r="JQ868" s="290" t="s">
        <v>280</v>
      </c>
      <c r="JR868" s="290" t="s">
        <v>280</v>
      </c>
      <c r="JS868" s="290" t="s">
        <v>280</v>
      </c>
      <c r="JT868" s="290" t="s">
        <v>280</v>
      </c>
      <c r="JU868" s="290" t="s">
        <v>280</v>
      </c>
      <c r="JV868" s="290" t="s">
        <v>280</v>
      </c>
      <c r="JW868" s="290" t="s">
        <v>280</v>
      </c>
      <c r="JX868" s="290" t="s">
        <v>280</v>
      </c>
      <c r="JY868" s="290" t="s">
        <v>280</v>
      </c>
      <c r="JZ868" s="290" t="s">
        <v>280</v>
      </c>
      <c r="KA868" s="290" t="s">
        <v>280</v>
      </c>
      <c r="KB868" s="290" t="s">
        <v>280</v>
      </c>
      <c r="KC868" s="290" t="s">
        <v>280</v>
      </c>
      <c r="KD868" s="290" t="s">
        <v>280</v>
      </c>
      <c r="KE868" s="290" t="s">
        <v>280</v>
      </c>
      <c r="KF868" s="290" t="s">
        <v>280</v>
      </c>
      <c r="KG868" s="290" t="s">
        <v>280</v>
      </c>
      <c r="KH868" s="290" t="s">
        <v>280</v>
      </c>
      <c r="KI868" s="290" t="s">
        <v>280</v>
      </c>
      <c r="KJ868" s="290" t="s">
        <v>280</v>
      </c>
      <c r="KK868" s="290" t="s">
        <v>280</v>
      </c>
      <c r="KL868" s="290" t="s">
        <v>280</v>
      </c>
      <c r="KM868" s="290" t="s">
        <v>280</v>
      </c>
      <c r="KN868" s="290" t="s">
        <v>280</v>
      </c>
      <c r="KO868" s="290" t="s">
        <v>280</v>
      </c>
      <c r="KP868" s="290" t="s">
        <v>280</v>
      </c>
      <c r="KQ868" s="290" t="s">
        <v>280</v>
      </c>
      <c r="KR868" s="290" t="s">
        <v>280</v>
      </c>
      <c r="KS868" s="290" t="s">
        <v>280</v>
      </c>
      <c r="KT868" s="290" t="s">
        <v>280</v>
      </c>
      <c r="KU868" s="290" t="s">
        <v>280</v>
      </c>
      <c r="KV868" s="290" t="s">
        <v>280</v>
      </c>
      <c r="KW868" s="290" t="s">
        <v>280</v>
      </c>
      <c r="KX868" s="290" t="s">
        <v>280</v>
      </c>
      <c r="KY868" s="290" t="s">
        <v>280</v>
      </c>
      <c r="KZ868" s="290" t="s">
        <v>280</v>
      </c>
      <c r="LA868" s="290" t="s">
        <v>280</v>
      </c>
      <c r="LB868" s="290" t="s">
        <v>280</v>
      </c>
      <c r="LC868" s="290" t="s">
        <v>280</v>
      </c>
      <c r="LD868" s="290" t="s">
        <v>280</v>
      </c>
      <c r="LE868" s="290" t="s">
        <v>280</v>
      </c>
      <c r="LF868" s="290" t="s">
        <v>280</v>
      </c>
      <c r="LG868" s="290" t="s">
        <v>280</v>
      </c>
      <c r="LH868" s="290" t="s">
        <v>280</v>
      </c>
      <c r="LI868" s="290" t="s">
        <v>280</v>
      </c>
      <c r="LJ868" s="290" t="s">
        <v>280</v>
      </c>
      <c r="LK868" s="290" t="s">
        <v>280</v>
      </c>
      <c r="LL868" s="290" t="s">
        <v>280</v>
      </c>
      <c r="LM868" s="290" t="s">
        <v>280</v>
      </c>
      <c r="LN868" s="290" t="s">
        <v>280</v>
      </c>
      <c r="LO868" s="290" t="s">
        <v>280</v>
      </c>
      <c r="LP868" s="290" t="s">
        <v>280</v>
      </c>
      <c r="LQ868" s="290" t="s">
        <v>280</v>
      </c>
      <c r="LR868" s="290" t="s">
        <v>280</v>
      </c>
      <c r="LS868" s="290" t="s">
        <v>280</v>
      </c>
      <c r="LT868" s="290" t="s">
        <v>280</v>
      </c>
      <c r="LU868" s="290" t="s">
        <v>280</v>
      </c>
      <c r="LV868" s="290" t="s">
        <v>280</v>
      </c>
      <c r="LW868" s="290" t="s">
        <v>280</v>
      </c>
      <c r="LX868" s="290" t="s">
        <v>280</v>
      </c>
      <c r="LY868" s="290" t="s">
        <v>280</v>
      </c>
      <c r="LZ868" s="290" t="s">
        <v>280</v>
      </c>
      <c r="MA868" s="290" t="s">
        <v>280</v>
      </c>
      <c r="MB868" s="290" t="s">
        <v>280</v>
      </c>
      <c r="MC868" s="290" t="s">
        <v>280</v>
      </c>
      <c r="MD868" s="290" t="s">
        <v>280</v>
      </c>
      <c r="ME868" s="290" t="s">
        <v>280</v>
      </c>
      <c r="MF868" s="290" t="s">
        <v>280</v>
      </c>
      <c r="MG868" s="290" t="s">
        <v>280</v>
      </c>
      <c r="MH868" s="290" t="s">
        <v>280</v>
      </c>
      <c r="MI868" s="290" t="s">
        <v>280</v>
      </c>
      <c r="MJ868" s="290" t="s">
        <v>280</v>
      </c>
      <c r="MK868" s="290" t="s">
        <v>280</v>
      </c>
      <c r="ML868" s="290" t="s">
        <v>280</v>
      </c>
      <c r="MM868" s="290" t="s">
        <v>280</v>
      </c>
      <c r="MN868" s="290" t="s">
        <v>280</v>
      </c>
      <c r="MO868" s="290" t="s">
        <v>280</v>
      </c>
      <c r="MP868" s="290" t="s">
        <v>280</v>
      </c>
      <c r="MQ868" s="290" t="s">
        <v>280</v>
      </c>
      <c r="MR868" s="290" t="s">
        <v>280</v>
      </c>
      <c r="MS868" s="290" t="s">
        <v>280</v>
      </c>
      <c r="MT868" s="290" t="s">
        <v>280</v>
      </c>
      <c r="MU868" s="290" t="s">
        <v>280</v>
      </c>
      <c r="MV868" s="290" t="s">
        <v>280</v>
      </c>
      <c r="MW868" s="290" t="s">
        <v>280</v>
      </c>
      <c r="MX868" s="290" t="s">
        <v>280</v>
      </c>
      <c r="MY868" s="290" t="s">
        <v>280</v>
      </c>
      <c r="MZ868" s="290" t="s">
        <v>280</v>
      </c>
      <c r="NA868" s="290" t="s">
        <v>280</v>
      </c>
      <c r="NB868" s="290" t="s">
        <v>280</v>
      </c>
      <c r="NC868" s="290" t="s">
        <v>280</v>
      </c>
      <c r="ND868" s="290" t="s">
        <v>280</v>
      </c>
      <c r="NE868" s="290" t="s">
        <v>280</v>
      </c>
      <c r="NF868" s="290" t="s">
        <v>280</v>
      </c>
      <c r="NG868" s="290" t="s">
        <v>280</v>
      </c>
      <c r="NH868" s="290" t="s">
        <v>280</v>
      </c>
      <c r="NI868" s="290" t="s">
        <v>280</v>
      </c>
      <c r="NJ868" s="290" t="s">
        <v>280</v>
      </c>
      <c r="NK868" s="290" t="s">
        <v>280</v>
      </c>
      <c r="NL868" s="290" t="s">
        <v>280</v>
      </c>
      <c r="NM868" s="290" t="s">
        <v>280</v>
      </c>
      <c r="NN868" s="290" t="s">
        <v>280</v>
      </c>
      <c r="NO868" s="290" t="s">
        <v>280</v>
      </c>
      <c r="NP868" s="290" t="s">
        <v>280</v>
      </c>
      <c r="NQ868" s="290" t="s">
        <v>280</v>
      </c>
      <c r="NR868" s="290" t="s">
        <v>280</v>
      </c>
      <c r="NS868" s="290" t="s">
        <v>280</v>
      </c>
      <c r="NT868" s="290" t="s">
        <v>280</v>
      </c>
      <c r="NU868" s="290" t="s">
        <v>280</v>
      </c>
      <c r="NV868" s="290" t="s">
        <v>280</v>
      </c>
      <c r="NW868" s="290" t="s">
        <v>280</v>
      </c>
      <c r="NX868" s="290" t="s">
        <v>280</v>
      </c>
      <c r="NY868" s="290" t="s">
        <v>280</v>
      </c>
      <c r="NZ868" s="290" t="s">
        <v>280</v>
      </c>
      <c r="OA868" s="290" t="s">
        <v>280</v>
      </c>
      <c r="OB868" s="290" t="s">
        <v>280</v>
      </c>
      <c r="OC868" s="290" t="s">
        <v>280</v>
      </c>
      <c r="OD868" s="290" t="s">
        <v>280</v>
      </c>
      <c r="OE868" s="290" t="s">
        <v>280</v>
      </c>
      <c r="OF868" s="290" t="s">
        <v>280</v>
      </c>
      <c r="OG868" s="290" t="s">
        <v>280</v>
      </c>
      <c r="OH868" s="290" t="s">
        <v>280</v>
      </c>
      <c r="OI868" s="290" t="s">
        <v>280</v>
      </c>
      <c r="OJ868" s="290" t="s">
        <v>280</v>
      </c>
      <c r="OK868" s="290" t="s">
        <v>280</v>
      </c>
      <c r="OL868" s="290" t="s">
        <v>280</v>
      </c>
      <c r="OM868" s="290" t="s">
        <v>280</v>
      </c>
      <c r="ON868" s="290" t="s">
        <v>280</v>
      </c>
      <c r="OO868" s="290" t="s">
        <v>280</v>
      </c>
      <c r="OP868" s="290" t="s">
        <v>280</v>
      </c>
      <c r="OQ868" s="290" t="s">
        <v>280</v>
      </c>
      <c r="OR868" s="290" t="s">
        <v>280</v>
      </c>
      <c r="OS868" s="290" t="s">
        <v>280</v>
      </c>
      <c r="OT868" s="290" t="s">
        <v>280</v>
      </c>
      <c r="OU868" s="290" t="s">
        <v>280</v>
      </c>
      <c r="OV868" s="290" t="s">
        <v>280</v>
      </c>
      <c r="OW868" s="290" t="s">
        <v>280</v>
      </c>
      <c r="OX868" s="290" t="s">
        <v>280</v>
      </c>
      <c r="OY868" s="290" t="s">
        <v>280</v>
      </c>
      <c r="OZ868" s="290" t="s">
        <v>280</v>
      </c>
      <c r="PA868" s="290" t="s">
        <v>280</v>
      </c>
      <c r="PB868" s="290" t="s">
        <v>280</v>
      </c>
      <c r="PC868" s="290" t="s">
        <v>280</v>
      </c>
      <c r="PD868" s="290" t="s">
        <v>280</v>
      </c>
      <c r="PE868" s="290" t="s">
        <v>280</v>
      </c>
      <c r="PF868" s="290" t="s">
        <v>280</v>
      </c>
      <c r="PG868" s="290" t="s">
        <v>280</v>
      </c>
      <c r="PH868" s="290" t="s">
        <v>280</v>
      </c>
      <c r="PI868" s="290" t="s">
        <v>280</v>
      </c>
      <c r="PJ868" s="290" t="s">
        <v>280</v>
      </c>
      <c r="PK868" s="290" t="s">
        <v>280</v>
      </c>
      <c r="PL868" s="290" t="s">
        <v>280</v>
      </c>
      <c r="PM868" s="290" t="s">
        <v>280</v>
      </c>
      <c r="PN868" s="290" t="s">
        <v>280</v>
      </c>
      <c r="PO868" s="290" t="s">
        <v>280</v>
      </c>
      <c r="PP868" s="290" t="s">
        <v>280</v>
      </c>
      <c r="PQ868" s="290" t="s">
        <v>280</v>
      </c>
      <c r="PR868" s="290" t="s">
        <v>280</v>
      </c>
      <c r="PS868" s="290" t="s">
        <v>280</v>
      </c>
      <c r="PT868" s="290" t="s">
        <v>280</v>
      </c>
      <c r="PU868" s="290" t="s">
        <v>280</v>
      </c>
      <c r="PV868" s="290" t="s">
        <v>280</v>
      </c>
      <c r="PW868" s="290" t="s">
        <v>280</v>
      </c>
      <c r="PX868" s="290" t="s">
        <v>280</v>
      </c>
      <c r="PY868" s="290" t="s">
        <v>280</v>
      </c>
      <c r="PZ868" s="290" t="s">
        <v>280</v>
      </c>
      <c r="QA868" s="290" t="s">
        <v>280</v>
      </c>
      <c r="QB868" s="290" t="s">
        <v>280</v>
      </c>
      <c r="QC868" s="290" t="s">
        <v>280</v>
      </c>
      <c r="QD868" s="290" t="s">
        <v>280</v>
      </c>
      <c r="QE868" s="290" t="s">
        <v>280</v>
      </c>
      <c r="QF868" s="290" t="s">
        <v>280</v>
      </c>
      <c r="QG868" s="290" t="s">
        <v>280</v>
      </c>
      <c r="QH868" s="290" t="s">
        <v>280</v>
      </c>
      <c r="QI868" s="290" t="s">
        <v>280</v>
      </c>
      <c r="QJ868" s="290" t="s">
        <v>280</v>
      </c>
      <c r="QK868" s="290" t="s">
        <v>280</v>
      </c>
      <c r="QL868" s="290" t="s">
        <v>280</v>
      </c>
      <c r="QM868" s="290" t="s">
        <v>280</v>
      </c>
      <c r="QN868" s="290" t="s">
        <v>280</v>
      </c>
      <c r="QO868" s="290" t="s">
        <v>280</v>
      </c>
      <c r="QP868" s="290" t="s">
        <v>280</v>
      </c>
      <c r="QQ868" s="290" t="s">
        <v>280</v>
      </c>
      <c r="QR868" s="290" t="s">
        <v>280</v>
      </c>
      <c r="QS868" s="290" t="s">
        <v>280</v>
      </c>
      <c r="QT868" s="290" t="s">
        <v>280</v>
      </c>
      <c r="QU868" s="290" t="s">
        <v>280</v>
      </c>
      <c r="QV868" s="290" t="s">
        <v>280</v>
      </c>
      <c r="QW868" s="290" t="s">
        <v>280</v>
      </c>
      <c r="QX868" s="290" t="s">
        <v>280</v>
      </c>
      <c r="QY868" s="290" t="s">
        <v>280</v>
      </c>
      <c r="QZ868" s="290" t="s">
        <v>280</v>
      </c>
      <c r="RA868" s="290" t="s">
        <v>280</v>
      </c>
      <c r="RB868" s="290" t="s">
        <v>280</v>
      </c>
      <c r="RC868" s="290" t="s">
        <v>280</v>
      </c>
      <c r="RD868" s="290" t="s">
        <v>280</v>
      </c>
      <c r="RE868" s="290" t="s">
        <v>280</v>
      </c>
      <c r="RF868" s="290" t="s">
        <v>280</v>
      </c>
      <c r="RG868" s="290" t="s">
        <v>280</v>
      </c>
      <c r="RH868" s="290" t="s">
        <v>280</v>
      </c>
      <c r="RI868" s="290" t="s">
        <v>280</v>
      </c>
      <c r="RJ868" s="290" t="s">
        <v>280</v>
      </c>
      <c r="RK868" s="290" t="s">
        <v>280</v>
      </c>
      <c r="RL868" s="290" t="s">
        <v>280</v>
      </c>
      <c r="RM868" s="290" t="s">
        <v>280</v>
      </c>
      <c r="RN868" s="290" t="s">
        <v>280</v>
      </c>
      <c r="RO868" s="290" t="s">
        <v>280</v>
      </c>
      <c r="RP868" s="290" t="s">
        <v>280</v>
      </c>
      <c r="RQ868" s="290" t="s">
        <v>280</v>
      </c>
      <c r="RR868" s="290" t="s">
        <v>280</v>
      </c>
      <c r="RS868" s="290" t="s">
        <v>280</v>
      </c>
      <c r="RT868" s="290" t="s">
        <v>280</v>
      </c>
      <c r="RU868" s="290" t="s">
        <v>280</v>
      </c>
      <c r="RV868" s="290" t="s">
        <v>280</v>
      </c>
      <c r="RW868" s="290" t="s">
        <v>280</v>
      </c>
      <c r="RX868" s="290" t="s">
        <v>280</v>
      </c>
      <c r="RY868" s="290" t="s">
        <v>280</v>
      </c>
      <c r="RZ868" s="290" t="s">
        <v>280</v>
      </c>
      <c r="SA868" s="290" t="s">
        <v>280</v>
      </c>
      <c r="SB868" s="290" t="s">
        <v>280</v>
      </c>
      <c r="SC868" s="290" t="s">
        <v>280</v>
      </c>
      <c r="SD868" s="290" t="s">
        <v>280</v>
      </c>
      <c r="SE868" s="290" t="s">
        <v>280</v>
      </c>
      <c r="SF868" s="290" t="s">
        <v>280</v>
      </c>
      <c r="SG868" s="290" t="s">
        <v>280</v>
      </c>
      <c r="SH868" s="290" t="s">
        <v>280</v>
      </c>
      <c r="SI868" s="290" t="s">
        <v>280</v>
      </c>
      <c r="SJ868" s="290" t="s">
        <v>280</v>
      </c>
      <c r="SK868" s="290" t="s">
        <v>280</v>
      </c>
      <c r="SL868" s="290" t="s">
        <v>280</v>
      </c>
      <c r="SM868" s="290" t="s">
        <v>280</v>
      </c>
      <c r="SN868" s="290" t="s">
        <v>280</v>
      </c>
      <c r="SO868" s="290" t="s">
        <v>280</v>
      </c>
      <c r="SP868" s="290" t="s">
        <v>280</v>
      </c>
      <c r="SQ868" s="290" t="s">
        <v>280</v>
      </c>
      <c r="SR868" s="290" t="s">
        <v>280</v>
      </c>
      <c r="SS868" s="290" t="s">
        <v>280</v>
      </c>
      <c r="ST868" s="290" t="s">
        <v>280</v>
      </c>
      <c r="SU868" s="290" t="s">
        <v>280</v>
      </c>
      <c r="SV868" s="290" t="s">
        <v>280</v>
      </c>
      <c r="SW868" s="290" t="s">
        <v>280</v>
      </c>
      <c r="SX868" s="290" t="s">
        <v>280</v>
      </c>
      <c r="SY868" s="290" t="s">
        <v>280</v>
      </c>
      <c r="SZ868" s="290" t="s">
        <v>280</v>
      </c>
      <c r="TA868" s="290" t="s">
        <v>280</v>
      </c>
      <c r="TB868" s="290" t="s">
        <v>280</v>
      </c>
      <c r="TC868" s="290" t="s">
        <v>280</v>
      </c>
      <c r="TD868" s="290" t="s">
        <v>280</v>
      </c>
      <c r="TE868" s="290" t="s">
        <v>280</v>
      </c>
      <c r="TF868" s="290" t="s">
        <v>280</v>
      </c>
      <c r="TG868" s="290" t="s">
        <v>280</v>
      </c>
      <c r="TH868" s="290" t="s">
        <v>280</v>
      </c>
      <c r="TI868" s="290" t="s">
        <v>280</v>
      </c>
      <c r="TJ868" s="290" t="s">
        <v>280</v>
      </c>
      <c r="TK868" s="290" t="s">
        <v>280</v>
      </c>
      <c r="TL868" s="290" t="s">
        <v>280</v>
      </c>
      <c r="TM868" s="290" t="s">
        <v>280</v>
      </c>
      <c r="TN868" s="290" t="s">
        <v>280</v>
      </c>
      <c r="TO868" s="290" t="s">
        <v>280</v>
      </c>
      <c r="TP868" s="290" t="s">
        <v>280</v>
      </c>
      <c r="TQ868" s="290" t="s">
        <v>280</v>
      </c>
      <c r="TR868" s="290" t="s">
        <v>280</v>
      </c>
      <c r="TS868" s="290" t="s">
        <v>280</v>
      </c>
      <c r="TT868" s="290" t="s">
        <v>280</v>
      </c>
      <c r="TU868" s="290" t="s">
        <v>280</v>
      </c>
      <c r="TV868" s="290" t="s">
        <v>280</v>
      </c>
      <c r="TW868" s="290" t="s">
        <v>280</v>
      </c>
      <c r="TX868" s="290" t="s">
        <v>280</v>
      </c>
      <c r="TY868" s="290" t="s">
        <v>280</v>
      </c>
      <c r="TZ868" s="290" t="s">
        <v>280</v>
      </c>
      <c r="UA868" s="290" t="s">
        <v>280</v>
      </c>
      <c r="UB868" s="290" t="s">
        <v>280</v>
      </c>
      <c r="UC868" s="290" t="s">
        <v>280</v>
      </c>
      <c r="UD868" s="290" t="s">
        <v>280</v>
      </c>
      <c r="UE868" s="290" t="s">
        <v>280</v>
      </c>
      <c r="UF868" s="290" t="s">
        <v>280</v>
      </c>
      <c r="UG868" s="290" t="s">
        <v>280</v>
      </c>
      <c r="UH868" s="290" t="s">
        <v>280</v>
      </c>
      <c r="UI868" s="290" t="s">
        <v>280</v>
      </c>
      <c r="UJ868" s="290" t="s">
        <v>280</v>
      </c>
      <c r="UK868" s="290" t="s">
        <v>280</v>
      </c>
      <c r="UL868" s="290" t="s">
        <v>280</v>
      </c>
      <c r="UM868" s="290" t="s">
        <v>280</v>
      </c>
      <c r="UN868" s="290" t="s">
        <v>280</v>
      </c>
      <c r="UO868" s="290" t="s">
        <v>280</v>
      </c>
      <c r="UP868" s="290" t="s">
        <v>280</v>
      </c>
      <c r="UQ868" s="290" t="s">
        <v>280</v>
      </c>
      <c r="UR868" s="290" t="s">
        <v>280</v>
      </c>
      <c r="US868" s="290" t="s">
        <v>280</v>
      </c>
      <c r="UT868" s="290" t="s">
        <v>280</v>
      </c>
      <c r="UU868" s="290" t="s">
        <v>280</v>
      </c>
      <c r="UV868" s="290" t="s">
        <v>280</v>
      </c>
      <c r="UW868" s="290" t="s">
        <v>280</v>
      </c>
      <c r="UX868" s="290" t="s">
        <v>280</v>
      </c>
      <c r="UY868" s="290" t="s">
        <v>280</v>
      </c>
      <c r="UZ868" s="290" t="s">
        <v>280</v>
      </c>
      <c r="VA868" s="290" t="s">
        <v>280</v>
      </c>
      <c r="VB868" s="290" t="s">
        <v>280</v>
      </c>
      <c r="VC868" s="290" t="s">
        <v>280</v>
      </c>
      <c r="VD868" s="290" t="s">
        <v>280</v>
      </c>
      <c r="VE868" s="290" t="s">
        <v>280</v>
      </c>
      <c r="VF868" s="290" t="s">
        <v>280</v>
      </c>
      <c r="VG868" s="290" t="s">
        <v>280</v>
      </c>
      <c r="VH868" s="290" t="s">
        <v>280</v>
      </c>
      <c r="VI868" s="290" t="s">
        <v>280</v>
      </c>
      <c r="VJ868" s="290" t="s">
        <v>280</v>
      </c>
      <c r="VK868" s="290" t="s">
        <v>280</v>
      </c>
      <c r="VL868" s="290" t="s">
        <v>280</v>
      </c>
      <c r="VM868" s="290" t="s">
        <v>280</v>
      </c>
      <c r="VN868" s="290" t="s">
        <v>280</v>
      </c>
      <c r="VO868" s="290" t="s">
        <v>280</v>
      </c>
      <c r="VP868" s="290" t="s">
        <v>280</v>
      </c>
      <c r="VQ868" s="290" t="s">
        <v>280</v>
      </c>
      <c r="VR868" s="290" t="s">
        <v>280</v>
      </c>
      <c r="VS868" s="290" t="s">
        <v>280</v>
      </c>
      <c r="VT868" s="290" t="s">
        <v>280</v>
      </c>
      <c r="VU868" s="290" t="s">
        <v>280</v>
      </c>
      <c r="VV868" s="290" t="s">
        <v>280</v>
      </c>
      <c r="VW868" s="290" t="s">
        <v>280</v>
      </c>
      <c r="VX868" s="290" t="s">
        <v>280</v>
      </c>
      <c r="VY868" s="290" t="s">
        <v>280</v>
      </c>
      <c r="VZ868" s="290" t="s">
        <v>280</v>
      </c>
      <c r="WA868" s="290" t="s">
        <v>280</v>
      </c>
      <c r="WB868" s="290" t="s">
        <v>280</v>
      </c>
      <c r="WC868" s="290" t="s">
        <v>280</v>
      </c>
      <c r="WD868" s="290" t="s">
        <v>280</v>
      </c>
      <c r="WE868" s="290" t="s">
        <v>280</v>
      </c>
      <c r="WF868" s="290" t="s">
        <v>280</v>
      </c>
      <c r="WG868" s="290" t="s">
        <v>280</v>
      </c>
      <c r="WH868" s="290" t="s">
        <v>280</v>
      </c>
      <c r="WI868" s="290" t="s">
        <v>280</v>
      </c>
      <c r="WJ868" s="290" t="s">
        <v>280</v>
      </c>
      <c r="WK868" s="290" t="s">
        <v>280</v>
      </c>
      <c r="WL868" s="290" t="s">
        <v>280</v>
      </c>
      <c r="WM868" s="290" t="s">
        <v>280</v>
      </c>
      <c r="WN868" s="290" t="s">
        <v>280</v>
      </c>
      <c r="WO868" s="290" t="s">
        <v>280</v>
      </c>
      <c r="WP868" s="290" t="s">
        <v>280</v>
      </c>
      <c r="WQ868" s="290" t="s">
        <v>280</v>
      </c>
      <c r="WR868" s="290" t="s">
        <v>280</v>
      </c>
      <c r="WS868" s="290" t="s">
        <v>280</v>
      </c>
      <c r="WT868" s="290" t="s">
        <v>280</v>
      </c>
      <c r="WU868" s="290" t="s">
        <v>280</v>
      </c>
      <c r="WV868" s="290" t="s">
        <v>280</v>
      </c>
      <c r="WW868" s="290" t="s">
        <v>280</v>
      </c>
      <c r="WX868" s="290" t="s">
        <v>280</v>
      </c>
      <c r="WY868" s="290" t="s">
        <v>280</v>
      </c>
      <c r="WZ868" s="290" t="s">
        <v>280</v>
      </c>
      <c r="XA868" s="290" t="s">
        <v>280</v>
      </c>
      <c r="XB868" s="290" t="s">
        <v>280</v>
      </c>
      <c r="XC868" s="290" t="s">
        <v>280</v>
      </c>
      <c r="XD868" s="290" t="s">
        <v>280</v>
      </c>
      <c r="XE868" s="290" t="s">
        <v>280</v>
      </c>
      <c r="XF868" s="290" t="s">
        <v>280</v>
      </c>
      <c r="XG868" s="290" t="s">
        <v>280</v>
      </c>
      <c r="XH868" s="290" t="s">
        <v>280</v>
      </c>
      <c r="XI868" s="290" t="s">
        <v>280</v>
      </c>
      <c r="XJ868" s="290" t="s">
        <v>280</v>
      </c>
      <c r="XK868" s="290" t="s">
        <v>280</v>
      </c>
      <c r="XL868" s="290" t="s">
        <v>280</v>
      </c>
      <c r="XM868" s="290" t="s">
        <v>280</v>
      </c>
      <c r="XN868" s="290" t="s">
        <v>280</v>
      </c>
      <c r="XO868" s="290" t="s">
        <v>280</v>
      </c>
      <c r="XP868" s="290" t="s">
        <v>280</v>
      </c>
      <c r="XQ868" s="290" t="s">
        <v>280</v>
      </c>
      <c r="XR868" s="290" t="s">
        <v>280</v>
      </c>
      <c r="XS868" s="290" t="s">
        <v>280</v>
      </c>
      <c r="XT868" s="290" t="s">
        <v>280</v>
      </c>
      <c r="XU868" s="290" t="s">
        <v>280</v>
      </c>
      <c r="XV868" s="290" t="s">
        <v>280</v>
      </c>
      <c r="XW868" s="290" t="s">
        <v>280</v>
      </c>
      <c r="XX868" s="290" t="s">
        <v>280</v>
      </c>
      <c r="XY868" s="290" t="s">
        <v>280</v>
      </c>
      <c r="XZ868" s="290" t="s">
        <v>280</v>
      </c>
      <c r="YA868" s="290" t="s">
        <v>280</v>
      </c>
      <c r="YB868" s="290" t="s">
        <v>280</v>
      </c>
      <c r="YC868" s="290" t="s">
        <v>280</v>
      </c>
      <c r="YD868" s="290" t="s">
        <v>280</v>
      </c>
      <c r="YE868" s="290" t="s">
        <v>280</v>
      </c>
      <c r="YF868" s="290" t="s">
        <v>280</v>
      </c>
      <c r="YG868" s="290" t="s">
        <v>280</v>
      </c>
      <c r="YH868" s="290" t="s">
        <v>280</v>
      </c>
      <c r="YI868" s="290" t="s">
        <v>280</v>
      </c>
      <c r="YJ868" s="290" t="s">
        <v>280</v>
      </c>
      <c r="YK868" s="290" t="s">
        <v>280</v>
      </c>
      <c r="YL868" s="290" t="s">
        <v>280</v>
      </c>
      <c r="YM868" s="290" t="s">
        <v>280</v>
      </c>
      <c r="YN868" s="290" t="s">
        <v>280</v>
      </c>
      <c r="YO868" s="290" t="s">
        <v>280</v>
      </c>
      <c r="YP868" s="290" t="s">
        <v>280</v>
      </c>
      <c r="YQ868" s="290" t="s">
        <v>280</v>
      </c>
      <c r="YR868" s="290" t="s">
        <v>280</v>
      </c>
      <c r="YS868" s="290" t="s">
        <v>280</v>
      </c>
      <c r="YT868" s="290" t="s">
        <v>280</v>
      </c>
      <c r="YU868" s="290" t="s">
        <v>280</v>
      </c>
      <c r="YV868" s="290" t="s">
        <v>280</v>
      </c>
      <c r="YW868" s="290" t="s">
        <v>280</v>
      </c>
      <c r="YX868" s="290" t="s">
        <v>280</v>
      </c>
      <c r="YY868" s="290" t="s">
        <v>280</v>
      </c>
      <c r="YZ868" s="290" t="s">
        <v>280</v>
      </c>
      <c r="ZA868" s="290" t="s">
        <v>280</v>
      </c>
      <c r="ZB868" s="290" t="s">
        <v>280</v>
      </c>
      <c r="ZC868" s="290" t="s">
        <v>280</v>
      </c>
      <c r="ZD868" s="290" t="s">
        <v>280</v>
      </c>
      <c r="ZE868" s="290" t="s">
        <v>280</v>
      </c>
      <c r="ZF868" s="290" t="s">
        <v>280</v>
      </c>
      <c r="ZG868" s="290" t="s">
        <v>280</v>
      </c>
      <c r="ZH868" s="290" t="s">
        <v>280</v>
      </c>
      <c r="ZI868" s="290" t="s">
        <v>280</v>
      </c>
      <c r="ZJ868" s="290" t="s">
        <v>280</v>
      </c>
      <c r="ZK868" s="290" t="s">
        <v>280</v>
      </c>
      <c r="ZL868" s="290" t="s">
        <v>280</v>
      </c>
      <c r="ZM868" s="290" t="s">
        <v>280</v>
      </c>
      <c r="ZN868" s="290" t="s">
        <v>280</v>
      </c>
      <c r="ZO868" s="290" t="s">
        <v>280</v>
      </c>
      <c r="ZP868" s="290" t="s">
        <v>280</v>
      </c>
      <c r="ZQ868" s="290" t="s">
        <v>280</v>
      </c>
      <c r="ZR868" s="290" t="s">
        <v>280</v>
      </c>
      <c r="ZS868" s="290" t="s">
        <v>280</v>
      </c>
      <c r="ZT868" s="290" t="s">
        <v>280</v>
      </c>
      <c r="ZU868" s="290" t="s">
        <v>280</v>
      </c>
      <c r="ZV868" s="290" t="s">
        <v>280</v>
      </c>
      <c r="ZW868" s="290" t="s">
        <v>280</v>
      </c>
      <c r="ZX868" s="290" t="s">
        <v>280</v>
      </c>
      <c r="ZY868" s="290" t="s">
        <v>280</v>
      </c>
      <c r="ZZ868" s="290" t="s">
        <v>280</v>
      </c>
      <c r="AAA868" s="290" t="s">
        <v>280</v>
      </c>
      <c r="AAB868" s="290" t="s">
        <v>280</v>
      </c>
      <c r="AAC868" s="290" t="s">
        <v>280</v>
      </c>
      <c r="AAD868" s="290" t="s">
        <v>280</v>
      </c>
      <c r="AAE868" s="290" t="s">
        <v>280</v>
      </c>
      <c r="AAF868" s="290" t="s">
        <v>280</v>
      </c>
      <c r="AAG868" s="290" t="s">
        <v>280</v>
      </c>
      <c r="AAH868" s="290" t="s">
        <v>280</v>
      </c>
      <c r="AAI868" s="290" t="s">
        <v>280</v>
      </c>
      <c r="AAJ868" s="290" t="s">
        <v>280</v>
      </c>
      <c r="AAK868" s="290" t="s">
        <v>280</v>
      </c>
      <c r="AAL868" s="290" t="s">
        <v>280</v>
      </c>
      <c r="AAM868" s="290" t="s">
        <v>280</v>
      </c>
      <c r="AAN868" s="290" t="s">
        <v>280</v>
      </c>
      <c r="AAO868" s="290" t="s">
        <v>280</v>
      </c>
      <c r="AAP868" s="290" t="s">
        <v>280</v>
      </c>
      <c r="AAQ868" s="290" t="s">
        <v>280</v>
      </c>
      <c r="AAR868" s="290" t="s">
        <v>280</v>
      </c>
      <c r="AAS868" s="290" t="s">
        <v>280</v>
      </c>
      <c r="AAT868" s="290" t="s">
        <v>280</v>
      </c>
      <c r="AAU868" s="290" t="s">
        <v>280</v>
      </c>
      <c r="AAV868" s="290" t="s">
        <v>280</v>
      </c>
      <c r="AAW868" s="290" t="s">
        <v>280</v>
      </c>
      <c r="AAX868" s="290" t="s">
        <v>280</v>
      </c>
      <c r="AAY868" s="290" t="s">
        <v>280</v>
      </c>
      <c r="AAZ868" s="290" t="s">
        <v>280</v>
      </c>
      <c r="ABA868" s="290" t="s">
        <v>280</v>
      </c>
      <c r="ABB868" s="290" t="s">
        <v>280</v>
      </c>
      <c r="ABC868" s="290" t="s">
        <v>280</v>
      </c>
      <c r="ABD868" s="290" t="s">
        <v>280</v>
      </c>
      <c r="ABE868" s="290" t="s">
        <v>280</v>
      </c>
      <c r="ABF868" s="290" t="s">
        <v>280</v>
      </c>
      <c r="ABG868" s="290" t="s">
        <v>280</v>
      </c>
      <c r="ABH868" s="290" t="s">
        <v>280</v>
      </c>
      <c r="ABI868" s="290" t="s">
        <v>280</v>
      </c>
      <c r="ABJ868" s="290" t="s">
        <v>280</v>
      </c>
      <c r="ABK868" s="290" t="s">
        <v>280</v>
      </c>
      <c r="ABL868" s="290" t="s">
        <v>280</v>
      </c>
      <c r="ABM868" s="290" t="s">
        <v>280</v>
      </c>
      <c r="ABN868" s="290" t="s">
        <v>280</v>
      </c>
      <c r="ABO868" s="290" t="s">
        <v>280</v>
      </c>
      <c r="ABP868" s="290" t="s">
        <v>280</v>
      </c>
      <c r="ABQ868" s="290" t="s">
        <v>280</v>
      </c>
      <c r="ABR868" s="290" t="s">
        <v>280</v>
      </c>
      <c r="ABS868" s="290" t="s">
        <v>280</v>
      </c>
      <c r="ABT868" s="290" t="s">
        <v>280</v>
      </c>
      <c r="ABU868" s="290" t="s">
        <v>280</v>
      </c>
      <c r="ABV868" s="290" t="s">
        <v>280</v>
      </c>
      <c r="ABW868" s="290" t="s">
        <v>280</v>
      </c>
      <c r="ABX868" s="290" t="s">
        <v>280</v>
      </c>
      <c r="ABY868" s="290" t="s">
        <v>280</v>
      </c>
      <c r="ABZ868" s="290" t="s">
        <v>280</v>
      </c>
      <c r="ACA868" s="290" t="s">
        <v>280</v>
      </c>
      <c r="ACB868" s="290" t="s">
        <v>280</v>
      </c>
      <c r="ACC868" s="290" t="s">
        <v>280</v>
      </c>
      <c r="ACD868" s="290" t="s">
        <v>280</v>
      </c>
      <c r="ACE868" s="290" t="s">
        <v>280</v>
      </c>
      <c r="ACF868" s="290" t="s">
        <v>280</v>
      </c>
      <c r="ACG868" s="290" t="s">
        <v>280</v>
      </c>
      <c r="ACH868" s="290" t="s">
        <v>280</v>
      </c>
      <c r="ACI868" s="290" t="s">
        <v>280</v>
      </c>
      <c r="ACJ868" s="290" t="s">
        <v>280</v>
      </c>
      <c r="ACK868" s="290" t="s">
        <v>280</v>
      </c>
      <c r="ACL868" s="290" t="s">
        <v>280</v>
      </c>
      <c r="ACM868" s="290" t="s">
        <v>280</v>
      </c>
      <c r="ACN868" s="290" t="s">
        <v>280</v>
      </c>
      <c r="ACO868" s="290" t="s">
        <v>280</v>
      </c>
      <c r="ACP868" s="290" t="s">
        <v>280</v>
      </c>
      <c r="ACQ868" s="290" t="s">
        <v>280</v>
      </c>
      <c r="ACR868" s="290" t="s">
        <v>280</v>
      </c>
      <c r="ACS868" s="290" t="s">
        <v>280</v>
      </c>
      <c r="ACT868" s="290" t="s">
        <v>280</v>
      </c>
      <c r="ACU868" s="290" t="s">
        <v>280</v>
      </c>
      <c r="ACV868" s="290" t="s">
        <v>280</v>
      </c>
      <c r="ACW868" s="290" t="s">
        <v>280</v>
      </c>
      <c r="ACX868" s="290" t="s">
        <v>280</v>
      </c>
      <c r="ACY868" s="290" t="s">
        <v>280</v>
      </c>
      <c r="ACZ868" s="290" t="s">
        <v>280</v>
      </c>
      <c r="ADA868" s="290" t="s">
        <v>280</v>
      </c>
      <c r="ADB868" s="290" t="s">
        <v>280</v>
      </c>
      <c r="ADC868" s="290" t="s">
        <v>280</v>
      </c>
      <c r="ADD868" s="290" t="s">
        <v>280</v>
      </c>
      <c r="ADE868" s="290" t="s">
        <v>280</v>
      </c>
      <c r="ADF868" s="290" t="s">
        <v>280</v>
      </c>
      <c r="ADG868" s="290" t="s">
        <v>280</v>
      </c>
      <c r="ADH868" s="290" t="s">
        <v>280</v>
      </c>
      <c r="ADI868" s="290" t="s">
        <v>280</v>
      </c>
      <c r="ADJ868" s="290" t="s">
        <v>280</v>
      </c>
      <c r="ADK868" s="290" t="s">
        <v>280</v>
      </c>
      <c r="ADL868" s="290" t="s">
        <v>280</v>
      </c>
      <c r="ADM868" s="290" t="s">
        <v>280</v>
      </c>
      <c r="ADN868" s="290" t="s">
        <v>280</v>
      </c>
      <c r="ADO868" s="290" t="s">
        <v>280</v>
      </c>
      <c r="ADP868" s="290" t="s">
        <v>280</v>
      </c>
      <c r="ADQ868" s="290" t="s">
        <v>280</v>
      </c>
      <c r="ADR868" s="290" t="s">
        <v>280</v>
      </c>
      <c r="ADS868" s="290" t="s">
        <v>280</v>
      </c>
      <c r="ADT868" s="290" t="s">
        <v>280</v>
      </c>
      <c r="ADU868" s="290" t="s">
        <v>280</v>
      </c>
      <c r="ADV868" s="290" t="s">
        <v>280</v>
      </c>
      <c r="ADW868" s="290" t="s">
        <v>280</v>
      </c>
      <c r="ADX868" s="290" t="s">
        <v>280</v>
      </c>
      <c r="ADY868" s="290" t="s">
        <v>280</v>
      </c>
      <c r="ADZ868" s="290" t="s">
        <v>280</v>
      </c>
      <c r="AEA868" s="290" t="s">
        <v>280</v>
      </c>
      <c r="AEB868" s="290" t="s">
        <v>280</v>
      </c>
      <c r="AEC868" s="290" t="s">
        <v>280</v>
      </c>
      <c r="AED868" s="290" t="s">
        <v>280</v>
      </c>
      <c r="AEE868" s="290" t="s">
        <v>280</v>
      </c>
      <c r="AEF868" s="290" t="s">
        <v>280</v>
      </c>
      <c r="AEG868" s="290" t="s">
        <v>280</v>
      </c>
      <c r="AEH868" s="290" t="s">
        <v>280</v>
      </c>
      <c r="AEI868" s="290" t="s">
        <v>280</v>
      </c>
      <c r="AEJ868" s="290" t="s">
        <v>280</v>
      </c>
      <c r="AEK868" s="290" t="s">
        <v>280</v>
      </c>
      <c r="AEL868" s="290" t="s">
        <v>280</v>
      </c>
      <c r="AEM868" s="290" t="s">
        <v>280</v>
      </c>
      <c r="AEN868" s="290" t="s">
        <v>280</v>
      </c>
      <c r="AEO868" s="290" t="s">
        <v>280</v>
      </c>
      <c r="AEP868" s="290" t="s">
        <v>280</v>
      </c>
      <c r="AEQ868" s="290" t="s">
        <v>280</v>
      </c>
      <c r="AER868" s="290" t="s">
        <v>280</v>
      </c>
      <c r="AES868" s="290" t="s">
        <v>280</v>
      </c>
      <c r="AET868" s="290" t="s">
        <v>280</v>
      </c>
      <c r="AEU868" s="290" t="s">
        <v>280</v>
      </c>
      <c r="AEV868" s="290" t="s">
        <v>280</v>
      </c>
      <c r="AEW868" s="290" t="s">
        <v>280</v>
      </c>
      <c r="AEX868" s="290" t="s">
        <v>280</v>
      </c>
      <c r="AEY868" s="290" t="s">
        <v>280</v>
      </c>
      <c r="AEZ868" s="290" t="s">
        <v>280</v>
      </c>
      <c r="AFA868" s="290" t="s">
        <v>280</v>
      </c>
      <c r="AFB868" s="290" t="s">
        <v>280</v>
      </c>
      <c r="AFC868" s="290" t="s">
        <v>280</v>
      </c>
      <c r="AFD868" s="290" t="s">
        <v>280</v>
      </c>
      <c r="AFE868" s="290" t="s">
        <v>280</v>
      </c>
      <c r="AFF868" s="290" t="s">
        <v>280</v>
      </c>
      <c r="AFG868" s="290" t="s">
        <v>280</v>
      </c>
      <c r="AFH868" s="290" t="s">
        <v>280</v>
      </c>
      <c r="AFI868" s="290" t="s">
        <v>280</v>
      </c>
      <c r="AFJ868" s="290" t="s">
        <v>280</v>
      </c>
      <c r="AFK868" s="290" t="s">
        <v>280</v>
      </c>
      <c r="AFL868" s="290" t="s">
        <v>280</v>
      </c>
      <c r="AFM868" s="290" t="s">
        <v>280</v>
      </c>
      <c r="AFN868" s="290" t="s">
        <v>280</v>
      </c>
      <c r="AFO868" s="290" t="s">
        <v>280</v>
      </c>
      <c r="AFP868" s="290" t="s">
        <v>280</v>
      </c>
      <c r="AFQ868" s="290" t="s">
        <v>280</v>
      </c>
      <c r="AFR868" s="290" t="s">
        <v>280</v>
      </c>
      <c r="AFS868" s="290" t="s">
        <v>280</v>
      </c>
      <c r="AFT868" s="290" t="s">
        <v>280</v>
      </c>
      <c r="AFU868" s="290" t="s">
        <v>280</v>
      </c>
      <c r="AFV868" s="290" t="s">
        <v>280</v>
      </c>
      <c r="AFW868" s="290" t="s">
        <v>280</v>
      </c>
      <c r="AFX868" s="290" t="s">
        <v>280</v>
      </c>
      <c r="AFY868" s="290" t="s">
        <v>280</v>
      </c>
      <c r="AFZ868" s="290" t="s">
        <v>280</v>
      </c>
      <c r="AGA868" s="290" t="s">
        <v>280</v>
      </c>
      <c r="AGB868" s="290" t="s">
        <v>280</v>
      </c>
      <c r="AGC868" s="290" t="s">
        <v>280</v>
      </c>
      <c r="AGD868" s="290" t="s">
        <v>280</v>
      </c>
      <c r="AGE868" s="290" t="s">
        <v>280</v>
      </c>
      <c r="AGF868" s="290" t="s">
        <v>280</v>
      </c>
      <c r="AGG868" s="290" t="s">
        <v>280</v>
      </c>
      <c r="AGH868" s="290" t="s">
        <v>280</v>
      </c>
      <c r="AGI868" s="290" t="s">
        <v>280</v>
      </c>
      <c r="AGJ868" s="290" t="s">
        <v>280</v>
      </c>
      <c r="AGK868" s="290" t="s">
        <v>280</v>
      </c>
      <c r="AGL868" s="290" t="s">
        <v>280</v>
      </c>
      <c r="AGM868" s="290" t="s">
        <v>280</v>
      </c>
      <c r="AGN868" s="290" t="s">
        <v>280</v>
      </c>
      <c r="AGO868" s="290" t="s">
        <v>280</v>
      </c>
      <c r="AGP868" s="290" t="s">
        <v>280</v>
      </c>
      <c r="AGQ868" s="290" t="s">
        <v>280</v>
      </c>
      <c r="AGR868" s="290" t="s">
        <v>280</v>
      </c>
      <c r="AGS868" s="290" t="s">
        <v>280</v>
      </c>
      <c r="AGT868" s="290" t="s">
        <v>280</v>
      </c>
      <c r="AGU868" s="290" t="s">
        <v>280</v>
      </c>
      <c r="AGV868" s="290" t="s">
        <v>280</v>
      </c>
      <c r="AGW868" s="290" t="s">
        <v>280</v>
      </c>
      <c r="AGX868" s="290" t="s">
        <v>280</v>
      </c>
      <c r="AGY868" s="290" t="s">
        <v>280</v>
      </c>
      <c r="AGZ868" s="290" t="s">
        <v>280</v>
      </c>
      <c r="AHA868" s="290" t="s">
        <v>280</v>
      </c>
      <c r="AHB868" s="290" t="s">
        <v>280</v>
      </c>
      <c r="AHC868" s="290" t="s">
        <v>280</v>
      </c>
      <c r="AHD868" s="290" t="s">
        <v>280</v>
      </c>
      <c r="AHE868" s="290" t="s">
        <v>280</v>
      </c>
      <c r="AHF868" s="290" t="s">
        <v>280</v>
      </c>
      <c r="AHG868" s="290" t="s">
        <v>280</v>
      </c>
      <c r="AHH868" s="290" t="s">
        <v>280</v>
      </c>
      <c r="AHI868" s="290" t="s">
        <v>280</v>
      </c>
      <c r="AHJ868" s="290" t="s">
        <v>280</v>
      </c>
      <c r="AHK868" s="290" t="s">
        <v>280</v>
      </c>
      <c r="AHL868" s="290" t="s">
        <v>280</v>
      </c>
      <c r="AHM868" s="290" t="s">
        <v>280</v>
      </c>
      <c r="AHN868" s="290" t="s">
        <v>280</v>
      </c>
      <c r="AHO868" s="290" t="s">
        <v>280</v>
      </c>
      <c r="AHP868" s="290" t="s">
        <v>280</v>
      </c>
      <c r="AHQ868" s="290" t="s">
        <v>280</v>
      </c>
      <c r="AHR868" s="290" t="s">
        <v>280</v>
      </c>
      <c r="AHS868" s="290" t="s">
        <v>280</v>
      </c>
      <c r="AHT868" s="290" t="s">
        <v>280</v>
      </c>
      <c r="AHU868" s="290" t="s">
        <v>280</v>
      </c>
      <c r="AHV868" s="290" t="s">
        <v>280</v>
      </c>
      <c r="AHW868" s="290" t="s">
        <v>280</v>
      </c>
      <c r="AHX868" s="290" t="s">
        <v>280</v>
      </c>
      <c r="AHY868" s="290" t="s">
        <v>280</v>
      </c>
      <c r="AHZ868" s="290" t="s">
        <v>280</v>
      </c>
      <c r="AIA868" s="290" t="s">
        <v>280</v>
      </c>
      <c r="AIB868" s="290" t="s">
        <v>280</v>
      </c>
      <c r="AIC868" s="290" t="s">
        <v>280</v>
      </c>
      <c r="AID868" s="290" t="s">
        <v>280</v>
      </c>
      <c r="AIE868" s="290" t="s">
        <v>280</v>
      </c>
      <c r="AIF868" s="290" t="s">
        <v>280</v>
      </c>
      <c r="AIG868" s="290" t="s">
        <v>280</v>
      </c>
      <c r="AIH868" s="290" t="s">
        <v>280</v>
      </c>
      <c r="AII868" s="290" t="s">
        <v>280</v>
      </c>
      <c r="AIJ868" s="290" t="s">
        <v>280</v>
      </c>
      <c r="AIK868" s="290" t="s">
        <v>280</v>
      </c>
      <c r="AIL868" s="290" t="s">
        <v>280</v>
      </c>
      <c r="AIM868" s="290" t="s">
        <v>280</v>
      </c>
      <c r="AIN868" s="290" t="s">
        <v>280</v>
      </c>
      <c r="AIO868" s="290" t="s">
        <v>280</v>
      </c>
      <c r="AIP868" s="290" t="s">
        <v>280</v>
      </c>
      <c r="AIQ868" s="290" t="s">
        <v>280</v>
      </c>
      <c r="AIR868" s="290" t="s">
        <v>280</v>
      </c>
      <c r="AIS868" s="290" t="s">
        <v>280</v>
      </c>
      <c r="AIT868" s="290" t="s">
        <v>280</v>
      </c>
      <c r="AIU868" s="290" t="s">
        <v>280</v>
      </c>
      <c r="AIV868" s="290" t="s">
        <v>280</v>
      </c>
      <c r="AIW868" s="290" t="s">
        <v>280</v>
      </c>
      <c r="AIX868" s="290" t="s">
        <v>280</v>
      </c>
      <c r="AIY868" s="290" t="s">
        <v>280</v>
      </c>
      <c r="AIZ868" s="290" t="s">
        <v>280</v>
      </c>
      <c r="AJA868" s="290" t="s">
        <v>280</v>
      </c>
      <c r="AJB868" s="290" t="s">
        <v>280</v>
      </c>
      <c r="AJC868" s="290" t="s">
        <v>280</v>
      </c>
      <c r="AJD868" s="290" t="s">
        <v>280</v>
      </c>
      <c r="AJE868" s="290" t="s">
        <v>280</v>
      </c>
      <c r="AJF868" s="290" t="s">
        <v>280</v>
      </c>
      <c r="AJG868" s="290" t="s">
        <v>280</v>
      </c>
      <c r="AJH868" s="290" t="s">
        <v>280</v>
      </c>
      <c r="AJI868" s="290" t="s">
        <v>280</v>
      </c>
      <c r="AJJ868" s="290" t="s">
        <v>280</v>
      </c>
      <c r="AJK868" s="290" t="s">
        <v>280</v>
      </c>
      <c r="AJL868" s="290" t="s">
        <v>280</v>
      </c>
      <c r="AJM868" s="290" t="s">
        <v>280</v>
      </c>
      <c r="AJN868" s="290" t="s">
        <v>280</v>
      </c>
      <c r="AJO868" s="290" t="s">
        <v>280</v>
      </c>
      <c r="AJP868" s="290" t="s">
        <v>280</v>
      </c>
      <c r="AJQ868" s="290" t="s">
        <v>280</v>
      </c>
      <c r="AJR868" s="290" t="s">
        <v>280</v>
      </c>
      <c r="AJS868" s="290" t="s">
        <v>280</v>
      </c>
      <c r="AJT868" s="290" t="s">
        <v>280</v>
      </c>
      <c r="AJU868" s="290" t="s">
        <v>280</v>
      </c>
      <c r="AJV868" s="290" t="s">
        <v>280</v>
      </c>
      <c r="AJW868" s="290" t="s">
        <v>280</v>
      </c>
      <c r="AJX868" s="290" t="s">
        <v>280</v>
      </c>
      <c r="AJY868" s="290" t="s">
        <v>280</v>
      </c>
      <c r="AJZ868" s="290" t="s">
        <v>280</v>
      </c>
      <c r="AKA868" s="290" t="s">
        <v>280</v>
      </c>
      <c r="AKB868" s="290" t="s">
        <v>280</v>
      </c>
      <c r="AKC868" s="290" t="s">
        <v>280</v>
      </c>
      <c r="AKD868" s="290" t="s">
        <v>280</v>
      </c>
      <c r="AKE868" s="290" t="s">
        <v>280</v>
      </c>
      <c r="AKF868" s="290" t="s">
        <v>280</v>
      </c>
      <c r="AKG868" s="290" t="s">
        <v>280</v>
      </c>
      <c r="AKH868" s="290" t="s">
        <v>280</v>
      </c>
      <c r="AKI868" s="290" t="s">
        <v>280</v>
      </c>
      <c r="AKJ868" s="290" t="s">
        <v>280</v>
      </c>
      <c r="AKK868" s="290" t="s">
        <v>280</v>
      </c>
      <c r="AKL868" s="290" t="s">
        <v>280</v>
      </c>
      <c r="AKM868" s="290" t="s">
        <v>280</v>
      </c>
      <c r="AKN868" s="290" t="s">
        <v>280</v>
      </c>
      <c r="AKO868" s="290" t="s">
        <v>280</v>
      </c>
      <c r="AKP868" s="290" t="s">
        <v>280</v>
      </c>
      <c r="AKQ868" s="290" t="s">
        <v>280</v>
      </c>
      <c r="AKR868" s="290" t="s">
        <v>280</v>
      </c>
      <c r="AKS868" s="290" t="s">
        <v>280</v>
      </c>
      <c r="AKT868" s="290" t="s">
        <v>280</v>
      </c>
      <c r="AKU868" s="290" t="s">
        <v>280</v>
      </c>
      <c r="AKV868" s="290" t="s">
        <v>280</v>
      </c>
      <c r="AKW868" s="290" t="s">
        <v>280</v>
      </c>
      <c r="AKX868" s="290" t="s">
        <v>280</v>
      </c>
      <c r="AKY868" s="290" t="s">
        <v>280</v>
      </c>
      <c r="AKZ868" s="290" t="s">
        <v>280</v>
      </c>
      <c r="ALA868" s="290" t="s">
        <v>280</v>
      </c>
      <c r="ALB868" s="290" t="s">
        <v>280</v>
      </c>
      <c r="ALC868" s="290" t="s">
        <v>280</v>
      </c>
      <c r="ALD868" s="290" t="s">
        <v>280</v>
      </c>
      <c r="ALE868" s="290" t="s">
        <v>280</v>
      </c>
      <c r="ALF868" s="290" t="s">
        <v>280</v>
      </c>
      <c r="ALG868" s="290" t="s">
        <v>280</v>
      </c>
      <c r="ALH868" s="290" t="s">
        <v>280</v>
      </c>
      <c r="ALI868" s="290" t="s">
        <v>280</v>
      </c>
      <c r="ALJ868" s="290" t="s">
        <v>280</v>
      </c>
      <c r="ALK868" s="290" t="s">
        <v>280</v>
      </c>
      <c r="ALL868" s="290" t="s">
        <v>280</v>
      </c>
      <c r="ALM868" s="290" t="s">
        <v>280</v>
      </c>
      <c r="ALN868" s="290" t="s">
        <v>280</v>
      </c>
      <c r="ALO868" s="290" t="s">
        <v>280</v>
      </c>
      <c r="ALP868" s="290" t="s">
        <v>280</v>
      </c>
      <c r="ALQ868" s="290" t="s">
        <v>280</v>
      </c>
      <c r="ALR868" s="290" t="s">
        <v>280</v>
      </c>
      <c r="ALS868" s="290" t="s">
        <v>280</v>
      </c>
      <c r="ALT868" s="290" t="s">
        <v>280</v>
      </c>
      <c r="ALU868" s="290" t="s">
        <v>280</v>
      </c>
      <c r="ALV868" s="290" t="s">
        <v>280</v>
      </c>
      <c r="ALW868" s="290" t="s">
        <v>280</v>
      </c>
      <c r="ALX868" s="290" t="s">
        <v>280</v>
      </c>
      <c r="ALY868" s="290" t="s">
        <v>280</v>
      </c>
      <c r="ALZ868" s="290" t="s">
        <v>280</v>
      </c>
      <c r="AMA868" s="290" t="s">
        <v>280</v>
      </c>
      <c r="AMB868" s="290" t="s">
        <v>280</v>
      </c>
      <c r="AMC868" s="290" t="s">
        <v>280</v>
      </c>
      <c r="AMD868" s="290" t="s">
        <v>280</v>
      </c>
      <c r="AME868" s="290" t="s">
        <v>280</v>
      </c>
      <c r="AMF868" s="290" t="s">
        <v>280</v>
      </c>
      <c r="AMG868" s="290" t="s">
        <v>280</v>
      </c>
      <c r="AMH868" s="290" t="s">
        <v>280</v>
      </c>
      <c r="AMI868" s="290" t="s">
        <v>280</v>
      </c>
      <c r="AMJ868" s="290" t="s">
        <v>280</v>
      </c>
      <c r="AMK868" s="290" t="s">
        <v>280</v>
      </c>
      <c r="AML868" s="290" t="s">
        <v>280</v>
      </c>
      <c r="AMM868" s="290" t="s">
        <v>280</v>
      </c>
      <c r="AMN868" s="290" t="s">
        <v>280</v>
      </c>
      <c r="AMO868" s="290" t="s">
        <v>280</v>
      </c>
      <c r="AMP868" s="290" t="s">
        <v>280</v>
      </c>
      <c r="AMQ868" s="290" t="s">
        <v>280</v>
      </c>
      <c r="AMR868" s="290" t="s">
        <v>280</v>
      </c>
      <c r="AMS868" s="290" t="s">
        <v>280</v>
      </c>
      <c r="AMT868" s="290" t="s">
        <v>280</v>
      </c>
      <c r="AMU868" s="290" t="s">
        <v>280</v>
      </c>
      <c r="AMV868" s="290" t="s">
        <v>280</v>
      </c>
      <c r="AMW868" s="290" t="s">
        <v>280</v>
      </c>
      <c r="AMX868" s="290" t="s">
        <v>280</v>
      </c>
      <c r="AMY868" s="290" t="s">
        <v>280</v>
      </c>
      <c r="AMZ868" s="290" t="s">
        <v>280</v>
      </c>
      <c r="ANA868" s="290" t="s">
        <v>280</v>
      </c>
      <c r="ANB868" s="290" t="s">
        <v>280</v>
      </c>
      <c r="ANC868" s="290" t="s">
        <v>280</v>
      </c>
      <c r="AND868" s="290" t="s">
        <v>280</v>
      </c>
      <c r="ANE868" s="290" t="s">
        <v>280</v>
      </c>
      <c r="ANF868" s="290" t="s">
        <v>280</v>
      </c>
      <c r="ANG868" s="290" t="s">
        <v>280</v>
      </c>
      <c r="ANH868" s="290" t="s">
        <v>280</v>
      </c>
      <c r="ANI868" s="290" t="s">
        <v>280</v>
      </c>
      <c r="ANJ868" s="290" t="s">
        <v>280</v>
      </c>
      <c r="ANK868" s="290" t="s">
        <v>280</v>
      </c>
      <c r="ANL868" s="290" t="s">
        <v>280</v>
      </c>
      <c r="ANM868" s="290" t="s">
        <v>280</v>
      </c>
      <c r="ANN868" s="290" t="s">
        <v>280</v>
      </c>
      <c r="ANO868" s="290" t="s">
        <v>280</v>
      </c>
      <c r="ANP868" s="290" t="s">
        <v>280</v>
      </c>
      <c r="ANQ868" s="290" t="s">
        <v>280</v>
      </c>
      <c r="ANR868" s="290" t="s">
        <v>280</v>
      </c>
      <c r="ANS868" s="290" t="s">
        <v>280</v>
      </c>
      <c r="ANT868" s="290" t="s">
        <v>280</v>
      </c>
      <c r="ANU868" s="290" t="s">
        <v>280</v>
      </c>
      <c r="ANV868" s="290" t="s">
        <v>280</v>
      </c>
      <c r="ANW868" s="290" t="s">
        <v>280</v>
      </c>
      <c r="ANX868" s="290" t="s">
        <v>280</v>
      </c>
      <c r="ANY868" s="290" t="s">
        <v>280</v>
      </c>
      <c r="ANZ868" s="290" t="s">
        <v>280</v>
      </c>
      <c r="AOA868" s="290" t="s">
        <v>280</v>
      </c>
      <c r="AOB868" s="290" t="s">
        <v>280</v>
      </c>
      <c r="AOC868" s="290" t="s">
        <v>280</v>
      </c>
      <c r="AOD868" s="290" t="s">
        <v>280</v>
      </c>
      <c r="AOE868" s="290" t="s">
        <v>280</v>
      </c>
      <c r="AOF868" s="290" t="s">
        <v>280</v>
      </c>
      <c r="AOG868" s="290" t="s">
        <v>280</v>
      </c>
      <c r="AOH868" s="290" t="s">
        <v>280</v>
      </c>
      <c r="AOI868" s="290" t="s">
        <v>280</v>
      </c>
      <c r="AOJ868" s="290" t="s">
        <v>280</v>
      </c>
      <c r="AOK868" s="290" t="s">
        <v>280</v>
      </c>
      <c r="AOL868" s="290" t="s">
        <v>280</v>
      </c>
      <c r="AOM868" s="290" t="s">
        <v>280</v>
      </c>
      <c r="AON868" s="290" t="s">
        <v>280</v>
      </c>
      <c r="AOO868" s="290" t="s">
        <v>280</v>
      </c>
      <c r="AOP868" s="290" t="s">
        <v>280</v>
      </c>
      <c r="AOQ868" s="290" t="s">
        <v>280</v>
      </c>
      <c r="AOR868" s="290" t="s">
        <v>280</v>
      </c>
      <c r="AOS868" s="290" t="s">
        <v>280</v>
      </c>
      <c r="AOT868" s="290" t="s">
        <v>280</v>
      </c>
      <c r="AOU868" s="290" t="s">
        <v>280</v>
      </c>
      <c r="AOV868" s="290" t="s">
        <v>280</v>
      </c>
      <c r="AOW868" s="290" t="s">
        <v>280</v>
      </c>
      <c r="AOX868" s="290" t="s">
        <v>280</v>
      </c>
      <c r="AOY868" s="290" t="s">
        <v>280</v>
      </c>
      <c r="AOZ868" s="290" t="s">
        <v>280</v>
      </c>
      <c r="APA868" s="290" t="s">
        <v>280</v>
      </c>
      <c r="APB868" s="290" t="s">
        <v>280</v>
      </c>
      <c r="APC868" s="290" t="s">
        <v>280</v>
      </c>
      <c r="APD868" s="290" t="s">
        <v>280</v>
      </c>
      <c r="APE868" s="290" t="s">
        <v>280</v>
      </c>
      <c r="APF868" s="290" t="s">
        <v>280</v>
      </c>
      <c r="APG868" s="290" t="s">
        <v>280</v>
      </c>
      <c r="APH868" s="290" t="s">
        <v>280</v>
      </c>
      <c r="API868" s="290" t="s">
        <v>280</v>
      </c>
      <c r="APJ868" s="290" t="s">
        <v>280</v>
      </c>
      <c r="APK868" s="290" t="s">
        <v>280</v>
      </c>
      <c r="APL868" s="290" t="s">
        <v>280</v>
      </c>
      <c r="APM868" s="290" t="s">
        <v>280</v>
      </c>
      <c r="APN868" s="290" t="s">
        <v>280</v>
      </c>
      <c r="APO868" s="290" t="s">
        <v>280</v>
      </c>
      <c r="APP868" s="290" t="s">
        <v>280</v>
      </c>
      <c r="APQ868" s="290" t="s">
        <v>280</v>
      </c>
      <c r="APR868" s="290" t="s">
        <v>280</v>
      </c>
      <c r="APS868" s="290" t="s">
        <v>280</v>
      </c>
      <c r="APT868" s="290" t="s">
        <v>280</v>
      </c>
      <c r="APU868" s="290" t="s">
        <v>280</v>
      </c>
      <c r="APV868" s="290" t="s">
        <v>280</v>
      </c>
      <c r="APW868" s="290" t="s">
        <v>280</v>
      </c>
      <c r="APX868" s="290" t="s">
        <v>280</v>
      </c>
      <c r="APY868" s="290" t="s">
        <v>280</v>
      </c>
      <c r="APZ868" s="290" t="s">
        <v>280</v>
      </c>
      <c r="AQA868" s="290" t="s">
        <v>280</v>
      </c>
      <c r="AQB868" s="290" t="s">
        <v>280</v>
      </c>
      <c r="AQC868" s="290" t="s">
        <v>280</v>
      </c>
      <c r="AQD868" s="290" t="s">
        <v>280</v>
      </c>
      <c r="AQE868" s="290" t="s">
        <v>280</v>
      </c>
      <c r="AQF868" s="290" t="s">
        <v>280</v>
      </c>
      <c r="AQG868" s="290" t="s">
        <v>280</v>
      </c>
      <c r="AQH868" s="290" t="s">
        <v>280</v>
      </c>
      <c r="AQI868" s="290" t="s">
        <v>280</v>
      </c>
      <c r="AQJ868" s="290" t="s">
        <v>280</v>
      </c>
      <c r="AQK868" s="290" t="s">
        <v>280</v>
      </c>
      <c r="AQL868" s="290" t="s">
        <v>280</v>
      </c>
      <c r="AQM868" s="290" t="s">
        <v>280</v>
      </c>
      <c r="AQN868" s="290" t="s">
        <v>280</v>
      </c>
      <c r="AQO868" s="290" t="s">
        <v>280</v>
      </c>
      <c r="AQP868" s="290" t="s">
        <v>280</v>
      </c>
      <c r="AQQ868" s="290" t="s">
        <v>280</v>
      </c>
      <c r="AQR868" s="290" t="s">
        <v>280</v>
      </c>
      <c r="AQS868" s="290" t="s">
        <v>280</v>
      </c>
      <c r="AQT868" s="290" t="s">
        <v>280</v>
      </c>
      <c r="AQU868" s="290" t="s">
        <v>280</v>
      </c>
      <c r="AQV868" s="290" t="s">
        <v>280</v>
      </c>
      <c r="AQW868" s="290" t="s">
        <v>280</v>
      </c>
      <c r="AQX868" s="290" t="s">
        <v>280</v>
      </c>
      <c r="AQY868" s="290" t="s">
        <v>280</v>
      </c>
      <c r="AQZ868" s="290" t="s">
        <v>280</v>
      </c>
      <c r="ARA868" s="290" t="s">
        <v>280</v>
      </c>
      <c r="ARB868" s="290" t="s">
        <v>280</v>
      </c>
      <c r="ARC868" s="290" t="s">
        <v>280</v>
      </c>
      <c r="ARD868" s="290" t="s">
        <v>280</v>
      </c>
      <c r="ARE868" s="290" t="s">
        <v>280</v>
      </c>
      <c r="ARF868" s="290" t="s">
        <v>280</v>
      </c>
      <c r="ARG868" s="290" t="s">
        <v>280</v>
      </c>
      <c r="ARH868" s="290" t="s">
        <v>280</v>
      </c>
      <c r="ARI868" s="290" t="s">
        <v>280</v>
      </c>
      <c r="ARJ868" s="290" t="s">
        <v>280</v>
      </c>
      <c r="ARK868" s="290" t="s">
        <v>280</v>
      </c>
      <c r="ARL868" s="290" t="s">
        <v>280</v>
      </c>
      <c r="ARM868" s="290" t="s">
        <v>280</v>
      </c>
      <c r="ARN868" s="290" t="s">
        <v>280</v>
      </c>
      <c r="ARO868" s="290" t="s">
        <v>280</v>
      </c>
      <c r="ARP868" s="290" t="s">
        <v>280</v>
      </c>
      <c r="ARQ868" s="290" t="s">
        <v>280</v>
      </c>
      <c r="ARR868" s="290" t="s">
        <v>280</v>
      </c>
      <c r="ARS868" s="290" t="s">
        <v>280</v>
      </c>
      <c r="ART868" s="290" t="s">
        <v>280</v>
      </c>
      <c r="ARU868" s="290" t="s">
        <v>280</v>
      </c>
      <c r="ARV868" s="290" t="s">
        <v>280</v>
      </c>
      <c r="ARW868" s="290" t="s">
        <v>280</v>
      </c>
      <c r="ARX868" s="290" t="s">
        <v>280</v>
      </c>
      <c r="ARY868" s="290" t="s">
        <v>280</v>
      </c>
      <c r="ARZ868" s="290" t="s">
        <v>280</v>
      </c>
      <c r="ASA868" s="290" t="s">
        <v>280</v>
      </c>
      <c r="ASB868" s="290" t="s">
        <v>280</v>
      </c>
      <c r="ASC868" s="290" t="s">
        <v>280</v>
      </c>
      <c r="ASD868" s="290" t="s">
        <v>280</v>
      </c>
      <c r="ASE868" s="290" t="s">
        <v>280</v>
      </c>
      <c r="ASF868" s="290" t="s">
        <v>280</v>
      </c>
      <c r="ASG868" s="290" t="s">
        <v>280</v>
      </c>
      <c r="ASH868" s="290" t="s">
        <v>280</v>
      </c>
      <c r="ASI868" s="290" t="s">
        <v>280</v>
      </c>
      <c r="ASJ868" s="290" t="s">
        <v>280</v>
      </c>
      <c r="ASK868" s="290" t="s">
        <v>280</v>
      </c>
      <c r="ASL868" s="290" t="s">
        <v>280</v>
      </c>
      <c r="ASM868" s="290" t="s">
        <v>280</v>
      </c>
      <c r="ASN868" s="290" t="s">
        <v>280</v>
      </c>
      <c r="ASO868" s="290" t="s">
        <v>280</v>
      </c>
      <c r="ASP868" s="290" t="s">
        <v>280</v>
      </c>
      <c r="ASQ868" s="290" t="s">
        <v>280</v>
      </c>
      <c r="ASR868" s="290" t="s">
        <v>280</v>
      </c>
      <c r="ASS868" s="290" t="s">
        <v>280</v>
      </c>
      <c r="AST868" s="290" t="s">
        <v>280</v>
      </c>
      <c r="ASU868" s="290" t="s">
        <v>280</v>
      </c>
      <c r="ASV868" s="290" t="s">
        <v>280</v>
      </c>
      <c r="ASW868" s="290" t="s">
        <v>280</v>
      </c>
      <c r="ASX868" s="290" t="s">
        <v>280</v>
      </c>
      <c r="ASY868" s="290" t="s">
        <v>280</v>
      </c>
      <c r="ASZ868" s="290" t="s">
        <v>280</v>
      </c>
      <c r="ATA868" s="290" t="s">
        <v>280</v>
      </c>
      <c r="ATB868" s="290" t="s">
        <v>280</v>
      </c>
      <c r="ATC868" s="290" t="s">
        <v>280</v>
      </c>
      <c r="ATD868" s="290" t="s">
        <v>280</v>
      </c>
      <c r="ATE868" s="290" t="s">
        <v>280</v>
      </c>
      <c r="ATF868" s="290" t="s">
        <v>280</v>
      </c>
      <c r="ATG868" s="290" t="s">
        <v>280</v>
      </c>
      <c r="ATH868" s="290" t="s">
        <v>280</v>
      </c>
      <c r="ATI868" s="290" t="s">
        <v>280</v>
      </c>
      <c r="ATJ868" s="290" t="s">
        <v>280</v>
      </c>
      <c r="ATK868" s="290" t="s">
        <v>280</v>
      </c>
      <c r="ATL868" s="290" t="s">
        <v>280</v>
      </c>
      <c r="ATM868" s="290" t="s">
        <v>280</v>
      </c>
      <c r="ATN868" s="290" t="s">
        <v>280</v>
      </c>
      <c r="ATO868" s="290" t="s">
        <v>280</v>
      </c>
      <c r="ATP868" s="290" t="s">
        <v>280</v>
      </c>
      <c r="ATQ868" s="290" t="s">
        <v>280</v>
      </c>
      <c r="ATR868" s="290" t="s">
        <v>280</v>
      </c>
      <c r="ATS868" s="290" t="s">
        <v>280</v>
      </c>
      <c r="ATT868" s="290" t="s">
        <v>280</v>
      </c>
      <c r="ATU868" s="290" t="s">
        <v>280</v>
      </c>
      <c r="ATV868" s="290" t="s">
        <v>280</v>
      </c>
      <c r="ATW868" s="290" t="s">
        <v>280</v>
      </c>
      <c r="ATX868" s="290" t="s">
        <v>280</v>
      </c>
      <c r="ATY868" s="290" t="s">
        <v>280</v>
      </c>
      <c r="ATZ868" s="290" t="s">
        <v>280</v>
      </c>
      <c r="AUA868" s="290" t="s">
        <v>280</v>
      </c>
      <c r="AUB868" s="290" t="s">
        <v>280</v>
      </c>
      <c r="AUC868" s="290" t="s">
        <v>280</v>
      </c>
      <c r="AUD868" s="290" t="s">
        <v>280</v>
      </c>
      <c r="AUE868" s="290" t="s">
        <v>280</v>
      </c>
      <c r="AUF868" s="290" t="s">
        <v>280</v>
      </c>
      <c r="AUG868" s="290" t="s">
        <v>280</v>
      </c>
      <c r="AUH868" s="290" t="s">
        <v>280</v>
      </c>
      <c r="AUI868" s="290" t="s">
        <v>280</v>
      </c>
      <c r="AUJ868" s="290" t="s">
        <v>280</v>
      </c>
      <c r="AUK868" s="290" t="s">
        <v>280</v>
      </c>
      <c r="AUL868" s="290" t="s">
        <v>280</v>
      </c>
      <c r="AUM868" s="290" t="s">
        <v>280</v>
      </c>
      <c r="AUN868" s="290" t="s">
        <v>280</v>
      </c>
      <c r="AUO868" s="290" t="s">
        <v>280</v>
      </c>
      <c r="AUP868" s="290" t="s">
        <v>280</v>
      </c>
      <c r="AUQ868" s="290" t="s">
        <v>280</v>
      </c>
      <c r="AUR868" s="290" t="s">
        <v>280</v>
      </c>
      <c r="AUS868" s="290" t="s">
        <v>280</v>
      </c>
      <c r="AUT868" s="290" t="s">
        <v>280</v>
      </c>
      <c r="AUU868" s="290" t="s">
        <v>280</v>
      </c>
      <c r="AUV868" s="290" t="s">
        <v>280</v>
      </c>
      <c r="AUW868" s="290" t="s">
        <v>280</v>
      </c>
      <c r="AUX868" s="290" t="s">
        <v>280</v>
      </c>
      <c r="AUY868" s="290" t="s">
        <v>280</v>
      </c>
      <c r="AUZ868" s="290" t="s">
        <v>280</v>
      </c>
      <c r="AVA868" s="290" t="s">
        <v>280</v>
      </c>
      <c r="AVB868" s="290" t="s">
        <v>280</v>
      </c>
      <c r="AVC868" s="290" t="s">
        <v>280</v>
      </c>
      <c r="AVD868" s="290" t="s">
        <v>280</v>
      </c>
      <c r="AVE868" s="290" t="s">
        <v>280</v>
      </c>
      <c r="AVF868" s="290" t="s">
        <v>280</v>
      </c>
      <c r="AVG868" s="290" t="s">
        <v>280</v>
      </c>
      <c r="AVH868" s="290" t="s">
        <v>280</v>
      </c>
      <c r="AVI868" s="290" t="s">
        <v>280</v>
      </c>
      <c r="AVJ868" s="290" t="s">
        <v>280</v>
      </c>
      <c r="AVK868" s="290" t="s">
        <v>280</v>
      </c>
      <c r="AVL868" s="290" t="s">
        <v>280</v>
      </c>
      <c r="AVM868" s="290" t="s">
        <v>280</v>
      </c>
      <c r="AVN868" s="290" t="s">
        <v>280</v>
      </c>
      <c r="AVO868" s="290" t="s">
        <v>280</v>
      </c>
      <c r="AVP868" s="290" t="s">
        <v>280</v>
      </c>
      <c r="AVQ868" s="290" t="s">
        <v>280</v>
      </c>
      <c r="AVR868" s="290" t="s">
        <v>280</v>
      </c>
      <c r="AVS868" s="290" t="s">
        <v>280</v>
      </c>
      <c r="AVT868" s="290" t="s">
        <v>280</v>
      </c>
      <c r="AVU868" s="290" t="s">
        <v>280</v>
      </c>
      <c r="AVV868" s="290" t="s">
        <v>280</v>
      </c>
      <c r="AVW868" s="290" t="s">
        <v>280</v>
      </c>
      <c r="AVX868" s="290" t="s">
        <v>280</v>
      </c>
      <c r="AVY868" s="290" t="s">
        <v>280</v>
      </c>
      <c r="AVZ868" s="290" t="s">
        <v>280</v>
      </c>
      <c r="AWA868" s="290" t="s">
        <v>280</v>
      </c>
      <c r="AWB868" s="290" t="s">
        <v>280</v>
      </c>
      <c r="AWC868" s="290" t="s">
        <v>280</v>
      </c>
      <c r="AWD868" s="290" t="s">
        <v>280</v>
      </c>
      <c r="AWE868" s="290" t="s">
        <v>280</v>
      </c>
      <c r="AWF868" s="290" t="s">
        <v>280</v>
      </c>
      <c r="AWG868" s="290" t="s">
        <v>280</v>
      </c>
      <c r="AWH868" s="290" t="s">
        <v>280</v>
      </c>
      <c r="AWI868" s="290" t="s">
        <v>280</v>
      </c>
      <c r="AWJ868" s="290" t="s">
        <v>280</v>
      </c>
      <c r="AWK868" s="290" t="s">
        <v>280</v>
      </c>
      <c r="AWL868" s="290" t="s">
        <v>280</v>
      </c>
      <c r="AWM868" s="290" t="s">
        <v>280</v>
      </c>
      <c r="AWN868" s="290" t="s">
        <v>280</v>
      </c>
      <c r="AWO868" s="290" t="s">
        <v>280</v>
      </c>
      <c r="AWP868" s="290" t="s">
        <v>280</v>
      </c>
      <c r="AWQ868" s="290" t="s">
        <v>280</v>
      </c>
      <c r="AWR868" s="290" t="s">
        <v>280</v>
      </c>
      <c r="AWS868" s="290" t="s">
        <v>280</v>
      </c>
      <c r="AWT868" s="290" t="s">
        <v>280</v>
      </c>
      <c r="AWU868" s="290" t="s">
        <v>280</v>
      </c>
      <c r="AWV868" s="290" t="s">
        <v>280</v>
      </c>
      <c r="AWW868" s="290" t="s">
        <v>280</v>
      </c>
      <c r="AWX868" s="290" t="s">
        <v>280</v>
      </c>
      <c r="AWY868" s="290" t="s">
        <v>280</v>
      </c>
      <c r="AWZ868" s="290" t="s">
        <v>280</v>
      </c>
      <c r="AXA868" s="290" t="s">
        <v>280</v>
      </c>
      <c r="AXB868" s="290" t="s">
        <v>280</v>
      </c>
      <c r="AXC868" s="290" t="s">
        <v>280</v>
      </c>
      <c r="AXD868" s="290" t="s">
        <v>280</v>
      </c>
      <c r="AXE868" s="290" t="s">
        <v>280</v>
      </c>
      <c r="AXF868" s="290" t="s">
        <v>280</v>
      </c>
      <c r="AXG868" s="290" t="s">
        <v>280</v>
      </c>
      <c r="AXH868" s="290" t="s">
        <v>280</v>
      </c>
      <c r="AXI868" s="290" t="s">
        <v>280</v>
      </c>
      <c r="AXJ868" s="290" t="s">
        <v>280</v>
      </c>
      <c r="AXK868" s="290" t="s">
        <v>280</v>
      </c>
      <c r="AXL868" s="290" t="s">
        <v>280</v>
      </c>
      <c r="AXM868" s="290" t="s">
        <v>280</v>
      </c>
      <c r="AXN868" s="290" t="s">
        <v>280</v>
      </c>
      <c r="AXO868" s="290" t="s">
        <v>280</v>
      </c>
      <c r="AXP868" s="290" t="s">
        <v>280</v>
      </c>
      <c r="AXQ868" s="290" t="s">
        <v>280</v>
      </c>
      <c r="AXR868" s="290" t="s">
        <v>280</v>
      </c>
      <c r="AXS868" s="290" t="s">
        <v>280</v>
      </c>
      <c r="AXT868" s="290" t="s">
        <v>280</v>
      </c>
      <c r="AXU868" s="290" t="s">
        <v>280</v>
      </c>
      <c r="AXV868" s="290" t="s">
        <v>280</v>
      </c>
      <c r="AXW868" s="290" t="s">
        <v>280</v>
      </c>
      <c r="AXX868" s="290" t="s">
        <v>280</v>
      </c>
      <c r="AXY868" s="290" t="s">
        <v>280</v>
      </c>
      <c r="AXZ868" s="290" t="s">
        <v>280</v>
      </c>
      <c r="AYA868" s="290" t="s">
        <v>280</v>
      </c>
      <c r="AYB868" s="290" t="s">
        <v>280</v>
      </c>
      <c r="AYC868" s="290" t="s">
        <v>280</v>
      </c>
      <c r="AYD868" s="290" t="s">
        <v>280</v>
      </c>
      <c r="AYE868" s="290" t="s">
        <v>280</v>
      </c>
      <c r="AYF868" s="290" t="s">
        <v>280</v>
      </c>
      <c r="AYG868" s="290" t="s">
        <v>280</v>
      </c>
      <c r="AYH868" s="290" t="s">
        <v>280</v>
      </c>
      <c r="AYI868" s="290" t="s">
        <v>280</v>
      </c>
      <c r="AYJ868" s="290" t="s">
        <v>280</v>
      </c>
      <c r="AYK868" s="290" t="s">
        <v>280</v>
      </c>
      <c r="AYL868" s="290" t="s">
        <v>280</v>
      </c>
      <c r="AYM868" s="290" t="s">
        <v>280</v>
      </c>
      <c r="AYN868" s="290" t="s">
        <v>280</v>
      </c>
      <c r="AYO868" s="290" t="s">
        <v>280</v>
      </c>
      <c r="AYP868" s="290" t="s">
        <v>280</v>
      </c>
      <c r="AYQ868" s="290" t="s">
        <v>280</v>
      </c>
      <c r="AYR868" s="290" t="s">
        <v>280</v>
      </c>
      <c r="AYS868" s="290" t="s">
        <v>280</v>
      </c>
      <c r="AYT868" s="290" t="s">
        <v>280</v>
      </c>
      <c r="AYU868" s="290" t="s">
        <v>280</v>
      </c>
      <c r="AYV868" s="290" t="s">
        <v>280</v>
      </c>
      <c r="AYW868" s="290" t="s">
        <v>280</v>
      </c>
      <c r="AYX868" s="290" t="s">
        <v>280</v>
      </c>
      <c r="AYY868" s="290" t="s">
        <v>280</v>
      </c>
      <c r="AYZ868" s="290" t="s">
        <v>280</v>
      </c>
      <c r="AZA868" s="290" t="s">
        <v>280</v>
      </c>
      <c r="AZB868" s="290" t="s">
        <v>280</v>
      </c>
      <c r="AZC868" s="290" t="s">
        <v>280</v>
      </c>
      <c r="AZD868" s="290" t="s">
        <v>280</v>
      </c>
      <c r="AZE868" s="290" t="s">
        <v>280</v>
      </c>
      <c r="AZF868" s="290" t="s">
        <v>280</v>
      </c>
      <c r="AZG868" s="290" t="s">
        <v>280</v>
      </c>
      <c r="AZH868" s="290" t="s">
        <v>280</v>
      </c>
      <c r="AZI868" s="290" t="s">
        <v>280</v>
      </c>
      <c r="AZJ868" s="290" t="s">
        <v>280</v>
      </c>
      <c r="AZK868" s="290" t="s">
        <v>280</v>
      </c>
      <c r="AZL868" s="290" t="s">
        <v>280</v>
      </c>
      <c r="AZM868" s="290" t="s">
        <v>280</v>
      </c>
      <c r="AZN868" s="290" t="s">
        <v>280</v>
      </c>
      <c r="AZO868" s="290" t="s">
        <v>280</v>
      </c>
      <c r="AZP868" s="290" t="s">
        <v>280</v>
      </c>
      <c r="AZQ868" s="290" t="s">
        <v>280</v>
      </c>
      <c r="AZR868" s="290" t="s">
        <v>280</v>
      </c>
      <c r="AZS868" s="290" t="s">
        <v>280</v>
      </c>
      <c r="AZT868" s="290" t="s">
        <v>280</v>
      </c>
      <c r="AZU868" s="290" t="s">
        <v>280</v>
      </c>
      <c r="AZV868" s="290" t="s">
        <v>280</v>
      </c>
      <c r="AZW868" s="290" t="s">
        <v>280</v>
      </c>
      <c r="AZX868" s="290" t="s">
        <v>280</v>
      </c>
      <c r="AZY868" s="290" t="s">
        <v>280</v>
      </c>
      <c r="AZZ868" s="290" t="s">
        <v>280</v>
      </c>
      <c r="BAA868" s="290" t="s">
        <v>280</v>
      </c>
      <c r="BAB868" s="290" t="s">
        <v>280</v>
      </c>
      <c r="BAC868" s="290" t="s">
        <v>280</v>
      </c>
      <c r="BAD868" s="290" t="s">
        <v>280</v>
      </c>
      <c r="BAE868" s="290" t="s">
        <v>280</v>
      </c>
      <c r="BAF868" s="290" t="s">
        <v>280</v>
      </c>
      <c r="BAG868" s="290" t="s">
        <v>280</v>
      </c>
      <c r="BAH868" s="290" t="s">
        <v>280</v>
      </c>
      <c r="BAI868" s="290" t="s">
        <v>280</v>
      </c>
      <c r="BAJ868" s="290" t="s">
        <v>280</v>
      </c>
      <c r="BAK868" s="290" t="s">
        <v>280</v>
      </c>
      <c r="BAL868" s="290" t="s">
        <v>280</v>
      </c>
      <c r="BAM868" s="290" t="s">
        <v>280</v>
      </c>
      <c r="BAN868" s="290" t="s">
        <v>280</v>
      </c>
      <c r="BAO868" s="290" t="s">
        <v>280</v>
      </c>
      <c r="BAP868" s="290" t="s">
        <v>280</v>
      </c>
      <c r="BAQ868" s="290" t="s">
        <v>280</v>
      </c>
      <c r="BAR868" s="290" t="s">
        <v>280</v>
      </c>
      <c r="BAS868" s="290" t="s">
        <v>280</v>
      </c>
      <c r="BAT868" s="290" t="s">
        <v>280</v>
      </c>
      <c r="BAU868" s="290" t="s">
        <v>280</v>
      </c>
      <c r="BAV868" s="290" t="s">
        <v>280</v>
      </c>
      <c r="BAW868" s="290" t="s">
        <v>280</v>
      </c>
      <c r="BAX868" s="290" t="s">
        <v>280</v>
      </c>
      <c r="BAY868" s="290" t="s">
        <v>280</v>
      </c>
      <c r="BAZ868" s="290" t="s">
        <v>280</v>
      </c>
      <c r="BBA868" s="290" t="s">
        <v>280</v>
      </c>
      <c r="BBB868" s="290" t="s">
        <v>280</v>
      </c>
      <c r="BBC868" s="290" t="s">
        <v>280</v>
      </c>
      <c r="BBD868" s="290" t="s">
        <v>280</v>
      </c>
      <c r="BBE868" s="290" t="s">
        <v>280</v>
      </c>
      <c r="BBF868" s="290" t="s">
        <v>280</v>
      </c>
      <c r="BBG868" s="290" t="s">
        <v>280</v>
      </c>
      <c r="BBH868" s="290" t="s">
        <v>280</v>
      </c>
      <c r="BBI868" s="290" t="s">
        <v>280</v>
      </c>
      <c r="BBJ868" s="290" t="s">
        <v>280</v>
      </c>
      <c r="BBK868" s="290" t="s">
        <v>280</v>
      </c>
      <c r="BBL868" s="290" t="s">
        <v>280</v>
      </c>
      <c r="BBM868" s="290" t="s">
        <v>280</v>
      </c>
      <c r="BBN868" s="290" t="s">
        <v>280</v>
      </c>
      <c r="BBO868" s="290" t="s">
        <v>280</v>
      </c>
      <c r="BBP868" s="290" t="s">
        <v>280</v>
      </c>
      <c r="BBQ868" s="290" t="s">
        <v>280</v>
      </c>
      <c r="BBR868" s="290" t="s">
        <v>280</v>
      </c>
      <c r="BBS868" s="290" t="s">
        <v>280</v>
      </c>
      <c r="BBT868" s="290" t="s">
        <v>280</v>
      </c>
      <c r="BBU868" s="290" t="s">
        <v>280</v>
      </c>
      <c r="BBV868" s="290" t="s">
        <v>280</v>
      </c>
      <c r="BBW868" s="290" t="s">
        <v>280</v>
      </c>
      <c r="BBX868" s="290" t="s">
        <v>280</v>
      </c>
      <c r="BBY868" s="290" t="s">
        <v>280</v>
      </c>
      <c r="BBZ868" s="290" t="s">
        <v>280</v>
      </c>
      <c r="BCA868" s="290" t="s">
        <v>280</v>
      </c>
      <c r="BCB868" s="290" t="s">
        <v>280</v>
      </c>
      <c r="BCC868" s="290" t="s">
        <v>280</v>
      </c>
      <c r="BCD868" s="290" t="s">
        <v>280</v>
      </c>
      <c r="BCE868" s="290" t="s">
        <v>280</v>
      </c>
      <c r="BCF868" s="290" t="s">
        <v>280</v>
      </c>
      <c r="BCG868" s="290" t="s">
        <v>280</v>
      </c>
      <c r="BCH868" s="290" t="s">
        <v>280</v>
      </c>
      <c r="BCI868" s="290" t="s">
        <v>280</v>
      </c>
      <c r="BCJ868" s="290" t="s">
        <v>280</v>
      </c>
      <c r="BCK868" s="290" t="s">
        <v>280</v>
      </c>
      <c r="BCL868" s="290" t="s">
        <v>280</v>
      </c>
      <c r="BCM868" s="290" t="s">
        <v>280</v>
      </c>
      <c r="BCN868" s="290" t="s">
        <v>280</v>
      </c>
      <c r="BCO868" s="290" t="s">
        <v>280</v>
      </c>
      <c r="BCP868" s="290" t="s">
        <v>280</v>
      </c>
      <c r="BCQ868" s="290" t="s">
        <v>280</v>
      </c>
      <c r="BCR868" s="290" t="s">
        <v>280</v>
      </c>
      <c r="BCS868" s="290" t="s">
        <v>280</v>
      </c>
      <c r="BCT868" s="290" t="s">
        <v>280</v>
      </c>
      <c r="BCU868" s="290" t="s">
        <v>280</v>
      </c>
      <c r="BCV868" s="290" t="s">
        <v>280</v>
      </c>
      <c r="BCW868" s="290" t="s">
        <v>280</v>
      </c>
      <c r="BCX868" s="290" t="s">
        <v>280</v>
      </c>
      <c r="BCY868" s="290" t="s">
        <v>280</v>
      </c>
      <c r="BCZ868" s="290" t="s">
        <v>280</v>
      </c>
      <c r="BDA868" s="290" t="s">
        <v>280</v>
      </c>
      <c r="BDB868" s="290" t="s">
        <v>280</v>
      </c>
      <c r="BDC868" s="290" t="s">
        <v>280</v>
      </c>
      <c r="BDD868" s="290" t="s">
        <v>280</v>
      </c>
      <c r="BDE868" s="290" t="s">
        <v>280</v>
      </c>
      <c r="BDF868" s="290" t="s">
        <v>280</v>
      </c>
      <c r="BDG868" s="290" t="s">
        <v>280</v>
      </c>
      <c r="BDH868" s="290" t="s">
        <v>280</v>
      </c>
      <c r="BDI868" s="290" t="s">
        <v>280</v>
      </c>
      <c r="BDJ868" s="290" t="s">
        <v>280</v>
      </c>
      <c r="BDK868" s="290" t="s">
        <v>280</v>
      </c>
      <c r="BDL868" s="290" t="s">
        <v>280</v>
      </c>
      <c r="BDM868" s="290" t="s">
        <v>280</v>
      </c>
      <c r="BDN868" s="290" t="s">
        <v>280</v>
      </c>
      <c r="BDO868" s="290" t="s">
        <v>280</v>
      </c>
      <c r="BDP868" s="290" t="s">
        <v>280</v>
      </c>
      <c r="BDQ868" s="290" t="s">
        <v>280</v>
      </c>
      <c r="BDR868" s="290" t="s">
        <v>280</v>
      </c>
      <c r="BDS868" s="290" t="s">
        <v>280</v>
      </c>
      <c r="BDT868" s="290" t="s">
        <v>280</v>
      </c>
      <c r="BDU868" s="290" t="s">
        <v>280</v>
      </c>
      <c r="BDV868" s="290" t="s">
        <v>280</v>
      </c>
      <c r="BDW868" s="290" t="s">
        <v>280</v>
      </c>
      <c r="BDX868" s="290" t="s">
        <v>280</v>
      </c>
      <c r="BDY868" s="290" t="s">
        <v>280</v>
      </c>
      <c r="BDZ868" s="290" t="s">
        <v>280</v>
      </c>
      <c r="BEA868" s="290" t="s">
        <v>280</v>
      </c>
      <c r="BEB868" s="290" t="s">
        <v>280</v>
      </c>
      <c r="BEC868" s="290" t="s">
        <v>280</v>
      </c>
      <c r="BED868" s="290" t="s">
        <v>280</v>
      </c>
      <c r="BEE868" s="290" t="s">
        <v>280</v>
      </c>
      <c r="BEF868" s="290" t="s">
        <v>280</v>
      </c>
      <c r="BEG868" s="290" t="s">
        <v>280</v>
      </c>
      <c r="BEH868" s="290" t="s">
        <v>280</v>
      </c>
      <c r="BEI868" s="290" t="s">
        <v>280</v>
      </c>
      <c r="BEJ868" s="290" t="s">
        <v>280</v>
      </c>
      <c r="BEK868" s="290" t="s">
        <v>280</v>
      </c>
      <c r="BEL868" s="290" t="s">
        <v>280</v>
      </c>
      <c r="BEM868" s="290" t="s">
        <v>280</v>
      </c>
      <c r="BEN868" s="290" t="s">
        <v>280</v>
      </c>
      <c r="BEO868" s="290" t="s">
        <v>280</v>
      </c>
      <c r="BEP868" s="290" t="s">
        <v>280</v>
      </c>
      <c r="BEQ868" s="290" t="s">
        <v>280</v>
      </c>
      <c r="BER868" s="290" t="s">
        <v>280</v>
      </c>
      <c r="BES868" s="290" t="s">
        <v>280</v>
      </c>
      <c r="BET868" s="290" t="s">
        <v>280</v>
      </c>
      <c r="BEU868" s="290" t="s">
        <v>280</v>
      </c>
      <c r="BEV868" s="290" t="s">
        <v>280</v>
      </c>
      <c r="BEW868" s="290" t="s">
        <v>280</v>
      </c>
      <c r="BEX868" s="290" t="s">
        <v>280</v>
      </c>
      <c r="BEY868" s="290" t="s">
        <v>280</v>
      </c>
      <c r="BEZ868" s="290" t="s">
        <v>280</v>
      </c>
      <c r="BFA868" s="290" t="s">
        <v>280</v>
      </c>
      <c r="BFB868" s="290" t="s">
        <v>280</v>
      </c>
      <c r="BFC868" s="290" t="s">
        <v>280</v>
      </c>
      <c r="BFD868" s="290" t="s">
        <v>280</v>
      </c>
      <c r="BFE868" s="290" t="s">
        <v>280</v>
      </c>
      <c r="BFF868" s="290" t="s">
        <v>280</v>
      </c>
      <c r="BFG868" s="290" t="s">
        <v>280</v>
      </c>
      <c r="BFH868" s="290" t="s">
        <v>280</v>
      </c>
      <c r="BFI868" s="290" t="s">
        <v>280</v>
      </c>
      <c r="BFJ868" s="290" t="s">
        <v>280</v>
      </c>
      <c r="BFK868" s="290" t="s">
        <v>280</v>
      </c>
      <c r="BFL868" s="290" t="s">
        <v>280</v>
      </c>
      <c r="BFM868" s="290" t="s">
        <v>280</v>
      </c>
      <c r="BFN868" s="290" t="s">
        <v>280</v>
      </c>
      <c r="BFO868" s="290" t="s">
        <v>280</v>
      </c>
      <c r="BFP868" s="290" t="s">
        <v>280</v>
      </c>
      <c r="BFQ868" s="290" t="s">
        <v>280</v>
      </c>
      <c r="BFR868" s="290" t="s">
        <v>280</v>
      </c>
      <c r="BFS868" s="290" t="s">
        <v>280</v>
      </c>
      <c r="BFT868" s="290" t="s">
        <v>280</v>
      </c>
      <c r="BFU868" s="290" t="s">
        <v>280</v>
      </c>
      <c r="BFV868" s="290" t="s">
        <v>280</v>
      </c>
      <c r="BFW868" s="290" t="s">
        <v>280</v>
      </c>
      <c r="BFX868" s="290" t="s">
        <v>280</v>
      </c>
      <c r="BFY868" s="290" t="s">
        <v>280</v>
      </c>
      <c r="BFZ868" s="290" t="s">
        <v>280</v>
      </c>
      <c r="BGA868" s="290" t="s">
        <v>280</v>
      </c>
      <c r="BGB868" s="290" t="s">
        <v>280</v>
      </c>
      <c r="BGC868" s="290" t="s">
        <v>280</v>
      </c>
      <c r="BGD868" s="290" t="s">
        <v>280</v>
      </c>
      <c r="BGE868" s="290" t="s">
        <v>280</v>
      </c>
      <c r="BGF868" s="290" t="s">
        <v>280</v>
      </c>
      <c r="BGG868" s="290" t="s">
        <v>280</v>
      </c>
      <c r="BGH868" s="290" t="s">
        <v>280</v>
      </c>
      <c r="BGI868" s="290" t="s">
        <v>280</v>
      </c>
      <c r="BGJ868" s="290" t="s">
        <v>280</v>
      </c>
      <c r="BGK868" s="290" t="s">
        <v>280</v>
      </c>
      <c r="BGL868" s="290" t="s">
        <v>280</v>
      </c>
      <c r="BGM868" s="290" t="s">
        <v>280</v>
      </c>
      <c r="BGN868" s="290" t="s">
        <v>280</v>
      </c>
      <c r="BGO868" s="290" t="s">
        <v>280</v>
      </c>
      <c r="BGP868" s="290" t="s">
        <v>280</v>
      </c>
      <c r="BGQ868" s="290" t="s">
        <v>280</v>
      </c>
      <c r="BGR868" s="290" t="s">
        <v>280</v>
      </c>
      <c r="BGS868" s="290" t="s">
        <v>280</v>
      </c>
      <c r="BGT868" s="290" t="s">
        <v>280</v>
      </c>
      <c r="BGU868" s="290" t="s">
        <v>280</v>
      </c>
      <c r="BGV868" s="290" t="s">
        <v>280</v>
      </c>
      <c r="BGW868" s="290" t="s">
        <v>280</v>
      </c>
      <c r="BGX868" s="290" t="s">
        <v>280</v>
      </c>
      <c r="BGY868" s="290" t="s">
        <v>280</v>
      </c>
      <c r="BGZ868" s="290" t="s">
        <v>280</v>
      </c>
      <c r="BHA868" s="290" t="s">
        <v>280</v>
      </c>
      <c r="BHB868" s="290" t="s">
        <v>280</v>
      </c>
      <c r="BHC868" s="290" t="s">
        <v>280</v>
      </c>
      <c r="BHD868" s="290" t="s">
        <v>280</v>
      </c>
      <c r="BHE868" s="290" t="s">
        <v>280</v>
      </c>
      <c r="BHF868" s="290" t="s">
        <v>280</v>
      </c>
      <c r="BHG868" s="290" t="s">
        <v>280</v>
      </c>
      <c r="BHH868" s="290" t="s">
        <v>280</v>
      </c>
      <c r="BHI868" s="290" t="s">
        <v>280</v>
      </c>
      <c r="BHJ868" s="290" t="s">
        <v>280</v>
      </c>
      <c r="BHK868" s="290" t="s">
        <v>280</v>
      </c>
      <c r="BHL868" s="290" t="s">
        <v>280</v>
      </c>
      <c r="BHM868" s="290" t="s">
        <v>280</v>
      </c>
      <c r="BHN868" s="290" t="s">
        <v>280</v>
      </c>
      <c r="BHO868" s="290" t="s">
        <v>280</v>
      </c>
      <c r="BHP868" s="290" t="s">
        <v>280</v>
      </c>
      <c r="BHQ868" s="290" t="s">
        <v>280</v>
      </c>
      <c r="BHR868" s="290" t="s">
        <v>280</v>
      </c>
      <c r="BHS868" s="290" t="s">
        <v>280</v>
      </c>
      <c r="BHT868" s="290" t="s">
        <v>280</v>
      </c>
      <c r="BHU868" s="290" t="s">
        <v>280</v>
      </c>
      <c r="BHV868" s="290" t="s">
        <v>280</v>
      </c>
      <c r="BHW868" s="290" t="s">
        <v>280</v>
      </c>
      <c r="BHX868" s="290" t="s">
        <v>280</v>
      </c>
      <c r="BHY868" s="290" t="s">
        <v>280</v>
      </c>
      <c r="BHZ868" s="290" t="s">
        <v>280</v>
      </c>
      <c r="BIA868" s="290" t="s">
        <v>280</v>
      </c>
      <c r="BIB868" s="290" t="s">
        <v>280</v>
      </c>
      <c r="BIC868" s="290" t="s">
        <v>280</v>
      </c>
      <c r="BID868" s="290" t="s">
        <v>280</v>
      </c>
      <c r="BIE868" s="290" t="s">
        <v>280</v>
      </c>
      <c r="BIF868" s="290" t="s">
        <v>280</v>
      </c>
      <c r="BIG868" s="290" t="s">
        <v>280</v>
      </c>
      <c r="BIH868" s="290" t="s">
        <v>280</v>
      </c>
      <c r="BII868" s="290" t="s">
        <v>280</v>
      </c>
      <c r="BIJ868" s="290" t="s">
        <v>280</v>
      </c>
      <c r="BIK868" s="290" t="s">
        <v>280</v>
      </c>
      <c r="BIL868" s="290" t="s">
        <v>280</v>
      </c>
      <c r="BIM868" s="290" t="s">
        <v>280</v>
      </c>
      <c r="BIN868" s="290" t="s">
        <v>280</v>
      </c>
      <c r="BIO868" s="290" t="s">
        <v>280</v>
      </c>
      <c r="BIP868" s="290" t="s">
        <v>280</v>
      </c>
      <c r="BIQ868" s="290" t="s">
        <v>280</v>
      </c>
      <c r="BIR868" s="290" t="s">
        <v>280</v>
      </c>
      <c r="BIS868" s="290" t="s">
        <v>280</v>
      </c>
      <c r="BIT868" s="290" t="s">
        <v>280</v>
      </c>
      <c r="BIU868" s="290" t="s">
        <v>280</v>
      </c>
      <c r="BIV868" s="290" t="s">
        <v>280</v>
      </c>
      <c r="BIW868" s="290" t="s">
        <v>280</v>
      </c>
      <c r="BIX868" s="290" t="s">
        <v>280</v>
      </c>
      <c r="BIY868" s="290" t="s">
        <v>280</v>
      </c>
      <c r="BIZ868" s="290" t="s">
        <v>280</v>
      </c>
      <c r="BJA868" s="290" t="s">
        <v>280</v>
      </c>
      <c r="BJB868" s="290" t="s">
        <v>280</v>
      </c>
      <c r="BJC868" s="290" t="s">
        <v>280</v>
      </c>
      <c r="BJD868" s="290" t="s">
        <v>280</v>
      </c>
      <c r="BJE868" s="290" t="s">
        <v>280</v>
      </c>
      <c r="BJF868" s="290" t="s">
        <v>280</v>
      </c>
      <c r="BJG868" s="290" t="s">
        <v>280</v>
      </c>
      <c r="BJH868" s="290" t="s">
        <v>280</v>
      </c>
      <c r="BJI868" s="290" t="s">
        <v>280</v>
      </c>
      <c r="BJJ868" s="290" t="s">
        <v>280</v>
      </c>
      <c r="BJK868" s="290" t="s">
        <v>280</v>
      </c>
      <c r="BJL868" s="290" t="s">
        <v>280</v>
      </c>
      <c r="BJM868" s="290" t="s">
        <v>280</v>
      </c>
      <c r="BJN868" s="290" t="s">
        <v>280</v>
      </c>
      <c r="BJO868" s="290" t="s">
        <v>280</v>
      </c>
      <c r="BJP868" s="290" t="s">
        <v>280</v>
      </c>
      <c r="BJQ868" s="290" t="s">
        <v>280</v>
      </c>
      <c r="BJR868" s="290" t="s">
        <v>280</v>
      </c>
      <c r="BJS868" s="290" t="s">
        <v>280</v>
      </c>
      <c r="BJT868" s="290" t="s">
        <v>280</v>
      </c>
      <c r="BJU868" s="290" t="s">
        <v>280</v>
      </c>
      <c r="BJV868" s="290" t="s">
        <v>280</v>
      </c>
      <c r="BJW868" s="290" t="s">
        <v>280</v>
      </c>
      <c r="BJX868" s="290" t="s">
        <v>280</v>
      </c>
      <c r="BJY868" s="290" t="s">
        <v>280</v>
      </c>
      <c r="BJZ868" s="290" t="s">
        <v>280</v>
      </c>
      <c r="BKA868" s="290" t="s">
        <v>280</v>
      </c>
      <c r="BKB868" s="290" t="s">
        <v>280</v>
      </c>
      <c r="BKC868" s="290" t="s">
        <v>280</v>
      </c>
      <c r="BKD868" s="290" t="s">
        <v>280</v>
      </c>
      <c r="BKE868" s="290" t="s">
        <v>280</v>
      </c>
      <c r="BKF868" s="290" t="s">
        <v>280</v>
      </c>
      <c r="BKG868" s="290" t="s">
        <v>280</v>
      </c>
      <c r="BKH868" s="290" t="s">
        <v>280</v>
      </c>
      <c r="BKI868" s="290" t="s">
        <v>280</v>
      </c>
      <c r="BKJ868" s="290" t="s">
        <v>280</v>
      </c>
      <c r="BKK868" s="290" t="s">
        <v>280</v>
      </c>
      <c r="BKL868" s="290" t="s">
        <v>280</v>
      </c>
      <c r="BKM868" s="290" t="s">
        <v>280</v>
      </c>
      <c r="BKN868" s="290" t="s">
        <v>280</v>
      </c>
      <c r="BKO868" s="290" t="s">
        <v>280</v>
      </c>
      <c r="BKP868" s="290" t="s">
        <v>280</v>
      </c>
      <c r="BKQ868" s="290" t="s">
        <v>280</v>
      </c>
      <c r="BKR868" s="290" t="s">
        <v>280</v>
      </c>
      <c r="BKS868" s="290" t="s">
        <v>280</v>
      </c>
      <c r="BKT868" s="290" t="s">
        <v>280</v>
      </c>
      <c r="BKU868" s="290" t="s">
        <v>280</v>
      </c>
      <c r="BKV868" s="290" t="s">
        <v>280</v>
      </c>
      <c r="BKW868" s="290" t="s">
        <v>280</v>
      </c>
      <c r="BKX868" s="290" t="s">
        <v>280</v>
      </c>
      <c r="BKY868" s="290" t="s">
        <v>280</v>
      </c>
      <c r="BKZ868" s="290" t="s">
        <v>280</v>
      </c>
      <c r="BLA868" s="290" t="s">
        <v>280</v>
      </c>
      <c r="BLB868" s="290" t="s">
        <v>280</v>
      </c>
      <c r="BLC868" s="290" t="s">
        <v>280</v>
      </c>
      <c r="BLD868" s="290" t="s">
        <v>280</v>
      </c>
      <c r="BLE868" s="290" t="s">
        <v>280</v>
      </c>
      <c r="BLF868" s="290" t="s">
        <v>280</v>
      </c>
      <c r="BLG868" s="290" t="s">
        <v>280</v>
      </c>
      <c r="BLH868" s="290" t="s">
        <v>280</v>
      </c>
      <c r="BLI868" s="290" t="s">
        <v>280</v>
      </c>
      <c r="BLJ868" s="290" t="s">
        <v>280</v>
      </c>
      <c r="BLK868" s="290" t="s">
        <v>280</v>
      </c>
      <c r="BLL868" s="290" t="s">
        <v>280</v>
      </c>
      <c r="BLM868" s="290" t="s">
        <v>280</v>
      </c>
      <c r="BLN868" s="290" t="s">
        <v>280</v>
      </c>
      <c r="BLO868" s="290" t="s">
        <v>280</v>
      </c>
      <c r="BLP868" s="290" t="s">
        <v>280</v>
      </c>
      <c r="BLQ868" s="290" t="s">
        <v>280</v>
      </c>
      <c r="BLR868" s="290" t="s">
        <v>280</v>
      </c>
      <c r="BLS868" s="290" t="s">
        <v>280</v>
      </c>
      <c r="BLT868" s="290" t="s">
        <v>280</v>
      </c>
      <c r="BLU868" s="290" t="s">
        <v>280</v>
      </c>
      <c r="BLV868" s="290" t="s">
        <v>280</v>
      </c>
      <c r="BLW868" s="290" t="s">
        <v>280</v>
      </c>
      <c r="BLX868" s="290" t="s">
        <v>280</v>
      </c>
      <c r="BLY868" s="290" t="s">
        <v>280</v>
      </c>
      <c r="BLZ868" s="290" t="s">
        <v>280</v>
      </c>
      <c r="BMA868" s="290" t="s">
        <v>280</v>
      </c>
      <c r="BMB868" s="290" t="s">
        <v>280</v>
      </c>
      <c r="BMC868" s="290" t="s">
        <v>280</v>
      </c>
      <c r="BMD868" s="290" t="s">
        <v>280</v>
      </c>
      <c r="BME868" s="290" t="s">
        <v>280</v>
      </c>
      <c r="BMF868" s="290" t="s">
        <v>280</v>
      </c>
      <c r="BMG868" s="290" t="s">
        <v>280</v>
      </c>
      <c r="BMH868" s="290" t="s">
        <v>280</v>
      </c>
      <c r="BMI868" s="290" t="s">
        <v>280</v>
      </c>
      <c r="BMJ868" s="290" t="s">
        <v>280</v>
      </c>
      <c r="BMK868" s="290" t="s">
        <v>280</v>
      </c>
      <c r="BML868" s="290" t="s">
        <v>280</v>
      </c>
      <c r="BMM868" s="290" t="s">
        <v>280</v>
      </c>
      <c r="BMN868" s="290" t="s">
        <v>280</v>
      </c>
      <c r="BMO868" s="290" t="s">
        <v>280</v>
      </c>
      <c r="BMP868" s="290" t="s">
        <v>280</v>
      </c>
      <c r="BMQ868" s="290" t="s">
        <v>280</v>
      </c>
      <c r="BMR868" s="290" t="s">
        <v>280</v>
      </c>
      <c r="BMS868" s="290" t="s">
        <v>280</v>
      </c>
      <c r="BMT868" s="290" t="s">
        <v>280</v>
      </c>
      <c r="BMU868" s="290" t="s">
        <v>280</v>
      </c>
      <c r="BMV868" s="290" t="s">
        <v>280</v>
      </c>
      <c r="BMW868" s="290" t="s">
        <v>280</v>
      </c>
      <c r="BMX868" s="290" t="s">
        <v>280</v>
      </c>
      <c r="BMY868" s="290" t="s">
        <v>280</v>
      </c>
      <c r="BMZ868" s="290" t="s">
        <v>280</v>
      </c>
      <c r="BNA868" s="290" t="s">
        <v>280</v>
      </c>
      <c r="BNB868" s="290" t="s">
        <v>280</v>
      </c>
      <c r="BNC868" s="290" t="s">
        <v>280</v>
      </c>
      <c r="BND868" s="290" t="s">
        <v>280</v>
      </c>
      <c r="BNE868" s="290" t="s">
        <v>280</v>
      </c>
      <c r="BNF868" s="290" t="s">
        <v>280</v>
      </c>
      <c r="BNG868" s="290" t="s">
        <v>280</v>
      </c>
      <c r="BNH868" s="290" t="s">
        <v>280</v>
      </c>
      <c r="BNI868" s="290" t="s">
        <v>280</v>
      </c>
      <c r="BNJ868" s="290" t="s">
        <v>280</v>
      </c>
      <c r="BNK868" s="290" t="s">
        <v>280</v>
      </c>
      <c r="BNL868" s="290" t="s">
        <v>280</v>
      </c>
      <c r="BNM868" s="290" t="s">
        <v>280</v>
      </c>
      <c r="BNN868" s="290" t="s">
        <v>280</v>
      </c>
      <c r="BNO868" s="290" t="s">
        <v>280</v>
      </c>
      <c r="BNP868" s="290" t="s">
        <v>280</v>
      </c>
      <c r="BNQ868" s="290" t="s">
        <v>280</v>
      </c>
      <c r="BNR868" s="290" t="s">
        <v>280</v>
      </c>
      <c r="BNS868" s="290" t="s">
        <v>280</v>
      </c>
      <c r="BNT868" s="290" t="s">
        <v>280</v>
      </c>
      <c r="BNU868" s="290" t="s">
        <v>280</v>
      </c>
      <c r="BNV868" s="290" t="s">
        <v>280</v>
      </c>
      <c r="BNW868" s="290" t="s">
        <v>280</v>
      </c>
      <c r="BNX868" s="290" t="s">
        <v>280</v>
      </c>
      <c r="BNY868" s="290" t="s">
        <v>280</v>
      </c>
      <c r="BNZ868" s="290" t="s">
        <v>280</v>
      </c>
      <c r="BOA868" s="290" t="s">
        <v>280</v>
      </c>
      <c r="BOB868" s="290" t="s">
        <v>280</v>
      </c>
      <c r="BOC868" s="290" t="s">
        <v>280</v>
      </c>
      <c r="BOD868" s="290" t="s">
        <v>280</v>
      </c>
      <c r="BOE868" s="290" t="s">
        <v>280</v>
      </c>
      <c r="BOF868" s="290" t="s">
        <v>280</v>
      </c>
      <c r="BOG868" s="290" t="s">
        <v>280</v>
      </c>
      <c r="BOH868" s="290" t="s">
        <v>280</v>
      </c>
      <c r="BOI868" s="290" t="s">
        <v>280</v>
      </c>
      <c r="BOJ868" s="290" t="s">
        <v>280</v>
      </c>
      <c r="BOK868" s="290" t="s">
        <v>280</v>
      </c>
      <c r="BOL868" s="290" t="s">
        <v>280</v>
      </c>
      <c r="BOM868" s="290" t="s">
        <v>280</v>
      </c>
      <c r="BON868" s="290" t="s">
        <v>280</v>
      </c>
      <c r="BOO868" s="290" t="s">
        <v>280</v>
      </c>
      <c r="BOP868" s="290" t="s">
        <v>280</v>
      </c>
      <c r="BOQ868" s="290" t="s">
        <v>280</v>
      </c>
      <c r="BOR868" s="290" t="s">
        <v>280</v>
      </c>
      <c r="BOS868" s="290" t="s">
        <v>280</v>
      </c>
      <c r="BOT868" s="290" t="s">
        <v>280</v>
      </c>
      <c r="BOU868" s="290" t="s">
        <v>280</v>
      </c>
      <c r="BOV868" s="290" t="s">
        <v>280</v>
      </c>
      <c r="BOW868" s="290" t="s">
        <v>280</v>
      </c>
      <c r="BOX868" s="290" t="s">
        <v>280</v>
      </c>
      <c r="BOY868" s="290" t="s">
        <v>280</v>
      </c>
      <c r="BOZ868" s="290" t="s">
        <v>280</v>
      </c>
      <c r="BPA868" s="290" t="s">
        <v>280</v>
      </c>
      <c r="BPB868" s="290" t="s">
        <v>280</v>
      </c>
      <c r="BPC868" s="290" t="s">
        <v>280</v>
      </c>
      <c r="BPD868" s="290" t="s">
        <v>280</v>
      </c>
      <c r="BPE868" s="290" t="s">
        <v>280</v>
      </c>
      <c r="BPF868" s="290" t="s">
        <v>280</v>
      </c>
      <c r="BPG868" s="290" t="s">
        <v>280</v>
      </c>
      <c r="BPH868" s="290" t="s">
        <v>280</v>
      </c>
      <c r="BPI868" s="290" t="s">
        <v>280</v>
      </c>
      <c r="BPJ868" s="290" t="s">
        <v>280</v>
      </c>
      <c r="BPK868" s="290" t="s">
        <v>280</v>
      </c>
      <c r="BPL868" s="290" t="s">
        <v>280</v>
      </c>
      <c r="BPM868" s="290" t="s">
        <v>280</v>
      </c>
      <c r="BPN868" s="290" t="s">
        <v>280</v>
      </c>
      <c r="BPO868" s="290" t="s">
        <v>280</v>
      </c>
      <c r="BPP868" s="290" t="s">
        <v>280</v>
      </c>
      <c r="BPQ868" s="290" t="s">
        <v>280</v>
      </c>
      <c r="BPR868" s="290" t="s">
        <v>280</v>
      </c>
      <c r="BPS868" s="290" t="s">
        <v>280</v>
      </c>
      <c r="BPT868" s="290" t="s">
        <v>280</v>
      </c>
      <c r="BPU868" s="290" t="s">
        <v>280</v>
      </c>
      <c r="BPV868" s="290" t="s">
        <v>280</v>
      </c>
      <c r="BPW868" s="290" t="s">
        <v>280</v>
      </c>
      <c r="BPX868" s="290" t="s">
        <v>280</v>
      </c>
      <c r="BPY868" s="290" t="s">
        <v>280</v>
      </c>
      <c r="BPZ868" s="290" t="s">
        <v>280</v>
      </c>
      <c r="BQA868" s="290" t="s">
        <v>280</v>
      </c>
      <c r="BQB868" s="290" t="s">
        <v>280</v>
      </c>
      <c r="BQC868" s="290" t="s">
        <v>280</v>
      </c>
      <c r="BQD868" s="290" t="s">
        <v>280</v>
      </c>
      <c r="BQE868" s="290" t="s">
        <v>280</v>
      </c>
      <c r="BQF868" s="290" t="s">
        <v>280</v>
      </c>
      <c r="BQG868" s="290" t="s">
        <v>280</v>
      </c>
      <c r="BQH868" s="290" t="s">
        <v>280</v>
      </c>
      <c r="BQI868" s="290" t="s">
        <v>280</v>
      </c>
      <c r="BQJ868" s="290" t="s">
        <v>280</v>
      </c>
      <c r="BQK868" s="290" t="s">
        <v>280</v>
      </c>
      <c r="BQL868" s="290" t="s">
        <v>280</v>
      </c>
      <c r="BQM868" s="290" t="s">
        <v>280</v>
      </c>
      <c r="BQN868" s="290" t="s">
        <v>280</v>
      </c>
      <c r="BQO868" s="290" t="s">
        <v>280</v>
      </c>
      <c r="BQP868" s="290" t="s">
        <v>280</v>
      </c>
      <c r="BQQ868" s="290" t="s">
        <v>280</v>
      </c>
      <c r="BQR868" s="290" t="s">
        <v>280</v>
      </c>
      <c r="BQS868" s="290" t="s">
        <v>280</v>
      </c>
      <c r="BQT868" s="290" t="s">
        <v>280</v>
      </c>
      <c r="BQU868" s="290" t="s">
        <v>280</v>
      </c>
      <c r="BQV868" s="290" t="s">
        <v>280</v>
      </c>
      <c r="BQW868" s="290" t="s">
        <v>280</v>
      </c>
      <c r="BQX868" s="290" t="s">
        <v>280</v>
      </c>
      <c r="BQY868" s="290" t="s">
        <v>280</v>
      </c>
      <c r="BQZ868" s="290" t="s">
        <v>280</v>
      </c>
      <c r="BRA868" s="290" t="s">
        <v>280</v>
      </c>
      <c r="BRB868" s="290" t="s">
        <v>280</v>
      </c>
      <c r="BRC868" s="290" t="s">
        <v>280</v>
      </c>
      <c r="BRD868" s="290" t="s">
        <v>280</v>
      </c>
      <c r="BRE868" s="290" t="s">
        <v>280</v>
      </c>
      <c r="BRF868" s="290" t="s">
        <v>280</v>
      </c>
      <c r="BRG868" s="290" t="s">
        <v>280</v>
      </c>
      <c r="BRH868" s="290" t="s">
        <v>280</v>
      </c>
      <c r="BRI868" s="290" t="s">
        <v>280</v>
      </c>
      <c r="BRJ868" s="290" t="s">
        <v>280</v>
      </c>
      <c r="BRK868" s="290" t="s">
        <v>280</v>
      </c>
      <c r="BRL868" s="290" t="s">
        <v>280</v>
      </c>
      <c r="BRM868" s="290" t="s">
        <v>280</v>
      </c>
      <c r="BRN868" s="290" t="s">
        <v>280</v>
      </c>
      <c r="BRO868" s="290" t="s">
        <v>280</v>
      </c>
      <c r="BRP868" s="290" t="s">
        <v>280</v>
      </c>
      <c r="BRQ868" s="290" t="s">
        <v>280</v>
      </c>
      <c r="BRR868" s="290" t="s">
        <v>280</v>
      </c>
      <c r="BRS868" s="290" t="s">
        <v>280</v>
      </c>
      <c r="BRT868" s="290" t="s">
        <v>280</v>
      </c>
      <c r="BRU868" s="290" t="s">
        <v>280</v>
      </c>
      <c r="BRV868" s="290" t="s">
        <v>280</v>
      </c>
      <c r="BRW868" s="290" t="s">
        <v>280</v>
      </c>
      <c r="BRX868" s="290" t="s">
        <v>280</v>
      </c>
      <c r="BRY868" s="290" t="s">
        <v>280</v>
      </c>
      <c r="BRZ868" s="290" t="s">
        <v>280</v>
      </c>
      <c r="BSA868" s="290" t="s">
        <v>280</v>
      </c>
      <c r="BSB868" s="290" t="s">
        <v>280</v>
      </c>
      <c r="BSC868" s="290" t="s">
        <v>280</v>
      </c>
      <c r="BSD868" s="290" t="s">
        <v>280</v>
      </c>
      <c r="BSE868" s="290" t="s">
        <v>280</v>
      </c>
      <c r="BSF868" s="290" t="s">
        <v>280</v>
      </c>
      <c r="BSG868" s="290" t="s">
        <v>280</v>
      </c>
      <c r="BSH868" s="290" t="s">
        <v>280</v>
      </c>
      <c r="BSI868" s="290" t="s">
        <v>280</v>
      </c>
      <c r="BSJ868" s="290" t="s">
        <v>280</v>
      </c>
      <c r="BSK868" s="290" t="s">
        <v>280</v>
      </c>
      <c r="BSL868" s="290" t="s">
        <v>280</v>
      </c>
      <c r="BSM868" s="290" t="s">
        <v>280</v>
      </c>
      <c r="BSN868" s="290" t="s">
        <v>280</v>
      </c>
      <c r="BSO868" s="290" t="s">
        <v>280</v>
      </c>
      <c r="BSP868" s="290" t="s">
        <v>280</v>
      </c>
      <c r="BSQ868" s="290" t="s">
        <v>280</v>
      </c>
      <c r="BSR868" s="290" t="s">
        <v>280</v>
      </c>
      <c r="BSS868" s="290" t="s">
        <v>280</v>
      </c>
      <c r="BST868" s="290" t="s">
        <v>280</v>
      </c>
      <c r="BSU868" s="290" t="s">
        <v>280</v>
      </c>
      <c r="BSV868" s="290" t="s">
        <v>280</v>
      </c>
      <c r="BSW868" s="290" t="s">
        <v>280</v>
      </c>
      <c r="BSX868" s="290" t="s">
        <v>280</v>
      </c>
      <c r="BSY868" s="290" t="s">
        <v>280</v>
      </c>
      <c r="BSZ868" s="290" t="s">
        <v>280</v>
      </c>
      <c r="BTA868" s="290" t="s">
        <v>280</v>
      </c>
      <c r="BTB868" s="290" t="s">
        <v>280</v>
      </c>
      <c r="BTC868" s="290" t="s">
        <v>280</v>
      </c>
      <c r="BTD868" s="290" t="s">
        <v>280</v>
      </c>
      <c r="BTE868" s="290" t="s">
        <v>280</v>
      </c>
      <c r="BTF868" s="290" t="s">
        <v>280</v>
      </c>
      <c r="BTG868" s="290" t="s">
        <v>280</v>
      </c>
      <c r="BTH868" s="290" t="s">
        <v>280</v>
      </c>
      <c r="BTI868" s="290" t="s">
        <v>280</v>
      </c>
      <c r="BTJ868" s="290" t="s">
        <v>280</v>
      </c>
      <c r="BTK868" s="290" t="s">
        <v>280</v>
      </c>
      <c r="BTL868" s="290" t="s">
        <v>280</v>
      </c>
      <c r="BTM868" s="290" t="s">
        <v>280</v>
      </c>
      <c r="BTN868" s="290" t="s">
        <v>280</v>
      </c>
      <c r="BTO868" s="290" t="s">
        <v>280</v>
      </c>
      <c r="BTP868" s="290" t="s">
        <v>280</v>
      </c>
      <c r="BTQ868" s="290" t="s">
        <v>280</v>
      </c>
      <c r="BTR868" s="290" t="s">
        <v>280</v>
      </c>
      <c r="BTS868" s="290" t="s">
        <v>280</v>
      </c>
      <c r="BTT868" s="290" t="s">
        <v>280</v>
      </c>
      <c r="BTU868" s="290" t="s">
        <v>280</v>
      </c>
      <c r="BTV868" s="290" t="s">
        <v>280</v>
      </c>
      <c r="BTW868" s="290" t="s">
        <v>280</v>
      </c>
      <c r="BTX868" s="290" t="s">
        <v>280</v>
      </c>
      <c r="BTY868" s="290" t="s">
        <v>280</v>
      </c>
      <c r="BTZ868" s="290" t="s">
        <v>280</v>
      </c>
      <c r="BUA868" s="290" t="s">
        <v>280</v>
      </c>
      <c r="BUB868" s="290" t="s">
        <v>280</v>
      </c>
      <c r="BUC868" s="290" t="s">
        <v>280</v>
      </c>
      <c r="BUD868" s="290" t="s">
        <v>280</v>
      </c>
      <c r="BUE868" s="290" t="s">
        <v>280</v>
      </c>
      <c r="BUF868" s="290" t="s">
        <v>280</v>
      </c>
      <c r="BUG868" s="290" t="s">
        <v>280</v>
      </c>
      <c r="BUH868" s="290" t="s">
        <v>280</v>
      </c>
      <c r="BUI868" s="290" t="s">
        <v>280</v>
      </c>
      <c r="BUJ868" s="290" t="s">
        <v>280</v>
      </c>
      <c r="BUK868" s="290" t="s">
        <v>280</v>
      </c>
      <c r="BUL868" s="290" t="s">
        <v>280</v>
      </c>
      <c r="BUM868" s="290" t="s">
        <v>280</v>
      </c>
      <c r="BUN868" s="290" t="s">
        <v>280</v>
      </c>
      <c r="BUO868" s="290" t="s">
        <v>280</v>
      </c>
      <c r="BUP868" s="290" t="s">
        <v>280</v>
      </c>
      <c r="BUQ868" s="290" t="s">
        <v>280</v>
      </c>
      <c r="BUR868" s="290" t="s">
        <v>280</v>
      </c>
      <c r="BUS868" s="290" t="s">
        <v>280</v>
      </c>
      <c r="BUT868" s="290" t="s">
        <v>280</v>
      </c>
      <c r="BUU868" s="290" t="s">
        <v>280</v>
      </c>
      <c r="BUV868" s="290" t="s">
        <v>280</v>
      </c>
      <c r="BUW868" s="290" t="s">
        <v>280</v>
      </c>
      <c r="BUX868" s="290" t="s">
        <v>280</v>
      </c>
      <c r="BUY868" s="290" t="s">
        <v>280</v>
      </c>
      <c r="BUZ868" s="290" t="s">
        <v>280</v>
      </c>
      <c r="BVA868" s="290" t="s">
        <v>280</v>
      </c>
      <c r="BVB868" s="290" t="s">
        <v>280</v>
      </c>
      <c r="BVC868" s="290" t="s">
        <v>280</v>
      </c>
      <c r="BVD868" s="290" t="s">
        <v>280</v>
      </c>
      <c r="BVE868" s="290" t="s">
        <v>280</v>
      </c>
      <c r="BVF868" s="290" t="s">
        <v>280</v>
      </c>
      <c r="BVG868" s="290" t="s">
        <v>280</v>
      </c>
      <c r="BVH868" s="290" t="s">
        <v>280</v>
      </c>
      <c r="BVI868" s="290" t="s">
        <v>280</v>
      </c>
      <c r="BVJ868" s="290" t="s">
        <v>280</v>
      </c>
      <c r="BVK868" s="290" t="s">
        <v>280</v>
      </c>
      <c r="BVL868" s="290" t="s">
        <v>280</v>
      </c>
      <c r="BVM868" s="290" t="s">
        <v>280</v>
      </c>
      <c r="BVN868" s="290" t="s">
        <v>280</v>
      </c>
      <c r="BVO868" s="290" t="s">
        <v>280</v>
      </c>
      <c r="BVP868" s="290" t="s">
        <v>280</v>
      </c>
      <c r="BVQ868" s="290" t="s">
        <v>280</v>
      </c>
      <c r="BVR868" s="290" t="s">
        <v>280</v>
      </c>
      <c r="BVS868" s="290" t="s">
        <v>280</v>
      </c>
      <c r="BVT868" s="290" t="s">
        <v>280</v>
      </c>
      <c r="BVU868" s="290" t="s">
        <v>280</v>
      </c>
      <c r="BVV868" s="290" t="s">
        <v>280</v>
      </c>
      <c r="BVW868" s="290" t="s">
        <v>280</v>
      </c>
      <c r="BVX868" s="290" t="s">
        <v>280</v>
      </c>
      <c r="BVY868" s="290" t="s">
        <v>280</v>
      </c>
      <c r="BVZ868" s="290" t="s">
        <v>280</v>
      </c>
      <c r="BWA868" s="290" t="s">
        <v>280</v>
      </c>
      <c r="BWB868" s="290" t="s">
        <v>280</v>
      </c>
      <c r="BWC868" s="290" t="s">
        <v>280</v>
      </c>
      <c r="BWD868" s="290" t="s">
        <v>280</v>
      </c>
      <c r="BWE868" s="290" t="s">
        <v>280</v>
      </c>
      <c r="BWF868" s="290" t="s">
        <v>280</v>
      </c>
      <c r="BWG868" s="290" t="s">
        <v>280</v>
      </c>
      <c r="BWH868" s="290" t="s">
        <v>280</v>
      </c>
      <c r="BWI868" s="290" t="s">
        <v>280</v>
      </c>
      <c r="BWJ868" s="290" t="s">
        <v>280</v>
      </c>
      <c r="BWK868" s="290" t="s">
        <v>280</v>
      </c>
      <c r="BWL868" s="290" t="s">
        <v>280</v>
      </c>
      <c r="BWM868" s="290" t="s">
        <v>280</v>
      </c>
      <c r="BWN868" s="290" t="s">
        <v>280</v>
      </c>
      <c r="BWO868" s="290" t="s">
        <v>280</v>
      </c>
      <c r="BWP868" s="290" t="s">
        <v>280</v>
      </c>
      <c r="BWQ868" s="290" t="s">
        <v>280</v>
      </c>
      <c r="BWR868" s="290" t="s">
        <v>280</v>
      </c>
      <c r="BWS868" s="290" t="s">
        <v>280</v>
      </c>
      <c r="BWT868" s="290" t="s">
        <v>280</v>
      </c>
      <c r="BWU868" s="290" t="s">
        <v>280</v>
      </c>
      <c r="BWV868" s="290" t="s">
        <v>280</v>
      </c>
      <c r="BWW868" s="290" t="s">
        <v>280</v>
      </c>
      <c r="BWX868" s="290" t="s">
        <v>280</v>
      </c>
      <c r="BWY868" s="290" t="s">
        <v>280</v>
      </c>
      <c r="BWZ868" s="290" t="s">
        <v>280</v>
      </c>
      <c r="BXA868" s="290" t="s">
        <v>280</v>
      </c>
      <c r="BXB868" s="290" t="s">
        <v>280</v>
      </c>
      <c r="BXC868" s="290" t="s">
        <v>280</v>
      </c>
      <c r="BXD868" s="290" t="s">
        <v>280</v>
      </c>
      <c r="BXE868" s="290" t="s">
        <v>280</v>
      </c>
      <c r="BXF868" s="290" t="s">
        <v>280</v>
      </c>
      <c r="BXG868" s="290" t="s">
        <v>280</v>
      </c>
      <c r="BXH868" s="290" t="s">
        <v>280</v>
      </c>
      <c r="BXI868" s="290" t="s">
        <v>280</v>
      </c>
      <c r="BXJ868" s="290" t="s">
        <v>280</v>
      </c>
      <c r="BXK868" s="290" t="s">
        <v>280</v>
      </c>
      <c r="BXL868" s="290" t="s">
        <v>280</v>
      </c>
      <c r="BXM868" s="290" t="s">
        <v>280</v>
      </c>
      <c r="BXN868" s="290" t="s">
        <v>280</v>
      </c>
      <c r="BXO868" s="290" t="s">
        <v>280</v>
      </c>
      <c r="BXP868" s="290" t="s">
        <v>280</v>
      </c>
      <c r="BXQ868" s="290" t="s">
        <v>280</v>
      </c>
      <c r="BXR868" s="290" t="s">
        <v>280</v>
      </c>
      <c r="BXS868" s="290" t="s">
        <v>280</v>
      </c>
      <c r="BXT868" s="290" t="s">
        <v>280</v>
      </c>
      <c r="BXU868" s="290" t="s">
        <v>280</v>
      </c>
      <c r="BXV868" s="290" t="s">
        <v>280</v>
      </c>
      <c r="BXW868" s="290" t="s">
        <v>280</v>
      </c>
      <c r="BXX868" s="290" t="s">
        <v>280</v>
      </c>
      <c r="BXY868" s="290" t="s">
        <v>280</v>
      </c>
      <c r="BXZ868" s="290" t="s">
        <v>280</v>
      </c>
      <c r="BYA868" s="290" t="s">
        <v>280</v>
      </c>
      <c r="BYB868" s="290" t="s">
        <v>280</v>
      </c>
      <c r="BYC868" s="290" t="s">
        <v>280</v>
      </c>
      <c r="BYD868" s="290" t="s">
        <v>280</v>
      </c>
      <c r="BYE868" s="290" t="s">
        <v>280</v>
      </c>
      <c r="BYF868" s="290" t="s">
        <v>280</v>
      </c>
      <c r="BYG868" s="290" t="s">
        <v>280</v>
      </c>
      <c r="BYH868" s="290" t="s">
        <v>280</v>
      </c>
      <c r="BYI868" s="290" t="s">
        <v>280</v>
      </c>
      <c r="BYJ868" s="290" t="s">
        <v>280</v>
      </c>
      <c r="BYK868" s="290" t="s">
        <v>280</v>
      </c>
      <c r="BYL868" s="290" t="s">
        <v>280</v>
      </c>
      <c r="BYM868" s="290" t="s">
        <v>280</v>
      </c>
      <c r="BYN868" s="290" t="s">
        <v>280</v>
      </c>
      <c r="BYO868" s="290" t="s">
        <v>280</v>
      </c>
      <c r="BYP868" s="290" t="s">
        <v>280</v>
      </c>
      <c r="BYQ868" s="290" t="s">
        <v>280</v>
      </c>
      <c r="BYR868" s="290" t="s">
        <v>280</v>
      </c>
      <c r="BYS868" s="290" t="s">
        <v>280</v>
      </c>
      <c r="BYT868" s="290" t="s">
        <v>280</v>
      </c>
      <c r="BYU868" s="290" t="s">
        <v>280</v>
      </c>
      <c r="BYV868" s="290" t="s">
        <v>280</v>
      </c>
      <c r="BYW868" s="290" t="s">
        <v>280</v>
      </c>
      <c r="BYX868" s="290" t="s">
        <v>280</v>
      </c>
      <c r="BYY868" s="290" t="s">
        <v>280</v>
      </c>
      <c r="BYZ868" s="290" t="s">
        <v>280</v>
      </c>
      <c r="BZA868" s="290" t="s">
        <v>280</v>
      </c>
      <c r="BZB868" s="290" t="s">
        <v>280</v>
      </c>
      <c r="BZC868" s="290" t="s">
        <v>280</v>
      </c>
      <c r="BZD868" s="290" t="s">
        <v>280</v>
      </c>
      <c r="BZE868" s="290" t="s">
        <v>280</v>
      </c>
      <c r="BZF868" s="290" t="s">
        <v>280</v>
      </c>
      <c r="BZG868" s="290" t="s">
        <v>280</v>
      </c>
      <c r="BZH868" s="290" t="s">
        <v>280</v>
      </c>
      <c r="BZI868" s="290" t="s">
        <v>280</v>
      </c>
      <c r="BZJ868" s="290" t="s">
        <v>280</v>
      </c>
      <c r="BZK868" s="290" t="s">
        <v>280</v>
      </c>
      <c r="BZL868" s="290" t="s">
        <v>280</v>
      </c>
      <c r="BZM868" s="290" t="s">
        <v>280</v>
      </c>
      <c r="BZN868" s="290" t="s">
        <v>280</v>
      </c>
      <c r="BZO868" s="290" t="s">
        <v>280</v>
      </c>
      <c r="BZP868" s="290" t="s">
        <v>280</v>
      </c>
      <c r="BZQ868" s="290" t="s">
        <v>280</v>
      </c>
      <c r="BZR868" s="290" t="s">
        <v>280</v>
      </c>
      <c r="BZS868" s="290" t="s">
        <v>280</v>
      </c>
      <c r="BZT868" s="290" t="s">
        <v>280</v>
      </c>
      <c r="BZU868" s="290" t="s">
        <v>280</v>
      </c>
      <c r="BZV868" s="290" t="s">
        <v>280</v>
      </c>
      <c r="BZW868" s="290" t="s">
        <v>280</v>
      </c>
      <c r="BZX868" s="290" t="s">
        <v>280</v>
      </c>
      <c r="BZY868" s="290" t="s">
        <v>280</v>
      </c>
      <c r="BZZ868" s="290" t="s">
        <v>280</v>
      </c>
      <c r="CAA868" s="290" t="s">
        <v>280</v>
      </c>
      <c r="CAB868" s="290" t="s">
        <v>280</v>
      </c>
      <c r="CAC868" s="290" t="s">
        <v>280</v>
      </c>
      <c r="CAD868" s="290" t="s">
        <v>280</v>
      </c>
      <c r="CAE868" s="290" t="s">
        <v>280</v>
      </c>
      <c r="CAF868" s="290" t="s">
        <v>280</v>
      </c>
      <c r="CAG868" s="290" t="s">
        <v>280</v>
      </c>
      <c r="CAH868" s="290" t="s">
        <v>280</v>
      </c>
      <c r="CAI868" s="290" t="s">
        <v>280</v>
      </c>
      <c r="CAJ868" s="290" t="s">
        <v>280</v>
      </c>
      <c r="CAK868" s="290" t="s">
        <v>280</v>
      </c>
      <c r="CAL868" s="290" t="s">
        <v>280</v>
      </c>
      <c r="CAM868" s="290" t="s">
        <v>280</v>
      </c>
      <c r="CAN868" s="290" t="s">
        <v>280</v>
      </c>
      <c r="CAO868" s="290" t="s">
        <v>280</v>
      </c>
      <c r="CAP868" s="290" t="s">
        <v>280</v>
      </c>
      <c r="CAQ868" s="290" t="s">
        <v>280</v>
      </c>
      <c r="CAR868" s="290" t="s">
        <v>280</v>
      </c>
      <c r="CAS868" s="290" t="s">
        <v>280</v>
      </c>
      <c r="CAT868" s="290" t="s">
        <v>280</v>
      </c>
      <c r="CAU868" s="290" t="s">
        <v>280</v>
      </c>
      <c r="CAV868" s="290" t="s">
        <v>280</v>
      </c>
      <c r="CAW868" s="290" t="s">
        <v>280</v>
      </c>
      <c r="CAX868" s="290" t="s">
        <v>280</v>
      </c>
      <c r="CAY868" s="290" t="s">
        <v>280</v>
      </c>
      <c r="CAZ868" s="290" t="s">
        <v>280</v>
      </c>
      <c r="CBA868" s="290" t="s">
        <v>280</v>
      </c>
      <c r="CBB868" s="290" t="s">
        <v>280</v>
      </c>
      <c r="CBC868" s="290" t="s">
        <v>280</v>
      </c>
      <c r="CBD868" s="290" t="s">
        <v>280</v>
      </c>
      <c r="CBE868" s="290" t="s">
        <v>280</v>
      </c>
      <c r="CBF868" s="290" t="s">
        <v>280</v>
      </c>
      <c r="CBG868" s="290" t="s">
        <v>280</v>
      </c>
      <c r="CBH868" s="290" t="s">
        <v>280</v>
      </c>
      <c r="CBI868" s="290" t="s">
        <v>280</v>
      </c>
      <c r="CBJ868" s="290" t="s">
        <v>280</v>
      </c>
      <c r="CBK868" s="290" t="s">
        <v>280</v>
      </c>
      <c r="CBL868" s="290" t="s">
        <v>280</v>
      </c>
      <c r="CBM868" s="290" t="s">
        <v>280</v>
      </c>
      <c r="CBN868" s="290" t="s">
        <v>280</v>
      </c>
      <c r="CBO868" s="290" t="s">
        <v>280</v>
      </c>
      <c r="CBP868" s="290" t="s">
        <v>280</v>
      </c>
      <c r="CBQ868" s="290" t="s">
        <v>280</v>
      </c>
      <c r="CBR868" s="290" t="s">
        <v>280</v>
      </c>
      <c r="CBS868" s="290" t="s">
        <v>280</v>
      </c>
      <c r="CBT868" s="290" t="s">
        <v>280</v>
      </c>
      <c r="CBU868" s="290" t="s">
        <v>280</v>
      </c>
      <c r="CBV868" s="290" t="s">
        <v>280</v>
      </c>
      <c r="CBW868" s="290" t="s">
        <v>280</v>
      </c>
      <c r="CBX868" s="290" t="s">
        <v>280</v>
      </c>
      <c r="CBY868" s="290" t="s">
        <v>280</v>
      </c>
      <c r="CBZ868" s="290" t="s">
        <v>280</v>
      </c>
      <c r="CCA868" s="290" t="s">
        <v>280</v>
      </c>
      <c r="CCB868" s="290" t="s">
        <v>280</v>
      </c>
      <c r="CCC868" s="290" t="s">
        <v>280</v>
      </c>
      <c r="CCD868" s="290" t="s">
        <v>280</v>
      </c>
      <c r="CCE868" s="290" t="s">
        <v>280</v>
      </c>
      <c r="CCF868" s="290" t="s">
        <v>280</v>
      </c>
      <c r="CCG868" s="290" t="s">
        <v>280</v>
      </c>
      <c r="CCH868" s="290" t="s">
        <v>280</v>
      </c>
      <c r="CCI868" s="290" t="s">
        <v>280</v>
      </c>
      <c r="CCJ868" s="290" t="s">
        <v>280</v>
      </c>
      <c r="CCK868" s="290" t="s">
        <v>280</v>
      </c>
      <c r="CCL868" s="290" t="s">
        <v>280</v>
      </c>
      <c r="CCM868" s="290" t="s">
        <v>280</v>
      </c>
      <c r="CCN868" s="290" t="s">
        <v>280</v>
      </c>
      <c r="CCO868" s="290" t="s">
        <v>280</v>
      </c>
      <c r="CCP868" s="290" t="s">
        <v>280</v>
      </c>
      <c r="CCQ868" s="290" t="s">
        <v>280</v>
      </c>
      <c r="CCR868" s="290" t="s">
        <v>280</v>
      </c>
      <c r="CCS868" s="290" t="s">
        <v>280</v>
      </c>
      <c r="CCT868" s="290" t="s">
        <v>280</v>
      </c>
      <c r="CCU868" s="290" t="s">
        <v>280</v>
      </c>
      <c r="CCV868" s="290" t="s">
        <v>280</v>
      </c>
      <c r="CCW868" s="290" t="s">
        <v>280</v>
      </c>
      <c r="CCX868" s="290" t="s">
        <v>280</v>
      </c>
      <c r="CCY868" s="290" t="s">
        <v>280</v>
      </c>
      <c r="CCZ868" s="290" t="s">
        <v>280</v>
      </c>
      <c r="CDA868" s="290" t="s">
        <v>280</v>
      </c>
      <c r="CDB868" s="290" t="s">
        <v>280</v>
      </c>
      <c r="CDC868" s="290" t="s">
        <v>280</v>
      </c>
      <c r="CDD868" s="290" t="s">
        <v>280</v>
      </c>
      <c r="CDE868" s="290" t="s">
        <v>280</v>
      </c>
      <c r="CDF868" s="290" t="s">
        <v>280</v>
      </c>
      <c r="CDG868" s="290" t="s">
        <v>280</v>
      </c>
      <c r="CDH868" s="290" t="s">
        <v>280</v>
      </c>
      <c r="CDI868" s="290" t="s">
        <v>280</v>
      </c>
      <c r="CDJ868" s="290" t="s">
        <v>280</v>
      </c>
      <c r="CDK868" s="290" t="s">
        <v>280</v>
      </c>
      <c r="CDL868" s="290" t="s">
        <v>280</v>
      </c>
      <c r="CDM868" s="290" t="s">
        <v>280</v>
      </c>
      <c r="CDN868" s="290" t="s">
        <v>280</v>
      </c>
      <c r="CDO868" s="290" t="s">
        <v>280</v>
      </c>
      <c r="CDP868" s="290" t="s">
        <v>280</v>
      </c>
      <c r="CDQ868" s="290" t="s">
        <v>280</v>
      </c>
      <c r="CDR868" s="290" t="s">
        <v>280</v>
      </c>
      <c r="CDS868" s="290" t="s">
        <v>280</v>
      </c>
      <c r="CDT868" s="290" t="s">
        <v>280</v>
      </c>
      <c r="CDU868" s="290" t="s">
        <v>280</v>
      </c>
      <c r="CDV868" s="290" t="s">
        <v>280</v>
      </c>
      <c r="CDW868" s="290" t="s">
        <v>280</v>
      </c>
      <c r="CDX868" s="290" t="s">
        <v>280</v>
      </c>
      <c r="CDY868" s="290" t="s">
        <v>280</v>
      </c>
      <c r="CDZ868" s="290" t="s">
        <v>280</v>
      </c>
      <c r="CEA868" s="290" t="s">
        <v>280</v>
      </c>
      <c r="CEB868" s="290" t="s">
        <v>280</v>
      </c>
      <c r="CEC868" s="290" t="s">
        <v>280</v>
      </c>
      <c r="CED868" s="290" t="s">
        <v>280</v>
      </c>
      <c r="CEE868" s="290" t="s">
        <v>280</v>
      </c>
      <c r="CEF868" s="290" t="s">
        <v>280</v>
      </c>
      <c r="CEG868" s="290" t="s">
        <v>280</v>
      </c>
      <c r="CEH868" s="290" t="s">
        <v>280</v>
      </c>
      <c r="CEI868" s="290" t="s">
        <v>280</v>
      </c>
      <c r="CEJ868" s="290" t="s">
        <v>280</v>
      </c>
      <c r="CEK868" s="290" t="s">
        <v>280</v>
      </c>
      <c r="CEL868" s="290" t="s">
        <v>280</v>
      </c>
      <c r="CEM868" s="290" t="s">
        <v>280</v>
      </c>
      <c r="CEN868" s="290" t="s">
        <v>280</v>
      </c>
      <c r="CEO868" s="290" t="s">
        <v>280</v>
      </c>
      <c r="CEP868" s="290" t="s">
        <v>280</v>
      </c>
      <c r="CEQ868" s="290" t="s">
        <v>280</v>
      </c>
      <c r="CER868" s="290" t="s">
        <v>280</v>
      </c>
      <c r="CES868" s="290" t="s">
        <v>280</v>
      </c>
      <c r="CET868" s="290" t="s">
        <v>280</v>
      </c>
      <c r="CEU868" s="290" t="s">
        <v>280</v>
      </c>
      <c r="CEV868" s="290" t="s">
        <v>280</v>
      </c>
      <c r="CEW868" s="290" t="s">
        <v>280</v>
      </c>
      <c r="CEX868" s="290" t="s">
        <v>280</v>
      </c>
      <c r="CEY868" s="290" t="s">
        <v>280</v>
      </c>
      <c r="CEZ868" s="290" t="s">
        <v>280</v>
      </c>
      <c r="CFA868" s="290" t="s">
        <v>280</v>
      </c>
      <c r="CFB868" s="290" t="s">
        <v>280</v>
      </c>
      <c r="CFC868" s="290" t="s">
        <v>280</v>
      </c>
      <c r="CFD868" s="290" t="s">
        <v>280</v>
      </c>
      <c r="CFE868" s="290" t="s">
        <v>280</v>
      </c>
      <c r="CFF868" s="290" t="s">
        <v>280</v>
      </c>
      <c r="CFG868" s="290" t="s">
        <v>280</v>
      </c>
      <c r="CFH868" s="290" t="s">
        <v>280</v>
      </c>
      <c r="CFI868" s="290" t="s">
        <v>280</v>
      </c>
      <c r="CFJ868" s="290" t="s">
        <v>280</v>
      </c>
      <c r="CFK868" s="290" t="s">
        <v>280</v>
      </c>
      <c r="CFL868" s="290" t="s">
        <v>280</v>
      </c>
      <c r="CFM868" s="290" t="s">
        <v>280</v>
      </c>
      <c r="CFN868" s="290" t="s">
        <v>280</v>
      </c>
      <c r="CFO868" s="290" t="s">
        <v>280</v>
      </c>
      <c r="CFP868" s="290" t="s">
        <v>280</v>
      </c>
      <c r="CFQ868" s="290" t="s">
        <v>280</v>
      </c>
      <c r="CFR868" s="290" t="s">
        <v>280</v>
      </c>
      <c r="CFS868" s="290" t="s">
        <v>280</v>
      </c>
      <c r="CFT868" s="290" t="s">
        <v>280</v>
      </c>
      <c r="CFU868" s="290" t="s">
        <v>280</v>
      </c>
      <c r="CFV868" s="290" t="s">
        <v>280</v>
      </c>
      <c r="CFW868" s="290" t="s">
        <v>280</v>
      </c>
      <c r="CFX868" s="290" t="s">
        <v>280</v>
      </c>
      <c r="CFY868" s="290" t="s">
        <v>280</v>
      </c>
      <c r="CFZ868" s="290" t="s">
        <v>280</v>
      </c>
      <c r="CGA868" s="290" t="s">
        <v>280</v>
      </c>
      <c r="CGB868" s="290" t="s">
        <v>280</v>
      </c>
      <c r="CGC868" s="290" t="s">
        <v>280</v>
      </c>
      <c r="CGD868" s="290" t="s">
        <v>280</v>
      </c>
      <c r="CGE868" s="290" t="s">
        <v>280</v>
      </c>
      <c r="CGF868" s="290" t="s">
        <v>280</v>
      </c>
      <c r="CGG868" s="290" t="s">
        <v>280</v>
      </c>
      <c r="CGH868" s="290" t="s">
        <v>280</v>
      </c>
      <c r="CGI868" s="290" t="s">
        <v>280</v>
      </c>
      <c r="CGJ868" s="290" t="s">
        <v>280</v>
      </c>
      <c r="CGK868" s="290" t="s">
        <v>280</v>
      </c>
      <c r="CGL868" s="290" t="s">
        <v>280</v>
      </c>
      <c r="CGM868" s="290" t="s">
        <v>280</v>
      </c>
      <c r="CGN868" s="290" t="s">
        <v>280</v>
      </c>
      <c r="CGO868" s="290" t="s">
        <v>280</v>
      </c>
      <c r="CGP868" s="290" t="s">
        <v>280</v>
      </c>
      <c r="CGQ868" s="290" t="s">
        <v>280</v>
      </c>
      <c r="CGR868" s="290" t="s">
        <v>280</v>
      </c>
      <c r="CGS868" s="290" t="s">
        <v>280</v>
      </c>
      <c r="CGT868" s="290" t="s">
        <v>280</v>
      </c>
      <c r="CGU868" s="290" t="s">
        <v>280</v>
      </c>
      <c r="CGV868" s="290" t="s">
        <v>280</v>
      </c>
      <c r="CGW868" s="290" t="s">
        <v>280</v>
      </c>
      <c r="CGX868" s="290" t="s">
        <v>280</v>
      </c>
      <c r="CGY868" s="290" t="s">
        <v>280</v>
      </c>
      <c r="CGZ868" s="290" t="s">
        <v>280</v>
      </c>
      <c r="CHA868" s="290" t="s">
        <v>280</v>
      </c>
      <c r="CHB868" s="290" t="s">
        <v>280</v>
      </c>
      <c r="CHC868" s="290" t="s">
        <v>280</v>
      </c>
      <c r="CHD868" s="290" t="s">
        <v>280</v>
      </c>
      <c r="CHE868" s="290" t="s">
        <v>280</v>
      </c>
      <c r="CHF868" s="290" t="s">
        <v>280</v>
      </c>
      <c r="CHG868" s="290" t="s">
        <v>280</v>
      </c>
      <c r="CHH868" s="290" t="s">
        <v>280</v>
      </c>
      <c r="CHI868" s="290" t="s">
        <v>280</v>
      </c>
      <c r="CHJ868" s="290" t="s">
        <v>280</v>
      </c>
      <c r="CHK868" s="290" t="s">
        <v>280</v>
      </c>
      <c r="CHL868" s="290" t="s">
        <v>280</v>
      </c>
      <c r="CHM868" s="290" t="s">
        <v>280</v>
      </c>
      <c r="CHN868" s="290" t="s">
        <v>280</v>
      </c>
      <c r="CHO868" s="290" t="s">
        <v>280</v>
      </c>
      <c r="CHP868" s="290" t="s">
        <v>280</v>
      </c>
      <c r="CHQ868" s="290" t="s">
        <v>280</v>
      </c>
      <c r="CHR868" s="290" t="s">
        <v>280</v>
      </c>
      <c r="CHS868" s="290" t="s">
        <v>280</v>
      </c>
      <c r="CHT868" s="290" t="s">
        <v>280</v>
      </c>
      <c r="CHU868" s="290" t="s">
        <v>280</v>
      </c>
      <c r="CHV868" s="290" t="s">
        <v>280</v>
      </c>
      <c r="CHW868" s="290" t="s">
        <v>280</v>
      </c>
      <c r="CHX868" s="290" t="s">
        <v>280</v>
      </c>
      <c r="CHY868" s="290" t="s">
        <v>280</v>
      </c>
      <c r="CHZ868" s="290" t="s">
        <v>280</v>
      </c>
      <c r="CIA868" s="290" t="s">
        <v>280</v>
      </c>
      <c r="CIB868" s="290" t="s">
        <v>280</v>
      </c>
      <c r="CIC868" s="290" t="s">
        <v>280</v>
      </c>
      <c r="CID868" s="290" t="s">
        <v>280</v>
      </c>
      <c r="CIE868" s="290" t="s">
        <v>280</v>
      </c>
      <c r="CIF868" s="290" t="s">
        <v>280</v>
      </c>
      <c r="CIG868" s="290" t="s">
        <v>280</v>
      </c>
      <c r="CIH868" s="290" t="s">
        <v>280</v>
      </c>
      <c r="CII868" s="290" t="s">
        <v>280</v>
      </c>
      <c r="CIJ868" s="290" t="s">
        <v>280</v>
      </c>
      <c r="CIK868" s="290" t="s">
        <v>280</v>
      </c>
      <c r="CIL868" s="290" t="s">
        <v>280</v>
      </c>
      <c r="CIM868" s="290" t="s">
        <v>280</v>
      </c>
      <c r="CIN868" s="290" t="s">
        <v>280</v>
      </c>
      <c r="CIO868" s="290" t="s">
        <v>280</v>
      </c>
      <c r="CIP868" s="290" t="s">
        <v>280</v>
      </c>
      <c r="CIQ868" s="290" t="s">
        <v>280</v>
      </c>
      <c r="CIR868" s="290" t="s">
        <v>280</v>
      </c>
      <c r="CIS868" s="290" t="s">
        <v>280</v>
      </c>
      <c r="CIT868" s="290" t="s">
        <v>280</v>
      </c>
      <c r="CIU868" s="290" t="s">
        <v>280</v>
      </c>
      <c r="CIV868" s="290" t="s">
        <v>280</v>
      </c>
      <c r="CIW868" s="290" t="s">
        <v>280</v>
      </c>
      <c r="CIX868" s="290" t="s">
        <v>280</v>
      </c>
      <c r="CIY868" s="290" t="s">
        <v>280</v>
      </c>
      <c r="CIZ868" s="290" t="s">
        <v>280</v>
      </c>
      <c r="CJA868" s="290" t="s">
        <v>280</v>
      </c>
      <c r="CJB868" s="290" t="s">
        <v>280</v>
      </c>
      <c r="CJC868" s="290" t="s">
        <v>280</v>
      </c>
      <c r="CJD868" s="290" t="s">
        <v>280</v>
      </c>
      <c r="CJE868" s="290" t="s">
        <v>280</v>
      </c>
      <c r="CJF868" s="290" t="s">
        <v>280</v>
      </c>
      <c r="CJG868" s="290" t="s">
        <v>280</v>
      </c>
      <c r="CJH868" s="290" t="s">
        <v>280</v>
      </c>
      <c r="CJI868" s="290" t="s">
        <v>280</v>
      </c>
      <c r="CJJ868" s="290" t="s">
        <v>280</v>
      </c>
      <c r="CJK868" s="290" t="s">
        <v>280</v>
      </c>
      <c r="CJL868" s="290" t="s">
        <v>280</v>
      </c>
      <c r="CJM868" s="290" t="s">
        <v>280</v>
      </c>
      <c r="CJN868" s="290" t="s">
        <v>280</v>
      </c>
      <c r="CJO868" s="290" t="s">
        <v>280</v>
      </c>
      <c r="CJP868" s="290" t="s">
        <v>280</v>
      </c>
      <c r="CJQ868" s="290" t="s">
        <v>280</v>
      </c>
      <c r="CJR868" s="290" t="s">
        <v>280</v>
      </c>
      <c r="CJS868" s="290" t="s">
        <v>280</v>
      </c>
      <c r="CJT868" s="290" t="s">
        <v>280</v>
      </c>
      <c r="CJU868" s="290" t="s">
        <v>280</v>
      </c>
      <c r="CJV868" s="290" t="s">
        <v>280</v>
      </c>
      <c r="CJW868" s="290" t="s">
        <v>280</v>
      </c>
      <c r="CJX868" s="290" t="s">
        <v>280</v>
      </c>
      <c r="CJY868" s="290" t="s">
        <v>280</v>
      </c>
      <c r="CJZ868" s="290" t="s">
        <v>280</v>
      </c>
      <c r="CKA868" s="290" t="s">
        <v>280</v>
      </c>
      <c r="CKB868" s="290" t="s">
        <v>280</v>
      </c>
      <c r="CKC868" s="290" t="s">
        <v>280</v>
      </c>
      <c r="CKD868" s="290" t="s">
        <v>280</v>
      </c>
      <c r="CKE868" s="290" t="s">
        <v>280</v>
      </c>
      <c r="CKF868" s="290" t="s">
        <v>280</v>
      </c>
      <c r="CKG868" s="290" t="s">
        <v>280</v>
      </c>
      <c r="CKH868" s="290" t="s">
        <v>280</v>
      </c>
      <c r="CKI868" s="290" t="s">
        <v>280</v>
      </c>
      <c r="CKJ868" s="290" t="s">
        <v>280</v>
      </c>
      <c r="CKK868" s="290" t="s">
        <v>280</v>
      </c>
      <c r="CKL868" s="290" t="s">
        <v>280</v>
      </c>
      <c r="CKM868" s="290" t="s">
        <v>280</v>
      </c>
      <c r="CKN868" s="290" t="s">
        <v>280</v>
      </c>
      <c r="CKO868" s="290" t="s">
        <v>280</v>
      </c>
      <c r="CKP868" s="290" t="s">
        <v>280</v>
      </c>
      <c r="CKQ868" s="290" t="s">
        <v>280</v>
      </c>
      <c r="CKR868" s="290" t="s">
        <v>280</v>
      </c>
      <c r="CKS868" s="290" t="s">
        <v>280</v>
      </c>
      <c r="CKT868" s="290" t="s">
        <v>280</v>
      </c>
      <c r="CKU868" s="290" t="s">
        <v>280</v>
      </c>
      <c r="CKV868" s="290" t="s">
        <v>280</v>
      </c>
      <c r="CKW868" s="290" t="s">
        <v>280</v>
      </c>
      <c r="CKX868" s="290" t="s">
        <v>280</v>
      </c>
      <c r="CKY868" s="290" t="s">
        <v>280</v>
      </c>
      <c r="CKZ868" s="290" t="s">
        <v>280</v>
      </c>
      <c r="CLA868" s="290" t="s">
        <v>280</v>
      </c>
      <c r="CLB868" s="290" t="s">
        <v>280</v>
      </c>
      <c r="CLC868" s="290" t="s">
        <v>280</v>
      </c>
      <c r="CLD868" s="290" t="s">
        <v>280</v>
      </c>
      <c r="CLE868" s="290" t="s">
        <v>280</v>
      </c>
      <c r="CLF868" s="290" t="s">
        <v>280</v>
      </c>
      <c r="CLG868" s="290" t="s">
        <v>280</v>
      </c>
      <c r="CLH868" s="290" t="s">
        <v>280</v>
      </c>
      <c r="CLI868" s="290" t="s">
        <v>280</v>
      </c>
      <c r="CLJ868" s="290" t="s">
        <v>280</v>
      </c>
      <c r="CLK868" s="290" t="s">
        <v>280</v>
      </c>
      <c r="CLL868" s="290" t="s">
        <v>280</v>
      </c>
      <c r="CLM868" s="290" t="s">
        <v>280</v>
      </c>
      <c r="CLN868" s="290" t="s">
        <v>280</v>
      </c>
      <c r="CLO868" s="290" t="s">
        <v>280</v>
      </c>
      <c r="CLP868" s="290" t="s">
        <v>280</v>
      </c>
      <c r="CLQ868" s="290" t="s">
        <v>280</v>
      </c>
      <c r="CLR868" s="290" t="s">
        <v>280</v>
      </c>
      <c r="CLS868" s="290" t="s">
        <v>280</v>
      </c>
      <c r="CLT868" s="290" t="s">
        <v>280</v>
      </c>
      <c r="CLU868" s="290" t="s">
        <v>280</v>
      </c>
      <c r="CLV868" s="290" t="s">
        <v>280</v>
      </c>
      <c r="CLW868" s="290" t="s">
        <v>280</v>
      </c>
      <c r="CLX868" s="290" t="s">
        <v>280</v>
      </c>
      <c r="CLY868" s="290" t="s">
        <v>280</v>
      </c>
      <c r="CLZ868" s="290" t="s">
        <v>280</v>
      </c>
      <c r="CMA868" s="290" t="s">
        <v>280</v>
      </c>
      <c r="CMB868" s="290" t="s">
        <v>280</v>
      </c>
      <c r="CMC868" s="290" t="s">
        <v>280</v>
      </c>
      <c r="CMD868" s="290" t="s">
        <v>280</v>
      </c>
      <c r="CME868" s="290" t="s">
        <v>280</v>
      </c>
      <c r="CMF868" s="290" t="s">
        <v>280</v>
      </c>
      <c r="CMG868" s="290" t="s">
        <v>280</v>
      </c>
      <c r="CMH868" s="290" t="s">
        <v>280</v>
      </c>
      <c r="CMI868" s="290" t="s">
        <v>280</v>
      </c>
      <c r="CMJ868" s="290" t="s">
        <v>280</v>
      </c>
      <c r="CMK868" s="290" t="s">
        <v>280</v>
      </c>
      <c r="CML868" s="290" t="s">
        <v>280</v>
      </c>
      <c r="CMM868" s="290" t="s">
        <v>280</v>
      </c>
      <c r="CMN868" s="290" t="s">
        <v>280</v>
      </c>
      <c r="CMO868" s="290" t="s">
        <v>280</v>
      </c>
      <c r="CMP868" s="290" t="s">
        <v>280</v>
      </c>
      <c r="CMQ868" s="290" t="s">
        <v>280</v>
      </c>
      <c r="CMR868" s="290" t="s">
        <v>280</v>
      </c>
      <c r="CMS868" s="290" t="s">
        <v>280</v>
      </c>
      <c r="CMT868" s="290" t="s">
        <v>280</v>
      </c>
      <c r="CMU868" s="290" t="s">
        <v>280</v>
      </c>
      <c r="CMV868" s="290" t="s">
        <v>280</v>
      </c>
      <c r="CMW868" s="290" t="s">
        <v>280</v>
      </c>
      <c r="CMX868" s="290" t="s">
        <v>280</v>
      </c>
      <c r="CMY868" s="290" t="s">
        <v>280</v>
      </c>
      <c r="CMZ868" s="290" t="s">
        <v>280</v>
      </c>
      <c r="CNA868" s="290" t="s">
        <v>280</v>
      </c>
      <c r="CNB868" s="290" t="s">
        <v>280</v>
      </c>
      <c r="CNC868" s="290" t="s">
        <v>280</v>
      </c>
      <c r="CND868" s="290" t="s">
        <v>280</v>
      </c>
      <c r="CNE868" s="290" t="s">
        <v>280</v>
      </c>
      <c r="CNF868" s="290" t="s">
        <v>280</v>
      </c>
      <c r="CNG868" s="290" t="s">
        <v>280</v>
      </c>
      <c r="CNH868" s="290" t="s">
        <v>280</v>
      </c>
      <c r="CNI868" s="290" t="s">
        <v>280</v>
      </c>
      <c r="CNJ868" s="290" t="s">
        <v>280</v>
      </c>
      <c r="CNK868" s="290" t="s">
        <v>280</v>
      </c>
      <c r="CNL868" s="290" t="s">
        <v>280</v>
      </c>
      <c r="CNM868" s="290" t="s">
        <v>280</v>
      </c>
      <c r="CNN868" s="290" t="s">
        <v>280</v>
      </c>
      <c r="CNO868" s="290" t="s">
        <v>280</v>
      </c>
      <c r="CNP868" s="290" t="s">
        <v>280</v>
      </c>
      <c r="CNQ868" s="290" t="s">
        <v>280</v>
      </c>
      <c r="CNR868" s="290" t="s">
        <v>280</v>
      </c>
      <c r="CNS868" s="290" t="s">
        <v>280</v>
      </c>
      <c r="CNT868" s="290" t="s">
        <v>280</v>
      </c>
      <c r="CNU868" s="290" t="s">
        <v>280</v>
      </c>
      <c r="CNV868" s="290" t="s">
        <v>280</v>
      </c>
      <c r="CNW868" s="290" t="s">
        <v>280</v>
      </c>
      <c r="CNX868" s="290" t="s">
        <v>280</v>
      </c>
      <c r="CNY868" s="290" t="s">
        <v>280</v>
      </c>
      <c r="CNZ868" s="290" t="s">
        <v>280</v>
      </c>
      <c r="COA868" s="290" t="s">
        <v>280</v>
      </c>
      <c r="COB868" s="290" t="s">
        <v>280</v>
      </c>
      <c r="COC868" s="290" t="s">
        <v>280</v>
      </c>
      <c r="COD868" s="290" t="s">
        <v>280</v>
      </c>
      <c r="COE868" s="290" t="s">
        <v>280</v>
      </c>
      <c r="COF868" s="290" t="s">
        <v>280</v>
      </c>
      <c r="COG868" s="290" t="s">
        <v>280</v>
      </c>
      <c r="COH868" s="290" t="s">
        <v>280</v>
      </c>
      <c r="COI868" s="290" t="s">
        <v>280</v>
      </c>
      <c r="COJ868" s="290" t="s">
        <v>280</v>
      </c>
      <c r="COK868" s="290" t="s">
        <v>280</v>
      </c>
      <c r="COL868" s="290" t="s">
        <v>280</v>
      </c>
      <c r="COM868" s="290" t="s">
        <v>280</v>
      </c>
      <c r="CON868" s="290" t="s">
        <v>280</v>
      </c>
      <c r="COO868" s="290" t="s">
        <v>280</v>
      </c>
      <c r="COP868" s="290" t="s">
        <v>280</v>
      </c>
      <c r="COQ868" s="290" t="s">
        <v>280</v>
      </c>
      <c r="COR868" s="290" t="s">
        <v>280</v>
      </c>
      <c r="COS868" s="290" t="s">
        <v>280</v>
      </c>
      <c r="COT868" s="290" t="s">
        <v>280</v>
      </c>
      <c r="COU868" s="290" t="s">
        <v>280</v>
      </c>
      <c r="COV868" s="290" t="s">
        <v>280</v>
      </c>
      <c r="COW868" s="290" t="s">
        <v>280</v>
      </c>
      <c r="COX868" s="290" t="s">
        <v>280</v>
      </c>
      <c r="COY868" s="290" t="s">
        <v>280</v>
      </c>
      <c r="COZ868" s="290" t="s">
        <v>280</v>
      </c>
      <c r="CPA868" s="290" t="s">
        <v>280</v>
      </c>
      <c r="CPB868" s="290" t="s">
        <v>280</v>
      </c>
      <c r="CPC868" s="290" t="s">
        <v>280</v>
      </c>
      <c r="CPD868" s="290" t="s">
        <v>280</v>
      </c>
      <c r="CPE868" s="290" t="s">
        <v>280</v>
      </c>
      <c r="CPF868" s="290" t="s">
        <v>280</v>
      </c>
      <c r="CPG868" s="290" t="s">
        <v>280</v>
      </c>
      <c r="CPH868" s="290" t="s">
        <v>280</v>
      </c>
      <c r="CPI868" s="290" t="s">
        <v>280</v>
      </c>
      <c r="CPJ868" s="290" t="s">
        <v>280</v>
      </c>
      <c r="CPK868" s="290" t="s">
        <v>280</v>
      </c>
      <c r="CPL868" s="290" t="s">
        <v>280</v>
      </c>
      <c r="CPM868" s="290" t="s">
        <v>280</v>
      </c>
      <c r="CPN868" s="290" t="s">
        <v>280</v>
      </c>
      <c r="CPO868" s="290" t="s">
        <v>280</v>
      </c>
      <c r="CPP868" s="290" t="s">
        <v>280</v>
      </c>
      <c r="CPQ868" s="290" t="s">
        <v>280</v>
      </c>
      <c r="CPR868" s="290" t="s">
        <v>280</v>
      </c>
      <c r="CPS868" s="290" t="s">
        <v>280</v>
      </c>
      <c r="CPT868" s="290" t="s">
        <v>280</v>
      </c>
      <c r="CPU868" s="290" t="s">
        <v>280</v>
      </c>
      <c r="CPV868" s="290" t="s">
        <v>280</v>
      </c>
      <c r="CPW868" s="290" t="s">
        <v>280</v>
      </c>
      <c r="CPX868" s="290" t="s">
        <v>280</v>
      </c>
      <c r="CPY868" s="290" t="s">
        <v>280</v>
      </c>
      <c r="CPZ868" s="290" t="s">
        <v>280</v>
      </c>
      <c r="CQA868" s="290" t="s">
        <v>280</v>
      </c>
      <c r="CQB868" s="290" t="s">
        <v>280</v>
      </c>
      <c r="CQC868" s="290" t="s">
        <v>280</v>
      </c>
      <c r="CQD868" s="290" t="s">
        <v>280</v>
      </c>
      <c r="CQE868" s="290" t="s">
        <v>280</v>
      </c>
      <c r="CQF868" s="290" t="s">
        <v>280</v>
      </c>
      <c r="CQG868" s="290" t="s">
        <v>280</v>
      </c>
      <c r="CQH868" s="290" t="s">
        <v>280</v>
      </c>
      <c r="CQI868" s="290" t="s">
        <v>280</v>
      </c>
      <c r="CQJ868" s="290" t="s">
        <v>280</v>
      </c>
      <c r="CQK868" s="290" t="s">
        <v>280</v>
      </c>
      <c r="CQL868" s="290" t="s">
        <v>280</v>
      </c>
      <c r="CQM868" s="290" t="s">
        <v>280</v>
      </c>
      <c r="CQN868" s="290" t="s">
        <v>280</v>
      </c>
      <c r="CQO868" s="290" t="s">
        <v>280</v>
      </c>
      <c r="CQP868" s="290" t="s">
        <v>280</v>
      </c>
      <c r="CQQ868" s="290" t="s">
        <v>280</v>
      </c>
      <c r="CQR868" s="290" t="s">
        <v>280</v>
      </c>
      <c r="CQS868" s="290" t="s">
        <v>280</v>
      </c>
      <c r="CQT868" s="290" t="s">
        <v>280</v>
      </c>
      <c r="CQU868" s="290" t="s">
        <v>280</v>
      </c>
      <c r="CQV868" s="290" t="s">
        <v>280</v>
      </c>
      <c r="CQW868" s="290" t="s">
        <v>280</v>
      </c>
      <c r="CQX868" s="290" t="s">
        <v>280</v>
      </c>
      <c r="CQY868" s="290" t="s">
        <v>280</v>
      </c>
      <c r="CQZ868" s="290" t="s">
        <v>280</v>
      </c>
      <c r="CRA868" s="290" t="s">
        <v>280</v>
      </c>
      <c r="CRB868" s="290" t="s">
        <v>280</v>
      </c>
      <c r="CRC868" s="290" t="s">
        <v>280</v>
      </c>
      <c r="CRD868" s="290" t="s">
        <v>280</v>
      </c>
      <c r="CRE868" s="290" t="s">
        <v>280</v>
      </c>
      <c r="CRF868" s="290" t="s">
        <v>280</v>
      </c>
      <c r="CRG868" s="290" t="s">
        <v>280</v>
      </c>
      <c r="CRH868" s="290" t="s">
        <v>280</v>
      </c>
      <c r="CRI868" s="290" t="s">
        <v>280</v>
      </c>
      <c r="CRJ868" s="290" t="s">
        <v>280</v>
      </c>
      <c r="CRK868" s="290" t="s">
        <v>280</v>
      </c>
      <c r="CRL868" s="290" t="s">
        <v>280</v>
      </c>
      <c r="CRM868" s="290" t="s">
        <v>280</v>
      </c>
      <c r="CRN868" s="290" t="s">
        <v>280</v>
      </c>
      <c r="CRO868" s="290" t="s">
        <v>280</v>
      </c>
      <c r="CRP868" s="290" t="s">
        <v>280</v>
      </c>
      <c r="CRQ868" s="290" t="s">
        <v>280</v>
      </c>
      <c r="CRR868" s="290" t="s">
        <v>280</v>
      </c>
      <c r="CRS868" s="290" t="s">
        <v>280</v>
      </c>
      <c r="CRT868" s="290" t="s">
        <v>280</v>
      </c>
      <c r="CRU868" s="290" t="s">
        <v>280</v>
      </c>
      <c r="CRV868" s="290" t="s">
        <v>280</v>
      </c>
      <c r="CRW868" s="290" t="s">
        <v>280</v>
      </c>
      <c r="CRX868" s="290" t="s">
        <v>280</v>
      </c>
      <c r="CRY868" s="290" t="s">
        <v>280</v>
      </c>
      <c r="CRZ868" s="290" t="s">
        <v>280</v>
      </c>
      <c r="CSA868" s="290" t="s">
        <v>280</v>
      </c>
      <c r="CSB868" s="290" t="s">
        <v>280</v>
      </c>
      <c r="CSC868" s="290" t="s">
        <v>280</v>
      </c>
      <c r="CSD868" s="290" t="s">
        <v>280</v>
      </c>
      <c r="CSE868" s="290" t="s">
        <v>280</v>
      </c>
      <c r="CSF868" s="290" t="s">
        <v>280</v>
      </c>
      <c r="CSG868" s="290" t="s">
        <v>280</v>
      </c>
      <c r="CSH868" s="290" t="s">
        <v>280</v>
      </c>
      <c r="CSI868" s="290" t="s">
        <v>280</v>
      </c>
      <c r="CSJ868" s="290" t="s">
        <v>280</v>
      </c>
      <c r="CSK868" s="290" t="s">
        <v>280</v>
      </c>
      <c r="CSL868" s="290" t="s">
        <v>280</v>
      </c>
      <c r="CSM868" s="290" t="s">
        <v>280</v>
      </c>
      <c r="CSN868" s="290" t="s">
        <v>280</v>
      </c>
      <c r="CSO868" s="290" t="s">
        <v>280</v>
      </c>
      <c r="CSP868" s="290" t="s">
        <v>280</v>
      </c>
      <c r="CSQ868" s="290" t="s">
        <v>280</v>
      </c>
      <c r="CSR868" s="290" t="s">
        <v>280</v>
      </c>
      <c r="CSS868" s="290" t="s">
        <v>280</v>
      </c>
      <c r="CST868" s="290" t="s">
        <v>280</v>
      </c>
      <c r="CSU868" s="290" t="s">
        <v>280</v>
      </c>
      <c r="CSV868" s="290" t="s">
        <v>280</v>
      </c>
      <c r="CSW868" s="290" t="s">
        <v>280</v>
      </c>
      <c r="CSX868" s="290" t="s">
        <v>280</v>
      </c>
      <c r="CSY868" s="290" t="s">
        <v>280</v>
      </c>
      <c r="CSZ868" s="290" t="s">
        <v>280</v>
      </c>
      <c r="CTA868" s="290" t="s">
        <v>280</v>
      </c>
      <c r="CTB868" s="290" t="s">
        <v>280</v>
      </c>
      <c r="CTC868" s="290" t="s">
        <v>280</v>
      </c>
      <c r="CTD868" s="290" t="s">
        <v>280</v>
      </c>
      <c r="CTE868" s="290" t="s">
        <v>280</v>
      </c>
      <c r="CTF868" s="290" t="s">
        <v>280</v>
      </c>
      <c r="CTG868" s="290" t="s">
        <v>280</v>
      </c>
      <c r="CTH868" s="290" t="s">
        <v>280</v>
      </c>
      <c r="CTI868" s="290" t="s">
        <v>280</v>
      </c>
      <c r="CTJ868" s="290" t="s">
        <v>280</v>
      </c>
      <c r="CTK868" s="290" t="s">
        <v>280</v>
      </c>
      <c r="CTL868" s="290" t="s">
        <v>280</v>
      </c>
      <c r="CTM868" s="290" t="s">
        <v>280</v>
      </c>
      <c r="CTN868" s="290" t="s">
        <v>280</v>
      </c>
      <c r="CTO868" s="290" t="s">
        <v>280</v>
      </c>
      <c r="CTP868" s="290" t="s">
        <v>280</v>
      </c>
      <c r="CTQ868" s="290" t="s">
        <v>280</v>
      </c>
      <c r="CTR868" s="290" t="s">
        <v>280</v>
      </c>
      <c r="CTS868" s="290" t="s">
        <v>280</v>
      </c>
      <c r="CTT868" s="290" t="s">
        <v>280</v>
      </c>
      <c r="CTU868" s="290" t="s">
        <v>280</v>
      </c>
      <c r="CTV868" s="290" t="s">
        <v>280</v>
      </c>
      <c r="CTW868" s="290" t="s">
        <v>280</v>
      </c>
      <c r="CTX868" s="290" t="s">
        <v>280</v>
      </c>
      <c r="CTY868" s="290" t="s">
        <v>280</v>
      </c>
      <c r="CTZ868" s="290" t="s">
        <v>280</v>
      </c>
      <c r="CUA868" s="290" t="s">
        <v>280</v>
      </c>
      <c r="CUB868" s="290" t="s">
        <v>280</v>
      </c>
      <c r="CUC868" s="290" t="s">
        <v>280</v>
      </c>
      <c r="CUD868" s="290" t="s">
        <v>280</v>
      </c>
      <c r="CUE868" s="290" t="s">
        <v>280</v>
      </c>
      <c r="CUF868" s="290" t="s">
        <v>280</v>
      </c>
      <c r="CUG868" s="290" t="s">
        <v>280</v>
      </c>
      <c r="CUH868" s="290" t="s">
        <v>280</v>
      </c>
      <c r="CUI868" s="290" t="s">
        <v>280</v>
      </c>
      <c r="CUJ868" s="290" t="s">
        <v>280</v>
      </c>
      <c r="CUK868" s="290" t="s">
        <v>280</v>
      </c>
      <c r="CUL868" s="290" t="s">
        <v>280</v>
      </c>
      <c r="CUM868" s="290" t="s">
        <v>280</v>
      </c>
      <c r="CUN868" s="290" t="s">
        <v>280</v>
      </c>
      <c r="CUO868" s="290" t="s">
        <v>280</v>
      </c>
      <c r="CUP868" s="290" t="s">
        <v>280</v>
      </c>
      <c r="CUQ868" s="290" t="s">
        <v>280</v>
      </c>
      <c r="CUR868" s="290" t="s">
        <v>280</v>
      </c>
      <c r="CUS868" s="290" t="s">
        <v>280</v>
      </c>
      <c r="CUT868" s="290" t="s">
        <v>280</v>
      </c>
      <c r="CUU868" s="290" t="s">
        <v>280</v>
      </c>
      <c r="CUV868" s="290" t="s">
        <v>280</v>
      </c>
      <c r="CUW868" s="290" t="s">
        <v>280</v>
      </c>
      <c r="CUX868" s="290" t="s">
        <v>280</v>
      </c>
      <c r="CUY868" s="290" t="s">
        <v>280</v>
      </c>
      <c r="CUZ868" s="290" t="s">
        <v>280</v>
      </c>
      <c r="CVA868" s="290" t="s">
        <v>280</v>
      </c>
      <c r="CVB868" s="290" t="s">
        <v>280</v>
      </c>
      <c r="CVC868" s="290" t="s">
        <v>280</v>
      </c>
      <c r="CVD868" s="290" t="s">
        <v>280</v>
      </c>
      <c r="CVE868" s="290" t="s">
        <v>280</v>
      </c>
      <c r="CVF868" s="290" t="s">
        <v>280</v>
      </c>
      <c r="CVG868" s="290" t="s">
        <v>280</v>
      </c>
      <c r="CVH868" s="290" t="s">
        <v>280</v>
      </c>
      <c r="CVI868" s="290" t="s">
        <v>280</v>
      </c>
      <c r="CVJ868" s="290" t="s">
        <v>280</v>
      </c>
      <c r="CVK868" s="290" t="s">
        <v>280</v>
      </c>
      <c r="CVL868" s="290" t="s">
        <v>280</v>
      </c>
      <c r="CVM868" s="290" t="s">
        <v>280</v>
      </c>
      <c r="CVN868" s="290" t="s">
        <v>280</v>
      </c>
      <c r="CVO868" s="290" t="s">
        <v>280</v>
      </c>
      <c r="CVP868" s="290" t="s">
        <v>280</v>
      </c>
      <c r="CVQ868" s="290" t="s">
        <v>280</v>
      </c>
      <c r="CVR868" s="290" t="s">
        <v>280</v>
      </c>
      <c r="CVS868" s="290" t="s">
        <v>280</v>
      </c>
      <c r="CVT868" s="290" t="s">
        <v>280</v>
      </c>
      <c r="CVU868" s="290" t="s">
        <v>280</v>
      </c>
      <c r="CVV868" s="290" t="s">
        <v>280</v>
      </c>
      <c r="CVW868" s="290" t="s">
        <v>280</v>
      </c>
      <c r="CVX868" s="290" t="s">
        <v>280</v>
      </c>
      <c r="CVY868" s="290" t="s">
        <v>280</v>
      </c>
      <c r="CVZ868" s="290" t="s">
        <v>280</v>
      </c>
      <c r="CWA868" s="290" t="s">
        <v>280</v>
      </c>
      <c r="CWB868" s="290" t="s">
        <v>280</v>
      </c>
      <c r="CWC868" s="290" t="s">
        <v>280</v>
      </c>
      <c r="CWD868" s="290" t="s">
        <v>280</v>
      </c>
      <c r="CWE868" s="290" t="s">
        <v>280</v>
      </c>
      <c r="CWF868" s="290" t="s">
        <v>280</v>
      </c>
      <c r="CWG868" s="290" t="s">
        <v>280</v>
      </c>
      <c r="CWH868" s="290" t="s">
        <v>280</v>
      </c>
      <c r="CWI868" s="290" t="s">
        <v>280</v>
      </c>
      <c r="CWJ868" s="290" t="s">
        <v>280</v>
      </c>
      <c r="CWK868" s="290" t="s">
        <v>280</v>
      </c>
      <c r="CWL868" s="290" t="s">
        <v>280</v>
      </c>
      <c r="CWM868" s="290" t="s">
        <v>280</v>
      </c>
      <c r="CWN868" s="290" t="s">
        <v>280</v>
      </c>
      <c r="CWO868" s="290" t="s">
        <v>280</v>
      </c>
      <c r="CWP868" s="290" t="s">
        <v>280</v>
      </c>
      <c r="CWQ868" s="290" t="s">
        <v>280</v>
      </c>
      <c r="CWR868" s="290" t="s">
        <v>280</v>
      </c>
      <c r="CWS868" s="290" t="s">
        <v>280</v>
      </c>
      <c r="CWT868" s="290" t="s">
        <v>280</v>
      </c>
      <c r="CWU868" s="290" t="s">
        <v>280</v>
      </c>
      <c r="CWV868" s="290" t="s">
        <v>280</v>
      </c>
      <c r="CWW868" s="290" t="s">
        <v>280</v>
      </c>
      <c r="CWX868" s="290" t="s">
        <v>280</v>
      </c>
      <c r="CWY868" s="290" t="s">
        <v>280</v>
      </c>
      <c r="CWZ868" s="290" t="s">
        <v>280</v>
      </c>
      <c r="CXA868" s="290" t="s">
        <v>280</v>
      </c>
      <c r="CXB868" s="290" t="s">
        <v>280</v>
      </c>
      <c r="CXC868" s="290" t="s">
        <v>280</v>
      </c>
      <c r="CXD868" s="290" t="s">
        <v>280</v>
      </c>
      <c r="CXE868" s="290" t="s">
        <v>280</v>
      </c>
      <c r="CXF868" s="290" t="s">
        <v>280</v>
      </c>
      <c r="CXG868" s="290" t="s">
        <v>280</v>
      </c>
      <c r="CXH868" s="290" t="s">
        <v>280</v>
      </c>
      <c r="CXI868" s="290" t="s">
        <v>280</v>
      </c>
      <c r="CXJ868" s="290" t="s">
        <v>280</v>
      </c>
      <c r="CXK868" s="290" t="s">
        <v>280</v>
      </c>
      <c r="CXL868" s="290" t="s">
        <v>280</v>
      </c>
      <c r="CXM868" s="290" t="s">
        <v>280</v>
      </c>
      <c r="CXN868" s="290" t="s">
        <v>280</v>
      </c>
      <c r="CXO868" s="290" t="s">
        <v>280</v>
      </c>
      <c r="CXP868" s="290" t="s">
        <v>280</v>
      </c>
      <c r="CXQ868" s="290" t="s">
        <v>280</v>
      </c>
      <c r="CXR868" s="290" t="s">
        <v>280</v>
      </c>
      <c r="CXS868" s="290" t="s">
        <v>280</v>
      </c>
      <c r="CXT868" s="290" t="s">
        <v>280</v>
      </c>
      <c r="CXU868" s="290" t="s">
        <v>280</v>
      </c>
      <c r="CXV868" s="290" t="s">
        <v>280</v>
      </c>
      <c r="CXW868" s="290" t="s">
        <v>280</v>
      </c>
      <c r="CXX868" s="290" t="s">
        <v>280</v>
      </c>
      <c r="CXY868" s="290" t="s">
        <v>280</v>
      </c>
      <c r="CXZ868" s="290" t="s">
        <v>280</v>
      </c>
      <c r="CYA868" s="290" t="s">
        <v>280</v>
      </c>
      <c r="CYB868" s="290" t="s">
        <v>280</v>
      </c>
      <c r="CYC868" s="290" t="s">
        <v>280</v>
      </c>
      <c r="CYD868" s="290" t="s">
        <v>280</v>
      </c>
      <c r="CYE868" s="290" t="s">
        <v>280</v>
      </c>
      <c r="CYF868" s="290" t="s">
        <v>280</v>
      </c>
      <c r="CYG868" s="290" t="s">
        <v>280</v>
      </c>
      <c r="CYH868" s="290" t="s">
        <v>280</v>
      </c>
      <c r="CYI868" s="290" t="s">
        <v>280</v>
      </c>
      <c r="CYJ868" s="290" t="s">
        <v>280</v>
      </c>
      <c r="CYK868" s="290" t="s">
        <v>280</v>
      </c>
      <c r="CYL868" s="290" t="s">
        <v>280</v>
      </c>
      <c r="CYM868" s="290" t="s">
        <v>280</v>
      </c>
      <c r="CYN868" s="290" t="s">
        <v>280</v>
      </c>
      <c r="CYO868" s="290" t="s">
        <v>280</v>
      </c>
      <c r="CYP868" s="290" t="s">
        <v>280</v>
      </c>
      <c r="CYQ868" s="290" t="s">
        <v>280</v>
      </c>
      <c r="CYR868" s="290" t="s">
        <v>280</v>
      </c>
      <c r="CYS868" s="290" t="s">
        <v>280</v>
      </c>
      <c r="CYT868" s="290" t="s">
        <v>280</v>
      </c>
      <c r="CYU868" s="290" t="s">
        <v>280</v>
      </c>
      <c r="CYV868" s="290" t="s">
        <v>280</v>
      </c>
      <c r="CYW868" s="290" t="s">
        <v>280</v>
      </c>
      <c r="CYX868" s="290" t="s">
        <v>280</v>
      </c>
      <c r="CYY868" s="290" t="s">
        <v>280</v>
      </c>
      <c r="CYZ868" s="290" t="s">
        <v>280</v>
      </c>
      <c r="CZA868" s="290" t="s">
        <v>280</v>
      </c>
      <c r="CZB868" s="290" t="s">
        <v>280</v>
      </c>
      <c r="CZC868" s="290" t="s">
        <v>280</v>
      </c>
      <c r="CZD868" s="290" t="s">
        <v>280</v>
      </c>
      <c r="CZE868" s="290" t="s">
        <v>280</v>
      </c>
      <c r="CZF868" s="290" t="s">
        <v>280</v>
      </c>
      <c r="CZG868" s="290" t="s">
        <v>280</v>
      </c>
      <c r="CZH868" s="290" t="s">
        <v>280</v>
      </c>
      <c r="CZI868" s="290" t="s">
        <v>280</v>
      </c>
      <c r="CZJ868" s="290" t="s">
        <v>280</v>
      </c>
      <c r="CZK868" s="290" t="s">
        <v>280</v>
      </c>
      <c r="CZL868" s="290" t="s">
        <v>280</v>
      </c>
      <c r="CZM868" s="290" t="s">
        <v>280</v>
      </c>
      <c r="CZN868" s="290" t="s">
        <v>280</v>
      </c>
      <c r="CZO868" s="290" t="s">
        <v>280</v>
      </c>
      <c r="CZP868" s="290" t="s">
        <v>280</v>
      </c>
      <c r="CZQ868" s="290" t="s">
        <v>280</v>
      </c>
      <c r="CZR868" s="290" t="s">
        <v>280</v>
      </c>
      <c r="CZS868" s="290" t="s">
        <v>280</v>
      </c>
      <c r="CZT868" s="290" t="s">
        <v>280</v>
      </c>
      <c r="CZU868" s="290" t="s">
        <v>280</v>
      </c>
      <c r="CZV868" s="290" t="s">
        <v>280</v>
      </c>
      <c r="CZW868" s="290" t="s">
        <v>280</v>
      </c>
      <c r="CZX868" s="290" t="s">
        <v>280</v>
      </c>
      <c r="CZY868" s="290" t="s">
        <v>280</v>
      </c>
      <c r="CZZ868" s="290" t="s">
        <v>280</v>
      </c>
      <c r="DAA868" s="290" t="s">
        <v>280</v>
      </c>
      <c r="DAB868" s="290" t="s">
        <v>280</v>
      </c>
      <c r="DAC868" s="290" t="s">
        <v>280</v>
      </c>
      <c r="DAD868" s="290" t="s">
        <v>280</v>
      </c>
      <c r="DAE868" s="290" t="s">
        <v>280</v>
      </c>
      <c r="DAF868" s="290" t="s">
        <v>280</v>
      </c>
      <c r="DAG868" s="290" t="s">
        <v>280</v>
      </c>
      <c r="DAH868" s="290" t="s">
        <v>280</v>
      </c>
      <c r="DAI868" s="290" t="s">
        <v>280</v>
      </c>
      <c r="DAJ868" s="290" t="s">
        <v>280</v>
      </c>
      <c r="DAK868" s="290" t="s">
        <v>280</v>
      </c>
      <c r="DAL868" s="290" t="s">
        <v>280</v>
      </c>
      <c r="DAM868" s="290" t="s">
        <v>280</v>
      </c>
      <c r="DAN868" s="290" t="s">
        <v>280</v>
      </c>
      <c r="DAO868" s="290" t="s">
        <v>280</v>
      </c>
      <c r="DAP868" s="290" t="s">
        <v>280</v>
      </c>
      <c r="DAQ868" s="290" t="s">
        <v>280</v>
      </c>
      <c r="DAR868" s="290" t="s">
        <v>280</v>
      </c>
      <c r="DAS868" s="290" t="s">
        <v>280</v>
      </c>
      <c r="DAT868" s="290" t="s">
        <v>280</v>
      </c>
      <c r="DAU868" s="290" t="s">
        <v>280</v>
      </c>
      <c r="DAV868" s="290" t="s">
        <v>280</v>
      </c>
      <c r="DAW868" s="290" t="s">
        <v>280</v>
      </c>
      <c r="DAX868" s="290" t="s">
        <v>280</v>
      </c>
      <c r="DAY868" s="290" t="s">
        <v>280</v>
      </c>
      <c r="DAZ868" s="290" t="s">
        <v>280</v>
      </c>
      <c r="DBA868" s="290" t="s">
        <v>280</v>
      </c>
      <c r="DBB868" s="290" t="s">
        <v>280</v>
      </c>
      <c r="DBC868" s="290" t="s">
        <v>280</v>
      </c>
      <c r="DBD868" s="290" t="s">
        <v>280</v>
      </c>
      <c r="DBE868" s="290" t="s">
        <v>280</v>
      </c>
      <c r="DBF868" s="290" t="s">
        <v>280</v>
      </c>
      <c r="DBG868" s="290" t="s">
        <v>280</v>
      </c>
      <c r="DBH868" s="290" t="s">
        <v>280</v>
      </c>
      <c r="DBI868" s="290" t="s">
        <v>280</v>
      </c>
      <c r="DBJ868" s="290" t="s">
        <v>280</v>
      </c>
      <c r="DBK868" s="290" t="s">
        <v>280</v>
      </c>
      <c r="DBL868" s="290" t="s">
        <v>280</v>
      </c>
      <c r="DBM868" s="290" t="s">
        <v>280</v>
      </c>
      <c r="DBN868" s="290" t="s">
        <v>280</v>
      </c>
      <c r="DBO868" s="290" t="s">
        <v>280</v>
      </c>
      <c r="DBP868" s="290" t="s">
        <v>280</v>
      </c>
      <c r="DBQ868" s="290" t="s">
        <v>280</v>
      </c>
      <c r="DBR868" s="290" t="s">
        <v>280</v>
      </c>
      <c r="DBS868" s="290" t="s">
        <v>280</v>
      </c>
      <c r="DBT868" s="290" t="s">
        <v>280</v>
      </c>
      <c r="DBU868" s="290" t="s">
        <v>280</v>
      </c>
      <c r="DBV868" s="290" t="s">
        <v>280</v>
      </c>
      <c r="DBW868" s="290" t="s">
        <v>280</v>
      </c>
      <c r="DBX868" s="290" t="s">
        <v>280</v>
      </c>
      <c r="DBY868" s="290" t="s">
        <v>280</v>
      </c>
      <c r="DBZ868" s="290" t="s">
        <v>280</v>
      </c>
      <c r="DCA868" s="290" t="s">
        <v>280</v>
      </c>
      <c r="DCB868" s="290" t="s">
        <v>280</v>
      </c>
      <c r="DCC868" s="290" t="s">
        <v>280</v>
      </c>
      <c r="DCD868" s="290" t="s">
        <v>280</v>
      </c>
      <c r="DCE868" s="290" t="s">
        <v>280</v>
      </c>
      <c r="DCF868" s="290" t="s">
        <v>280</v>
      </c>
      <c r="DCG868" s="290" t="s">
        <v>280</v>
      </c>
      <c r="DCH868" s="290" t="s">
        <v>280</v>
      </c>
      <c r="DCI868" s="290" t="s">
        <v>280</v>
      </c>
      <c r="DCJ868" s="290" t="s">
        <v>280</v>
      </c>
      <c r="DCK868" s="290" t="s">
        <v>280</v>
      </c>
      <c r="DCL868" s="290" t="s">
        <v>280</v>
      </c>
      <c r="DCM868" s="290" t="s">
        <v>280</v>
      </c>
      <c r="DCN868" s="290" t="s">
        <v>280</v>
      </c>
      <c r="DCO868" s="290" t="s">
        <v>280</v>
      </c>
      <c r="DCP868" s="290" t="s">
        <v>280</v>
      </c>
      <c r="DCQ868" s="290" t="s">
        <v>280</v>
      </c>
      <c r="DCR868" s="290" t="s">
        <v>280</v>
      </c>
      <c r="DCS868" s="290" t="s">
        <v>280</v>
      </c>
      <c r="DCT868" s="290" t="s">
        <v>280</v>
      </c>
      <c r="DCU868" s="290" t="s">
        <v>280</v>
      </c>
      <c r="DCV868" s="290" t="s">
        <v>280</v>
      </c>
      <c r="DCW868" s="290" t="s">
        <v>280</v>
      </c>
      <c r="DCX868" s="290" t="s">
        <v>280</v>
      </c>
      <c r="DCY868" s="290" t="s">
        <v>280</v>
      </c>
      <c r="DCZ868" s="290" t="s">
        <v>280</v>
      </c>
      <c r="DDA868" s="290" t="s">
        <v>280</v>
      </c>
      <c r="DDB868" s="290" t="s">
        <v>280</v>
      </c>
      <c r="DDC868" s="290" t="s">
        <v>280</v>
      </c>
      <c r="DDD868" s="290" t="s">
        <v>280</v>
      </c>
      <c r="DDE868" s="290" t="s">
        <v>280</v>
      </c>
      <c r="DDF868" s="290" t="s">
        <v>280</v>
      </c>
      <c r="DDG868" s="290" t="s">
        <v>280</v>
      </c>
      <c r="DDH868" s="290" t="s">
        <v>280</v>
      </c>
      <c r="DDI868" s="290" t="s">
        <v>280</v>
      </c>
      <c r="DDJ868" s="290" t="s">
        <v>280</v>
      </c>
      <c r="DDK868" s="290" t="s">
        <v>280</v>
      </c>
      <c r="DDL868" s="290" t="s">
        <v>280</v>
      </c>
      <c r="DDM868" s="290" t="s">
        <v>280</v>
      </c>
      <c r="DDN868" s="290" t="s">
        <v>280</v>
      </c>
      <c r="DDO868" s="290" t="s">
        <v>280</v>
      </c>
      <c r="DDP868" s="290" t="s">
        <v>280</v>
      </c>
      <c r="DDQ868" s="290" t="s">
        <v>280</v>
      </c>
      <c r="DDR868" s="290" t="s">
        <v>280</v>
      </c>
      <c r="DDS868" s="290" t="s">
        <v>280</v>
      </c>
      <c r="DDT868" s="290" t="s">
        <v>280</v>
      </c>
      <c r="DDU868" s="290" t="s">
        <v>280</v>
      </c>
      <c r="DDV868" s="290" t="s">
        <v>280</v>
      </c>
      <c r="DDW868" s="290" t="s">
        <v>280</v>
      </c>
      <c r="DDX868" s="290" t="s">
        <v>280</v>
      </c>
      <c r="DDY868" s="290" t="s">
        <v>280</v>
      </c>
      <c r="DDZ868" s="290" t="s">
        <v>280</v>
      </c>
      <c r="DEA868" s="290" t="s">
        <v>280</v>
      </c>
      <c r="DEB868" s="290" t="s">
        <v>280</v>
      </c>
      <c r="DEC868" s="290" t="s">
        <v>280</v>
      </c>
      <c r="DED868" s="290" t="s">
        <v>280</v>
      </c>
      <c r="DEE868" s="290" t="s">
        <v>280</v>
      </c>
      <c r="DEF868" s="290" t="s">
        <v>280</v>
      </c>
      <c r="DEG868" s="290" t="s">
        <v>280</v>
      </c>
      <c r="DEH868" s="290" t="s">
        <v>280</v>
      </c>
      <c r="DEI868" s="290" t="s">
        <v>280</v>
      </c>
      <c r="DEJ868" s="290" t="s">
        <v>280</v>
      </c>
      <c r="DEK868" s="290" t="s">
        <v>280</v>
      </c>
      <c r="DEL868" s="290" t="s">
        <v>280</v>
      </c>
      <c r="DEM868" s="290" t="s">
        <v>280</v>
      </c>
      <c r="DEN868" s="290" t="s">
        <v>280</v>
      </c>
      <c r="DEO868" s="290" t="s">
        <v>280</v>
      </c>
      <c r="DEP868" s="290" t="s">
        <v>280</v>
      </c>
      <c r="DEQ868" s="290" t="s">
        <v>280</v>
      </c>
      <c r="DER868" s="290" t="s">
        <v>280</v>
      </c>
      <c r="DES868" s="290" t="s">
        <v>280</v>
      </c>
      <c r="DET868" s="290" t="s">
        <v>280</v>
      </c>
      <c r="DEU868" s="290" t="s">
        <v>280</v>
      </c>
      <c r="DEV868" s="290" t="s">
        <v>280</v>
      </c>
      <c r="DEW868" s="290" t="s">
        <v>280</v>
      </c>
      <c r="DEX868" s="290" t="s">
        <v>280</v>
      </c>
      <c r="DEY868" s="290" t="s">
        <v>280</v>
      </c>
      <c r="DEZ868" s="290" t="s">
        <v>280</v>
      </c>
      <c r="DFA868" s="290" t="s">
        <v>280</v>
      </c>
      <c r="DFB868" s="290" t="s">
        <v>280</v>
      </c>
      <c r="DFC868" s="290" t="s">
        <v>280</v>
      </c>
      <c r="DFD868" s="290" t="s">
        <v>280</v>
      </c>
      <c r="DFE868" s="290" t="s">
        <v>280</v>
      </c>
      <c r="DFF868" s="290" t="s">
        <v>280</v>
      </c>
      <c r="DFG868" s="290" t="s">
        <v>280</v>
      </c>
      <c r="DFH868" s="290" t="s">
        <v>280</v>
      </c>
      <c r="DFI868" s="290" t="s">
        <v>280</v>
      </c>
      <c r="DFJ868" s="290" t="s">
        <v>280</v>
      </c>
      <c r="DFK868" s="290" t="s">
        <v>280</v>
      </c>
      <c r="DFL868" s="290" t="s">
        <v>280</v>
      </c>
      <c r="DFM868" s="290" t="s">
        <v>280</v>
      </c>
      <c r="DFN868" s="290" t="s">
        <v>280</v>
      </c>
      <c r="DFO868" s="290" t="s">
        <v>280</v>
      </c>
      <c r="DFP868" s="290" t="s">
        <v>280</v>
      </c>
      <c r="DFQ868" s="290" t="s">
        <v>280</v>
      </c>
      <c r="DFR868" s="290" t="s">
        <v>280</v>
      </c>
      <c r="DFS868" s="290" t="s">
        <v>280</v>
      </c>
      <c r="DFT868" s="290" t="s">
        <v>280</v>
      </c>
      <c r="DFU868" s="290" t="s">
        <v>280</v>
      </c>
      <c r="DFV868" s="290" t="s">
        <v>280</v>
      </c>
      <c r="DFW868" s="290" t="s">
        <v>280</v>
      </c>
      <c r="DFX868" s="290" t="s">
        <v>280</v>
      </c>
      <c r="DFY868" s="290" t="s">
        <v>280</v>
      </c>
      <c r="DFZ868" s="290" t="s">
        <v>280</v>
      </c>
      <c r="DGA868" s="290" t="s">
        <v>280</v>
      </c>
      <c r="DGB868" s="290" t="s">
        <v>280</v>
      </c>
      <c r="DGC868" s="290" t="s">
        <v>280</v>
      </c>
      <c r="DGD868" s="290" t="s">
        <v>280</v>
      </c>
      <c r="DGE868" s="290" t="s">
        <v>280</v>
      </c>
      <c r="DGF868" s="290" t="s">
        <v>280</v>
      </c>
      <c r="DGG868" s="290" t="s">
        <v>280</v>
      </c>
      <c r="DGH868" s="290" t="s">
        <v>280</v>
      </c>
      <c r="DGI868" s="290" t="s">
        <v>280</v>
      </c>
      <c r="DGJ868" s="290" t="s">
        <v>280</v>
      </c>
      <c r="DGK868" s="290" t="s">
        <v>280</v>
      </c>
      <c r="DGL868" s="290" t="s">
        <v>280</v>
      </c>
      <c r="DGM868" s="290" t="s">
        <v>280</v>
      </c>
      <c r="DGN868" s="290" t="s">
        <v>280</v>
      </c>
      <c r="DGO868" s="290" t="s">
        <v>280</v>
      </c>
      <c r="DGP868" s="290" t="s">
        <v>280</v>
      </c>
      <c r="DGQ868" s="290" t="s">
        <v>280</v>
      </c>
      <c r="DGR868" s="290" t="s">
        <v>280</v>
      </c>
      <c r="DGS868" s="290" t="s">
        <v>280</v>
      </c>
      <c r="DGT868" s="290" t="s">
        <v>280</v>
      </c>
      <c r="DGU868" s="290" t="s">
        <v>280</v>
      </c>
      <c r="DGV868" s="290" t="s">
        <v>280</v>
      </c>
      <c r="DGW868" s="290" t="s">
        <v>280</v>
      </c>
      <c r="DGX868" s="290" t="s">
        <v>280</v>
      </c>
      <c r="DGY868" s="290" t="s">
        <v>280</v>
      </c>
      <c r="DGZ868" s="290" t="s">
        <v>280</v>
      </c>
      <c r="DHA868" s="290" t="s">
        <v>280</v>
      </c>
      <c r="DHB868" s="290" t="s">
        <v>280</v>
      </c>
      <c r="DHC868" s="290" t="s">
        <v>280</v>
      </c>
      <c r="DHD868" s="290" t="s">
        <v>280</v>
      </c>
      <c r="DHE868" s="290" t="s">
        <v>280</v>
      </c>
      <c r="DHF868" s="290" t="s">
        <v>280</v>
      </c>
      <c r="DHG868" s="290" t="s">
        <v>280</v>
      </c>
      <c r="DHH868" s="290" t="s">
        <v>280</v>
      </c>
      <c r="DHI868" s="290" t="s">
        <v>280</v>
      </c>
      <c r="DHJ868" s="290" t="s">
        <v>280</v>
      </c>
      <c r="DHK868" s="290" t="s">
        <v>280</v>
      </c>
      <c r="DHL868" s="290" t="s">
        <v>280</v>
      </c>
      <c r="DHM868" s="290" t="s">
        <v>280</v>
      </c>
      <c r="DHN868" s="290" t="s">
        <v>280</v>
      </c>
      <c r="DHO868" s="290" t="s">
        <v>280</v>
      </c>
      <c r="DHP868" s="290" t="s">
        <v>280</v>
      </c>
      <c r="DHQ868" s="290" t="s">
        <v>280</v>
      </c>
      <c r="DHR868" s="290" t="s">
        <v>280</v>
      </c>
      <c r="DHS868" s="290" t="s">
        <v>280</v>
      </c>
      <c r="DHT868" s="290" t="s">
        <v>280</v>
      </c>
      <c r="DHU868" s="290" t="s">
        <v>280</v>
      </c>
      <c r="DHV868" s="290" t="s">
        <v>280</v>
      </c>
      <c r="DHW868" s="290" t="s">
        <v>280</v>
      </c>
      <c r="DHX868" s="290" t="s">
        <v>280</v>
      </c>
      <c r="DHY868" s="290" t="s">
        <v>280</v>
      </c>
      <c r="DHZ868" s="290" t="s">
        <v>280</v>
      </c>
      <c r="DIA868" s="290" t="s">
        <v>280</v>
      </c>
      <c r="DIB868" s="290" t="s">
        <v>280</v>
      </c>
      <c r="DIC868" s="290" t="s">
        <v>280</v>
      </c>
      <c r="DID868" s="290" t="s">
        <v>280</v>
      </c>
      <c r="DIE868" s="290" t="s">
        <v>280</v>
      </c>
      <c r="DIF868" s="290" t="s">
        <v>280</v>
      </c>
      <c r="DIG868" s="290" t="s">
        <v>280</v>
      </c>
      <c r="DIH868" s="290" t="s">
        <v>280</v>
      </c>
      <c r="DII868" s="290" t="s">
        <v>280</v>
      </c>
      <c r="DIJ868" s="290" t="s">
        <v>280</v>
      </c>
      <c r="DIK868" s="290" t="s">
        <v>280</v>
      </c>
      <c r="DIL868" s="290" t="s">
        <v>280</v>
      </c>
      <c r="DIM868" s="290" t="s">
        <v>280</v>
      </c>
      <c r="DIN868" s="290" t="s">
        <v>280</v>
      </c>
      <c r="DIO868" s="290" t="s">
        <v>280</v>
      </c>
      <c r="DIP868" s="290" t="s">
        <v>280</v>
      </c>
      <c r="DIQ868" s="290" t="s">
        <v>280</v>
      </c>
      <c r="DIR868" s="290" t="s">
        <v>280</v>
      </c>
      <c r="DIS868" s="290" t="s">
        <v>280</v>
      </c>
      <c r="DIT868" s="290" t="s">
        <v>280</v>
      </c>
      <c r="DIU868" s="290" t="s">
        <v>280</v>
      </c>
      <c r="DIV868" s="290" t="s">
        <v>280</v>
      </c>
      <c r="DIW868" s="290" t="s">
        <v>280</v>
      </c>
      <c r="DIX868" s="290" t="s">
        <v>280</v>
      </c>
      <c r="DIY868" s="290" t="s">
        <v>280</v>
      </c>
      <c r="DIZ868" s="290" t="s">
        <v>280</v>
      </c>
      <c r="DJA868" s="290" t="s">
        <v>280</v>
      </c>
      <c r="DJB868" s="290" t="s">
        <v>280</v>
      </c>
      <c r="DJC868" s="290" t="s">
        <v>280</v>
      </c>
      <c r="DJD868" s="290" t="s">
        <v>280</v>
      </c>
      <c r="DJE868" s="290" t="s">
        <v>280</v>
      </c>
      <c r="DJF868" s="290" t="s">
        <v>280</v>
      </c>
      <c r="DJG868" s="290" t="s">
        <v>280</v>
      </c>
      <c r="DJH868" s="290" t="s">
        <v>280</v>
      </c>
      <c r="DJI868" s="290" t="s">
        <v>280</v>
      </c>
      <c r="DJJ868" s="290" t="s">
        <v>280</v>
      </c>
      <c r="DJK868" s="290" t="s">
        <v>280</v>
      </c>
      <c r="DJL868" s="290" t="s">
        <v>280</v>
      </c>
      <c r="DJM868" s="290" t="s">
        <v>280</v>
      </c>
      <c r="DJN868" s="290" t="s">
        <v>280</v>
      </c>
      <c r="DJO868" s="290" t="s">
        <v>280</v>
      </c>
      <c r="DJP868" s="290" t="s">
        <v>280</v>
      </c>
      <c r="DJQ868" s="290" t="s">
        <v>280</v>
      </c>
      <c r="DJR868" s="290" t="s">
        <v>280</v>
      </c>
      <c r="DJS868" s="290" t="s">
        <v>280</v>
      </c>
      <c r="DJT868" s="290" t="s">
        <v>280</v>
      </c>
      <c r="DJU868" s="290" t="s">
        <v>280</v>
      </c>
      <c r="DJV868" s="290" t="s">
        <v>280</v>
      </c>
      <c r="DJW868" s="290" t="s">
        <v>280</v>
      </c>
      <c r="DJX868" s="290" t="s">
        <v>280</v>
      </c>
      <c r="DJY868" s="290" t="s">
        <v>280</v>
      </c>
      <c r="DJZ868" s="290" t="s">
        <v>280</v>
      </c>
      <c r="DKA868" s="290" t="s">
        <v>280</v>
      </c>
      <c r="DKB868" s="290" t="s">
        <v>280</v>
      </c>
      <c r="DKC868" s="290" t="s">
        <v>280</v>
      </c>
      <c r="DKD868" s="290" t="s">
        <v>280</v>
      </c>
      <c r="DKE868" s="290" t="s">
        <v>280</v>
      </c>
      <c r="DKF868" s="290" t="s">
        <v>280</v>
      </c>
      <c r="DKG868" s="290" t="s">
        <v>280</v>
      </c>
      <c r="DKH868" s="290" t="s">
        <v>280</v>
      </c>
      <c r="DKI868" s="290" t="s">
        <v>280</v>
      </c>
      <c r="DKJ868" s="290" t="s">
        <v>280</v>
      </c>
      <c r="DKK868" s="290" t="s">
        <v>280</v>
      </c>
      <c r="DKL868" s="290" t="s">
        <v>280</v>
      </c>
      <c r="DKM868" s="290" t="s">
        <v>280</v>
      </c>
      <c r="DKN868" s="290" t="s">
        <v>280</v>
      </c>
      <c r="DKO868" s="290" t="s">
        <v>280</v>
      </c>
      <c r="DKP868" s="290" t="s">
        <v>280</v>
      </c>
      <c r="DKQ868" s="290" t="s">
        <v>280</v>
      </c>
      <c r="DKR868" s="290" t="s">
        <v>280</v>
      </c>
      <c r="DKS868" s="290" t="s">
        <v>280</v>
      </c>
      <c r="DKT868" s="290" t="s">
        <v>280</v>
      </c>
      <c r="DKU868" s="290" t="s">
        <v>280</v>
      </c>
      <c r="DKV868" s="290" t="s">
        <v>280</v>
      </c>
      <c r="DKW868" s="290" t="s">
        <v>280</v>
      </c>
      <c r="DKX868" s="290" t="s">
        <v>280</v>
      </c>
      <c r="DKY868" s="290" t="s">
        <v>280</v>
      </c>
      <c r="DKZ868" s="290" t="s">
        <v>280</v>
      </c>
      <c r="DLA868" s="290" t="s">
        <v>280</v>
      </c>
      <c r="DLB868" s="290" t="s">
        <v>280</v>
      </c>
      <c r="DLC868" s="290" t="s">
        <v>280</v>
      </c>
      <c r="DLD868" s="290" t="s">
        <v>280</v>
      </c>
      <c r="DLE868" s="290" t="s">
        <v>280</v>
      </c>
      <c r="DLF868" s="290" t="s">
        <v>280</v>
      </c>
      <c r="DLG868" s="290" t="s">
        <v>280</v>
      </c>
      <c r="DLH868" s="290" t="s">
        <v>280</v>
      </c>
      <c r="DLI868" s="290" t="s">
        <v>280</v>
      </c>
      <c r="DLJ868" s="290" t="s">
        <v>280</v>
      </c>
      <c r="DLK868" s="290" t="s">
        <v>280</v>
      </c>
      <c r="DLL868" s="290" t="s">
        <v>280</v>
      </c>
      <c r="DLM868" s="290" t="s">
        <v>280</v>
      </c>
      <c r="DLN868" s="290" t="s">
        <v>280</v>
      </c>
      <c r="DLO868" s="290" t="s">
        <v>280</v>
      </c>
      <c r="DLP868" s="290" t="s">
        <v>280</v>
      </c>
      <c r="DLQ868" s="290" t="s">
        <v>280</v>
      </c>
      <c r="DLR868" s="290" t="s">
        <v>280</v>
      </c>
      <c r="DLS868" s="290" t="s">
        <v>280</v>
      </c>
      <c r="DLT868" s="290" t="s">
        <v>280</v>
      </c>
      <c r="DLU868" s="290" t="s">
        <v>280</v>
      </c>
      <c r="DLV868" s="290" t="s">
        <v>280</v>
      </c>
      <c r="DLW868" s="290" t="s">
        <v>280</v>
      </c>
      <c r="DLX868" s="290" t="s">
        <v>280</v>
      </c>
      <c r="DLY868" s="290" t="s">
        <v>280</v>
      </c>
      <c r="DLZ868" s="290" t="s">
        <v>280</v>
      </c>
      <c r="DMA868" s="290" t="s">
        <v>280</v>
      </c>
      <c r="DMB868" s="290" t="s">
        <v>280</v>
      </c>
      <c r="DMC868" s="290" t="s">
        <v>280</v>
      </c>
      <c r="DMD868" s="290" t="s">
        <v>280</v>
      </c>
      <c r="DME868" s="290" t="s">
        <v>280</v>
      </c>
      <c r="DMF868" s="290" t="s">
        <v>280</v>
      </c>
      <c r="DMG868" s="290" t="s">
        <v>280</v>
      </c>
      <c r="DMH868" s="290" t="s">
        <v>280</v>
      </c>
      <c r="DMI868" s="290" t="s">
        <v>280</v>
      </c>
      <c r="DMJ868" s="290" t="s">
        <v>280</v>
      </c>
      <c r="DMK868" s="290" t="s">
        <v>280</v>
      </c>
      <c r="DML868" s="290" t="s">
        <v>280</v>
      </c>
      <c r="DMM868" s="290" t="s">
        <v>280</v>
      </c>
      <c r="DMN868" s="290" t="s">
        <v>280</v>
      </c>
      <c r="DMO868" s="290" t="s">
        <v>280</v>
      </c>
      <c r="DMP868" s="290" t="s">
        <v>280</v>
      </c>
      <c r="DMQ868" s="290" t="s">
        <v>280</v>
      </c>
      <c r="DMR868" s="290" t="s">
        <v>280</v>
      </c>
      <c r="DMS868" s="290" t="s">
        <v>280</v>
      </c>
      <c r="DMT868" s="290" t="s">
        <v>280</v>
      </c>
      <c r="DMU868" s="290" t="s">
        <v>280</v>
      </c>
      <c r="DMV868" s="290" t="s">
        <v>280</v>
      </c>
      <c r="DMW868" s="290" t="s">
        <v>280</v>
      </c>
      <c r="DMX868" s="290" t="s">
        <v>280</v>
      </c>
      <c r="DMY868" s="290" t="s">
        <v>280</v>
      </c>
      <c r="DMZ868" s="290" t="s">
        <v>280</v>
      </c>
      <c r="DNA868" s="290" t="s">
        <v>280</v>
      </c>
      <c r="DNB868" s="290" t="s">
        <v>280</v>
      </c>
      <c r="DNC868" s="290" t="s">
        <v>280</v>
      </c>
      <c r="DND868" s="290" t="s">
        <v>280</v>
      </c>
      <c r="DNE868" s="290" t="s">
        <v>280</v>
      </c>
      <c r="DNF868" s="290" t="s">
        <v>280</v>
      </c>
      <c r="DNG868" s="290" t="s">
        <v>280</v>
      </c>
      <c r="DNH868" s="290" t="s">
        <v>280</v>
      </c>
      <c r="DNI868" s="290" t="s">
        <v>280</v>
      </c>
      <c r="DNJ868" s="290" t="s">
        <v>280</v>
      </c>
      <c r="DNK868" s="290" t="s">
        <v>280</v>
      </c>
      <c r="DNL868" s="290" t="s">
        <v>280</v>
      </c>
      <c r="DNM868" s="290" t="s">
        <v>280</v>
      </c>
      <c r="DNN868" s="290" t="s">
        <v>280</v>
      </c>
      <c r="DNO868" s="290" t="s">
        <v>280</v>
      </c>
      <c r="DNP868" s="290" t="s">
        <v>280</v>
      </c>
      <c r="DNQ868" s="290" t="s">
        <v>280</v>
      </c>
      <c r="DNR868" s="290" t="s">
        <v>280</v>
      </c>
      <c r="DNS868" s="290" t="s">
        <v>280</v>
      </c>
      <c r="DNT868" s="290" t="s">
        <v>280</v>
      </c>
      <c r="DNU868" s="290" t="s">
        <v>280</v>
      </c>
      <c r="DNV868" s="290" t="s">
        <v>280</v>
      </c>
      <c r="DNW868" s="290" t="s">
        <v>280</v>
      </c>
      <c r="DNX868" s="290" t="s">
        <v>280</v>
      </c>
      <c r="DNY868" s="290" t="s">
        <v>280</v>
      </c>
      <c r="DNZ868" s="290" t="s">
        <v>280</v>
      </c>
      <c r="DOA868" s="290" t="s">
        <v>280</v>
      </c>
      <c r="DOB868" s="290" t="s">
        <v>280</v>
      </c>
      <c r="DOC868" s="290" t="s">
        <v>280</v>
      </c>
      <c r="DOD868" s="290" t="s">
        <v>280</v>
      </c>
      <c r="DOE868" s="290" t="s">
        <v>280</v>
      </c>
      <c r="DOF868" s="290" t="s">
        <v>280</v>
      </c>
      <c r="DOG868" s="290" t="s">
        <v>280</v>
      </c>
      <c r="DOH868" s="290" t="s">
        <v>280</v>
      </c>
      <c r="DOI868" s="290" t="s">
        <v>280</v>
      </c>
      <c r="DOJ868" s="290" t="s">
        <v>280</v>
      </c>
      <c r="DOK868" s="290" t="s">
        <v>280</v>
      </c>
      <c r="DOL868" s="290" t="s">
        <v>280</v>
      </c>
      <c r="DOM868" s="290" t="s">
        <v>280</v>
      </c>
      <c r="DON868" s="290" t="s">
        <v>280</v>
      </c>
      <c r="DOO868" s="290" t="s">
        <v>280</v>
      </c>
      <c r="DOP868" s="290" t="s">
        <v>280</v>
      </c>
      <c r="DOQ868" s="290" t="s">
        <v>280</v>
      </c>
      <c r="DOR868" s="290" t="s">
        <v>280</v>
      </c>
      <c r="DOS868" s="290" t="s">
        <v>280</v>
      </c>
      <c r="DOT868" s="290" t="s">
        <v>280</v>
      </c>
      <c r="DOU868" s="290" t="s">
        <v>280</v>
      </c>
      <c r="DOV868" s="290" t="s">
        <v>280</v>
      </c>
      <c r="DOW868" s="290" t="s">
        <v>280</v>
      </c>
      <c r="DOX868" s="290" t="s">
        <v>280</v>
      </c>
      <c r="DOY868" s="290" t="s">
        <v>280</v>
      </c>
      <c r="DOZ868" s="290" t="s">
        <v>280</v>
      </c>
      <c r="DPA868" s="290" t="s">
        <v>280</v>
      </c>
      <c r="DPB868" s="290" t="s">
        <v>280</v>
      </c>
      <c r="DPC868" s="290" t="s">
        <v>280</v>
      </c>
      <c r="DPD868" s="290" t="s">
        <v>280</v>
      </c>
      <c r="DPE868" s="290" t="s">
        <v>280</v>
      </c>
      <c r="DPF868" s="290" t="s">
        <v>280</v>
      </c>
      <c r="DPG868" s="290" t="s">
        <v>280</v>
      </c>
      <c r="DPH868" s="290" t="s">
        <v>280</v>
      </c>
      <c r="DPI868" s="290" t="s">
        <v>280</v>
      </c>
      <c r="DPJ868" s="290" t="s">
        <v>280</v>
      </c>
      <c r="DPK868" s="290" t="s">
        <v>280</v>
      </c>
      <c r="DPL868" s="290" t="s">
        <v>280</v>
      </c>
      <c r="DPM868" s="290" t="s">
        <v>280</v>
      </c>
      <c r="DPN868" s="290" t="s">
        <v>280</v>
      </c>
      <c r="DPO868" s="290" t="s">
        <v>280</v>
      </c>
      <c r="DPP868" s="290" t="s">
        <v>280</v>
      </c>
      <c r="DPQ868" s="290" t="s">
        <v>280</v>
      </c>
      <c r="DPR868" s="290" t="s">
        <v>280</v>
      </c>
      <c r="DPS868" s="290" t="s">
        <v>280</v>
      </c>
      <c r="DPT868" s="290" t="s">
        <v>280</v>
      </c>
      <c r="DPU868" s="290" t="s">
        <v>280</v>
      </c>
      <c r="DPV868" s="290" t="s">
        <v>280</v>
      </c>
      <c r="DPW868" s="290" t="s">
        <v>280</v>
      </c>
      <c r="DPX868" s="290" t="s">
        <v>280</v>
      </c>
      <c r="DPY868" s="290" t="s">
        <v>280</v>
      </c>
      <c r="DPZ868" s="290" t="s">
        <v>280</v>
      </c>
      <c r="DQA868" s="290" t="s">
        <v>280</v>
      </c>
      <c r="DQB868" s="290" t="s">
        <v>280</v>
      </c>
      <c r="DQC868" s="290" t="s">
        <v>280</v>
      </c>
      <c r="DQD868" s="290" t="s">
        <v>280</v>
      </c>
      <c r="DQE868" s="290" t="s">
        <v>280</v>
      </c>
      <c r="DQF868" s="290" t="s">
        <v>280</v>
      </c>
      <c r="DQG868" s="290" t="s">
        <v>280</v>
      </c>
      <c r="DQH868" s="290" t="s">
        <v>280</v>
      </c>
      <c r="DQI868" s="290" t="s">
        <v>280</v>
      </c>
      <c r="DQJ868" s="290" t="s">
        <v>280</v>
      </c>
      <c r="DQK868" s="290" t="s">
        <v>280</v>
      </c>
      <c r="DQL868" s="290" t="s">
        <v>280</v>
      </c>
      <c r="DQM868" s="290" t="s">
        <v>280</v>
      </c>
      <c r="DQN868" s="290" t="s">
        <v>280</v>
      </c>
      <c r="DQO868" s="290" t="s">
        <v>280</v>
      </c>
      <c r="DQP868" s="290" t="s">
        <v>280</v>
      </c>
      <c r="DQQ868" s="290" t="s">
        <v>280</v>
      </c>
      <c r="DQR868" s="290" t="s">
        <v>280</v>
      </c>
      <c r="DQS868" s="290" t="s">
        <v>280</v>
      </c>
      <c r="DQT868" s="290" t="s">
        <v>280</v>
      </c>
      <c r="DQU868" s="290" t="s">
        <v>280</v>
      </c>
      <c r="DQV868" s="290" t="s">
        <v>280</v>
      </c>
      <c r="DQW868" s="290" t="s">
        <v>280</v>
      </c>
      <c r="DQX868" s="290" t="s">
        <v>280</v>
      </c>
      <c r="DQY868" s="290" t="s">
        <v>280</v>
      </c>
      <c r="DQZ868" s="290" t="s">
        <v>280</v>
      </c>
      <c r="DRA868" s="290" t="s">
        <v>280</v>
      </c>
      <c r="DRB868" s="290" t="s">
        <v>280</v>
      </c>
      <c r="DRC868" s="290" t="s">
        <v>280</v>
      </c>
      <c r="DRD868" s="290" t="s">
        <v>280</v>
      </c>
      <c r="DRE868" s="290" t="s">
        <v>280</v>
      </c>
      <c r="DRF868" s="290" t="s">
        <v>280</v>
      </c>
      <c r="DRG868" s="290" t="s">
        <v>280</v>
      </c>
      <c r="DRH868" s="290" t="s">
        <v>280</v>
      </c>
      <c r="DRI868" s="290" t="s">
        <v>280</v>
      </c>
      <c r="DRJ868" s="290" t="s">
        <v>280</v>
      </c>
      <c r="DRK868" s="290" t="s">
        <v>280</v>
      </c>
      <c r="DRL868" s="290" t="s">
        <v>280</v>
      </c>
      <c r="DRM868" s="290" t="s">
        <v>280</v>
      </c>
      <c r="DRN868" s="290" t="s">
        <v>280</v>
      </c>
      <c r="DRO868" s="290" t="s">
        <v>280</v>
      </c>
      <c r="DRP868" s="290" t="s">
        <v>280</v>
      </c>
      <c r="DRQ868" s="290" t="s">
        <v>280</v>
      </c>
      <c r="DRR868" s="290" t="s">
        <v>280</v>
      </c>
      <c r="DRS868" s="290" t="s">
        <v>280</v>
      </c>
      <c r="DRT868" s="290" t="s">
        <v>280</v>
      </c>
      <c r="DRU868" s="290" t="s">
        <v>280</v>
      </c>
      <c r="DRV868" s="290" t="s">
        <v>280</v>
      </c>
      <c r="DRW868" s="290" t="s">
        <v>280</v>
      </c>
      <c r="DRX868" s="290" t="s">
        <v>280</v>
      </c>
      <c r="DRY868" s="290" t="s">
        <v>280</v>
      </c>
      <c r="DRZ868" s="290" t="s">
        <v>280</v>
      </c>
      <c r="DSA868" s="290" t="s">
        <v>280</v>
      </c>
      <c r="DSB868" s="290" t="s">
        <v>280</v>
      </c>
      <c r="DSC868" s="290" t="s">
        <v>280</v>
      </c>
      <c r="DSD868" s="290" t="s">
        <v>280</v>
      </c>
      <c r="DSE868" s="290" t="s">
        <v>280</v>
      </c>
      <c r="DSF868" s="290" t="s">
        <v>280</v>
      </c>
      <c r="DSG868" s="290" t="s">
        <v>280</v>
      </c>
      <c r="DSH868" s="290" t="s">
        <v>280</v>
      </c>
      <c r="DSI868" s="290" t="s">
        <v>280</v>
      </c>
      <c r="DSJ868" s="290" t="s">
        <v>280</v>
      </c>
      <c r="DSK868" s="290" t="s">
        <v>280</v>
      </c>
      <c r="DSL868" s="290" t="s">
        <v>280</v>
      </c>
      <c r="DSM868" s="290" t="s">
        <v>280</v>
      </c>
      <c r="DSN868" s="290" t="s">
        <v>280</v>
      </c>
      <c r="DSO868" s="290" t="s">
        <v>280</v>
      </c>
      <c r="DSP868" s="290" t="s">
        <v>280</v>
      </c>
      <c r="DSQ868" s="290" t="s">
        <v>280</v>
      </c>
      <c r="DSR868" s="290" t="s">
        <v>280</v>
      </c>
      <c r="DSS868" s="290" t="s">
        <v>280</v>
      </c>
      <c r="DST868" s="290" t="s">
        <v>280</v>
      </c>
      <c r="DSU868" s="290" t="s">
        <v>280</v>
      </c>
      <c r="DSV868" s="290" t="s">
        <v>280</v>
      </c>
      <c r="DSW868" s="290" t="s">
        <v>280</v>
      </c>
      <c r="DSX868" s="290" t="s">
        <v>280</v>
      </c>
      <c r="DSY868" s="290" t="s">
        <v>280</v>
      </c>
      <c r="DSZ868" s="290" t="s">
        <v>280</v>
      </c>
      <c r="DTA868" s="290" t="s">
        <v>280</v>
      </c>
      <c r="DTB868" s="290" t="s">
        <v>280</v>
      </c>
      <c r="DTC868" s="290" t="s">
        <v>280</v>
      </c>
      <c r="DTD868" s="290" t="s">
        <v>280</v>
      </c>
      <c r="DTE868" s="290" t="s">
        <v>280</v>
      </c>
      <c r="DTF868" s="290" t="s">
        <v>280</v>
      </c>
      <c r="DTG868" s="290" t="s">
        <v>280</v>
      </c>
      <c r="DTH868" s="290" t="s">
        <v>280</v>
      </c>
      <c r="DTI868" s="290" t="s">
        <v>280</v>
      </c>
      <c r="DTJ868" s="290" t="s">
        <v>280</v>
      </c>
      <c r="DTK868" s="290" t="s">
        <v>280</v>
      </c>
      <c r="DTL868" s="290" t="s">
        <v>280</v>
      </c>
      <c r="DTM868" s="290" t="s">
        <v>280</v>
      </c>
      <c r="DTN868" s="290" t="s">
        <v>280</v>
      </c>
      <c r="DTO868" s="290" t="s">
        <v>280</v>
      </c>
      <c r="DTP868" s="290" t="s">
        <v>280</v>
      </c>
      <c r="DTQ868" s="290" t="s">
        <v>280</v>
      </c>
      <c r="DTR868" s="290" t="s">
        <v>280</v>
      </c>
      <c r="DTS868" s="290" t="s">
        <v>280</v>
      </c>
      <c r="DTT868" s="290" t="s">
        <v>280</v>
      </c>
      <c r="DTU868" s="290" t="s">
        <v>280</v>
      </c>
      <c r="DTV868" s="290" t="s">
        <v>280</v>
      </c>
      <c r="DTW868" s="290" t="s">
        <v>280</v>
      </c>
      <c r="DTX868" s="290" t="s">
        <v>280</v>
      </c>
      <c r="DTY868" s="290" t="s">
        <v>280</v>
      </c>
      <c r="DTZ868" s="290" t="s">
        <v>280</v>
      </c>
      <c r="DUA868" s="290" t="s">
        <v>280</v>
      </c>
      <c r="DUB868" s="290" t="s">
        <v>280</v>
      </c>
      <c r="DUC868" s="290" t="s">
        <v>280</v>
      </c>
      <c r="DUD868" s="290" t="s">
        <v>280</v>
      </c>
      <c r="DUE868" s="290" t="s">
        <v>280</v>
      </c>
      <c r="DUF868" s="290" t="s">
        <v>280</v>
      </c>
      <c r="DUG868" s="290" t="s">
        <v>280</v>
      </c>
      <c r="DUH868" s="290" t="s">
        <v>280</v>
      </c>
      <c r="DUI868" s="290" t="s">
        <v>280</v>
      </c>
      <c r="DUJ868" s="290" t="s">
        <v>280</v>
      </c>
      <c r="DUK868" s="290" t="s">
        <v>280</v>
      </c>
      <c r="DUL868" s="290" t="s">
        <v>280</v>
      </c>
      <c r="DUM868" s="290" t="s">
        <v>280</v>
      </c>
      <c r="DUN868" s="290" t="s">
        <v>280</v>
      </c>
      <c r="DUO868" s="290" t="s">
        <v>280</v>
      </c>
      <c r="DUP868" s="290" t="s">
        <v>280</v>
      </c>
      <c r="DUQ868" s="290" t="s">
        <v>280</v>
      </c>
      <c r="DUR868" s="290" t="s">
        <v>280</v>
      </c>
      <c r="DUS868" s="290" t="s">
        <v>280</v>
      </c>
      <c r="DUT868" s="290" t="s">
        <v>280</v>
      </c>
      <c r="DUU868" s="290" t="s">
        <v>280</v>
      </c>
      <c r="DUV868" s="290" t="s">
        <v>280</v>
      </c>
      <c r="DUW868" s="290" t="s">
        <v>280</v>
      </c>
      <c r="DUX868" s="290" t="s">
        <v>280</v>
      </c>
      <c r="DUY868" s="290" t="s">
        <v>280</v>
      </c>
      <c r="DUZ868" s="290" t="s">
        <v>280</v>
      </c>
      <c r="DVA868" s="290" t="s">
        <v>280</v>
      </c>
      <c r="DVB868" s="290" t="s">
        <v>280</v>
      </c>
      <c r="DVC868" s="290" t="s">
        <v>280</v>
      </c>
      <c r="DVD868" s="290" t="s">
        <v>280</v>
      </c>
      <c r="DVE868" s="290" t="s">
        <v>280</v>
      </c>
      <c r="DVF868" s="290" t="s">
        <v>280</v>
      </c>
      <c r="DVG868" s="290" t="s">
        <v>280</v>
      </c>
      <c r="DVH868" s="290" t="s">
        <v>280</v>
      </c>
      <c r="DVI868" s="290" t="s">
        <v>280</v>
      </c>
      <c r="DVJ868" s="290" t="s">
        <v>280</v>
      </c>
      <c r="DVK868" s="290" t="s">
        <v>280</v>
      </c>
      <c r="DVL868" s="290" t="s">
        <v>280</v>
      </c>
      <c r="DVM868" s="290" t="s">
        <v>280</v>
      </c>
      <c r="DVN868" s="290" t="s">
        <v>280</v>
      </c>
      <c r="DVO868" s="290" t="s">
        <v>280</v>
      </c>
      <c r="DVP868" s="290" t="s">
        <v>280</v>
      </c>
      <c r="DVQ868" s="290" t="s">
        <v>280</v>
      </c>
      <c r="DVR868" s="290" t="s">
        <v>280</v>
      </c>
      <c r="DVS868" s="290" t="s">
        <v>280</v>
      </c>
      <c r="DVT868" s="290" t="s">
        <v>280</v>
      </c>
      <c r="DVU868" s="290" t="s">
        <v>280</v>
      </c>
      <c r="DVV868" s="290" t="s">
        <v>280</v>
      </c>
      <c r="DVW868" s="290" t="s">
        <v>280</v>
      </c>
      <c r="DVX868" s="290" t="s">
        <v>280</v>
      </c>
      <c r="DVY868" s="290" t="s">
        <v>280</v>
      </c>
      <c r="DVZ868" s="290" t="s">
        <v>280</v>
      </c>
      <c r="DWA868" s="290" t="s">
        <v>280</v>
      </c>
      <c r="DWB868" s="290" t="s">
        <v>280</v>
      </c>
      <c r="DWC868" s="290" t="s">
        <v>280</v>
      </c>
      <c r="DWD868" s="290" t="s">
        <v>280</v>
      </c>
      <c r="DWE868" s="290" t="s">
        <v>280</v>
      </c>
      <c r="DWF868" s="290" t="s">
        <v>280</v>
      </c>
      <c r="DWG868" s="290" t="s">
        <v>280</v>
      </c>
      <c r="DWH868" s="290" t="s">
        <v>280</v>
      </c>
      <c r="DWI868" s="290" t="s">
        <v>280</v>
      </c>
      <c r="DWJ868" s="290" t="s">
        <v>280</v>
      </c>
      <c r="DWK868" s="290" t="s">
        <v>280</v>
      </c>
      <c r="DWL868" s="290" t="s">
        <v>280</v>
      </c>
      <c r="DWM868" s="290" t="s">
        <v>280</v>
      </c>
      <c r="DWN868" s="290" t="s">
        <v>280</v>
      </c>
      <c r="DWO868" s="290" t="s">
        <v>280</v>
      </c>
      <c r="DWP868" s="290" t="s">
        <v>280</v>
      </c>
      <c r="DWQ868" s="290" t="s">
        <v>280</v>
      </c>
      <c r="DWR868" s="290" t="s">
        <v>280</v>
      </c>
      <c r="DWS868" s="290" t="s">
        <v>280</v>
      </c>
      <c r="DWT868" s="290" t="s">
        <v>280</v>
      </c>
      <c r="DWU868" s="290" t="s">
        <v>280</v>
      </c>
      <c r="DWV868" s="290" t="s">
        <v>280</v>
      </c>
      <c r="DWW868" s="290" t="s">
        <v>280</v>
      </c>
      <c r="DWX868" s="290" t="s">
        <v>280</v>
      </c>
      <c r="DWY868" s="290" t="s">
        <v>280</v>
      </c>
      <c r="DWZ868" s="290" t="s">
        <v>280</v>
      </c>
      <c r="DXA868" s="290" t="s">
        <v>280</v>
      </c>
      <c r="DXB868" s="290" t="s">
        <v>280</v>
      </c>
      <c r="DXC868" s="290" t="s">
        <v>280</v>
      </c>
      <c r="DXD868" s="290" t="s">
        <v>280</v>
      </c>
      <c r="DXE868" s="290" t="s">
        <v>280</v>
      </c>
      <c r="DXF868" s="290" t="s">
        <v>280</v>
      </c>
      <c r="DXG868" s="290" t="s">
        <v>280</v>
      </c>
      <c r="DXH868" s="290" t="s">
        <v>280</v>
      </c>
      <c r="DXI868" s="290" t="s">
        <v>280</v>
      </c>
      <c r="DXJ868" s="290" t="s">
        <v>280</v>
      </c>
      <c r="DXK868" s="290" t="s">
        <v>280</v>
      </c>
      <c r="DXL868" s="290" t="s">
        <v>280</v>
      </c>
      <c r="DXM868" s="290" t="s">
        <v>280</v>
      </c>
      <c r="DXN868" s="290" t="s">
        <v>280</v>
      </c>
      <c r="DXO868" s="290" t="s">
        <v>280</v>
      </c>
      <c r="DXP868" s="290" t="s">
        <v>280</v>
      </c>
      <c r="DXQ868" s="290" t="s">
        <v>280</v>
      </c>
      <c r="DXR868" s="290" t="s">
        <v>280</v>
      </c>
      <c r="DXS868" s="290" t="s">
        <v>280</v>
      </c>
      <c r="DXT868" s="290" t="s">
        <v>280</v>
      </c>
      <c r="DXU868" s="290" t="s">
        <v>280</v>
      </c>
      <c r="DXV868" s="290" t="s">
        <v>280</v>
      </c>
      <c r="DXW868" s="290" t="s">
        <v>280</v>
      </c>
      <c r="DXX868" s="290" t="s">
        <v>280</v>
      </c>
      <c r="DXY868" s="290" t="s">
        <v>280</v>
      </c>
      <c r="DXZ868" s="290" t="s">
        <v>280</v>
      </c>
      <c r="DYA868" s="290" t="s">
        <v>280</v>
      </c>
      <c r="DYB868" s="290" t="s">
        <v>280</v>
      </c>
      <c r="DYC868" s="290" t="s">
        <v>280</v>
      </c>
      <c r="DYD868" s="290" t="s">
        <v>280</v>
      </c>
      <c r="DYE868" s="290" t="s">
        <v>280</v>
      </c>
      <c r="DYF868" s="290" t="s">
        <v>280</v>
      </c>
      <c r="DYG868" s="290" t="s">
        <v>280</v>
      </c>
      <c r="DYH868" s="290" t="s">
        <v>280</v>
      </c>
      <c r="DYI868" s="290" t="s">
        <v>280</v>
      </c>
      <c r="DYJ868" s="290" t="s">
        <v>280</v>
      </c>
      <c r="DYK868" s="290" t="s">
        <v>280</v>
      </c>
      <c r="DYL868" s="290" t="s">
        <v>280</v>
      </c>
      <c r="DYM868" s="290" t="s">
        <v>280</v>
      </c>
      <c r="DYN868" s="290" t="s">
        <v>280</v>
      </c>
      <c r="DYO868" s="290" t="s">
        <v>280</v>
      </c>
      <c r="DYP868" s="290" t="s">
        <v>280</v>
      </c>
      <c r="DYQ868" s="290" t="s">
        <v>280</v>
      </c>
      <c r="DYR868" s="290" t="s">
        <v>280</v>
      </c>
      <c r="DYS868" s="290" t="s">
        <v>280</v>
      </c>
      <c r="DYT868" s="290" t="s">
        <v>280</v>
      </c>
      <c r="DYU868" s="290" t="s">
        <v>280</v>
      </c>
      <c r="DYV868" s="290" t="s">
        <v>280</v>
      </c>
      <c r="DYW868" s="290" t="s">
        <v>280</v>
      </c>
      <c r="DYX868" s="290" t="s">
        <v>280</v>
      </c>
      <c r="DYY868" s="290" t="s">
        <v>280</v>
      </c>
      <c r="DYZ868" s="290" t="s">
        <v>280</v>
      </c>
      <c r="DZA868" s="290" t="s">
        <v>280</v>
      </c>
      <c r="DZB868" s="290" t="s">
        <v>280</v>
      </c>
      <c r="DZC868" s="290" t="s">
        <v>280</v>
      </c>
      <c r="DZD868" s="290" t="s">
        <v>280</v>
      </c>
      <c r="DZE868" s="290" t="s">
        <v>280</v>
      </c>
      <c r="DZF868" s="290" t="s">
        <v>280</v>
      </c>
      <c r="DZG868" s="290" t="s">
        <v>280</v>
      </c>
      <c r="DZH868" s="290" t="s">
        <v>280</v>
      </c>
      <c r="DZI868" s="290" t="s">
        <v>280</v>
      </c>
      <c r="DZJ868" s="290" t="s">
        <v>280</v>
      </c>
      <c r="DZK868" s="290" t="s">
        <v>280</v>
      </c>
      <c r="DZL868" s="290" t="s">
        <v>280</v>
      </c>
      <c r="DZM868" s="290" t="s">
        <v>280</v>
      </c>
      <c r="DZN868" s="290" t="s">
        <v>280</v>
      </c>
      <c r="DZO868" s="290" t="s">
        <v>280</v>
      </c>
      <c r="DZP868" s="290" t="s">
        <v>280</v>
      </c>
      <c r="DZQ868" s="290" t="s">
        <v>280</v>
      </c>
      <c r="DZR868" s="290" t="s">
        <v>280</v>
      </c>
      <c r="DZS868" s="290" t="s">
        <v>280</v>
      </c>
      <c r="DZT868" s="290" t="s">
        <v>280</v>
      </c>
      <c r="DZU868" s="290" t="s">
        <v>280</v>
      </c>
      <c r="DZV868" s="290" t="s">
        <v>280</v>
      </c>
      <c r="DZW868" s="290" t="s">
        <v>280</v>
      </c>
      <c r="DZX868" s="290" t="s">
        <v>280</v>
      </c>
      <c r="DZY868" s="290" t="s">
        <v>280</v>
      </c>
      <c r="DZZ868" s="290" t="s">
        <v>280</v>
      </c>
      <c r="EAA868" s="290" t="s">
        <v>280</v>
      </c>
      <c r="EAB868" s="290" t="s">
        <v>280</v>
      </c>
      <c r="EAC868" s="290" t="s">
        <v>280</v>
      </c>
      <c r="EAD868" s="290" t="s">
        <v>280</v>
      </c>
      <c r="EAE868" s="290" t="s">
        <v>280</v>
      </c>
      <c r="EAF868" s="290" t="s">
        <v>280</v>
      </c>
      <c r="EAG868" s="290" t="s">
        <v>280</v>
      </c>
      <c r="EAH868" s="290" t="s">
        <v>280</v>
      </c>
      <c r="EAI868" s="290" t="s">
        <v>280</v>
      </c>
      <c r="EAJ868" s="290" t="s">
        <v>280</v>
      </c>
      <c r="EAK868" s="290" t="s">
        <v>280</v>
      </c>
      <c r="EAL868" s="290" t="s">
        <v>280</v>
      </c>
      <c r="EAM868" s="290" t="s">
        <v>280</v>
      </c>
      <c r="EAN868" s="290" t="s">
        <v>280</v>
      </c>
      <c r="EAO868" s="290" t="s">
        <v>280</v>
      </c>
      <c r="EAP868" s="290" t="s">
        <v>280</v>
      </c>
      <c r="EAQ868" s="290" t="s">
        <v>280</v>
      </c>
      <c r="EAR868" s="290" t="s">
        <v>280</v>
      </c>
      <c r="EAS868" s="290" t="s">
        <v>280</v>
      </c>
      <c r="EAT868" s="290" t="s">
        <v>280</v>
      </c>
      <c r="EAU868" s="290" t="s">
        <v>280</v>
      </c>
      <c r="EAV868" s="290" t="s">
        <v>280</v>
      </c>
      <c r="EAW868" s="290" t="s">
        <v>280</v>
      </c>
      <c r="EAX868" s="290" t="s">
        <v>280</v>
      </c>
      <c r="EAY868" s="290" t="s">
        <v>280</v>
      </c>
      <c r="EAZ868" s="290" t="s">
        <v>280</v>
      </c>
      <c r="EBA868" s="290" t="s">
        <v>280</v>
      </c>
      <c r="EBB868" s="290" t="s">
        <v>280</v>
      </c>
      <c r="EBC868" s="290" t="s">
        <v>280</v>
      </c>
      <c r="EBD868" s="290" t="s">
        <v>280</v>
      </c>
      <c r="EBE868" s="290" t="s">
        <v>280</v>
      </c>
      <c r="EBF868" s="290" t="s">
        <v>280</v>
      </c>
      <c r="EBG868" s="290" t="s">
        <v>280</v>
      </c>
      <c r="EBH868" s="290" t="s">
        <v>280</v>
      </c>
      <c r="EBI868" s="290" t="s">
        <v>280</v>
      </c>
      <c r="EBJ868" s="290" t="s">
        <v>280</v>
      </c>
      <c r="EBK868" s="290" t="s">
        <v>280</v>
      </c>
      <c r="EBL868" s="290" t="s">
        <v>280</v>
      </c>
      <c r="EBM868" s="290" t="s">
        <v>280</v>
      </c>
      <c r="EBN868" s="290" t="s">
        <v>280</v>
      </c>
      <c r="EBO868" s="290" t="s">
        <v>280</v>
      </c>
      <c r="EBP868" s="290" t="s">
        <v>280</v>
      </c>
      <c r="EBQ868" s="290" t="s">
        <v>280</v>
      </c>
      <c r="EBR868" s="290" t="s">
        <v>280</v>
      </c>
      <c r="EBS868" s="290" t="s">
        <v>280</v>
      </c>
      <c r="EBT868" s="290" t="s">
        <v>280</v>
      </c>
      <c r="EBU868" s="290" t="s">
        <v>280</v>
      </c>
      <c r="EBV868" s="290" t="s">
        <v>280</v>
      </c>
      <c r="EBW868" s="290" t="s">
        <v>280</v>
      </c>
      <c r="EBX868" s="290" t="s">
        <v>280</v>
      </c>
      <c r="EBY868" s="290" t="s">
        <v>280</v>
      </c>
      <c r="EBZ868" s="290" t="s">
        <v>280</v>
      </c>
      <c r="ECA868" s="290" t="s">
        <v>280</v>
      </c>
      <c r="ECB868" s="290" t="s">
        <v>280</v>
      </c>
      <c r="ECC868" s="290" t="s">
        <v>280</v>
      </c>
      <c r="ECD868" s="290" t="s">
        <v>280</v>
      </c>
      <c r="ECE868" s="290" t="s">
        <v>280</v>
      </c>
      <c r="ECF868" s="290" t="s">
        <v>280</v>
      </c>
      <c r="ECG868" s="290" t="s">
        <v>280</v>
      </c>
      <c r="ECH868" s="290" t="s">
        <v>280</v>
      </c>
      <c r="ECI868" s="290" t="s">
        <v>280</v>
      </c>
      <c r="ECJ868" s="290" t="s">
        <v>280</v>
      </c>
      <c r="ECK868" s="290" t="s">
        <v>280</v>
      </c>
      <c r="ECL868" s="290" t="s">
        <v>280</v>
      </c>
      <c r="ECM868" s="290" t="s">
        <v>280</v>
      </c>
      <c r="ECN868" s="290" t="s">
        <v>280</v>
      </c>
      <c r="ECO868" s="290" t="s">
        <v>280</v>
      </c>
      <c r="ECP868" s="290" t="s">
        <v>280</v>
      </c>
      <c r="ECQ868" s="290" t="s">
        <v>280</v>
      </c>
      <c r="ECR868" s="290" t="s">
        <v>280</v>
      </c>
      <c r="ECS868" s="290" t="s">
        <v>280</v>
      </c>
      <c r="ECT868" s="290" t="s">
        <v>280</v>
      </c>
      <c r="ECU868" s="290" t="s">
        <v>280</v>
      </c>
      <c r="ECV868" s="290" t="s">
        <v>280</v>
      </c>
      <c r="ECW868" s="290" t="s">
        <v>280</v>
      </c>
      <c r="ECX868" s="290" t="s">
        <v>280</v>
      </c>
      <c r="ECY868" s="290" t="s">
        <v>280</v>
      </c>
      <c r="ECZ868" s="290" t="s">
        <v>280</v>
      </c>
      <c r="EDA868" s="290" t="s">
        <v>280</v>
      </c>
      <c r="EDB868" s="290" t="s">
        <v>280</v>
      </c>
      <c r="EDC868" s="290" t="s">
        <v>280</v>
      </c>
      <c r="EDD868" s="290" t="s">
        <v>280</v>
      </c>
      <c r="EDE868" s="290" t="s">
        <v>280</v>
      </c>
      <c r="EDF868" s="290" t="s">
        <v>280</v>
      </c>
      <c r="EDG868" s="290" t="s">
        <v>280</v>
      </c>
      <c r="EDH868" s="290" t="s">
        <v>280</v>
      </c>
      <c r="EDI868" s="290" t="s">
        <v>280</v>
      </c>
      <c r="EDJ868" s="290" t="s">
        <v>280</v>
      </c>
      <c r="EDK868" s="290" t="s">
        <v>280</v>
      </c>
      <c r="EDL868" s="290" t="s">
        <v>280</v>
      </c>
      <c r="EDM868" s="290" t="s">
        <v>280</v>
      </c>
      <c r="EDN868" s="290" t="s">
        <v>280</v>
      </c>
      <c r="EDO868" s="290" t="s">
        <v>280</v>
      </c>
      <c r="EDP868" s="290" t="s">
        <v>280</v>
      </c>
      <c r="EDQ868" s="290" t="s">
        <v>280</v>
      </c>
      <c r="EDR868" s="290" t="s">
        <v>280</v>
      </c>
      <c r="EDS868" s="290" t="s">
        <v>280</v>
      </c>
      <c r="EDT868" s="290" t="s">
        <v>280</v>
      </c>
      <c r="EDU868" s="290" t="s">
        <v>280</v>
      </c>
      <c r="EDV868" s="290" t="s">
        <v>280</v>
      </c>
      <c r="EDW868" s="290" t="s">
        <v>280</v>
      </c>
      <c r="EDX868" s="290" t="s">
        <v>280</v>
      </c>
      <c r="EDY868" s="290" t="s">
        <v>280</v>
      </c>
      <c r="EDZ868" s="290" t="s">
        <v>280</v>
      </c>
      <c r="EEA868" s="290" t="s">
        <v>280</v>
      </c>
      <c r="EEB868" s="290" t="s">
        <v>280</v>
      </c>
      <c r="EEC868" s="290" t="s">
        <v>280</v>
      </c>
      <c r="EED868" s="290" t="s">
        <v>280</v>
      </c>
      <c r="EEE868" s="290" t="s">
        <v>280</v>
      </c>
      <c r="EEF868" s="290" t="s">
        <v>280</v>
      </c>
      <c r="EEG868" s="290" t="s">
        <v>280</v>
      </c>
      <c r="EEH868" s="290" t="s">
        <v>280</v>
      </c>
      <c r="EEI868" s="290" t="s">
        <v>280</v>
      </c>
      <c r="EEJ868" s="290" t="s">
        <v>280</v>
      </c>
      <c r="EEK868" s="290" t="s">
        <v>280</v>
      </c>
      <c r="EEL868" s="290" t="s">
        <v>280</v>
      </c>
      <c r="EEM868" s="290" t="s">
        <v>280</v>
      </c>
      <c r="EEN868" s="290" t="s">
        <v>280</v>
      </c>
      <c r="EEO868" s="290" t="s">
        <v>280</v>
      </c>
      <c r="EEP868" s="290" t="s">
        <v>280</v>
      </c>
      <c r="EEQ868" s="290" t="s">
        <v>280</v>
      </c>
      <c r="EER868" s="290" t="s">
        <v>280</v>
      </c>
      <c r="EES868" s="290" t="s">
        <v>280</v>
      </c>
      <c r="EET868" s="290" t="s">
        <v>280</v>
      </c>
      <c r="EEU868" s="290" t="s">
        <v>280</v>
      </c>
      <c r="EEV868" s="290" t="s">
        <v>280</v>
      </c>
      <c r="EEW868" s="290" t="s">
        <v>280</v>
      </c>
      <c r="EEX868" s="290" t="s">
        <v>280</v>
      </c>
      <c r="EEY868" s="290" t="s">
        <v>280</v>
      </c>
      <c r="EEZ868" s="290" t="s">
        <v>280</v>
      </c>
      <c r="EFA868" s="290" t="s">
        <v>280</v>
      </c>
      <c r="EFB868" s="290" t="s">
        <v>280</v>
      </c>
      <c r="EFC868" s="290" t="s">
        <v>280</v>
      </c>
      <c r="EFD868" s="290" t="s">
        <v>280</v>
      </c>
      <c r="EFE868" s="290" t="s">
        <v>280</v>
      </c>
      <c r="EFF868" s="290" t="s">
        <v>280</v>
      </c>
      <c r="EFG868" s="290" t="s">
        <v>280</v>
      </c>
      <c r="EFH868" s="290" t="s">
        <v>280</v>
      </c>
      <c r="EFI868" s="290" t="s">
        <v>280</v>
      </c>
      <c r="EFJ868" s="290" t="s">
        <v>280</v>
      </c>
      <c r="EFK868" s="290" t="s">
        <v>280</v>
      </c>
      <c r="EFL868" s="290" t="s">
        <v>280</v>
      </c>
      <c r="EFM868" s="290" t="s">
        <v>280</v>
      </c>
      <c r="EFN868" s="290" t="s">
        <v>280</v>
      </c>
      <c r="EFO868" s="290" t="s">
        <v>280</v>
      </c>
      <c r="EFP868" s="290" t="s">
        <v>280</v>
      </c>
      <c r="EFQ868" s="290" t="s">
        <v>280</v>
      </c>
      <c r="EFR868" s="290" t="s">
        <v>280</v>
      </c>
      <c r="EFS868" s="290" t="s">
        <v>280</v>
      </c>
      <c r="EFT868" s="290" t="s">
        <v>280</v>
      </c>
      <c r="EFU868" s="290" t="s">
        <v>280</v>
      </c>
      <c r="EFV868" s="290" t="s">
        <v>280</v>
      </c>
      <c r="EFW868" s="290" t="s">
        <v>280</v>
      </c>
      <c r="EFX868" s="290" t="s">
        <v>280</v>
      </c>
      <c r="EFY868" s="290" t="s">
        <v>280</v>
      </c>
      <c r="EFZ868" s="290" t="s">
        <v>280</v>
      </c>
      <c r="EGA868" s="290" t="s">
        <v>280</v>
      </c>
      <c r="EGB868" s="290" t="s">
        <v>280</v>
      </c>
      <c r="EGC868" s="290" t="s">
        <v>280</v>
      </c>
      <c r="EGD868" s="290" t="s">
        <v>280</v>
      </c>
      <c r="EGE868" s="290" t="s">
        <v>280</v>
      </c>
      <c r="EGF868" s="290" t="s">
        <v>280</v>
      </c>
      <c r="EGG868" s="290" t="s">
        <v>280</v>
      </c>
      <c r="EGH868" s="290" t="s">
        <v>280</v>
      </c>
      <c r="EGI868" s="290" t="s">
        <v>280</v>
      </c>
      <c r="EGJ868" s="290" t="s">
        <v>280</v>
      </c>
      <c r="EGK868" s="290" t="s">
        <v>280</v>
      </c>
      <c r="EGL868" s="290" t="s">
        <v>280</v>
      </c>
      <c r="EGM868" s="290" t="s">
        <v>280</v>
      </c>
      <c r="EGN868" s="290" t="s">
        <v>280</v>
      </c>
      <c r="EGO868" s="290" t="s">
        <v>280</v>
      </c>
      <c r="EGP868" s="290" t="s">
        <v>280</v>
      </c>
      <c r="EGQ868" s="290" t="s">
        <v>280</v>
      </c>
      <c r="EGR868" s="290" t="s">
        <v>280</v>
      </c>
      <c r="EGS868" s="290" t="s">
        <v>280</v>
      </c>
      <c r="EGT868" s="290" t="s">
        <v>280</v>
      </c>
      <c r="EGU868" s="290" t="s">
        <v>280</v>
      </c>
      <c r="EGV868" s="290" t="s">
        <v>280</v>
      </c>
      <c r="EGW868" s="290" t="s">
        <v>280</v>
      </c>
      <c r="EGX868" s="290" t="s">
        <v>280</v>
      </c>
      <c r="EGY868" s="290" t="s">
        <v>280</v>
      </c>
      <c r="EGZ868" s="290" t="s">
        <v>280</v>
      </c>
      <c r="EHA868" s="290" t="s">
        <v>280</v>
      </c>
      <c r="EHB868" s="290" t="s">
        <v>280</v>
      </c>
      <c r="EHC868" s="290" t="s">
        <v>280</v>
      </c>
      <c r="EHD868" s="290" t="s">
        <v>280</v>
      </c>
      <c r="EHE868" s="290" t="s">
        <v>280</v>
      </c>
      <c r="EHF868" s="290" t="s">
        <v>280</v>
      </c>
      <c r="EHG868" s="290" t="s">
        <v>280</v>
      </c>
      <c r="EHH868" s="290" t="s">
        <v>280</v>
      </c>
      <c r="EHI868" s="290" t="s">
        <v>280</v>
      </c>
      <c r="EHJ868" s="290" t="s">
        <v>280</v>
      </c>
      <c r="EHK868" s="290" t="s">
        <v>280</v>
      </c>
      <c r="EHL868" s="290" t="s">
        <v>280</v>
      </c>
      <c r="EHM868" s="290" t="s">
        <v>280</v>
      </c>
      <c r="EHN868" s="290" t="s">
        <v>280</v>
      </c>
      <c r="EHO868" s="290" t="s">
        <v>280</v>
      </c>
      <c r="EHP868" s="290" t="s">
        <v>280</v>
      </c>
      <c r="EHQ868" s="290" t="s">
        <v>280</v>
      </c>
      <c r="EHR868" s="290" t="s">
        <v>280</v>
      </c>
      <c r="EHS868" s="290" t="s">
        <v>280</v>
      </c>
      <c r="EHT868" s="290" t="s">
        <v>280</v>
      </c>
      <c r="EHU868" s="290" t="s">
        <v>280</v>
      </c>
      <c r="EHV868" s="290" t="s">
        <v>280</v>
      </c>
      <c r="EHW868" s="290" t="s">
        <v>280</v>
      </c>
      <c r="EHX868" s="290" t="s">
        <v>280</v>
      </c>
      <c r="EHY868" s="290" t="s">
        <v>280</v>
      </c>
      <c r="EHZ868" s="290" t="s">
        <v>280</v>
      </c>
      <c r="EIA868" s="290" t="s">
        <v>280</v>
      </c>
      <c r="EIB868" s="290" t="s">
        <v>280</v>
      </c>
      <c r="EIC868" s="290" t="s">
        <v>280</v>
      </c>
      <c r="EID868" s="290" t="s">
        <v>280</v>
      </c>
      <c r="EIE868" s="290" t="s">
        <v>280</v>
      </c>
      <c r="EIF868" s="290" t="s">
        <v>280</v>
      </c>
      <c r="EIG868" s="290" t="s">
        <v>280</v>
      </c>
      <c r="EIH868" s="290" t="s">
        <v>280</v>
      </c>
      <c r="EII868" s="290" t="s">
        <v>280</v>
      </c>
      <c r="EIJ868" s="290" t="s">
        <v>280</v>
      </c>
      <c r="EIK868" s="290" t="s">
        <v>280</v>
      </c>
      <c r="EIL868" s="290" t="s">
        <v>280</v>
      </c>
      <c r="EIM868" s="290" t="s">
        <v>280</v>
      </c>
      <c r="EIN868" s="290" t="s">
        <v>280</v>
      </c>
      <c r="EIO868" s="290" t="s">
        <v>280</v>
      </c>
      <c r="EIP868" s="290" t="s">
        <v>280</v>
      </c>
      <c r="EIQ868" s="290" t="s">
        <v>280</v>
      </c>
      <c r="EIR868" s="290" t="s">
        <v>280</v>
      </c>
      <c r="EIS868" s="290" t="s">
        <v>280</v>
      </c>
      <c r="EIT868" s="290" t="s">
        <v>280</v>
      </c>
      <c r="EIU868" s="290" t="s">
        <v>280</v>
      </c>
      <c r="EIV868" s="290" t="s">
        <v>280</v>
      </c>
      <c r="EIW868" s="290" t="s">
        <v>280</v>
      </c>
      <c r="EIX868" s="290" t="s">
        <v>280</v>
      </c>
      <c r="EIY868" s="290" t="s">
        <v>280</v>
      </c>
      <c r="EIZ868" s="290" t="s">
        <v>280</v>
      </c>
      <c r="EJA868" s="290" t="s">
        <v>280</v>
      </c>
      <c r="EJB868" s="290" t="s">
        <v>280</v>
      </c>
      <c r="EJC868" s="290" t="s">
        <v>280</v>
      </c>
      <c r="EJD868" s="290" t="s">
        <v>280</v>
      </c>
      <c r="EJE868" s="290" t="s">
        <v>280</v>
      </c>
      <c r="EJF868" s="290" t="s">
        <v>280</v>
      </c>
      <c r="EJG868" s="290" t="s">
        <v>280</v>
      </c>
      <c r="EJH868" s="290" t="s">
        <v>280</v>
      </c>
      <c r="EJI868" s="290" t="s">
        <v>280</v>
      </c>
      <c r="EJJ868" s="290" t="s">
        <v>280</v>
      </c>
      <c r="EJK868" s="290" t="s">
        <v>280</v>
      </c>
      <c r="EJL868" s="290" t="s">
        <v>280</v>
      </c>
      <c r="EJM868" s="290" t="s">
        <v>280</v>
      </c>
      <c r="EJN868" s="290" t="s">
        <v>280</v>
      </c>
      <c r="EJO868" s="290" t="s">
        <v>280</v>
      </c>
      <c r="EJP868" s="290" t="s">
        <v>280</v>
      </c>
      <c r="EJQ868" s="290" t="s">
        <v>280</v>
      </c>
      <c r="EJR868" s="290" t="s">
        <v>280</v>
      </c>
      <c r="EJS868" s="290" t="s">
        <v>280</v>
      </c>
      <c r="EJT868" s="290" t="s">
        <v>280</v>
      </c>
      <c r="EJU868" s="290" t="s">
        <v>280</v>
      </c>
      <c r="EJV868" s="290" t="s">
        <v>280</v>
      </c>
      <c r="EJW868" s="290" t="s">
        <v>280</v>
      </c>
      <c r="EJX868" s="290" t="s">
        <v>280</v>
      </c>
      <c r="EJY868" s="290" t="s">
        <v>280</v>
      </c>
      <c r="EJZ868" s="290" t="s">
        <v>280</v>
      </c>
      <c r="EKA868" s="290" t="s">
        <v>280</v>
      </c>
      <c r="EKB868" s="290" t="s">
        <v>280</v>
      </c>
      <c r="EKC868" s="290" t="s">
        <v>280</v>
      </c>
      <c r="EKD868" s="290" t="s">
        <v>280</v>
      </c>
      <c r="EKE868" s="290" t="s">
        <v>280</v>
      </c>
      <c r="EKF868" s="290" t="s">
        <v>280</v>
      </c>
      <c r="EKG868" s="290" t="s">
        <v>280</v>
      </c>
      <c r="EKH868" s="290" t="s">
        <v>280</v>
      </c>
      <c r="EKI868" s="290" t="s">
        <v>280</v>
      </c>
      <c r="EKJ868" s="290" t="s">
        <v>280</v>
      </c>
      <c r="EKK868" s="290" t="s">
        <v>280</v>
      </c>
      <c r="EKL868" s="290" t="s">
        <v>280</v>
      </c>
      <c r="EKM868" s="290" t="s">
        <v>280</v>
      </c>
      <c r="EKN868" s="290" t="s">
        <v>280</v>
      </c>
      <c r="EKO868" s="290" t="s">
        <v>280</v>
      </c>
      <c r="EKP868" s="290" t="s">
        <v>280</v>
      </c>
      <c r="EKQ868" s="290" t="s">
        <v>280</v>
      </c>
      <c r="EKR868" s="290" t="s">
        <v>280</v>
      </c>
      <c r="EKS868" s="290" t="s">
        <v>280</v>
      </c>
      <c r="EKT868" s="290" t="s">
        <v>280</v>
      </c>
      <c r="EKU868" s="290" t="s">
        <v>280</v>
      </c>
      <c r="EKV868" s="290" t="s">
        <v>280</v>
      </c>
      <c r="EKW868" s="290" t="s">
        <v>280</v>
      </c>
      <c r="EKX868" s="290" t="s">
        <v>280</v>
      </c>
      <c r="EKY868" s="290" t="s">
        <v>280</v>
      </c>
      <c r="EKZ868" s="290" t="s">
        <v>280</v>
      </c>
      <c r="ELA868" s="290" t="s">
        <v>280</v>
      </c>
      <c r="ELB868" s="290" t="s">
        <v>280</v>
      </c>
      <c r="ELC868" s="290" t="s">
        <v>280</v>
      </c>
      <c r="ELD868" s="290" t="s">
        <v>280</v>
      </c>
      <c r="ELE868" s="290" t="s">
        <v>280</v>
      </c>
      <c r="ELF868" s="290" t="s">
        <v>280</v>
      </c>
      <c r="ELG868" s="290" t="s">
        <v>280</v>
      </c>
      <c r="ELH868" s="290" t="s">
        <v>280</v>
      </c>
      <c r="ELI868" s="290" t="s">
        <v>280</v>
      </c>
      <c r="ELJ868" s="290" t="s">
        <v>280</v>
      </c>
      <c r="ELK868" s="290" t="s">
        <v>280</v>
      </c>
      <c r="ELL868" s="290" t="s">
        <v>280</v>
      </c>
      <c r="ELM868" s="290" t="s">
        <v>280</v>
      </c>
      <c r="ELN868" s="290" t="s">
        <v>280</v>
      </c>
      <c r="ELO868" s="290" t="s">
        <v>280</v>
      </c>
      <c r="ELP868" s="290" t="s">
        <v>280</v>
      </c>
      <c r="ELQ868" s="290" t="s">
        <v>280</v>
      </c>
      <c r="ELR868" s="290" t="s">
        <v>280</v>
      </c>
      <c r="ELS868" s="290" t="s">
        <v>280</v>
      </c>
      <c r="ELT868" s="290" t="s">
        <v>280</v>
      </c>
      <c r="ELU868" s="290" t="s">
        <v>280</v>
      </c>
      <c r="ELV868" s="290" t="s">
        <v>280</v>
      </c>
      <c r="ELW868" s="290" t="s">
        <v>280</v>
      </c>
      <c r="ELX868" s="290" t="s">
        <v>280</v>
      </c>
      <c r="ELY868" s="290" t="s">
        <v>280</v>
      </c>
      <c r="ELZ868" s="290" t="s">
        <v>280</v>
      </c>
      <c r="EMA868" s="290" t="s">
        <v>280</v>
      </c>
      <c r="EMB868" s="290" t="s">
        <v>280</v>
      </c>
      <c r="EMC868" s="290" t="s">
        <v>280</v>
      </c>
      <c r="EMD868" s="290" t="s">
        <v>280</v>
      </c>
      <c r="EME868" s="290" t="s">
        <v>280</v>
      </c>
      <c r="EMF868" s="290" t="s">
        <v>280</v>
      </c>
      <c r="EMG868" s="290" t="s">
        <v>280</v>
      </c>
      <c r="EMH868" s="290" t="s">
        <v>280</v>
      </c>
      <c r="EMI868" s="290" t="s">
        <v>280</v>
      </c>
      <c r="EMJ868" s="290" t="s">
        <v>280</v>
      </c>
      <c r="EMK868" s="290" t="s">
        <v>280</v>
      </c>
      <c r="EML868" s="290" t="s">
        <v>280</v>
      </c>
      <c r="EMM868" s="290" t="s">
        <v>280</v>
      </c>
      <c r="EMN868" s="290" t="s">
        <v>280</v>
      </c>
      <c r="EMO868" s="290" t="s">
        <v>280</v>
      </c>
      <c r="EMP868" s="290" t="s">
        <v>280</v>
      </c>
      <c r="EMQ868" s="290" t="s">
        <v>280</v>
      </c>
      <c r="EMR868" s="290" t="s">
        <v>280</v>
      </c>
      <c r="EMS868" s="290" t="s">
        <v>280</v>
      </c>
      <c r="EMT868" s="290" t="s">
        <v>280</v>
      </c>
      <c r="EMU868" s="290" t="s">
        <v>280</v>
      </c>
      <c r="EMV868" s="290" t="s">
        <v>280</v>
      </c>
      <c r="EMW868" s="290" t="s">
        <v>280</v>
      </c>
      <c r="EMX868" s="290" t="s">
        <v>280</v>
      </c>
      <c r="EMY868" s="290" t="s">
        <v>280</v>
      </c>
      <c r="EMZ868" s="290" t="s">
        <v>280</v>
      </c>
      <c r="ENA868" s="290" t="s">
        <v>280</v>
      </c>
      <c r="ENB868" s="290" t="s">
        <v>280</v>
      </c>
      <c r="ENC868" s="290" t="s">
        <v>280</v>
      </c>
      <c r="END868" s="290" t="s">
        <v>280</v>
      </c>
      <c r="ENE868" s="290" t="s">
        <v>280</v>
      </c>
      <c r="ENF868" s="290" t="s">
        <v>280</v>
      </c>
      <c r="ENG868" s="290" t="s">
        <v>280</v>
      </c>
      <c r="ENH868" s="290" t="s">
        <v>280</v>
      </c>
      <c r="ENI868" s="290" t="s">
        <v>280</v>
      </c>
      <c r="ENJ868" s="290" t="s">
        <v>280</v>
      </c>
      <c r="ENK868" s="290" t="s">
        <v>280</v>
      </c>
      <c r="ENL868" s="290" t="s">
        <v>280</v>
      </c>
      <c r="ENM868" s="290" t="s">
        <v>280</v>
      </c>
      <c r="ENN868" s="290" t="s">
        <v>280</v>
      </c>
      <c r="ENO868" s="290" t="s">
        <v>280</v>
      </c>
      <c r="ENP868" s="290" t="s">
        <v>280</v>
      </c>
      <c r="ENQ868" s="290" t="s">
        <v>280</v>
      </c>
      <c r="ENR868" s="290" t="s">
        <v>280</v>
      </c>
      <c r="ENS868" s="290" t="s">
        <v>280</v>
      </c>
      <c r="ENT868" s="290" t="s">
        <v>280</v>
      </c>
      <c r="ENU868" s="290" t="s">
        <v>280</v>
      </c>
      <c r="ENV868" s="290" t="s">
        <v>280</v>
      </c>
      <c r="ENW868" s="290" t="s">
        <v>280</v>
      </c>
      <c r="ENX868" s="290" t="s">
        <v>280</v>
      </c>
      <c r="ENY868" s="290" t="s">
        <v>280</v>
      </c>
      <c r="ENZ868" s="290" t="s">
        <v>280</v>
      </c>
      <c r="EOA868" s="290" t="s">
        <v>280</v>
      </c>
      <c r="EOB868" s="290" t="s">
        <v>280</v>
      </c>
      <c r="EOC868" s="290" t="s">
        <v>280</v>
      </c>
      <c r="EOD868" s="290" t="s">
        <v>280</v>
      </c>
      <c r="EOE868" s="290" t="s">
        <v>280</v>
      </c>
      <c r="EOF868" s="290" t="s">
        <v>280</v>
      </c>
      <c r="EOG868" s="290" t="s">
        <v>280</v>
      </c>
      <c r="EOH868" s="290" t="s">
        <v>280</v>
      </c>
      <c r="EOI868" s="290" t="s">
        <v>280</v>
      </c>
      <c r="EOJ868" s="290" t="s">
        <v>280</v>
      </c>
      <c r="EOK868" s="290" t="s">
        <v>280</v>
      </c>
      <c r="EOL868" s="290" t="s">
        <v>280</v>
      </c>
      <c r="EOM868" s="290" t="s">
        <v>280</v>
      </c>
      <c r="EON868" s="290" t="s">
        <v>280</v>
      </c>
      <c r="EOO868" s="290" t="s">
        <v>280</v>
      </c>
      <c r="EOP868" s="290" t="s">
        <v>280</v>
      </c>
      <c r="EOQ868" s="290" t="s">
        <v>280</v>
      </c>
      <c r="EOR868" s="290" t="s">
        <v>280</v>
      </c>
      <c r="EOS868" s="290" t="s">
        <v>280</v>
      </c>
      <c r="EOT868" s="290" t="s">
        <v>280</v>
      </c>
      <c r="EOU868" s="290" t="s">
        <v>280</v>
      </c>
      <c r="EOV868" s="290" t="s">
        <v>280</v>
      </c>
      <c r="EOW868" s="290" t="s">
        <v>280</v>
      </c>
      <c r="EOX868" s="290" t="s">
        <v>280</v>
      </c>
      <c r="EOY868" s="290" t="s">
        <v>280</v>
      </c>
      <c r="EOZ868" s="290" t="s">
        <v>280</v>
      </c>
      <c r="EPA868" s="290" t="s">
        <v>280</v>
      </c>
      <c r="EPB868" s="290" t="s">
        <v>280</v>
      </c>
      <c r="EPC868" s="290" t="s">
        <v>280</v>
      </c>
      <c r="EPD868" s="290" t="s">
        <v>280</v>
      </c>
      <c r="EPE868" s="290" t="s">
        <v>280</v>
      </c>
      <c r="EPF868" s="290" t="s">
        <v>280</v>
      </c>
      <c r="EPG868" s="290" t="s">
        <v>280</v>
      </c>
      <c r="EPH868" s="290" t="s">
        <v>280</v>
      </c>
      <c r="EPI868" s="290" t="s">
        <v>280</v>
      </c>
      <c r="EPJ868" s="290" t="s">
        <v>280</v>
      </c>
      <c r="EPK868" s="290" t="s">
        <v>280</v>
      </c>
      <c r="EPL868" s="290" t="s">
        <v>280</v>
      </c>
      <c r="EPM868" s="290" t="s">
        <v>280</v>
      </c>
      <c r="EPN868" s="290" t="s">
        <v>280</v>
      </c>
      <c r="EPO868" s="290" t="s">
        <v>280</v>
      </c>
      <c r="EPP868" s="290" t="s">
        <v>280</v>
      </c>
      <c r="EPQ868" s="290" t="s">
        <v>280</v>
      </c>
      <c r="EPR868" s="290" t="s">
        <v>280</v>
      </c>
      <c r="EPS868" s="290" t="s">
        <v>280</v>
      </c>
      <c r="EPT868" s="290" t="s">
        <v>280</v>
      </c>
      <c r="EPU868" s="290" t="s">
        <v>280</v>
      </c>
      <c r="EPV868" s="290" t="s">
        <v>280</v>
      </c>
      <c r="EPW868" s="290" t="s">
        <v>280</v>
      </c>
      <c r="EPX868" s="290" t="s">
        <v>280</v>
      </c>
      <c r="EPY868" s="290" t="s">
        <v>280</v>
      </c>
      <c r="EPZ868" s="290" t="s">
        <v>280</v>
      </c>
      <c r="EQA868" s="290" t="s">
        <v>280</v>
      </c>
      <c r="EQB868" s="290" t="s">
        <v>280</v>
      </c>
      <c r="EQC868" s="290" t="s">
        <v>280</v>
      </c>
      <c r="EQD868" s="290" t="s">
        <v>280</v>
      </c>
      <c r="EQE868" s="290" t="s">
        <v>280</v>
      </c>
      <c r="EQF868" s="290" t="s">
        <v>280</v>
      </c>
      <c r="EQG868" s="290" t="s">
        <v>280</v>
      </c>
      <c r="EQH868" s="290" t="s">
        <v>280</v>
      </c>
      <c r="EQI868" s="290" t="s">
        <v>280</v>
      </c>
      <c r="EQJ868" s="290" t="s">
        <v>280</v>
      </c>
      <c r="EQK868" s="290" t="s">
        <v>280</v>
      </c>
      <c r="EQL868" s="290" t="s">
        <v>280</v>
      </c>
      <c r="EQM868" s="290" t="s">
        <v>280</v>
      </c>
      <c r="EQN868" s="290" t="s">
        <v>280</v>
      </c>
      <c r="EQO868" s="290" t="s">
        <v>280</v>
      </c>
      <c r="EQP868" s="290" t="s">
        <v>280</v>
      </c>
      <c r="EQQ868" s="290" t="s">
        <v>280</v>
      </c>
      <c r="EQR868" s="290" t="s">
        <v>280</v>
      </c>
      <c r="EQS868" s="290" t="s">
        <v>280</v>
      </c>
      <c r="EQT868" s="290" t="s">
        <v>280</v>
      </c>
      <c r="EQU868" s="290" t="s">
        <v>280</v>
      </c>
      <c r="EQV868" s="290" t="s">
        <v>280</v>
      </c>
      <c r="EQW868" s="290" t="s">
        <v>280</v>
      </c>
      <c r="EQX868" s="290" t="s">
        <v>280</v>
      </c>
      <c r="EQY868" s="290" t="s">
        <v>280</v>
      </c>
      <c r="EQZ868" s="290" t="s">
        <v>280</v>
      </c>
      <c r="ERA868" s="290" t="s">
        <v>280</v>
      </c>
      <c r="ERB868" s="290" t="s">
        <v>280</v>
      </c>
      <c r="ERC868" s="290" t="s">
        <v>280</v>
      </c>
      <c r="ERD868" s="290" t="s">
        <v>280</v>
      </c>
      <c r="ERE868" s="290" t="s">
        <v>280</v>
      </c>
      <c r="ERF868" s="290" t="s">
        <v>280</v>
      </c>
      <c r="ERG868" s="290" t="s">
        <v>280</v>
      </c>
      <c r="ERH868" s="290" t="s">
        <v>280</v>
      </c>
      <c r="ERI868" s="290" t="s">
        <v>280</v>
      </c>
      <c r="ERJ868" s="290" t="s">
        <v>280</v>
      </c>
      <c r="ERK868" s="290" t="s">
        <v>280</v>
      </c>
      <c r="ERL868" s="290" t="s">
        <v>280</v>
      </c>
      <c r="ERM868" s="290" t="s">
        <v>280</v>
      </c>
      <c r="ERN868" s="290" t="s">
        <v>280</v>
      </c>
      <c r="ERO868" s="290" t="s">
        <v>280</v>
      </c>
      <c r="ERP868" s="290" t="s">
        <v>280</v>
      </c>
      <c r="ERQ868" s="290" t="s">
        <v>280</v>
      </c>
      <c r="ERR868" s="290" t="s">
        <v>280</v>
      </c>
      <c r="ERS868" s="290" t="s">
        <v>280</v>
      </c>
      <c r="ERT868" s="290" t="s">
        <v>280</v>
      </c>
      <c r="ERU868" s="290" t="s">
        <v>280</v>
      </c>
      <c r="ERV868" s="290" t="s">
        <v>280</v>
      </c>
      <c r="ERW868" s="290" t="s">
        <v>280</v>
      </c>
      <c r="ERX868" s="290" t="s">
        <v>280</v>
      </c>
      <c r="ERY868" s="290" t="s">
        <v>280</v>
      </c>
      <c r="ERZ868" s="290" t="s">
        <v>280</v>
      </c>
      <c r="ESA868" s="290" t="s">
        <v>280</v>
      </c>
      <c r="ESB868" s="290" t="s">
        <v>280</v>
      </c>
      <c r="ESC868" s="290" t="s">
        <v>280</v>
      </c>
      <c r="ESD868" s="290" t="s">
        <v>280</v>
      </c>
      <c r="ESE868" s="290" t="s">
        <v>280</v>
      </c>
      <c r="ESF868" s="290" t="s">
        <v>280</v>
      </c>
      <c r="ESG868" s="290" t="s">
        <v>280</v>
      </c>
      <c r="ESH868" s="290" t="s">
        <v>280</v>
      </c>
      <c r="ESI868" s="290" t="s">
        <v>280</v>
      </c>
      <c r="ESJ868" s="290" t="s">
        <v>280</v>
      </c>
      <c r="ESK868" s="290" t="s">
        <v>280</v>
      </c>
      <c r="ESL868" s="290" t="s">
        <v>280</v>
      </c>
      <c r="ESM868" s="290" t="s">
        <v>280</v>
      </c>
      <c r="ESN868" s="290" t="s">
        <v>280</v>
      </c>
      <c r="ESO868" s="290" t="s">
        <v>280</v>
      </c>
      <c r="ESP868" s="290" t="s">
        <v>280</v>
      </c>
      <c r="ESQ868" s="290" t="s">
        <v>280</v>
      </c>
      <c r="ESR868" s="290" t="s">
        <v>280</v>
      </c>
      <c r="ESS868" s="290" t="s">
        <v>280</v>
      </c>
      <c r="EST868" s="290" t="s">
        <v>280</v>
      </c>
      <c r="ESU868" s="290" t="s">
        <v>280</v>
      </c>
      <c r="ESV868" s="290" t="s">
        <v>280</v>
      </c>
      <c r="ESW868" s="290" t="s">
        <v>280</v>
      </c>
      <c r="ESX868" s="290" t="s">
        <v>280</v>
      </c>
      <c r="ESY868" s="290" t="s">
        <v>280</v>
      </c>
      <c r="ESZ868" s="290" t="s">
        <v>280</v>
      </c>
      <c r="ETA868" s="290" t="s">
        <v>280</v>
      </c>
      <c r="ETB868" s="290" t="s">
        <v>280</v>
      </c>
      <c r="ETC868" s="290" t="s">
        <v>280</v>
      </c>
      <c r="ETD868" s="290" t="s">
        <v>280</v>
      </c>
      <c r="ETE868" s="290" t="s">
        <v>280</v>
      </c>
      <c r="ETF868" s="290" t="s">
        <v>280</v>
      </c>
      <c r="ETG868" s="290" t="s">
        <v>280</v>
      </c>
      <c r="ETH868" s="290" t="s">
        <v>280</v>
      </c>
      <c r="ETI868" s="290" t="s">
        <v>280</v>
      </c>
      <c r="ETJ868" s="290" t="s">
        <v>280</v>
      </c>
      <c r="ETK868" s="290" t="s">
        <v>280</v>
      </c>
      <c r="ETL868" s="290" t="s">
        <v>280</v>
      </c>
      <c r="ETM868" s="290" t="s">
        <v>280</v>
      </c>
      <c r="ETN868" s="290" t="s">
        <v>280</v>
      </c>
      <c r="ETO868" s="290" t="s">
        <v>280</v>
      </c>
      <c r="ETP868" s="290" t="s">
        <v>280</v>
      </c>
      <c r="ETQ868" s="290" t="s">
        <v>280</v>
      </c>
      <c r="ETR868" s="290" t="s">
        <v>280</v>
      </c>
      <c r="ETS868" s="290" t="s">
        <v>280</v>
      </c>
      <c r="ETT868" s="290" t="s">
        <v>280</v>
      </c>
      <c r="ETU868" s="290" t="s">
        <v>280</v>
      </c>
      <c r="ETV868" s="290" t="s">
        <v>280</v>
      </c>
      <c r="ETW868" s="290" t="s">
        <v>280</v>
      </c>
      <c r="ETX868" s="290" t="s">
        <v>280</v>
      </c>
      <c r="ETY868" s="290" t="s">
        <v>280</v>
      </c>
      <c r="ETZ868" s="290" t="s">
        <v>280</v>
      </c>
      <c r="EUA868" s="290" t="s">
        <v>280</v>
      </c>
      <c r="EUB868" s="290" t="s">
        <v>280</v>
      </c>
      <c r="EUC868" s="290" t="s">
        <v>280</v>
      </c>
      <c r="EUD868" s="290" t="s">
        <v>280</v>
      </c>
      <c r="EUE868" s="290" t="s">
        <v>280</v>
      </c>
      <c r="EUF868" s="290" t="s">
        <v>280</v>
      </c>
      <c r="EUG868" s="290" t="s">
        <v>280</v>
      </c>
      <c r="EUH868" s="290" t="s">
        <v>280</v>
      </c>
      <c r="EUI868" s="290" t="s">
        <v>280</v>
      </c>
      <c r="EUJ868" s="290" t="s">
        <v>280</v>
      </c>
      <c r="EUK868" s="290" t="s">
        <v>280</v>
      </c>
      <c r="EUL868" s="290" t="s">
        <v>280</v>
      </c>
      <c r="EUM868" s="290" t="s">
        <v>280</v>
      </c>
      <c r="EUN868" s="290" t="s">
        <v>280</v>
      </c>
      <c r="EUO868" s="290" t="s">
        <v>280</v>
      </c>
      <c r="EUP868" s="290" t="s">
        <v>280</v>
      </c>
      <c r="EUQ868" s="290" t="s">
        <v>280</v>
      </c>
      <c r="EUR868" s="290" t="s">
        <v>280</v>
      </c>
      <c r="EUS868" s="290" t="s">
        <v>280</v>
      </c>
      <c r="EUT868" s="290" t="s">
        <v>280</v>
      </c>
      <c r="EUU868" s="290" t="s">
        <v>280</v>
      </c>
      <c r="EUV868" s="290" t="s">
        <v>280</v>
      </c>
      <c r="EUW868" s="290" t="s">
        <v>280</v>
      </c>
      <c r="EUX868" s="290" t="s">
        <v>280</v>
      </c>
      <c r="EUY868" s="290" t="s">
        <v>280</v>
      </c>
      <c r="EUZ868" s="290" t="s">
        <v>280</v>
      </c>
      <c r="EVA868" s="290" t="s">
        <v>280</v>
      </c>
      <c r="EVB868" s="290" t="s">
        <v>280</v>
      </c>
      <c r="EVC868" s="290" t="s">
        <v>280</v>
      </c>
      <c r="EVD868" s="290" t="s">
        <v>280</v>
      </c>
      <c r="EVE868" s="290" t="s">
        <v>280</v>
      </c>
      <c r="EVF868" s="290" t="s">
        <v>280</v>
      </c>
      <c r="EVG868" s="290" t="s">
        <v>280</v>
      </c>
      <c r="EVH868" s="290" t="s">
        <v>280</v>
      </c>
      <c r="EVI868" s="290" t="s">
        <v>280</v>
      </c>
      <c r="EVJ868" s="290" t="s">
        <v>280</v>
      </c>
      <c r="EVK868" s="290" t="s">
        <v>280</v>
      </c>
      <c r="EVL868" s="290" t="s">
        <v>280</v>
      </c>
      <c r="EVM868" s="290" t="s">
        <v>280</v>
      </c>
      <c r="EVN868" s="290" t="s">
        <v>280</v>
      </c>
      <c r="EVO868" s="290" t="s">
        <v>280</v>
      </c>
      <c r="EVP868" s="290" t="s">
        <v>280</v>
      </c>
      <c r="EVQ868" s="290" t="s">
        <v>280</v>
      </c>
      <c r="EVR868" s="290" t="s">
        <v>280</v>
      </c>
      <c r="EVS868" s="290" t="s">
        <v>280</v>
      </c>
      <c r="EVT868" s="290" t="s">
        <v>280</v>
      </c>
      <c r="EVU868" s="290" t="s">
        <v>280</v>
      </c>
      <c r="EVV868" s="290" t="s">
        <v>280</v>
      </c>
      <c r="EVW868" s="290" t="s">
        <v>280</v>
      </c>
      <c r="EVX868" s="290" t="s">
        <v>280</v>
      </c>
      <c r="EVY868" s="290" t="s">
        <v>280</v>
      </c>
      <c r="EVZ868" s="290" t="s">
        <v>280</v>
      </c>
      <c r="EWA868" s="290" t="s">
        <v>280</v>
      </c>
      <c r="EWB868" s="290" t="s">
        <v>280</v>
      </c>
      <c r="EWC868" s="290" t="s">
        <v>280</v>
      </c>
      <c r="EWD868" s="290" t="s">
        <v>280</v>
      </c>
      <c r="EWE868" s="290" t="s">
        <v>280</v>
      </c>
      <c r="EWF868" s="290" t="s">
        <v>280</v>
      </c>
      <c r="EWG868" s="290" t="s">
        <v>280</v>
      </c>
      <c r="EWH868" s="290" t="s">
        <v>280</v>
      </c>
      <c r="EWI868" s="290" t="s">
        <v>280</v>
      </c>
      <c r="EWJ868" s="290" t="s">
        <v>280</v>
      </c>
      <c r="EWK868" s="290" t="s">
        <v>280</v>
      </c>
      <c r="EWL868" s="290" t="s">
        <v>280</v>
      </c>
      <c r="EWM868" s="290" t="s">
        <v>280</v>
      </c>
      <c r="EWN868" s="290" t="s">
        <v>280</v>
      </c>
      <c r="EWO868" s="290" t="s">
        <v>280</v>
      </c>
      <c r="EWP868" s="290" t="s">
        <v>280</v>
      </c>
      <c r="EWQ868" s="290" t="s">
        <v>280</v>
      </c>
      <c r="EWR868" s="290" t="s">
        <v>280</v>
      </c>
      <c r="EWS868" s="290" t="s">
        <v>280</v>
      </c>
      <c r="EWT868" s="290" t="s">
        <v>280</v>
      </c>
      <c r="EWU868" s="290" t="s">
        <v>280</v>
      </c>
      <c r="EWV868" s="290" t="s">
        <v>280</v>
      </c>
      <c r="EWW868" s="290" t="s">
        <v>280</v>
      </c>
      <c r="EWX868" s="290" t="s">
        <v>280</v>
      </c>
      <c r="EWY868" s="290" t="s">
        <v>280</v>
      </c>
      <c r="EWZ868" s="290" t="s">
        <v>280</v>
      </c>
      <c r="EXA868" s="290" t="s">
        <v>280</v>
      </c>
      <c r="EXB868" s="290" t="s">
        <v>280</v>
      </c>
      <c r="EXC868" s="290" t="s">
        <v>280</v>
      </c>
      <c r="EXD868" s="290" t="s">
        <v>280</v>
      </c>
      <c r="EXE868" s="290" t="s">
        <v>280</v>
      </c>
      <c r="EXF868" s="290" t="s">
        <v>280</v>
      </c>
      <c r="EXG868" s="290" t="s">
        <v>280</v>
      </c>
      <c r="EXH868" s="290" t="s">
        <v>280</v>
      </c>
      <c r="EXI868" s="290" t="s">
        <v>280</v>
      </c>
      <c r="EXJ868" s="290" t="s">
        <v>280</v>
      </c>
      <c r="EXK868" s="290" t="s">
        <v>280</v>
      </c>
      <c r="EXL868" s="290" t="s">
        <v>280</v>
      </c>
      <c r="EXM868" s="290" t="s">
        <v>280</v>
      </c>
      <c r="EXN868" s="290" t="s">
        <v>280</v>
      </c>
      <c r="EXO868" s="290" t="s">
        <v>280</v>
      </c>
      <c r="EXP868" s="290" t="s">
        <v>280</v>
      </c>
      <c r="EXQ868" s="290" t="s">
        <v>280</v>
      </c>
      <c r="EXR868" s="290" t="s">
        <v>280</v>
      </c>
      <c r="EXS868" s="290" t="s">
        <v>280</v>
      </c>
      <c r="EXT868" s="290" t="s">
        <v>280</v>
      </c>
      <c r="EXU868" s="290" t="s">
        <v>280</v>
      </c>
      <c r="EXV868" s="290" t="s">
        <v>280</v>
      </c>
      <c r="EXW868" s="290" t="s">
        <v>280</v>
      </c>
      <c r="EXX868" s="290" t="s">
        <v>280</v>
      </c>
      <c r="EXY868" s="290" t="s">
        <v>280</v>
      </c>
      <c r="EXZ868" s="290" t="s">
        <v>280</v>
      </c>
      <c r="EYA868" s="290" t="s">
        <v>280</v>
      </c>
      <c r="EYB868" s="290" t="s">
        <v>280</v>
      </c>
      <c r="EYC868" s="290" t="s">
        <v>280</v>
      </c>
      <c r="EYD868" s="290" t="s">
        <v>280</v>
      </c>
      <c r="EYE868" s="290" t="s">
        <v>280</v>
      </c>
      <c r="EYF868" s="290" t="s">
        <v>280</v>
      </c>
      <c r="EYG868" s="290" t="s">
        <v>280</v>
      </c>
      <c r="EYH868" s="290" t="s">
        <v>280</v>
      </c>
      <c r="EYI868" s="290" t="s">
        <v>280</v>
      </c>
      <c r="EYJ868" s="290" t="s">
        <v>280</v>
      </c>
      <c r="EYK868" s="290" t="s">
        <v>280</v>
      </c>
      <c r="EYL868" s="290" t="s">
        <v>280</v>
      </c>
      <c r="EYM868" s="290" t="s">
        <v>280</v>
      </c>
      <c r="EYN868" s="290" t="s">
        <v>280</v>
      </c>
      <c r="EYO868" s="290" t="s">
        <v>280</v>
      </c>
      <c r="EYP868" s="290" t="s">
        <v>280</v>
      </c>
      <c r="EYQ868" s="290" t="s">
        <v>280</v>
      </c>
      <c r="EYR868" s="290" t="s">
        <v>280</v>
      </c>
      <c r="EYS868" s="290" t="s">
        <v>280</v>
      </c>
      <c r="EYT868" s="290" t="s">
        <v>280</v>
      </c>
      <c r="EYU868" s="290" t="s">
        <v>280</v>
      </c>
      <c r="EYV868" s="290" t="s">
        <v>280</v>
      </c>
      <c r="EYW868" s="290" t="s">
        <v>280</v>
      </c>
      <c r="EYX868" s="290" t="s">
        <v>280</v>
      </c>
      <c r="EYY868" s="290" t="s">
        <v>280</v>
      </c>
      <c r="EYZ868" s="290" t="s">
        <v>280</v>
      </c>
      <c r="EZA868" s="290" t="s">
        <v>280</v>
      </c>
      <c r="EZB868" s="290" t="s">
        <v>280</v>
      </c>
      <c r="EZC868" s="290" t="s">
        <v>280</v>
      </c>
      <c r="EZD868" s="290" t="s">
        <v>280</v>
      </c>
      <c r="EZE868" s="290" t="s">
        <v>280</v>
      </c>
      <c r="EZF868" s="290" t="s">
        <v>280</v>
      </c>
      <c r="EZG868" s="290" t="s">
        <v>280</v>
      </c>
      <c r="EZH868" s="290" t="s">
        <v>280</v>
      </c>
      <c r="EZI868" s="290" t="s">
        <v>280</v>
      </c>
      <c r="EZJ868" s="290" t="s">
        <v>280</v>
      </c>
      <c r="EZK868" s="290" t="s">
        <v>280</v>
      </c>
      <c r="EZL868" s="290" t="s">
        <v>280</v>
      </c>
      <c r="EZM868" s="290" t="s">
        <v>280</v>
      </c>
      <c r="EZN868" s="290" t="s">
        <v>280</v>
      </c>
      <c r="EZO868" s="290" t="s">
        <v>280</v>
      </c>
      <c r="EZP868" s="290" t="s">
        <v>280</v>
      </c>
      <c r="EZQ868" s="290" t="s">
        <v>280</v>
      </c>
      <c r="EZR868" s="290" t="s">
        <v>280</v>
      </c>
      <c r="EZS868" s="290" t="s">
        <v>280</v>
      </c>
      <c r="EZT868" s="290" t="s">
        <v>280</v>
      </c>
      <c r="EZU868" s="290" t="s">
        <v>280</v>
      </c>
      <c r="EZV868" s="290" t="s">
        <v>280</v>
      </c>
      <c r="EZW868" s="290" t="s">
        <v>280</v>
      </c>
      <c r="EZX868" s="290" t="s">
        <v>280</v>
      </c>
      <c r="EZY868" s="290" t="s">
        <v>280</v>
      </c>
      <c r="EZZ868" s="290" t="s">
        <v>280</v>
      </c>
      <c r="FAA868" s="290" t="s">
        <v>280</v>
      </c>
      <c r="FAB868" s="290" t="s">
        <v>280</v>
      </c>
      <c r="FAC868" s="290" t="s">
        <v>280</v>
      </c>
      <c r="FAD868" s="290" t="s">
        <v>280</v>
      </c>
      <c r="FAE868" s="290" t="s">
        <v>280</v>
      </c>
      <c r="FAF868" s="290" t="s">
        <v>280</v>
      </c>
      <c r="FAG868" s="290" t="s">
        <v>280</v>
      </c>
      <c r="FAH868" s="290" t="s">
        <v>280</v>
      </c>
      <c r="FAI868" s="290" t="s">
        <v>280</v>
      </c>
      <c r="FAJ868" s="290" t="s">
        <v>280</v>
      </c>
      <c r="FAK868" s="290" t="s">
        <v>280</v>
      </c>
      <c r="FAL868" s="290" t="s">
        <v>280</v>
      </c>
      <c r="FAM868" s="290" t="s">
        <v>280</v>
      </c>
      <c r="FAN868" s="290" t="s">
        <v>280</v>
      </c>
      <c r="FAO868" s="290" t="s">
        <v>280</v>
      </c>
      <c r="FAP868" s="290" t="s">
        <v>280</v>
      </c>
      <c r="FAQ868" s="290" t="s">
        <v>280</v>
      </c>
      <c r="FAR868" s="290" t="s">
        <v>280</v>
      </c>
      <c r="FAS868" s="290" t="s">
        <v>280</v>
      </c>
      <c r="FAT868" s="290" t="s">
        <v>280</v>
      </c>
      <c r="FAU868" s="290" t="s">
        <v>280</v>
      </c>
      <c r="FAV868" s="290" t="s">
        <v>280</v>
      </c>
      <c r="FAW868" s="290" t="s">
        <v>280</v>
      </c>
      <c r="FAX868" s="290" t="s">
        <v>280</v>
      </c>
      <c r="FAY868" s="290" t="s">
        <v>280</v>
      </c>
      <c r="FAZ868" s="290" t="s">
        <v>280</v>
      </c>
      <c r="FBA868" s="290" t="s">
        <v>280</v>
      </c>
      <c r="FBB868" s="290" t="s">
        <v>280</v>
      </c>
      <c r="FBC868" s="290" t="s">
        <v>280</v>
      </c>
      <c r="FBD868" s="290" t="s">
        <v>280</v>
      </c>
      <c r="FBE868" s="290" t="s">
        <v>280</v>
      </c>
      <c r="FBF868" s="290" t="s">
        <v>280</v>
      </c>
      <c r="FBG868" s="290" t="s">
        <v>280</v>
      </c>
      <c r="FBH868" s="290" t="s">
        <v>280</v>
      </c>
      <c r="FBI868" s="290" t="s">
        <v>280</v>
      </c>
      <c r="FBJ868" s="290" t="s">
        <v>280</v>
      </c>
      <c r="FBK868" s="290" t="s">
        <v>280</v>
      </c>
      <c r="FBL868" s="290" t="s">
        <v>280</v>
      </c>
      <c r="FBM868" s="290" t="s">
        <v>280</v>
      </c>
      <c r="FBN868" s="290" t="s">
        <v>280</v>
      </c>
      <c r="FBO868" s="290" t="s">
        <v>280</v>
      </c>
      <c r="FBP868" s="290" t="s">
        <v>280</v>
      </c>
      <c r="FBQ868" s="290" t="s">
        <v>280</v>
      </c>
      <c r="FBR868" s="290" t="s">
        <v>280</v>
      </c>
      <c r="FBS868" s="290" t="s">
        <v>280</v>
      </c>
      <c r="FBT868" s="290" t="s">
        <v>280</v>
      </c>
      <c r="FBU868" s="290" t="s">
        <v>280</v>
      </c>
      <c r="FBV868" s="290" t="s">
        <v>280</v>
      </c>
      <c r="FBW868" s="290" t="s">
        <v>280</v>
      </c>
      <c r="FBX868" s="290" t="s">
        <v>280</v>
      </c>
      <c r="FBY868" s="290" t="s">
        <v>280</v>
      </c>
      <c r="FBZ868" s="290" t="s">
        <v>280</v>
      </c>
      <c r="FCA868" s="290" t="s">
        <v>280</v>
      </c>
      <c r="FCB868" s="290" t="s">
        <v>280</v>
      </c>
      <c r="FCC868" s="290" t="s">
        <v>280</v>
      </c>
      <c r="FCD868" s="290" t="s">
        <v>280</v>
      </c>
      <c r="FCE868" s="290" t="s">
        <v>280</v>
      </c>
      <c r="FCF868" s="290" t="s">
        <v>280</v>
      </c>
      <c r="FCG868" s="290" t="s">
        <v>280</v>
      </c>
      <c r="FCH868" s="290" t="s">
        <v>280</v>
      </c>
      <c r="FCI868" s="290" t="s">
        <v>280</v>
      </c>
      <c r="FCJ868" s="290" t="s">
        <v>280</v>
      </c>
      <c r="FCK868" s="290" t="s">
        <v>280</v>
      </c>
      <c r="FCL868" s="290" t="s">
        <v>280</v>
      </c>
      <c r="FCM868" s="290" t="s">
        <v>280</v>
      </c>
      <c r="FCN868" s="290" t="s">
        <v>280</v>
      </c>
      <c r="FCO868" s="290" t="s">
        <v>280</v>
      </c>
      <c r="FCP868" s="290" t="s">
        <v>280</v>
      </c>
      <c r="FCQ868" s="290" t="s">
        <v>280</v>
      </c>
      <c r="FCR868" s="290" t="s">
        <v>280</v>
      </c>
      <c r="FCS868" s="290" t="s">
        <v>280</v>
      </c>
      <c r="FCT868" s="290" t="s">
        <v>280</v>
      </c>
      <c r="FCU868" s="290" t="s">
        <v>280</v>
      </c>
      <c r="FCV868" s="290" t="s">
        <v>280</v>
      </c>
      <c r="FCW868" s="290" t="s">
        <v>280</v>
      </c>
      <c r="FCX868" s="290" t="s">
        <v>280</v>
      </c>
      <c r="FCY868" s="290" t="s">
        <v>280</v>
      </c>
      <c r="FCZ868" s="290" t="s">
        <v>280</v>
      </c>
      <c r="FDA868" s="290" t="s">
        <v>280</v>
      </c>
      <c r="FDB868" s="290" t="s">
        <v>280</v>
      </c>
      <c r="FDC868" s="290" t="s">
        <v>280</v>
      </c>
      <c r="FDD868" s="290" t="s">
        <v>280</v>
      </c>
      <c r="FDE868" s="290" t="s">
        <v>280</v>
      </c>
      <c r="FDF868" s="290" t="s">
        <v>280</v>
      </c>
      <c r="FDG868" s="290" t="s">
        <v>280</v>
      </c>
      <c r="FDH868" s="290" t="s">
        <v>280</v>
      </c>
      <c r="FDI868" s="290" t="s">
        <v>280</v>
      </c>
      <c r="FDJ868" s="290" t="s">
        <v>280</v>
      </c>
      <c r="FDK868" s="290" t="s">
        <v>280</v>
      </c>
      <c r="FDL868" s="290" t="s">
        <v>280</v>
      </c>
      <c r="FDM868" s="290" t="s">
        <v>280</v>
      </c>
      <c r="FDN868" s="290" t="s">
        <v>280</v>
      </c>
      <c r="FDO868" s="290" t="s">
        <v>280</v>
      </c>
      <c r="FDP868" s="290" t="s">
        <v>280</v>
      </c>
      <c r="FDQ868" s="290" t="s">
        <v>280</v>
      </c>
      <c r="FDR868" s="290" t="s">
        <v>280</v>
      </c>
      <c r="FDS868" s="290" t="s">
        <v>280</v>
      </c>
      <c r="FDT868" s="290" t="s">
        <v>280</v>
      </c>
      <c r="FDU868" s="290" t="s">
        <v>280</v>
      </c>
      <c r="FDV868" s="290" t="s">
        <v>280</v>
      </c>
      <c r="FDW868" s="290" t="s">
        <v>280</v>
      </c>
      <c r="FDX868" s="290" t="s">
        <v>280</v>
      </c>
      <c r="FDY868" s="290" t="s">
        <v>280</v>
      </c>
      <c r="FDZ868" s="290" t="s">
        <v>280</v>
      </c>
      <c r="FEA868" s="290" t="s">
        <v>280</v>
      </c>
      <c r="FEB868" s="290" t="s">
        <v>280</v>
      </c>
      <c r="FEC868" s="290" t="s">
        <v>280</v>
      </c>
      <c r="FED868" s="290" t="s">
        <v>280</v>
      </c>
      <c r="FEE868" s="290" t="s">
        <v>280</v>
      </c>
      <c r="FEF868" s="290" t="s">
        <v>280</v>
      </c>
      <c r="FEG868" s="290" t="s">
        <v>280</v>
      </c>
      <c r="FEH868" s="290" t="s">
        <v>280</v>
      </c>
      <c r="FEI868" s="290" t="s">
        <v>280</v>
      </c>
      <c r="FEJ868" s="290" t="s">
        <v>280</v>
      </c>
      <c r="FEK868" s="290" t="s">
        <v>280</v>
      </c>
      <c r="FEL868" s="290" t="s">
        <v>280</v>
      </c>
      <c r="FEM868" s="290" t="s">
        <v>280</v>
      </c>
      <c r="FEN868" s="290" t="s">
        <v>280</v>
      </c>
      <c r="FEO868" s="290" t="s">
        <v>280</v>
      </c>
      <c r="FEP868" s="290" t="s">
        <v>280</v>
      </c>
      <c r="FEQ868" s="290" t="s">
        <v>280</v>
      </c>
      <c r="FER868" s="290" t="s">
        <v>280</v>
      </c>
      <c r="FES868" s="290" t="s">
        <v>280</v>
      </c>
      <c r="FET868" s="290" t="s">
        <v>280</v>
      </c>
      <c r="FEU868" s="290" t="s">
        <v>280</v>
      </c>
      <c r="FEV868" s="290" t="s">
        <v>280</v>
      </c>
      <c r="FEW868" s="290" t="s">
        <v>280</v>
      </c>
      <c r="FEX868" s="290" t="s">
        <v>280</v>
      </c>
      <c r="FEY868" s="290" t="s">
        <v>280</v>
      </c>
      <c r="FEZ868" s="290" t="s">
        <v>280</v>
      </c>
      <c r="FFA868" s="290" t="s">
        <v>280</v>
      </c>
      <c r="FFB868" s="290" t="s">
        <v>280</v>
      </c>
      <c r="FFC868" s="290" t="s">
        <v>280</v>
      </c>
      <c r="FFD868" s="290" t="s">
        <v>280</v>
      </c>
      <c r="FFE868" s="290" t="s">
        <v>280</v>
      </c>
      <c r="FFF868" s="290" t="s">
        <v>280</v>
      </c>
      <c r="FFG868" s="290" t="s">
        <v>280</v>
      </c>
      <c r="FFH868" s="290" t="s">
        <v>280</v>
      </c>
      <c r="FFI868" s="290" t="s">
        <v>280</v>
      </c>
      <c r="FFJ868" s="290" t="s">
        <v>280</v>
      </c>
      <c r="FFK868" s="290" t="s">
        <v>280</v>
      </c>
      <c r="FFL868" s="290" t="s">
        <v>280</v>
      </c>
      <c r="FFM868" s="290" t="s">
        <v>280</v>
      </c>
      <c r="FFN868" s="290" t="s">
        <v>280</v>
      </c>
      <c r="FFO868" s="290" t="s">
        <v>280</v>
      </c>
      <c r="FFP868" s="290" t="s">
        <v>280</v>
      </c>
      <c r="FFQ868" s="290" t="s">
        <v>280</v>
      </c>
      <c r="FFR868" s="290" t="s">
        <v>280</v>
      </c>
      <c r="FFS868" s="290" t="s">
        <v>280</v>
      </c>
      <c r="FFT868" s="290" t="s">
        <v>280</v>
      </c>
      <c r="FFU868" s="290" t="s">
        <v>280</v>
      </c>
      <c r="FFV868" s="290" t="s">
        <v>280</v>
      </c>
      <c r="FFW868" s="290" t="s">
        <v>280</v>
      </c>
      <c r="FFX868" s="290" t="s">
        <v>280</v>
      </c>
      <c r="FFY868" s="290" t="s">
        <v>280</v>
      </c>
      <c r="FFZ868" s="290" t="s">
        <v>280</v>
      </c>
      <c r="FGA868" s="290" t="s">
        <v>280</v>
      </c>
      <c r="FGB868" s="290" t="s">
        <v>280</v>
      </c>
      <c r="FGC868" s="290" t="s">
        <v>280</v>
      </c>
      <c r="FGD868" s="290" t="s">
        <v>280</v>
      </c>
      <c r="FGE868" s="290" t="s">
        <v>280</v>
      </c>
      <c r="FGF868" s="290" t="s">
        <v>280</v>
      </c>
      <c r="FGG868" s="290" t="s">
        <v>280</v>
      </c>
      <c r="FGH868" s="290" t="s">
        <v>280</v>
      </c>
      <c r="FGI868" s="290" t="s">
        <v>280</v>
      </c>
      <c r="FGJ868" s="290" t="s">
        <v>280</v>
      </c>
      <c r="FGK868" s="290" t="s">
        <v>280</v>
      </c>
      <c r="FGL868" s="290" t="s">
        <v>280</v>
      </c>
      <c r="FGM868" s="290" t="s">
        <v>280</v>
      </c>
      <c r="FGN868" s="290" t="s">
        <v>280</v>
      </c>
      <c r="FGO868" s="290" t="s">
        <v>280</v>
      </c>
      <c r="FGP868" s="290" t="s">
        <v>280</v>
      </c>
      <c r="FGQ868" s="290" t="s">
        <v>280</v>
      </c>
      <c r="FGR868" s="290" t="s">
        <v>280</v>
      </c>
      <c r="FGS868" s="290" t="s">
        <v>280</v>
      </c>
      <c r="FGT868" s="290" t="s">
        <v>280</v>
      </c>
      <c r="FGU868" s="290" t="s">
        <v>280</v>
      </c>
      <c r="FGV868" s="290" t="s">
        <v>280</v>
      </c>
      <c r="FGW868" s="290" t="s">
        <v>280</v>
      </c>
      <c r="FGX868" s="290" t="s">
        <v>280</v>
      </c>
      <c r="FGY868" s="290" t="s">
        <v>280</v>
      </c>
      <c r="FGZ868" s="290" t="s">
        <v>280</v>
      </c>
      <c r="FHA868" s="290" t="s">
        <v>280</v>
      </c>
      <c r="FHB868" s="290" t="s">
        <v>280</v>
      </c>
      <c r="FHC868" s="290" t="s">
        <v>280</v>
      </c>
      <c r="FHD868" s="290" t="s">
        <v>280</v>
      </c>
      <c r="FHE868" s="290" t="s">
        <v>280</v>
      </c>
      <c r="FHF868" s="290" t="s">
        <v>280</v>
      </c>
      <c r="FHG868" s="290" t="s">
        <v>280</v>
      </c>
      <c r="FHH868" s="290" t="s">
        <v>280</v>
      </c>
      <c r="FHI868" s="290" t="s">
        <v>280</v>
      </c>
      <c r="FHJ868" s="290" t="s">
        <v>280</v>
      </c>
      <c r="FHK868" s="290" t="s">
        <v>280</v>
      </c>
      <c r="FHL868" s="290" t="s">
        <v>280</v>
      </c>
      <c r="FHM868" s="290" t="s">
        <v>280</v>
      </c>
      <c r="FHN868" s="290" t="s">
        <v>280</v>
      </c>
      <c r="FHO868" s="290" t="s">
        <v>280</v>
      </c>
      <c r="FHP868" s="290" t="s">
        <v>280</v>
      </c>
      <c r="FHQ868" s="290" t="s">
        <v>280</v>
      </c>
      <c r="FHR868" s="290" t="s">
        <v>280</v>
      </c>
      <c r="FHS868" s="290" t="s">
        <v>280</v>
      </c>
      <c r="FHT868" s="290" t="s">
        <v>280</v>
      </c>
      <c r="FHU868" s="290" t="s">
        <v>280</v>
      </c>
      <c r="FHV868" s="290" t="s">
        <v>280</v>
      </c>
      <c r="FHW868" s="290" t="s">
        <v>280</v>
      </c>
      <c r="FHX868" s="290" t="s">
        <v>280</v>
      </c>
      <c r="FHY868" s="290" t="s">
        <v>280</v>
      </c>
      <c r="FHZ868" s="290" t="s">
        <v>280</v>
      </c>
      <c r="FIA868" s="290" t="s">
        <v>280</v>
      </c>
      <c r="FIB868" s="290" t="s">
        <v>280</v>
      </c>
      <c r="FIC868" s="290" t="s">
        <v>280</v>
      </c>
      <c r="FID868" s="290" t="s">
        <v>280</v>
      </c>
      <c r="FIE868" s="290" t="s">
        <v>280</v>
      </c>
      <c r="FIF868" s="290" t="s">
        <v>280</v>
      </c>
      <c r="FIG868" s="290" t="s">
        <v>280</v>
      </c>
      <c r="FIH868" s="290" t="s">
        <v>280</v>
      </c>
      <c r="FII868" s="290" t="s">
        <v>280</v>
      </c>
      <c r="FIJ868" s="290" t="s">
        <v>280</v>
      </c>
      <c r="FIK868" s="290" t="s">
        <v>280</v>
      </c>
      <c r="FIL868" s="290" t="s">
        <v>280</v>
      </c>
      <c r="FIM868" s="290" t="s">
        <v>280</v>
      </c>
      <c r="FIN868" s="290" t="s">
        <v>280</v>
      </c>
      <c r="FIO868" s="290" t="s">
        <v>280</v>
      </c>
      <c r="FIP868" s="290" t="s">
        <v>280</v>
      </c>
      <c r="FIQ868" s="290" t="s">
        <v>280</v>
      </c>
      <c r="FIR868" s="290" t="s">
        <v>280</v>
      </c>
      <c r="FIS868" s="290" t="s">
        <v>280</v>
      </c>
      <c r="FIT868" s="290" t="s">
        <v>280</v>
      </c>
      <c r="FIU868" s="290" t="s">
        <v>280</v>
      </c>
      <c r="FIV868" s="290" t="s">
        <v>280</v>
      </c>
      <c r="FIW868" s="290" t="s">
        <v>280</v>
      </c>
      <c r="FIX868" s="290" t="s">
        <v>280</v>
      </c>
      <c r="FIY868" s="290" t="s">
        <v>280</v>
      </c>
      <c r="FIZ868" s="290" t="s">
        <v>280</v>
      </c>
      <c r="FJA868" s="290" t="s">
        <v>280</v>
      </c>
      <c r="FJB868" s="290" t="s">
        <v>280</v>
      </c>
      <c r="FJC868" s="290" t="s">
        <v>280</v>
      </c>
      <c r="FJD868" s="290" t="s">
        <v>280</v>
      </c>
      <c r="FJE868" s="290" t="s">
        <v>280</v>
      </c>
      <c r="FJF868" s="290" t="s">
        <v>280</v>
      </c>
      <c r="FJG868" s="290" t="s">
        <v>280</v>
      </c>
      <c r="FJH868" s="290" t="s">
        <v>280</v>
      </c>
      <c r="FJI868" s="290" t="s">
        <v>280</v>
      </c>
      <c r="FJJ868" s="290" t="s">
        <v>280</v>
      </c>
      <c r="FJK868" s="290" t="s">
        <v>280</v>
      </c>
      <c r="FJL868" s="290" t="s">
        <v>280</v>
      </c>
      <c r="FJM868" s="290" t="s">
        <v>280</v>
      </c>
      <c r="FJN868" s="290" t="s">
        <v>280</v>
      </c>
      <c r="FJO868" s="290" t="s">
        <v>280</v>
      </c>
      <c r="FJP868" s="290" t="s">
        <v>280</v>
      </c>
      <c r="FJQ868" s="290" t="s">
        <v>280</v>
      </c>
      <c r="FJR868" s="290" t="s">
        <v>280</v>
      </c>
      <c r="FJS868" s="290" t="s">
        <v>280</v>
      </c>
      <c r="FJT868" s="290" t="s">
        <v>280</v>
      </c>
      <c r="FJU868" s="290" t="s">
        <v>280</v>
      </c>
      <c r="FJV868" s="290" t="s">
        <v>280</v>
      </c>
      <c r="FJW868" s="290" t="s">
        <v>280</v>
      </c>
      <c r="FJX868" s="290" t="s">
        <v>280</v>
      </c>
      <c r="FJY868" s="290" t="s">
        <v>280</v>
      </c>
      <c r="FJZ868" s="290" t="s">
        <v>280</v>
      </c>
      <c r="FKA868" s="290" t="s">
        <v>280</v>
      </c>
      <c r="FKB868" s="290" t="s">
        <v>280</v>
      </c>
      <c r="FKC868" s="290" t="s">
        <v>280</v>
      </c>
      <c r="FKD868" s="290" t="s">
        <v>280</v>
      </c>
      <c r="FKE868" s="290" t="s">
        <v>280</v>
      </c>
      <c r="FKF868" s="290" t="s">
        <v>280</v>
      </c>
      <c r="FKG868" s="290" t="s">
        <v>280</v>
      </c>
      <c r="FKH868" s="290" t="s">
        <v>280</v>
      </c>
      <c r="FKI868" s="290" t="s">
        <v>280</v>
      </c>
      <c r="FKJ868" s="290" t="s">
        <v>280</v>
      </c>
      <c r="FKK868" s="290" t="s">
        <v>280</v>
      </c>
      <c r="FKL868" s="290" t="s">
        <v>280</v>
      </c>
      <c r="FKM868" s="290" t="s">
        <v>280</v>
      </c>
      <c r="FKN868" s="290" t="s">
        <v>280</v>
      </c>
      <c r="FKO868" s="290" t="s">
        <v>280</v>
      </c>
      <c r="FKP868" s="290" t="s">
        <v>280</v>
      </c>
      <c r="FKQ868" s="290" t="s">
        <v>280</v>
      </c>
      <c r="FKR868" s="290" t="s">
        <v>280</v>
      </c>
      <c r="FKS868" s="290" t="s">
        <v>280</v>
      </c>
      <c r="FKT868" s="290" t="s">
        <v>280</v>
      </c>
      <c r="FKU868" s="290" t="s">
        <v>280</v>
      </c>
      <c r="FKV868" s="290" t="s">
        <v>280</v>
      </c>
      <c r="FKW868" s="290" t="s">
        <v>280</v>
      </c>
      <c r="FKX868" s="290" t="s">
        <v>280</v>
      </c>
      <c r="FKY868" s="290" t="s">
        <v>280</v>
      </c>
      <c r="FKZ868" s="290" t="s">
        <v>280</v>
      </c>
      <c r="FLA868" s="290" t="s">
        <v>280</v>
      </c>
      <c r="FLB868" s="290" t="s">
        <v>280</v>
      </c>
      <c r="FLC868" s="290" t="s">
        <v>280</v>
      </c>
      <c r="FLD868" s="290" t="s">
        <v>280</v>
      </c>
      <c r="FLE868" s="290" t="s">
        <v>280</v>
      </c>
      <c r="FLF868" s="290" t="s">
        <v>280</v>
      </c>
      <c r="FLG868" s="290" t="s">
        <v>280</v>
      </c>
      <c r="FLH868" s="290" t="s">
        <v>280</v>
      </c>
      <c r="FLI868" s="290" t="s">
        <v>280</v>
      </c>
      <c r="FLJ868" s="290" t="s">
        <v>280</v>
      </c>
      <c r="FLK868" s="290" t="s">
        <v>280</v>
      </c>
      <c r="FLL868" s="290" t="s">
        <v>280</v>
      </c>
      <c r="FLM868" s="290" t="s">
        <v>280</v>
      </c>
      <c r="FLN868" s="290" t="s">
        <v>280</v>
      </c>
      <c r="FLO868" s="290" t="s">
        <v>280</v>
      </c>
      <c r="FLP868" s="290" t="s">
        <v>280</v>
      </c>
      <c r="FLQ868" s="290" t="s">
        <v>280</v>
      </c>
      <c r="FLR868" s="290" t="s">
        <v>280</v>
      </c>
      <c r="FLS868" s="290" t="s">
        <v>280</v>
      </c>
      <c r="FLT868" s="290" t="s">
        <v>280</v>
      </c>
      <c r="FLU868" s="290" t="s">
        <v>280</v>
      </c>
      <c r="FLV868" s="290" t="s">
        <v>280</v>
      </c>
      <c r="FLW868" s="290" t="s">
        <v>280</v>
      </c>
      <c r="FLX868" s="290" t="s">
        <v>280</v>
      </c>
      <c r="FLY868" s="290" t="s">
        <v>280</v>
      </c>
      <c r="FLZ868" s="290" t="s">
        <v>280</v>
      </c>
      <c r="FMA868" s="290" t="s">
        <v>280</v>
      </c>
      <c r="FMB868" s="290" t="s">
        <v>280</v>
      </c>
      <c r="FMC868" s="290" t="s">
        <v>280</v>
      </c>
      <c r="FMD868" s="290" t="s">
        <v>280</v>
      </c>
      <c r="FME868" s="290" t="s">
        <v>280</v>
      </c>
      <c r="FMF868" s="290" t="s">
        <v>280</v>
      </c>
      <c r="FMG868" s="290" t="s">
        <v>280</v>
      </c>
      <c r="FMH868" s="290" t="s">
        <v>280</v>
      </c>
      <c r="FMI868" s="290" t="s">
        <v>280</v>
      </c>
      <c r="FMJ868" s="290" t="s">
        <v>280</v>
      </c>
      <c r="FMK868" s="290" t="s">
        <v>280</v>
      </c>
      <c r="FML868" s="290" t="s">
        <v>280</v>
      </c>
      <c r="FMM868" s="290" t="s">
        <v>280</v>
      </c>
      <c r="FMN868" s="290" t="s">
        <v>280</v>
      </c>
      <c r="FMO868" s="290" t="s">
        <v>280</v>
      </c>
      <c r="FMP868" s="290" t="s">
        <v>280</v>
      </c>
      <c r="FMQ868" s="290" t="s">
        <v>280</v>
      </c>
      <c r="FMR868" s="290" t="s">
        <v>280</v>
      </c>
      <c r="FMS868" s="290" t="s">
        <v>280</v>
      </c>
      <c r="FMT868" s="290" t="s">
        <v>280</v>
      </c>
      <c r="FMU868" s="290" t="s">
        <v>280</v>
      </c>
      <c r="FMV868" s="290" t="s">
        <v>280</v>
      </c>
      <c r="FMW868" s="290" t="s">
        <v>280</v>
      </c>
      <c r="FMX868" s="290" t="s">
        <v>280</v>
      </c>
      <c r="FMY868" s="290" t="s">
        <v>280</v>
      </c>
      <c r="FMZ868" s="290" t="s">
        <v>280</v>
      </c>
      <c r="FNA868" s="290" t="s">
        <v>280</v>
      </c>
      <c r="FNB868" s="290" t="s">
        <v>280</v>
      </c>
      <c r="FNC868" s="290" t="s">
        <v>280</v>
      </c>
      <c r="FND868" s="290" t="s">
        <v>280</v>
      </c>
      <c r="FNE868" s="290" t="s">
        <v>280</v>
      </c>
      <c r="FNF868" s="290" t="s">
        <v>280</v>
      </c>
      <c r="FNG868" s="290" t="s">
        <v>280</v>
      </c>
      <c r="FNH868" s="290" t="s">
        <v>280</v>
      </c>
      <c r="FNI868" s="290" t="s">
        <v>280</v>
      </c>
      <c r="FNJ868" s="290" t="s">
        <v>280</v>
      </c>
      <c r="FNK868" s="290" t="s">
        <v>280</v>
      </c>
      <c r="FNL868" s="290" t="s">
        <v>280</v>
      </c>
      <c r="FNM868" s="290" t="s">
        <v>280</v>
      </c>
      <c r="FNN868" s="290" t="s">
        <v>280</v>
      </c>
      <c r="FNO868" s="290" t="s">
        <v>280</v>
      </c>
      <c r="FNP868" s="290" t="s">
        <v>280</v>
      </c>
      <c r="FNQ868" s="290" t="s">
        <v>280</v>
      </c>
      <c r="FNR868" s="290" t="s">
        <v>280</v>
      </c>
      <c r="FNS868" s="290" t="s">
        <v>280</v>
      </c>
      <c r="FNT868" s="290" t="s">
        <v>280</v>
      </c>
      <c r="FNU868" s="290" t="s">
        <v>280</v>
      </c>
      <c r="FNV868" s="290" t="s">
        <v>280</v>
      </c>
      <c r="FNW868" s="290" t="s">
        <v>280</v>
      </c>
      <c r="FNX868" s="290" t="s">
        <v>280</v>
      </c>
      <c r="FNY868" s="290" t="s">
        <v>280</v>
      </c>
      <c r="FNZ868" s="290" t="s">
        <v>280</v>
      </c>
      <c r="FOA868" s="290" t="s">
        <v>280</v>
      </c>
      <c r="FOB868" s="290" t="s">
        <v>280</v>
      </c>
      <c r="FOC868" s="290" t="s">
        <v>280</v>
      </c>
      <c r="FOD868" s="290" t="s">
        <v>280</v>
      </c>
      <c r="FOE868" s="290" t="s">
        <v>280</v>
      </c>
      <c r="FOF868" s="290" t="s">
        <v>280</v>
      </c>
      <c r="FOG868" s="290" t="s">
        <v>280</v>
      </c>
      <c r="FOH868" s="290" t="s">
        <v>280</v>
      </c>
      <c r="FOI868" s="290" t="s">
        <v>280</v>
      </c>
      <c r="FOJ868" s="290" t="s">
        <v>280</v>
      </c>
      <c r="FOK868" s="290" t="s">
        <v>280</v>
      </c>
      <c r="FOL868" s="290" t="s">
        <v>280</v>
      </c>
      <c r="FOM868" s="290" t="s">
        <v>280</v>
      </c>
      <c r="FON868" s="290" t="s">
        <v>280</v>
      </c>
      <c r="FOO868" s="290" t="s">
        <v>280</v>
      </c>
      <c r="FOP868" s="290" t="s">
        <v>280</v>
      </c>
      <c r="FOQ868" s="290" t="s">
        <v>280</v>
      </c>
      <c r="FOR868" s="290" t="s">
        <v>280</v>
      </c>
      <c r="FOS868" s="290" t="s">
        <v>280</v>
      </c>
      <c r="FOT868" s="290" t="s">
        <v>280</v>
      </c>
      <c r="FOU868" s="290" t="s">
        <v>280</v>
      </c>
      <c r="FOV868" s="290" t="s">
        <v>280</v>
      </c>
      <c r="FOW868" s="290" t="s">
        <v>280</v>
      </c>
      <c r="FOX868" s="290" t="s">
        <v>280</v>
      </c>
      <c r="FOY868" s="290" t="s">
        <v>280</v>
      </c>
      <c r="FOZ868" s="290" t="s">
        <v>280</v>
      </c>
      <c r="FPA868" s="290" t="s">
        <v>280</v>
      </c>
      <c r="FPB868" s="290" t="s">
        <v>280</v>
      </c>
      <c r="FPC868" s="290" t="s">
        <v>280</v>
      </c>
      <c r="FPD868" s="290" t="s">
        <v>280</v>
      </c>
      <c r="FPE868" s="290" t="s">
        <v>280</v>
      </c>
      <c r="FPF868" s="290" t="s">
        <v>280</v>
      </c>
      <c r="FPG868" s="290" t="s">
        <v>280</v>
      </c>
      <c r="FPH868" s="290" t="s">
        <v>280</v>
      </c>
      <c r="FPI868" s="290" t="s">
        <v>280</v>
      </c>
      <c r="FPJ868" s="290" t="s">
        <v>280</v>
      </c>
      <c r="FPK868" s="290" t="s">
        <v>280</v>
      </c>
      <c r="FPL868" s="290" t="s">
        <v>280</v>
      </c>
      <c r="FPM868" s="290" t="s">
        <v>280</v>
      </c>
      <c r="FPN868" s="290" t="s">
        <v>280</v>
      </c>
      <c r="FPO868" s="290" t="s">
        <v>280</v>
      </c>
      <c r="FPP868" s="290" t="s">
        <v>280</v>
      </c>
      <c r="FPQ868" s="290" t="s">
        <v>280</v>
      </c>
      <c r="FPR868" s="290" t="s">
        <v>280</v>
      </c>
      <c r="FPS868" s="290" t="s">
        <v>280</v>
      </c>
      <c r="FPT868" s="290" t="s">
        <v>280</v>
      </c>
      <c r="FPU868" s="290" t="s">
        <v>280</v>
      </c>
      <c r="FPV868" s="290" t="s">
        <v>280</v>
      </c>
      <c r="FPW868" s="290" t="s">
        <v>280</v>
      </c>
      <c r="FPX868" s="290" t="s">
        <v>280</v>
      </c>
      <c r="FPY868" s="290" t="s">
        <v>280</v>
      </c>
      <c r="FPZ868" s="290" t="s">
        <v>280</v>
      </c>
      <c r="FQA868" s="290" t="s">
        <v>280</v>
      </c>
      <c r="FQB868" s="290" t="s">
        <v>280</v>
      </c>
      <c r="FQC868" s="290" t="s">
        <v>280</v>
      </c>
      <c r="FQD868" s="290" t="s">
        <v>280</v>
      </c>
      <c r="FQE868" s="290" t="s">
        <v>280</v>
      </c>
      <c r="FQF868" s="290" t="s">
        <v>280</v>
      </c>
      <c r="FQG868" s="290" t="s">
        <v>280</v>
      </c>
      <c r="FQH868" s="290" t="s">
        <v>280</v>
      </c>
      <c r="FQI868" s="290" t="s">
        <v>280</v>
      </c>
      <c r="FQJ868" s="290" t="s">
        <v>280</v>
      </c>
      <c r="FQK868" s="290" t="s">
        <v>280</v>
      </c>
      <c r="FQL868" s="290" t="s">
        <v>280</v>
      </c>
      <c r="FQM868" s="290" t="s">
        <v>280</v>
      </c>
      <c r="FQN868" s="290" t="s">
        <v>280</v>
      </c>
      <c r="FQO868" s="290" t="s">
        <v>280</v>
      </c>
      <c r="FQP868" s="290" t="s">
        <v>280</v>
      </c>
      <c r="FQQ868" s="290" t="s">
        <v>280</v>
      </c>
      <c r="FQR868" s="290" t="s">
        <v>280</v>
      </c>
      <c r="FQS868" s="290" t="s">
        <v>280</v>
      </c>
      <c r="FQT868" s="290" t="s">
        <v>280</v>
      </c>
      <c r="FQU868" s="290" t="s">
        <v>280</v>
      </c>
      <c r="FQV868" s="290" t="s">
        <v>280</v>
      </c>
      <c r="FQW868" s="290" t="s">
        <v>280</v>
      </c>
      <c r="FQX868" s="290" t="s">
        <v>280</v>
      </c>
      <c r="FQY868" s="290" t="s">
        <v>280</v>
      </c>
      <c r="FQZ868" s="290" t="s">
        <v>280</v>
      </c>
      <c r="FRA868" s="290" t="s">
        <v>280</v>
      </c>
      <c r="FRB868" s="290" t="s">
        <v>280</v>
      </c>
      <c r="FRC868" s="290" t="s">
        <v>280</v>
      </c>
      <c r="FRD868" s="290" t="s">
        <v>280</v>
      </c>
      <c r="FRE868" s="290" t="s">
        <v>280</v>
      </c>
      <c r="FRF868" s="290" t="s">
        <v>280</v>
      </c>
      <c r="FRG868" s="290" t="s">
        <v>280</v>
      </c>
      <c r="FRH868" s="290" t="s">
        <v>280</v>
      </c>
      <c r="FRI868" s="290" t="s">
        <v>280</v>
      </c>
      <c r="FRJ868" s="290" t="s">
        <v>280</v>
      </c>
      <c r="FRK868" s="290" t="s">
        <v>280</v>
      </c>
      <c r="FRL868" s="290" t="s">
        <v>280</v>
      </c>
      <c r="FRM868" s="290" t="s">
        <v>280</v>
      </c>
      <c r="FRN868" s="290" t="s">
        <v>280</v>
      </c>
      <c r="FRO868" s="290" t="s">
        <v>280</v>
      </c>
      <c r="FRP868" s="290" t="s">
        <v>280</v>
      </c>
      <c r="FRQ868" s="290" t="s">
        <v>280</v>
      </c>
      <c r="FRR868" s="290" t="s">
        <v>280</v>
      </c>
      <c r="FRS868" s="290" t="s">
        <v>280</v>
      </c>
      <c r="FRT868" s="290" t="s">
        <v>280</v>
      </c>
      <c r="FRU868" s="290" t="s">
        <v>280</v>
      </c>
      <c r="FRV868" s="290" t="s">
        <v>280</v>
      </c>
      <c r="FRW868" s="290" t="s">
        <v>280</v>
      </c>
      <c r="FRX868" s="290" t="s">
        <v>280</v>
      </c>
      <c r="FRY868" s="290" t="s">
        <v>280</v>
      </c>
      <c r="FRZ868" s="290" t="s">
        <v>280</v>
      </c>
      <c r="FSA868" s="290" t="s">
        <v>280</v>
      </c>
      <c r="FSB868" s="290" t="s">
        <v>280</v>
      </c>
      <c r="FSC868" s="290" t="s">
        <v>280</v>
      </c>
      <c r="FSD868" s="290" t="s">
        <v>280</v>
      </c>
      <c r="FSE868" s="290" t="s">
        <v>280</v>
      </c>
      <c r="FSF868" s="290" t="s">
        <v>280</v>
      </c>
      <c r="FSG868" s="290" t="s">
        <v>280</v>
      </c>
      <c r="FSH868" s="290" t="s">
        <v>280</v>
      </c>
      <c r="FSI868" s="290" t="s">
        <v>280</v>
      </c>
      <c r="FSJ868" s="290" t="s">
        <v>280</v>
      </c>
      <c r="FSK868" s="290" t="s">
        <v>280</v>
      </c>
      <c r="FSL868" s="290" t="s">
        <v>280</v>
      </c>
      <c r="FSM868" s="290" t="s">
        <v>280</v>
      </c>
      <c r="FSN868" s="290" t="s">
        <v>280</v>
      </c>
      <c r="FSO868" s="290" t="s">
        <v>280</v>
      </c>
      <c r="FSP868" s="290" t="s">
        <v>280</v>
      </c>
      <c r="FSQ868" s="290" t="s">
        <v>280</v>
      </c>
      <c r="FSR868" s="290" t="s">
        <v>280</v>
      </c>
      <c r="FSS868" s="290" t="s">
        <v>280</v>
      </c>
      <c r="FST868" s="290" t="s">
        <v>280</v>
      </c>
      <c r="FSU868" s="290" t="s">
        <v>280</v>
      </c>
      <c r="FSV868" s="290" t="s">
        <v>280</v>
      </c>
      <c r="FSW868" s="290" t="s">
        <v>280</v>
      </c>
      <c r="FSX868" s="290" t="s">
        <v>280</v>
      </c>
      <c r="FSY868" s="290" t="s">
        <v>280</v>
      </c>
      <c r="FSZ868" s="290" t="s">
        <v>280</v>
      </c>
      <c r="FTA868" s="290" t="s">
        <v>280</v>
      </c>
      <c r="FTB868" s="290" t="s">
        <v>280</v>
      </c>
      <c r="FTC868" s="290" t="s">
        <v>280</v>
      </c>
      <c r="FTD868" s="290" t="s">
        <v>280</v>
      </c>
      <c r="FTE868" s="290" t="s">
        <v>280</v>
      </c>
      <c r="FTF868" s="290" t="s">
        <v>280</v>
      </c>
      <c r="FTG868" s="290" t="s">
        <v>280</v>
      </c>
      <c r="FTH868" s="290" t="s">
        <v>280</v>
      </c>
      <c r="FTI868" s="290" t="s">
        <v>280</v>
      </c>
      <c r="FTJ868" s="290" t="s">
        <v>280</v>
      </c>
      <c r="FTK868" s="290" t="s">
        <v>280</v>
      </c>
      <c r="FTL868" s="290" t="s">
        <v>280</v>
      </c>
      <c r="FTM868" s="290" t="s">
        <v>280</v>
      </c>
      <c r="FTN868" s="290" t="s">
        <v>280</v>
      </c>
      <c r="FTO868" s="290" t="s">
        <v>280</v>
      </c>
      <c r="FTP868" s="290" t="s">
        <v>280</v>
      </c>
      <c r="FTQ868" s="290" t="s">
        <v>280</v>
      </c>
      <c r="FTR868" s="290" t="s">
        <v>280</v>
      </c>
      <c r="FTS868" s="290" t="s">
        <v>280</v>
      </c>
      <c r="FTT868" s="290" t="s">
        <v>280</v>
      </c>
      <c r="FTU868" s="290" t="s">
        <v>280</v>
      </c>
      <c r="FTV868" s="290" t="s">
        <v>280</v>
      </c>
      <c r="FTW868" s="290" t="s">
        <v>280</v>
      </c>
      <c r="FTX868" s="290" t="s">
        <v>280</v>
      </c>
      <c r="FTY868" s="290" t="s">
        <v>280</v>
      </c>
      <c r="FTZ868" s="290" t="s">
        <v>280</v>
      </c>
      <c r="FUA868" s="290" t="s">
        <v>280</v>
      </c>
      <c r="FUB868" s="290" t="s">
        <v>280</v>
      </c>
      <c r="FUC868" s="290" t="s">
        <v>280</v>
      </c>
      <c r="FUD868" s="290" t="s">
        <v>280</v>
      </c>
      <c r="FUE868" s="290" t="s">
        <v>280</v>
      </c>
      <c r="FUF868" s="290" t="s">
        <v>280</v>
      </c>
      <c r="FUG868" s="290" t="s">
        <v>280</v>
      </c>
      <c r="FUH868" s="290" t="s">
        <v>280</v>
      </c>
      <c r="FUI868" s="290" t="s">
        <v>280</v>
      </c>
      <c r="FUJ868" s="290" t="s">
        <v>280</v>
      </c>
      <c r="FUK868" s="290" t="s">
        <v>280</v>
      </c>
      <c r="FUL868" s="290" t="s">
        <v>280</v>
      </c>
      <c r="FUM868" s="290" t="s">
        <v>280</v>
      </c>
      <c r="FUN868" s="290" t="s">
        <v>280</v>
      </c>
      <c r="FUO868" s="290" t="s">
        <v>280</v>
      </c>
      <c r="FUP868" s="290" t="s">
        <v>280</v>
      </c>
      <c r="FUQ868" s="290" t="s">
        <v>280</v>
      </c>
      <c r="FUR868" s="290" t="s">
        <v>280</v>
      </c>
      <c r="FUS868" s="290" t="s">
        <v>280</v>
      </c>
      <c r="FUT868" s="290" t="s">
        <v>280</v>
      </c>
      <c r="FUU868" s="290" t="s">
        <v>280</v>
      </c>
      <c r="FUV868" s="290" t="s">
        <v>280</v>
      </c>
      <c r="FUW868" s="290" t="s">
        <v>280</v>
      </c>
      <c r="FUX868" s="290" t="s">
        <v>280</v>
      </c>
      <c r="FUY868" s="290" t="s">
        <v>280</v>
      </c>
      <c r="FUZ868" s="290" t="s">
        <v>280</v>
      </c>
      <c r="FVA868" s="290" t="s">
        <v>280</v>
      </c>
      <c r="FVB868" s="290" t="s">
        <v>280</v>
      </c>
      <c r="FVC868" s="290" t="s">
        <v>280</v>
      </c>
      <c r="FVD868" s="290" t="s">
        <v>280</v>
      </c>
      <c r="FVE868" s="290" t="s">
        <v>280</v>
      </c>
      <c r="FVF868" s="290" t="s">
        <v>280</v>
      </c>
      <c r="FVG868" s="290" t="s">
        <v>280</v>
      </c>
      <c r="FVH868" s="290" t="s">
        <v>280</v>
      </c>
      <c r="FVI868" s="290" t="s">
        <v>280</v>
      </c>
      <c r="FVJ868" s="290" t="s">
        <v>280</v>
      </c>
      <c r="FVK868" s="290" t="s">
        <v>280</v>
      </c>
      <c r="FVL868" s="290" t="s">
        <v>280</v>
      </c>
      <c r="FVM868" s="290" t="s">
        <v>280</v>
      </c>
      <c r="FVN868" s="290" t="s">
        <v>280</v>
      </c>
      <c r="FVO868" s="290" t="s">
        <v>280</v>
      </c>
      <c r="FVP868" s="290" t="s">
        <v>280</v>
      </c>
      <c r="FVQ868" s="290" t="s">
        <v>280</v>
      </c>
      <c r="FVR868" s="290" t="s">
        <v>280</v>
      </c>
      <c r="FVS868" s="290" t="s">
        <v>280</v>
      </c>
      <c r="FVT868" s="290" t="s">
        <v>280</v>
      </c>
      <c r="FVU868" s="290" t="s">
        <v>280</v>
      </c>
      <c r="FVV868" s="290" t="s">
        <v>280</v>
      </c>
      <c r="FVW868" s="290" t="s">
        <v>280</v>
      </c>
      <c r="FVX868" s="290" t="s">
        <v>280</v>
      </c>
      <c r="FVY868" s="290" t="s">
        <v>280</v>
      </c>
      <c r="FVZ868" s="290" t="s">
        <v>280</v>
      </c>
      <c r="FWA868" s="290" t="s">
        <v>280</v>
      </c>
      <c r="FWB868" s="290" t="s">
        <v>280</v>
      </c>
      <c r="FWC868" s="290" t="s">
        <v>280</v>
      </c>
      <c r="FWD868" s="290" t="s">
        <v>280</v>
      </c>
      <c r="FWE868" s="290" t="s">
        <v>280</v>
      </c>
      <c r="FWF868" s="290" t="s">
        <v>280</v>
      </c>
      <c r="FWG868" s="290" t="s">
        <v>280</v>
      </c>
      <c r="FWH868" s="290" t="s">
        <v>280</v>
      </c>
      <c r="FWI868" s="290" t="s">
        <v>280</v>
      </c>
      <c r="FWJ868" s="290" t="s">
        <v>280</v>
      </c>
      <c r="FWK868" s="290" t="s">
        <v>280</v>
      </c>
      <c r="FWL868" s="290" t="s">
        <v>280</v>
      </c>
      <c r="FWM868" s="290" t="s">
        <v>280</v>
      </c>
      <c r="FWN868" s="290" t="s">
        <v>280</v>
      </c>
      <c r="FWO868" s="290" t="s">
        <v>280</v>
      </c>
      <c r="FWP868" s="290" t="s">
        <v>280</v>
      </c>
      <c r="FWQ868" s="290" t="s">
        <v>280</v>
      </c>
      <c r="FWR868" s="290" t="s">
        <v>280</v>
      </c>
      <c r="FWS868" s="290" t="s">
        <v>280</v>
      </c>
      <c r="FWT868" s="290" t="s">
        <v>280</v>
      </c>
      <c r="FWU868" s="290" t="s">
        <v>280</v>
      </c>
      <c r="FWV868" s="290" t="s">
        <v>280</v>
      </c>
      <c r="FWW868" s="290" t="s">
        <v>280</v>
      </c>
      <c r="FWX868" s="290" t="s">
        <v>280</v>
      </c>
      <c r="FWY868" s="290" t="s">
        <v>280</v>
      </c>
      <c r="FWZ868" s="290" t="s">
        <v>280</v>
      </c>
      <c r="FXA868" s="290" t="s">
        <v>280</v>
      </c>
      <c r="FXB868" s="290" t="s">
        <v>280</v>
      </c>
      <c r="FXC868" s="290" t="s">
        <v>280</v>
      </c>
      <c r="FXD868" s="290" t="s">
        <v>280</v>
      </c>
      <c r="FXE868" s="290" t="s">
        <v>280</v>
      </c>
      <c r="FXF868" s="290" t="s">
        <v>280</v>
      </c>
      <c r="FXG868" s="290" t="s">
        <v>280</v>
      </c>
      <c r="FXH868" s="290" t="s">
        <v>280</v>
      </c>
      <c r="FXI868" s="290" t="s">
        <v>280</v>
      </c>
      <c r="FXJ868" s="290" t="s">
        <v>280</v>
      </c>
      <c r="FXK868" s="290" t="s">
        <v>280</v>
      </c>
      <c r="FXL868" s="290" t="s">
        <v>280</v>
      </c>
      <c r="FXM868" s="290" t="s">
        <v>280</v>
      </c>
      <c r="FXN868" s="290" t="s">
        <v>280</v>
      </c>
      <c r="FXO868" s="290" t="s">
        <v>280</v>
      </c>
      <c r="FXP868" s="290" t="s">
        <v>280</v>
      </c>
      <c r="FXQ868" s="290" t="s">
        <v>280</v>
      </c>
      <c r="FXR868" s="290" t="s">
        <v>280</v>
      </c>
      <c r="FXS868" s="290" t="s">
        <v>280</v>
      </c>
      <c r="FXT868" s="290" t="s">
        <v>280</v>
      </c>
      <c r="FXU868" s="290" t="s">
        <v>280</v>
      </c>
      <c r="FXV868" s="290" t="s">
        <v>280</v>
      </c>
      <c r="FXW868" s="290" t="s">
        <v>280</v>
      </c>
      <c r="FXX868" s="290" t="s">
        <v>280</v>
      </c>
      <c r="FXY868" s="290" t="s">
        <v>280</v>
      </c>
      <c r="FXZ868" s="290" t="s">
        <v>280</v>
      </c>
      <c r="FYA868" s="290" t="s">
        <v>280</v>
      </c>
      <c r="FYB868" s="290" t="s">
        <v>280</v>
      </c>
      <c r="FYC868" s="290" t="s">
        <v>280</v>
      </c>
      <c r="FYD868" s="290" t="s">
        <v>280</v>
      </c>
      <c r="FYE868" s="290" t="s">
        <v>280</v>
      </c>
      <c r="FYF868" s="290" t="s">
        <v>280</v>
      </c>
      <c r="FYG868" s="290" t="s">
        <v>280</v>
      </c>
      <c r="FYH868" s="290" t="s">
        <v>280</v>
      </c>
      <c r="FYI868" s="290" t="s">
        <v>280</v>
      </c>
      <c r="FYJ868" s="290" t="s">
        <v>280</v>
      </c>
      <c r="FYK868" s="290" t="s">
        <v>280</v>
      </c>
      <c r="FYL868" s="290" t="s">
        <v>280</v>
      </c>
      <c r="FYM868" s="290" t="s">
        <v>280</v>
      </c>
      <c r="FYN868" s="290" t="s">
        <v>280</v>
      </c>
      <c r="FYO868" s="290" t="s">
        <v>280</v>
      </c>
      <c r="FYP868" s="290" t="s">
        <v>280</v>
      </c>
      <c r="FYQ868" s="290" t="s">
        <v>280</v>
      </c>
      <c r="FYR868" s="290" t="s">
        <v>280</v>
      </c>
      <c r="FYS868" s="290" t="s">
        <v>280</v>
      </c>
      <c r="FYT868" s="290" t="s">
        <v>280</v>
      </c>
      <c r="FYU868" s="290" t="s">
        <v>280</v>
      </c>
      <c r="FYV868" s="290" t="s">
        <v>280</v>
      </c>
      <c r="FYW868" s="290" t="s">
        <v>280</v>
      </c>
      <c r="FYX868" s="290" t="s">
        <v>280</v>
      </c>
      <c r="FYY868" s="290" t="s">
        <v>280</v>
      </c>
      <c r="FYZ868" s="290" t="s">
        <v>280</v>
      </c>
      <c r="FZA868" s="290" t="s">
        <v>280</v>
      </c>
      <c r="FZB868" s="290" t="s">
        <v>280</v>
      </c>
      <c r="FZC868" s="290" t="s">
        <v>280</v>
      </c>
      <c r="FZD868" s="290" t="s">
        <v>280</v>
      </c>
      <c r="FZE868" s="290" t="s">
        <v>280</v>
      </c>
      <c r="FZF868" s="290" t="s">
        <v>280</v>
      </c>
      <c r="FZG868" s="290" t="s">
        <v>280</v>
      </c>
      <c r="FZH868" s="290" t="s">
        <v>280</v>
      </c>
      <c r="FZI868" s="290" t="s">
        <v>280</v>
      </c>
      <c r="FZJ868" s="290" t="s">
        <v>280</v>
      </c>
      <c r="FZK868" s="290" t="s">
        <v>280</v>
      </c>
      <c r="FZL868" s="290" t="s">
        <v>280</v>
      </c>
      <c r="FZM868" s="290" t="s">
        <v>280</v>
      </c>
      <c r="FZN868" s="290" t="s">
        <v>280</v>
      </c>
      <c r="FZO868" s="290" t="s">
        <v>280</v>
      </c>
      <c r="FZP868" s="290" t="s">
        <v>280</v>
      </c>
      <c r="FZQ868" s="290" t="s">
        <v>280</v>
      </c>
      <c r="FZR868" s="290" t="s">
        <v>280</v>
      </c>
      <c r="FZS868" s="290" t="s">
        <v>280</v>
      </c>
      <c r="FZT868" s="290" t="s">
        <v>280</v>
      </c>
      <c r="FZU868" s="290" t="s">
        <v>280</v>
      </c>
      <c r="FZV868" s="290" t="s">
        <v>280</v>
      </c>
      <c r="FZW868" s="290" t="s">
        <v>280</v>
      </c>
      <c r="FZX868" s="290" t="s">
        <v>280</v>
      </c>
      <c r="FZY868" s="290" t="s">
        <v>280</v>
      </c>
      <c r="FZZ868" s="290" t="s">
        <v>280</v>
      </c>
      <c r="GAA868" s="290" t="s">
        <v>280</v>
      </c>
      <c r="GAB868" s="290" t="s">
        <v>280</v>
      </c>
      <c r="GAC868" s="290" t="s">
        <v>280</v>
      </c>
      <c r="GAD868" s="290" t="s">
        <v>280</v>
      </c>
      <c r="GAE868" s="290" t="s">
        <v>280</v>
      </c>
      <c r="GAF868" s="290" t="s">
        <v>280</v>
      </c>
      <c r="GAG868" s="290" t="s">
        <v>280</v>
      </c>
      <c r="GAH868" s="290" t="s">
        <v>280</v>
      </c>
      <c r="GAI868" s="290" t="s">
        <v>280</v>
      </c>
      <c r="GAJ868" s="290" t="s">
        <v>280</v>
      </c>
      <c r="GAK868" s="290" t="s">
        <v>280</v>
      </c>
      <c r="GAL868" s="290" t="s">
        <v>280</v>
      </c>
      <c r="GAM868" s="290" t="s">
        <v>280</v>
      </c>
      <c r="GAN868" s="290" t="s">
        <v>280</v>
      </c>
      <c r="GAO868" s="290" t="s">
        <v>280</v>
      </c>
      <c r="GAP868" s="290" t="s">
        <v>280</v>
      </c>
      <c r="GAQ868" s="290" t="s">
        <v>280</v>
      </c>
      <c r="GAR868" s="290" t="s">
        <v>280</v>
      </c>
      <c r="GAS868" s="290" t="s">
        <v>280</v>
      </c>
      <c r="GAT868" s="290" t="s">
        <v>280</v>
      </c>
      <c r="GAU868" s="290" t="s">
        <v>280</v>
      </c>
      <c r="GAV868" s="290" t="s">
        <v>280</v>
      </c>
      <c r="GAW868" s="290" t="s">
        <v>280</v>
      </c>
      <c r="GAX868" s="290" t="s">
        <v>280</v>
      </c>
      <c r="GAY868" s="290" t="s">
        <v>280</v>
      </c>
      <c r="GAZ868" s="290" t="s">
        <v>280</v>
      </c>
      <c r="GBA868" s="290" t="s">
        <v>280</v>
      </c>
      <c r="GBB868" s="290" t="s">
        <v>280</v>
      </c>
      <c r="GBC868" s="290" t="s">
        <v>280</v>
      </c>
      <c r="GBD868" s="290" t="s">
        <v>280</v>
      </c>
      <c r="GBE868" s="290" t="s">
        <v>280</v>
      </c>
      <c r="GBF868" s="290" t="s">
        <v>280</v>
      </c>
      <c r="GBG868" s="290" t="s">
        <v>280</v>
      </c>
      <c r="GBH868" s="290" t="s">
        <v>280</v>
      </c>
      <c r="GBI868" s="290" t="s">
        <v>280</v>
      </c>
      <c r="GBJ868" s="290" t="s">
        <v>280</v>
      </c>
      <c r="GBK868" s="290" t="s">
        <v>280</v>
      </c>
      <c r="GBL868" s="290" t="s">
        <v>280</v>
      </c>
      <c r="GBM868" s="290" t="s">
        <v>280</v>
      </c>
      <c r="GBN868" s="290" t="s">
        <v>280</v>
      </c>
      <c r="GBO868" s="290" t="s">
        <v>280</v>
      </c>
      <c r="GBP868" s="290" t="s">
        <v>280</v>
      </c>
      <c r="GBQ868" s="290" t="s">
        <v>280</v>
      </c>
      <c r="GBR868" s="290" t="s">
        <v>280</v>
      </c>
      <c r="GBS868" s="290" t="s">
        <v>280</v>
      </c>
      <c r="GBT868" s="290" t="s">
        <v>280</v>
      </c>
      <c r="GBU868" s="290" t="s">
        <v>280</v>
      </c>
      <c r="GBV868" s="290" t="s">
        <v>280</v>
      </c>
      <c r="GBW868" s="290" t="s">
        <v>280</v>
      </c>
      <c r="GBX868" s="290" t="s">
        <v>280</v>
      </c>
      <c r="GBY868" s="290" t="s">
        <v>280</v>
      </c>
      <c r="GBZ868" s="290" t="s">
        <v>280</v>
      </c>
      <c r="GCA868" s="290" t="s">
        <v>280</v>
      </c>
      <c r="GCB868" s="290" t="s">
        <v>280</v>
      </c>
      <c r="GCC868" s="290" t="s">
        <v>280</v>
      </c>
      <c r="GCD868" s="290" t="s">
        <v>280</v>
      </c>
      <c r="GCE868" s="290" t="s">
        <v>280</v>
      </c>
      <c r="GCF868" s="290" t="s">
        <v>280</v>
      </c>
      <c r="GCG868" s="290" t="s">
        <v>280</v>
      </c>
      <c r="GCH868" s="290" t="s">
        <v>280</v>
      </c>
      <c r="GCI868" s="290" t="s">
        <v>280</v>
      </c>
      <c r="GCJ868" s="290" t="s">
        <v>280</v>
      </c>
      <c r="GCK868" s="290" t="s">
        <v>280</v>
      </c>
      <c r="GCL868" s="290" t="s">
        <v>280</v>
      </c>
      <c r="GCM868" s="290" t="s">
        <v>280</v>
      </c>
      <c r="GCN868" s="290" t="s">
        <v>280</v>
      </c>
      <c r="GCO868" s="290" t="s">
        <v>280</v>
      </c>
      <c r="GCP868" s="290" t="s">
        <v>280</v>
      </c>
      <c r="GCQ868" s="290" t="s">
        <v>280</v>
      </c>
      <c r="GCR868" s="290" t="s">
        <v>280</v>
      </c>
      <c r="GCS868" s="290" t="s">
        <v>280</v>
      </c>
      <c r="GCT868" s="290" t="s">
        <v>280</v>
      </c>
      <c r="GCU868" s="290" t="s">
        <v>280</v>
      </c>
      <c r="GCV868" s="290" t="s">
        <v>280</v>
      </c>
      <c r="GCW868" s="290" t="s">
        <v>280</v>
      </c>
      <c r="GCX868" s="290" t="s">
        <v>280</v>
      </c>
      <c r="GCY868" s="290" t="s">
        <v>280</v>
      </c>
      <c r="GCZ868" s="290" t="s">
        <v>280</v>
      </c>
      <c r="GDA868" s="290" t="s">
        <v>280</v>
      </c>
      <c r="GDB868" s="290" t="s">
        <v>280</v>
      </c>
      <c r="GDC868" s="290" t="s">
        <v>280</v>
      </c>
      <c r="GDD868" s="290" t="s">
        <v>280</v>
      </c>
      <c r="GDE868" s="290" t="s">
        <v>280</v>
      </c>
      <c r="GDF868" s="290" t="s">
        <v>280</v>
      </c>
      <c r="GDG868" s="290" t="s">
        <v>280</v>
      </c>
      <c r="GDH868" s="290" t="s">
        <v>280</v>
      </c>
      <c r="GDI868" s="290" t="s">
        <v>280</v>
      </c>
      <c r="GDJ868" s="290" t="s">
        <v>280</v>
      </c>
      <c r="GDK868" s="290" t="s">
        <v>280</v>
      </c>
      <c r="GDL868" s="290" t="s">
        <v>280</v>
      </c>
      <c r="GDM868" s="290" t="s">
        <v>280</v>
      </c>
      <c r="GDN868" s="290" t="s">
        <v>280</v>
      </c>
      <c r="GDO868" s="290" t="s">
        <v>280</v>
      </c>
      <c r="GDP868" s="290" t="s">
        <v>280</v>
      </c>
      <c r="GDQ868" s="290" t="s">
        <v>280</v>
      </c>
      <c r="GDR868" s="290" t="s">
        <v>280</v>
      </c>
      <c r="GDS868" s="290" t="s">
        <v>280</v>
      </c>
      <c r="GDT868" s="290" t="s">
        <v>280</v>
      </c>
      <c r="GDU868" s="290" t="s">
        <v>280</v>
      </c>
      <c r="GDV868" s="290" t="s">
        <v>280</v>
      </c>
      <c r="GDW868" s="290" t="s">
        <v>280</v>
      </c>
      <c r="GDX868" s="290" t="s">
        <v>280</v>
      </c>
      <c r="GDY868" s="290" t="s">
        <v>280</v>
      </c>
      <c r="GDZ868" s="290" t="s">
        <v>280</v>
      </c>
      <c r="GEA868" s="290" t="s">
        <v>280</v>
      </c>
      <c r="GEB868" s="290" t="s">
        <v>280</v>
      </c>
      <c r="GEC868" s="290" t="s">
        <v>280</v>
      </c>
      <c r="GED868" s="290" t="s">
        <v>280</v>
      </c>
      <c r="GEE868" s="290" t="s">
        <v>280</v>
      </c>
      <c r="GEF868" s="290" t="s">
        <v>280</v>
      </c>
      <c r="GEG868" s="290" t="s">
        <v>280</v>
      </c>
      <c r="GEH868" s="290" t="s">
        <v>280</v>
      </c>
      <c r="GEI868" s="290" t="s">
        <v>280</v>
      </c>
      <c r="GEJ868" s="290" t="s">
        <v>280</v>
      </c>
      <c r="GEK868" s="290" t="s">
        <v>280</v>
      </c>
      <c r="GEL868" s="290" t="s">
        <v>280</v>
      </c>
      <c r="GEM868" s="290" t="s">
        <v>280</v>
      </c>
      <c r="GEN868" s="290" t="s">
        <v>280</v>
      </c>
      <c r="GEO868" s="290" t="s">
        <v>280</v>
      </c>
      <c r="GEP868" s="290" t="s">
        <v>280</v>
      </c>
      <c r="GEQ868" s="290" t="s">
        <v>280</v>
      </c>
      <c r="GER868" s="290" t="s">
        <v>280</v>
      </c>
      <c r="GES868" s="290" t="s">
        <v>280</v>
      </c>
      <c r="GET868" s="290" t="s">
        <v>280</v>
      </c>
      <c r="GEU868" s="290" t="s">
        <v>280</v>
      </c>
      <c r="GEV868" s="290" t="s">
        <v>280</v>
      </c>
      <c r="GEW868" s="290" t="s">
        <v>280</v>
      </c>
      <c r="GEX868" s="290" t="s">
        <v>280</v>
      </c>
      <c r="GEY868" s="290" t="s">
        <v>280</v>
      </c>
      <c r="GEZ868" s="290" t="s">
        <v>280</v>
      </c>
      <c r="GFA868" s="290" t="s">
        <v>280</v>
      </c>
      <c r="GFB868" s="290" t="s">
        <v>280</v>
      </c>
      <c r="GFC868" s="290" t="s">
        <v>280</v>
      </c>
      <c r="GFD868" s="290" t="s">
        <v>280</v>
      </c>
      <c r="GFE868" s="290" t="s">
        <v>280</v>
      </c>
      <c r="GFF868" s="290" t="s">
        <v>280</v>
      </c>
      <c r="GFG868" s="290" t="s">
        <v>280</v>
      </c>
      <c r="GFH868" s="290" t="s">
        <v>280</v>
      </c>
      <c r="GFI868" s="290" t="s">
        <v>280</v>
      </c>
      <c r="GFJ868" s="290" t="s">
        <v>280</v>
      </c>
      <c r="GFK868" s="290" t="s">
        <v>280</v>
      </c>
      <c r="GFL868" s="290" t="s">
        <v>280</v>
      </c>
      <c r="GFM868" s="290" t="s">
        <v>280</v>
      </c>
      <c r="GFN868" s="290" t="s">
        <v>280</v>
      </c>
      <c r="GFO868" s="290" t="s">
        <v>280</v>
      </c>
      <c r="GFP868" s="290" t="s">
        <v>280</v>
      </c>
      <c r="GFQ868" s="290" t="s">
        <v>280</v>
      </c>
      <c r="GFR868" s="290" t="s">
        <v>280</v>
      </c>
      <c r="GFS868" s="290" t="s">
        <v>280</v>
      </c>
      <c r="GFT868" s="290" t="s">
        <v>280</v>
      </c>
      <c r="GFU868" s="290" t="s">
        <v>280</v>
      </c>
      <c r="GFV868" s="290" t="s">
        <v>280</v>
      </c>
      <c r="GFW868" s="290" t="s">
        <v>280</v>
      </c>
      <c r="GFX868" s="290" t="s">
        <v>280</v>
      </c>
      <c r="GFY868" s="290" t="s">
        <v>280</v>
      </c>
      <c r="GFZ868" s="290" t="s">
        <v>280</v>
      </c>
      <c r="GGA868" s="290" t="s">
        <v>280</v>
      </c>
      <c r="GGB868" s="290" t="s">
        <v>280</v>
      </c>
      <c r="GGC868" s="290" t="s">
        <v>280</v>
      </c>
      <c r="GGD868" s="290" t="s">
        <v>280</v>
      </c>
      <c r="GGE868" s="290" t="s">
        <v>280</v>
      </c>
      <c r="GGF868" s="290" t="s">
        <v>280</v>
      </c>
      <c r="GGG868" s="290" t="s">
        <v>280</v>
      </c>
      <c r="GGH868" s="290" t="s">
        <v>280</v>
      </c>
      <c r="GGI868" s="290" t="s">
        <v>280</v>
      </c>
      <c r="GGJ868" s="290" t="s">
        <v>280</v>
      </c>
      <c r="GGK868" s="290" t="s">
        <v>280</v>
      </c>
      <c r="GGL868" s="290" t="s">
        <v>280</v>
      </c>
      <c r="GGM868" s="290" t="s">
        <v>280</v>
      </c>
      <c r="GGN868" s="290" t="s">
        <v>280</v>
      </c>
      <c r="GGO868" s="290" t="s">
        <v>280</v>
      </c>
      <c r="GGP868" s="290" t="s">
        <v>280</v>
      </c>
      <c r="GGQ868" s="290" t="s">
        <v>280</v>
      </c>
      <c r="GGR868" s="290" t="s">
        <v>280</v>
      </c>
      <c r="GGS868" s="290" t="s">
        <v>280</v>
      </c>
      <c r="GGT868" s="290" t="s">
        <v>280</v>
      </c>
      <c r="GGU868" s="290" t="s">
        <v>280</v>
      </c>
      <c r="GGV868" s="290" t="s">
        <v>280</v>
      </c>
      <c r="GGW868" s="290" t="s">
        <v>280</v>
      </c>
      <c r="GGX868" s="290" t="s">
        <v>280</v>
      </c>
      <c r="GGY868" s="290" t="s">
        <v>280</v>
      </c>
      <c r="GGZ868" s="290" t="s">
        <v>280</v>
      </c>
      <c r="GHA868" s="290" t="s">
        <v>280</v>
      </c>
      <c r="GHB868" s="290" t="s">
        <v>280</v>
      </c>
      <c r="GHC868" s="290" t="s">
        <v>280</v>
      </c>
      <c r="GHD868" s="290" t="s">
        <v>280</v>
      </c>
      <c r="GHE868" s="290" t="s">
        <v>280</v>
      </c>
      <c r="GHF868" s="290" t="s">
        <v>280</v>
      </c>
      <c r="GHG868" s="290" t="s">
        <v>280</v>
      </c>
      <c r="GHH868" s="290" t="s">
        <v>280</v>
      </c>
      <c r="GHI868" s="290" t="s">
        <v>280</v>
      </c>
      <c r="GHJ868" s="290" t="s">
        <v>280</v>
      </c>
      <c r="GHK868" s="290" t="s">
        <v>280</v>
      </c>
      <c r="GHL868" s="290" t="s">
        <v>280</v>
      </c>
      <c r="GHM868" s="290" t="s">
        <v>280</v>
      </c>
      <c r="GHN868" s="290" t="s">
        <v>280</v>
      </c>
      <c r="GHO868" s="290" t="s">
        <v>280</v>
      </c>
      <c r="GHP868" s="290" t="s">
        <v>280</v>
      </c>
      <c r="GHQ868" s="290" t="s">
        <v>280</v>
      </c>
      <c r="GHR868" s="290" t="s">
        <v>280</v>
      </c>
      <c r="GHS868" s="290" t="s">
        <v>280</v>
      </c>
      <c r="GHT868" s="290" t="s">
        <v>280</v>
      </c>
      <c r="GHU868" s="290" t="s">
        <v>280</v>
      </c>
      <c r="GHV868" s="290" t="s">
        <v>280</v>
      </c>
      <c r="GHW868" s="290" t="s">
        <v>280</v>
      </c>
      <c r="GHX868" s="290" t="s">
        <v>280</v>
      </c>
      <c r="GHY868" s="290" t="s">
        <v>280</v>
      </c>
      <c r="GHZ868" s="290" t="s">
        <v>280</v>
      </c>
      <c r="GIA868" s="290" t="s">
        <v>280</v>
      </c>
      <c r="GIB868" s="290" t="s">
        <v>280</v>
      </c>
      <c r="GIC868" s="290" t="s">
        <v>280</v>
      </c>
      <c r="GID868" s="290" t="s">
        <v>280</v>
      </c>
      <c r="GIE868" s="290" t="s">
        <v>280</v>
      </c>
      <c r="GIF868" s="290" t="s">
        <v>280</v>
      </c>
      <c r="GIG868" s="290" t="s">
        <v>280</v>
      </c>
      <c r="GIH868" s="290" t="s">
        <v>280</v>
      </c>
      <c r="GII868" s="290" t="s">
        <v>280</v>
      </c>
      <c r="GIJ868" s="290" t="s">
        <v>280</v>
      </c>
      <c r="GIK868" s="290" t="s">
        <v>280</v>
      </c>
      <c r="GIL868" s="290" t="s">
        <v>280</v>
      </c>
      <c r="GIM868" s="290" t="s">
        <v>280</v>
      </c>
      <c r="GIN868" s="290" t="s">
        <v>280</v>
      </c>
      <c r="GIO868" s="290" t="s">
        <v>280</v>
      </c>
      <c r="GIP868" s="290" t="s">
        <v>280</v>
      </c>
      <c r="GIQ868" s="290" t="s">
        <v>280</v>
      </c>
      <c r="GIR868" s="290" t="s">
        <v>280</v>
      </c>
      <c r="GIS868" s="290" t="s">
        <v>280</v>
      </c>
      <c r="GIT868" s="290" t="s">
        <v>280</v>
      </c>
      <c r="GIU868" s="290" t="s">
        <v>280</v>
      </c>
      <c r="GIV868" s="290" t="s">
        <v>280</v>
      </c>
      <c r="GIW868" s="290" t="s">
        <v>280</v>
      </c>
      <c r="GIX868" s="290" t="s">
        <v>280</v>
      </c>
      <c r="GIY868" s="290" t="s">
        <v>280</v>
      </c>
      <c r="GIZ868" s="290" t="s">
        <v>280</v>
      </c>
      <c r="GJA868" s="290" t="s">
        <v>280</v>
      </c>
      <c r="GJB868" s="290" t="s">
        <v>280</v>
      </c>
      <c r="GJC868" s="290" t="s">
        <v>280</v>
      </c>
      <c r="GJD868" s="290" t="s">
        <v>280</v>
      </c>
      <c r="GJE868" s="290" t="s">
        <v>280</v>
      </c>
      <c r="GJF868" s="290" t="s">
        <v>280</v>
      </c>
      <c r="GJG868" s="290" t="s">
        <v>280</v>
      </c>
      <c r="GJH868" s="290" t="s">
        <v>280</v>
      </c>
      <c r="GJI868" s="290" t="s">
        <v>280</v>
      </c>
      <c r="GJJ868" s="290" t="s">
        <v>280</v>
      </c>
      <c r="GJK868" s="290" t="s">
        <v>280</v>
      </c>
      <c r="GJL868" s="290" t="s">
        <v>280</v>
      </c>
      <c r="GJM868" s="290" t="s">
        <v>280</v>
      </c>
      <c r="GJN868" s="290" t="s">
        <v>280</v>
      </c>
      <c r="GJO868" s="290" t="s">
        <v>280</v>
      </c>
      <c r="GJP868" s="290" t="s">
        <v>280</v>
      </c>
      <c r="GJQ868" s="290" t="s">
        <v>280</v>
      </c>
      <c r="GJR868" s="290" t="s">
        <v>280</v>
      </c>
      <c r="GJS868" s="290" t="s">
        <v>280</v>
      </c>
      <c r="GJT868" s="290" t="s">
        <v>280</v>
      </c>
      <c r="GJU868" s="290" t="s">
        <v>280</v>
      </c>
      <c r="GJV868" s="290" t="s">
        <v>280</v>
      </c>
      <c r="GJW868" s="290" t="s">
        <v>280</v>
      </c>
      <c r="GJX868" s="290" t="s">
        <v>280</v>
      </c>
      <c r="GJY868" s="290" t="s">
        <v>280</v>
      </c>
      <c r="GJZ868" s="290" t="s">
        <v>280</v>
      </c>
      <c r="GKA868" s="290" t="s">
        <v>280</v>
      </c>
      <c r="GKB868" s="290" t="s">
        <v>280</v>
      </c>
      <c r="GKC868" s="290" t="s">
        <v>280</v>
      </c>
      <c r="GKD868" s="290" t="s">
        <v>280</v>
      </c>
      <c r="GKE868" s="290" t="s">
        <v>280</v>
      </c>
      <c r="GKF868" s="290" t="s">
        <v>280</v>
      </c>
      <c r="GKG868" s="290" t="s">
        <v>280</v>
      </c>
      <c r="GKH868" s="290" t="s">
        <v>280</v>
      </c>
      <c r="GKI868" s="290" t="s">
        <v>280</v>
      </c>
      <c r="GKJ868" s="290" t="s">
        <v>280</v>
      </c>
      <c r="GKK868" s="290" t="s">
        <v>280</v>
      </c>
      <c r="GKL868" s="290" t="s">
        <v>280</v>
      </c>
      <c r="GKM868" s="290" t="s">
        <v>280</v>
      </c>
      <c r="GKN868" s="290" t="s">
        <v>280</v>
      </c>
      <c r="GKO868" s="290" t="s">
        <v>280</v>
      </c>
      <c r="GKP868" s="290" t="s">
        <v>280</v>
      </c>
      <c r="GKQ868" s="290" t="s">
        <v>280</v>
      </c>
      <c r="GKR868" s="290" t="s">
        <v>280</v>
      </c>
      <c r="GKS868" s="290" t="s">
        <v>280</v>
      </c>
      <c r="GKT868" s="290" t="s">
        <v>280</v>
      </c>
      <c r="GKU868" s="290" t="s">
        <v>280</v>
      </c>
      <c r="GKV868" s="290" t="s">
        <v>280</v>
      </c>
      <c r="GKW868" s="290" t="s">
        <v>280</v>
      </c>
      <c r="GKX868" s="290" t="s">
        <v>280</v>
      </c>
      <c r="GKY868" s="290" t="s">
        <v>280</v>
      </c>
      <c r="GKZ868" s="290" t="s">
        <v>280</v>
      </c>
      <c r="GLA868" s="290" t="s">
        <v>280</v>
      </c>
      <c r="GLB868" s="290" t="s">
        <v>280</v>
      </c>
      <c r="GLC868" s="290" t="s">
        <v>280</v>
      </c>
      <c r="GLD868" s="290" t="s">
        <v>280</v>
      </c>
      <c r="GLE868" s="290" t="s">
        <v>280</v>
      </c>
      <c r="GLF868" s="290" t="s">
        <v>280</v>
      </c>
      <c r="GLG868" s="290" t="s">
        <v>280</v>
      </c>
      <c r="GLH868" s="290" t="s">
        <v>280</v>
      </c>
      <c r="GLI868" s="290" t="s">
        <v>280</v>
      </c>
      <c r="GLJ868" s="290" t="s">
        <v>280</v>
      </c>
      <c r="GLK868" s="290" t="s">
        <v>280</v>
      </c>
      <c r="GLL868" s="290" t="s">
        <v>280</v>
      </c>
      <c r="GLM868" s="290" t="s">
        <v>280</v>
      </c>
      <c r="GLN868" s="290" t="s">
        <v>280</v>
      </c>
      <c r="GLO868" s="290" t="s">
        <v>280</v>
      </c>
      <c r="GLP868" s="290" t="s">
        <v>280</v>
      </c>
      <c r="GLQ868" s="290" t="s">
        <v>280</v>
      </c>
      <c r="GLR868" s="290" t="s">
        <v>280</v>
      </c>
      <c r="GLS868" s="290" t="s">
        <v>280</v>
      </c>
      <c r="GLT868" s="290" t="s">
        <v>280</v>
      </c>
      <c r="GLU868" s="290" t="s">
        <v>280</v>
      </c>
      <c r="GLV868" s="290" t="s">
        <v>280</v>
      </c>
      <c r="GLW868" s="290" t="s">
        <v>280</v>
      </c>
      <c r="GLX868" s="290" t="s">
        <v>280</v>
      </c>
      <c r="GLY868" s="290" t="s">
        <v>280</v>
      </c>
      <c r="GLZ868" s="290" t="s">
        <v>280</v>
      </c>
      <c r="GMA868" s="290" t="s">
        <v>280</v>
      </c>
      <c r="GMB868" s="290" t="s">
        <v>280</v>
      </c>
      <c r="GMC868" s="290" t="s">
        <v>280</v>
      </c>
      <c r="GMD868" s="290" t="s">
        <v>280</v>
      </c>
      <c r="GME868" s="290" t="s">
        <v>280</v>
      </c>
      <c r="GMF868" s="290" t="s">
        <v>280</v>
      </c>
      <c r="GMG868" s="290" t="s">
        <v>280</v>
      </c>
      <c r="GMH868" s="290" t="s">
        <v>280</v>
      </c>
      <c r="GMI868" s="290" t="s">
        <v>280</v>
      </c>
      <c r="GMJ868" s="290" t="s">
        <v>280</v>
      </c>
      <c r="GMK868" s="290" t="s">
        <v>280</v>
      </c>
      <c r="GML868" s="290" t="s">
        <v>280</v>
      </c>
      <c r="GMM868" s="290" t="s">
        <v>280</v>
      </c>
      <c r="GMN868" s="290" t="s">
        <v>280</v>
      </c>
      <c r="GMO868" s="290" t="s">
        <v>280</v>
      </c>
      <c r="GMP868" s="290" t="s">
        <v>280</v>
      </c>
      <c r="GMQ868" s="290" t="s">
        <v>280</v>
      </c>
      <c r="GMR868" s="290" t="s">
        <v>280</v>
      </c>
      <c r="GMS868" s="290" t="s">
        <v>280</v>
      </c>
      <c r="GMT868" s="290" t="s">
        <v>280</v>
      </c>
      <c r="GMU868" s="290" t="s">
        <v>280</v>
      </c>
      <c r="GMV868" s="290" t="s">
        <v>280</v>
      </c>
      <c r="GMW868" s="290" t="s">
        <v>280</v>
      </c>
      <c r="GMX868" s="290" t="s">
        <v>280</v>
      </c>
      <c r="GMY868" s="290" t="s">
        <v>280</v>
      </c>
      <c r="GMZ868" s="290" t="s">
        <v>280</v>
      </c>
      <c r="GNA868" s="290" t="s">
        <v>280</v>
      </c>
      <c r="GNB868" s="290" t="s">
        <v>280</v>
      </c>
      <c r="GNC868" s="290" t="s">
        <v>280</v>
      </c>
      <c r="GND868" s="290" t="s">
        <v>280</v>
      </c>
      <c r="GNE868" s="290" t="s">
        <v>280</v>
      </c>
      <c r="GNF868" s="290" t="s">
        <v>280</v>
      </c>
      <c r="GNG868" s="290" t="s">
        <v>280</v>
      </c>
      <c r="GNH868" s="290" t="s">
        <v>280</v>
      </c>
      <c r="GNI868" s="290" t="s">
        <v>280</v>
      </c>
      <c r="GNJ868" s="290" t="s">
        <v>280</v>
      </c>
      <c r="GNK868" s="290" t="s">
        <v>280</v>
      </c>
      <c r="GNL868" s="290" t="s">
        <v>280</v>
      </c>
      <c r="GNM868" s="290" t="s">
        <v>280</v>
      </c>
      <c r="GNN868" s="290" t="s">
        <v>280</v>
      </c>
      <c r="GNO868" s="290" t="s">
        <v>280</v>
      </c>
      <c r="GNP868" s="290" t="s">
        <v>280</v>
      </c>
      <c r="GNQ868" s="290" t="s">
        <v>280</v>
      </c>
      <c r="GNR868" s="290" t="s">
        <v>280</v>
      </c>
      <c r="GNS868" s="290" t="s">
        <v>280</v>
      </c>
      <c r="GNT868" s="290" t="s">
        <v>280</v>
      </c>
      <c r="GNU868" s="290" t="s">
        <v>280</v>
      </c>
      <c r="GNV868" s="290" t="s">
        <v>280</v>
      </c>
      <c r="GNW868" s="290" t="s">
        <v>280</v>
      </c>
      <c r="GNX868" s="290" t="s">
        <v>280</v>
      </c>
      <c r="GNY868" s="290" t="s">
        <v>280</v>
      </c>
      <c r="GNZ868" s="290" t="s">
        <v>280</v>
      </c>
      <c r="GOA868" s="290" t="s">
        <v>280</v>
      </c>
      <c r="GOB868" s="290" t="s">
        <v>280</v>
      </c>
      <c r="GOC868" s="290" t="s">
        <v>280</v>
      </c>
      <c r="GOD868" s="290" t="s">
        <v>280</v>
      </c>
      <c r="GOE868" s="290" t="s">
        <v>280</v>
      </c>
      <c r="GOF868" s="290" t="s">
        <v>280</v>
      </c>
      <c r="GOG868" s="290" t="s">
        <v>280</v>
      </c>
      <c r="GOH868" s="290" t="s">
        <v>280</v>
      </c>
      <c r="GOI868" s="290" t="s">
        <v>280</v>
      </c>
      <c r="GOJ868" s="290" t="s">
        <v>280</v>
      </c>
      <c r="GOK868" s="290" t="s">
        <v>280</v>
      </c>
      <c r="GOL868" s="290" t="s">
        <v>280</v>
      </c>
      <c r="GOM868" s="290" t="s">
        <v>280</v>
      </c>
      <c r="GON868" s="290" t="s">
        <v>280</v>
      </c>
      <c r="GOO868" s="290" t="s">
        <v>280</v>
      </c>
      <c r="GOP868" s="290" t="s">
        <v>280</v>
      </c>
      <c r="GOQ868" s="290" t="s">
        <v>280</v>
      </c>
      <c r="GOR868" s="290" t="s">
        <v>280</v>
      </c>
      <c r="GOS868" s="290" t="s">
        <v>280</v>
      </c>
      <c r="GOT868" s="290" t="s">
        <v>280</v>
      </c>
      <c r="GOU868" s="290" t="s">
        <v>280</v>
      </c>
      <c r="GOV868" s="290" t="s">
        <v>280</v>
      </c>
      <c r="GOW868" s="290" t="s">
        <v>280</v>
      </c>
      <c r="GOX868" s="290" t="s">
        <v>280</v>
      </c>
      <c r="GOY868" s="290" t="s">
        <v>280</v>
      </c>
      <c r="GOZ868" s="290" t="s">
        <v>280</v>
      </c>
      <c r="GPA868" s="290" t="s">
        <v>280</v>
      </c>
      <c r="GPB868" s="290" t="s">
        <v>280</v>
      </c>
      <c r="GPC868" s="290" t="s">
        <v>280</v>
      </c>
      <c r="GPD868" s="290" t="s">
        <v>280</v>
      </c>
      <c r="GPE868" s="290" t="s">
        <v>280</v>
      </c>
      <c r="GPF868" s="290" t="s">
        <v>280</v>
      </c>
      <c r="GPG868" s="290" t="s">
        <v>280</v>
      </c>
      <c r="GPH868" s="290" t="s">
        <v>280</v>
      </c>
      <c r="GPI868" s="290" t="s">
        <v>280</v>
      </c>
      <c r="GPJ868" s="290" t="s">
        <v>280</v>
      </c>
      <c r="GPK868" s="290" t="s">
        <v>280</v>
      </c>
      <c r="GPL868" s="290" t="s">
        <v>280</v>
      </c>
      <c r="GPM868" s="290" t="s">
        <v>280</v>
      </c>
      <c r="GPN868" s="290" t="s">
        <v>280</v>
      </c>
      <c r="GPO868" s="290" t="s">
        <v>280</v>
      </c>
      <c r="GPP868" s="290" t="s">
        <v>280</v>
      </c>
      <c r="GPQ868" s="290" t="s">
        <v>280</v>
      </c>
      <c r="GPR868" s="290" t="s">
        <v>280</v>
      </c>
      <c r="GPS868" s="290" t="s">
        <v>280</v>
      </c>
      <c r="GPT868" s="290" t="s">
        <v>280</v>
      </c>
      <c r="GPU868" s="290" t="s">
        <v>280</v>
      </c>
      <c r="GPV868" s="290" t="s">
        <v>280</v>
      </c>
      <c r="GPW868" s="290" t="s">
        <v>280</v>
      </c>
      <c r="GPX868" s="290" t="s">
        <v>280</v>
      </c>
      <c r="GPY868" s="290" t="s">
        <v>280</v>
      </c>
      <c r="GPZ868" s="290" t="s">
        <v>280</v>
      </c>
      <c r="GQA868" s="290" t="s">
        <v>280</v>
      </c>
      <c r="GQB868" s="290" t="s">
        <v>280</v>
      </c>
      <c r="GQC868" s="290" t="s">
        <v>280</v>
      </c>
      <c r="GQD868" s="290" t="s">
        <v>280</v>
      </c>
      <c r="GQE868" s="290" t="s">
        <v>280</v>
      </c>
      <c r="GQF868" s="290" t="s">
        <v>280</v>
      </c>
      <c r="GQG868" s="290" t="s">
        <v>280</v>
      </c>
      <c r="GQH868" s="290" t="s">
        <v>280</v>
      </c>
      <c r="GQI868" s="290" t="s">
        <v>280</v>
      </c>
      <c r="GQJ868" s="290" t="s">
        <v>280</v>
      </c>
      <c r="GQK868" s="290" t="s">
        <v>280</v>
      </c>
      <c r="GQL868" s="290" t="s">
        <v>280</v>
      </c>
      <c r="GQM868" s="290" t="s">
        <v>280</v>
      </c>
      <c r="GQN868" s="290" t="s">
        <v>280</v>
      </c>
      <c r="GQO868" s="290" t="s">
        <v>280</v>
      </c>
      <c r="GQP868" s="290" t="s">
        <v>280</v>
      </c>
      <c r="GQQ868" s="290" t="s">
        <v>280</v>
      </c>
      <c r="GQR868" s="290" t="s">
        <v>280</v>
      </c>
      <c r="GQS868" s="290" t="s">
        <v>280</v>
      </c>
      <c r="GQT868" s="290" t="s">
        <v>280</v>
      </c>
      <c r="GQU868" s="290" t="s">
        <v>280</v>
      </c>
      <c r="GQV868" s="290" t="s">
        <v>280</v>
      </c>
      <c r="GQW868" s="290" t="s">
        <v>280</v>
      </c>
      <c r="GQX868" s="290" t="s">
        <v>280</v>
      </c>
      <c r="GQY868" s="290" t="s">
        <v>280</v>
      </c>
      <c r="GQZ868" s="290" t="s">
        <v>280</v>
      </c>
      <c r="GRA868" s="290" t="s">
        <v>280</v>
      </c>
      <c r="GRB868" s="290" t="s">
        <v>280</v>
      </c>
      <c r="GRC868" s="290" t="s">
        <v>280</v>
      </c>
      <c r="GRD868" s="290" t="s">
        <v>280</v>
      </c>
      <c r="GRE868" s="290" t="s">
        <v>280</v>
      </c>
      <c r="GRF868" s="290" t="s">
        <v>280</v>
      </c>
      <c r="GRG868" s="290" t="s">
        <v>280</v>
      </c>
      <c r="GRH868" s="290" t="s">
        <v>280</v>
      </c>
      <c r="GRI868" s="290" t="s">
        <v>280</v>
      </c>
      <c r="GRJ868" s="290" t="s">
        <v>280</v>
      </c>
      <c r="GRK868" s="290" t="s">
        <v>280</v>
      </c>
      <c r="GRL868" s="290" t="s">
        <v>280</v>
      </c>
      <c r="GRM868" s="290" t="s">
        <v>280</v>
      </c>
      <c r="GRN868" s="290" t="s">
        <v>280</v>
      </c>
      <c r="GRO868" s="290" t="s">
        <v>280</v>
      </c>
      <c r="GRP868" s="290" t="s">
        <v>280</v>
      </c>
      <c r="GRQ868" s="290" t="s">
        <v>280</v>
      </c>
      <c r="GRR868" s="290" t="s">
        <v>280</v>
      </c>
      <c r="GRS868" s="290" t="s">
        <v>280</v>
      </c>
      <c r="GRT868" s="290" t="s">
        <v>280</v>
      </c>
      <c r="GRU868" s="290" t="s">
        <v>280</v>
      </c>
      <c r="GRV868" s="290" t="s">
        <v>280</v>
      </c>
      <c r="GRW868" s="290" t="s">
        <v>280</v>
      </c>
      <c r="GRX868" s="290" t="s">
        <v>280</v>
      </c>
      <c r="GRY868" s="290" t="s">
        <v>280</v>
      </c>
      <c r="GRZ868" s="290" t="s">
        <v>280</v>
      </c>
      <c r="GSA868" s="290" t="s">
        <v>280</v>
      </c>
      <c r="GSB868" s="290" t="s">
        <v>280</v>
      </c>
      <c r="GSC868" s="290" t="s">
        <v>280</v>
      </c>
      <c r="GSD868" s="290" t="s">
        <v>280</v>
      </c>
      <c r="GSE868" s="290" t="s">
        <v>280</v>
      </c>
      <c r="GSF868" s="290" t="s">
        <v>280</v>
      </c>
      <c r="GSG868" s="290" t="s">
        <v>280</v>
      </c>
      <c r="GSH868" s="290" t="s">
        <v>280</v>
      </c>
      <c r="GSI868" s="290" t="s">
        <v>280</v>
      </c>
      <c r="GSJ868" s="290" t="s">
        <v>280</v>
      </c>
      <c r="GSK868" s="290" t="s">
        <v>280</v>
      </c>
      <c r="GSL868" s="290" t="s">
        <v>280</v>
      </c>
      <c r="GSM868" s="290" t="s">
        <v>280</v>
      </c>
      <c r="GSN868" s="290" t="s">
        <v>280</v>
      </c>
      <c r="GSO868" s="290" t="s">
        <v>280</v>
      </c>
      <c r="GSP868" s="290" t="s">
        <v>280</v>
      </c>
      <c r="GSQ868" s="290" t="s">
        <v>280</v>
      </c>
      <c r="GSR868" s="290" t="s">
        <v>280</v>
      </c>
      <c r="GSS868" s="290" t="s">
        <v>280</v>
      </c>
      <c r="GST868" s="290" t="s">
        <v>280</v>
      </c>
      <c r="GSU868" s="290" t="s">
        <v>280</v>
      </c>
      <c r="GSV868" s="290" t="s">
        <v>280</v>
      </c>
      <c r="GSW868" s="290" t="s">
        <v>280</v>
      </c>
      <c r="GSX868" s="290" t="s">
        <v>280</v>
      </c>
      <c r="GSY868" s="290" t="s">
        <v>280</v>
      </c>
      <c r="GSZ868" s="290" t="s">
        <v>280</v>
      </c>
      <c r="GTA868" s="290" t="s">
        <v>280</v>
      </c>
      <c r="GTB868" s="290" t="s">
        <v>280</v>
      </c>
      <c r="GTC868" s="290" t="s">
        <v>280</v>
      </c>
      <c r="GTD868" s="290" t="s">
        <v>280</v>
      </c>
      <c r="GTE868" s="290" t="s">
        <v>280</v>
      </c>
      <c r="GTF868" s="290" t="s">
        <v>280</v>
      </c>
      <c r="GTG868" s="290" t="s">
        <v>280</v>
      </c>
      <c r="GTH868" s="290" t="s">
        <v>280</v>
      </c>
      <c r="GTI868" s="290" t="s">
        <v>280</v>
      </c>
      <c r="GTJ868" s="290" t="s">
        <v>280</v>
      </c>
      <c r="GTK868" s="290" t="s">
        <v>280</v>
      </c>
      <c r="GTL868" s="290" t="s">
        <v>280</v>
      </c>
      <c r="GTM868" s="290" t="s">
        <v>280</v>
      </c>
      <c r="GTN868" s="290" t="s">
        <v>280</v>
      </c>
      <c r="GTO868" s="290" t="s">
        <v>280</v>
      </c>
      <c r="GTP868" s="290" t="s">
        <v>280</v>
      </c>
      <c r="GTQ868" s="290" t="s">
        <v>280</v>
      </c>
      <c r="GTR868" s="290" t="s">
        <v>280</v>
      </c>
      <c r="GTS868" s="290" t="s">
        <v>280</v>
      </c>
      <c r="GTT868" s="290" t="s">
        <v>280</v>
      </c>
      <c r="GTU868" s="290" t="s">
        <v>280</v>
      </c>
      <c r="GTV868" s="290" t="s">
        <v>280</v>
      </c>
      <c r="GTW868" s="290" t="s">
        <v>280</v>
      </c>
      <c r="GTX868" s="290" t="s">
        <v>280</v>
      </c>
      <c r="GTY868" s="290" t="s">
        <v>280</v>
      </c>
      <c r="GTZ868" s="290" t="s">
        <v>280</v>
      </c>
      <c r="GUA868" s="290" t="s">
        <v>280</v>
      </c>
      <c r="GUB868" s="290" t="s">
        <v>280</v>
      </c>
      <c r="GUC868" s="290" t="s">
        <v>280</v>
      </c>
      <c r="GUD868" s="290" t="s">
        <v>280</v>
      </c>
      <c r="GUE868" s="290" t="s">
        <v>280</v>
      </c>
      <c r="GUF868" s="290" t="s">
        <v>280</v>
      </c>
      <c r="GUG868" s="290" t="s">
        <v>280</v>
      </c>
      <c r="GUH868" s="290" t="s">
        <v>280</v>
      </c>
      <c r="GUI868" s="290" t="s">
        <v>280</v>
      </c>
      <c r="GUJ868" s="290" t="s">
        <v>280</v>
      </c>
      <c r="GUK868" s="290" t="s">
        <v>280</v>
      </c>
      <c r="GUL868" s="290" t="s">
        <v>280</v>
      </c>
      <c r="GUM868" s="290" t="s">
        <v>280</v>
      </c>
      <c r="GUN868" s="290" t="s">
        <v>280</v>
      </c>
      <c r="GUO868" s="290" t="s">
        <v>280</v>
      </c>
      <c r="GUP868" s="290" t="s">
        <v>280</v>
      </c>
      <c r="GUQ868" s="290" t="s">
        <v>280</v>
      </c>
      <c r="GUR868" s="290" t="s">
        <v>280</v>
      </c>
      <c r="GUS868" s="290" t="s">
        <v>280</v>
      </c>
      <c r="GUT868" s="290" t="s">
        <v>280</v>
      </c>
      <c r="GUU868" s="290" t="s">
        <v>280</v>
      </c>
      <c r="GUV868" s="290" t="s">
        <v>280</v>
      </c>
      <c r="GUW868" s="290" t="s">
        <v>280</v>
      </c>
      <c r="GUX868" s="290" t="s">
        <v>280</v>
      </c>
      <c r="GUY868" s="290" t="s">
        <v>280</v>
      </c>
      <c r="GUZ868" s="290" t="s">
        <v>280</v>
      </c>
      <c r="GVA868" s="290" t="s">
        <v>280</v>
      </c>
      <c r="GVB868" s="290" t="s">
        <v>280</v>
      </c>
      <c r="GVC868" s="290" t="s">
        <v>280</v>
      </c>
      <c r="GVD868" s="290" t="s">
        <v>280</v>
      </c>
      <c r="GVE868" s="290" t="s">
        <v>280</v>
      </c>
      <c r="GVF868" s="290" t="s">
        <v>280</v>
      </c>
      <c r="GVG868" s="290" t="s">
        <v>280</v>
      </c>
      <c r="GVH868" s="290" t="s">
        <v>280</v>
      </c>
      <c r="GVI868" s="290" t="s">
        <v>280</v>
      </c>
      <c r="GVJ868" s="290" t="s">
        <v>280</v>
      </c>
      <c r="GVK868" s="290" t="s">
        <v>280</v>
      </c>
      <c r="GVL868" s="290" t="s">
        <v>280</v>
      </c>
      <c r="GVM868" s="290" t="s">
        <v>280</v>
      </c>
      <c r="GVN868" s="290" t="s">
        <v>280</v>
      </c>
      <c r="GVO868" s="290" t="s">
        <v>280</v>
      </c>
      <c r="GVP868" s="290" t="s">
        <v>280</v>
      </c>
      <c r="GVQ868" s="290" t="s">
        <v>280</v>
      </c>
      <c r="GVR868" s="290" t="s">
        <v>280</v>
      </c>
      <c r="GVS868" s="290" t="s">
        <v>280</v>
      </c>
      <c r="GVT868" s="290" t="s">
        <v>280</v>
      </c>
      <c r="GVU868" s="290" t="s">
        <v>280</v>
      </c>
      <c r="GVV868" s="290" t="s">
        <v>280</v>
      </c>
      <c r="GVW868" s="290" t="s">
        <v>280</v>
      </c>
      <c r="GVX868" s="290" t="s">
        <v>280</v>
      </c>
      <c r="GVY868" s="290" t="s">
        <v>280</v>
      </c>
      <c r="GVZ868" s="290" t="s">
        <v>280</v>
      </c>
      <c r="GWA868" s="290" t="s">
        <v>280</v>
      </c>
      <c r="GWB868" s="290" t="s">
        <v>280</v>
      </c>
      <c r="GWC868" s="290" t="s">
        <v>280</v>
      </c>
      <c r="GWD868" s="290" t="s">
        <v>280</v>
      </c>
      <c r="GWE868" s="290" t="s">
        <v>280</v>
      </c>
      <c r="GWF868" s="290" t="s">
        <v>280</v>
      </c>
      <c r="GWG868" s="290" t="s">
        <v>280</v>
      </c>
      <c r="GWH868" s="290" t="s">
        <v>280</v>
      </c>
      <c r="GWI868" s="290" t="s">
        <v>280</v>
      </c>
      <c r="GWJ868" s="290" t="s">
        <v>280</v>
      </c>
      <c r="GWK868" s="290" t="s">
        <v>280</v>
      </c>
      <c r="GWL868" s="290" t="s">
        <v>280</v>
      </c>
      <c r="GWM868" s="290" t="s">
        <v>280</v>
      </c>
      <c r="GWN868" s="290" t="s">
        <v>280</v>
      </c>
      <c r="GWO868" s="290" t="s">
        <v>280</v>
      </c>
      <c r="GWP868" s="290" t="s">
        <v>280</v>
      </c>
      <c r="GWQ868" s="290" t="s">
        <v>280</v>
      </c>
      <c r="GWR868" s="290" t="s">
        <v>280</v>
      </c>
      <c r="GWS868" s="290" t="s">
        <v>280</v>
      </c>
      <c r="GWT868" s="290" t="s">
        <v>280</v>
      </c>
      <c r="GWU868" s="290" t="s">
        <v>280</v>
      </c>
      <c r="GWV868" s="290" t="s">
        <v>280</v>
      </c>
      <c r="GWW868" s="290" t="s">
        <v>280</v>
      </c>
      <c r="GWX868" s="290" t="s">
        <v>280</v>
      </c>
      <c r="GWY868" s="290" t="s">
        <v>280</v>
      </c>
      <c r="GWZ868" s="290" t="s">
        <v>280</v>
      </c>
      <c r="GXA868" s="290" t="s">
        <v>280</v>
      </c>
      <c r="GXB868" s="290" t="s">
        <v>280</v>
      </c>
      <c r="GXC868" s="290" t="s">
        <v>280</v>
      </c>
      <c r="GXD868" s="290" t="s">
        <v>280</v>
      </c>
      <c r="GXE868" s="290" t="s">
        <v>280</v>
      </c>
      <c r="GXF868" s="290" t="s">
        <v>280</v>
      </c>
      <c r="GXG868" s="290" t="s">
        <v>280</v>
      </c>
      <c r="GXH868" s="290" t="s">
        <v>280</v>
      </c>
      <c r="GXI868" s="290" t="s">
        <v>280</v>
      </c>
      <c r="GXJ868" s="290" t="s">
        <v>280</v>
      </c>
      <c r="GXK868" s="290" t="s">
        <v>280</v>
      </c>
      <c r="GXL868" s="290" t="s">
        <v>280</v>
      </c>
      <c r="GXM868" s="290" t="s">
        <v>280</v>
      </c>
      <c r="GXN868" s="290" t="s">
        <v>280</v>
      </c>
      <c r="GXO868" s="290" t="s">
        <v>280</v>
      </c>
      <c r="GXP868" s="290" t="s">
        <v>280</v>
      </c>
      <c r="GXQ868" s="290" t="s">
        <v>280</v>
      </c>
      <c r="GXR868" s="290" t="s">
        <v>280</v>
      </c>
      <c r="GXS868" s="290" t="s">
        <v>280</v>
      </c>
      <c r="GXT868" s="290" t="s">
        <v>280</v>
      </c>
      <c r="GXU868" s="290" t="s">
        <v>280</v>
      </c>
      <c r="GXV868" s="290" t="s">
        <v>280</v>
      </c>
      <c r="GXW868" s="290" t="s">
        <v>280</v>
      </c>
      <c r="GXX868" s="290" t="s">
        <v>280</v>
      </c>
      <c r="GXY868" s="290" t="s">
        <v>280</v>
      </c>
      <c r="GXZ868" s="290" t="s">
        <v>280</v>
      </c>
      <c r="GYA868" s="290" t="s">
        <v>280</v>
      </c>
      <c r="GYB868" s="290" t="s">
        <v>280</v>
      </c>
      <c r="GYC868" s="290" t="s">
        <v>280</v>
      </c>
      <c r="GYD868" s="290" t="s">
        <v>280</v>
      </c>
      <c r="GYE868" s="290" t="s">
        <v>280</v>
      </c>
      <c r="GYF868" s="290" t="s">
        <v>280</v>
      </c>
      <c r="GYG868" s="290" t="s">
        <v>280</v>
      </c>
      <c r="GYH868" s="290" t="s">
        <v>280</v>
      </c>
      <c r="GYI868" s="290" t="s">
        <v>280</v>
      </c>
      <c r="GYJ868" s="290" t="s">
        <v>280</v>
      </c>
      <c r="GYK868" s="290" t="s">
        <v>280</v>
      </c>
      <c r="GYL868" s="290" t="s">
        <v>280</v>
      </c>
      <c r="GYM868" s="290" t="s">
        <v>280</v>
      </c>
      <c r="GYN868" s="290" t="s">
        <v>280</v>
      </c>
      <c r="GYO868" s="290" t="s">
        <v>280</v>
      </c>
      <c r="GYP868" s="290" t="s">
        <v>280</v>
      </c>
      <c r="GYQ868" s="290" t="s">
        <v>280</v>
      </c>
      <c r="GYR868" s="290" t="s">
        <v>280</v>
      </c>
      <c r="GYS868" s="290" t="s">
        <v>280</v>
      </c>
      <c r="GYT868" s="290" t="s">
        <v>280</v>
      </c>
      <c r="GYU868" s="290" t="s">
        <v>280</v>
      </c>
      <c r="GYV868" s="290" t="s">
        <v>280</v>
      </c>
      <c r="GYW868" s="290" t="s">
        <v>280</v>
      </c>
      <c r="GYX868" s="290" t="s">
        <v>280</v>
      </c>
      <c r="GYY868" s="290" t="s">
        <v>280</v>
      </c>
      <c r="GYZ868" s="290" t="s">
        <v>280</v>
      </c>
      <c r="GZA868" s="290" t="s">
        <v>280</v>
      </c>
      <c r="GZB868" s="290" t="s">
        <v>280</v>
      </c>
      <c r="GZC868" s="290" t="s">
        <v>280</v>
      </c>
      <c r="GZD868" s="290" t="s">
        <v>280</v>
      </c>
      <c r="GZE868" s="290" t="s">
        <v>280</v>
      </c>
      <c r="GZF868" s="290" t="s">
        <v>280</v>
      </c>
      <c r="GZG868" s="290" t="s">
        <v>280</v>
      </c>
      <c r="GZH868" s="290" t="s">
        <v>280</v>
      </c>
      <c r="GZI868" s="290" t="s">
        <v>280</v>
      </c>
      <c r="GZJ868" s="290" t="s">
        <v>280</v>
      </c>
      <c r="GZK868" s="290" t="s">
        <v>280</v>
      </c>
      <c r="GZL868" s="290" t="s">
        <v>280</v>
      </c>
      <c r="GZM868" s="290" t="s">
        <v>280</v>
      </c>
      <c r="GZN868" s="290" t="s">
        <v>280</v>
      </c>
      <c r="GZO868" s="290" t="s">
        <v>280</v>
      </c>
      <c r="GZP868" s="290" t="s">
        <v>280</v>
      </c>
      <c r="GZQ868" s="290" t="s">
        <v>280</v>
      </c>
      <c r="GZR868" s="290" t="s">
        <v>280</v>
      </c>
      <c r="GZS868" s="290" t="s">
        <v>280</v>
      </c>
      <c r="GZT868" s="290" t="s">
        <v>280</v>
      </c>
      <c r="GZU868" s="290" t="s">
        <v>280</v>
      </c>
      <c r="GZV868" s="290" t="s">
        <v>280</v>
      </c>
      <c r="GZW868" s="290" t="s">
        <v>280</v>
      </c>
      <c r="GZX868" s="290" t="s">
        <v>280</v>
      </c>
      <c r="GZY868" s="290" t="s">
        <v>280</v>
      </c>
      <c r="GZZ868" s="290" t="s">
        <v>280</v>
      </c>
      <c r="HAA868" s="290" t="s">
        <v>280</v>
      </c>
      <c r="HAB868" s="290" t="s">
        <v>280</v>
      </c>
      <c r="HAC868" s="290" t="s">
        <v>280</v>
      </c>
      <c r="HAD868" s="290" t="s">
        <v>280</v>
      </c>
      <c r="HAE868" s="290" t="s">
        <v>280</v>
      </c>
      <c r="HAF868" s="290" t="s">
        <v>280</v>
      </c>
      <c r="HAG868" s="290" t="s">
        <v>280</v>
      </c>
      <c r="HAH868" s="290" t="s">
        <v>280</v>
      </c>
      <c r="HAI868" s="290" t="s">
        <v>280</v>
      </c>
      <c r="HAJ868" s="290" t="s">
        <v>280</v>
      </c>
      <c r="HAK868" s="290" t="s">
        <v>280</v>
      </c>
      <c r="HAL868" s="290" t="s">
        <v>280</v>
      </c>
      <c r="HAM868" s="290" t="s">
        <v>280</v>
      </c>
      <c r="HAN868" s="290" t="s">
        <v>280</v>
      </c>
      <c r="HAO868" s="290" t="s">
        <v>280</v>
      </c>
      <c r="HAP868" s="290" t="s">
        <v>280</v>
      </c>
      <c r="HAQ868" s="290" t="s">
        <v>280</v>
      </c>
      <c r="HAR868" s="290" t="s">
        <v>280</v>
      </c>
      <c r="HAS868" s="290" t="s">
        <v>280</v>
      </c>
      <c r="HAT868" s="290" t="s">
        <v>280</v>
      </c>
      <c r="HAU868" s="290" t="s">
        <v>280</v>
      </c>
      <c r="HAV868" s="290" t="s">
        <v>280</v>
      </c>
      <c r="HAW868" s="290" t="s">
        <v>280</v>
      </c>
      <c r="HAX868" s="290" t="s">
        <v>280</v>
      </c>
      <c r="HAY868" s="290" t="s">
        <v>280</v>
      </c>
      <c r="HAZ868" s="290" t="s">
        <v>280</v>
      </c>
      <c r="HBA868" s="290" t="s">
        <v>280</v>
      </c>
      <c r="HBB868" s="290" t="s">
        <v>280</v>
      </c>
      <c r="HBC868" s="290" t="s">
        <v>280</v>
      </c>
      <c r="HBD868" s="290" t="s">
        <v>280</v>
      </c>
      <c r="HBE868" s="290" t="s">
        <v>280</v>
      </c>
      <c r="HBF868" s="290" t="s">
        <v>280</v>
      </c>
      <c r="HBG868" s="290" t="s">
        <v>280</v>
      </c>
      <c r="HBH868" s="290" t="s">
        <v>280</v>
      </c>
      <c r="HBI868" s="290" t="s">
        <v>280</v>
      </c>
      <c r="HBJ868" s="290" t="s">
        <v>280</v>
      </c>
      <c r="HBK868" s="290" t="s">
        <v>280</v>
      </c>
      <c r="HBL868" s="290" t="s">
        <v>280</v>
      </c>
      <c r="HBM868" s="290" t="s">
        <v>280</v>
      </c>
      <c r="HBN868" s="290" t="s">
        <v>280</v>
      </c>
      <c r="HBO868" s="290" t="s">
        <v>280</v>
      </c>
      <c r="HBP868" s="290" t="s">
        <v>280</v>
      </c>
      <c r="HBQ868" s="290" t="s">
        <v>280</v>
      </c>
      <c r="HBR868" s="290" t="s">
        <v>280</v>
      </c>
      <c r="HBS868" s="290" t="s">
        <v>280</v>
      </c>
      <c r="HBT868" s="290" t="s">
        <v>280</v>
      </c>
      <c r="HBU868" s="290" t="s">
        <v>280</v>
      </c>
      <c r="HBV868" s="290" t="s">
        <v>280</v>
      </c>
      <c r="HBW868" s="290" t="s">
        <v>280</v>
      </c>
      <c r="HBX868" s="290" t="s">
        <v>280</v>
      </c>
      <c r="HBY868" s="290" t="s">
        <v>280</v>
      </c>
      <c r="HBZ868" s="290" t="s">
        <v>280</v>
      </c>
      <c r="HCA868" s="290" t="s">
        <v>280</v>
      </c>
      <c r="HCB868" s="290" t="s">
        <v>280</v>
      </c>
      <c r="HCC868" s="290" t="s">
        <v>280</v>
      </c>
      <c r="HCD868" s="290" t="s">
        <v>280</v>
      </c>
      <c r="HCE868" s="290" t="s">
        <v>280</v>
      </c>
      <c r="HCF868" s="290" t="s">
        <v>280</v>
      </c>
      <c r="HCG868" s="290" t="s">
        <v>280</v>
      </c>
      <c r="HCH868" s="290" t="s">
        <v>280</v>
      </c>
      <c r="HCI868" s="290" t="s">
        <v>280</v>
      </c>
      <c r="HCJ868" s="290" t="s">
        <v>280</v>
      </c>
      <c r="HCK868" s="290" t="s">
        <v>280</v>
      </c>
      <c r="HCL868" s="290" t="s">
        <v>280</v>
      </c>
      <c r="HCM868" s="290" t="s">
        <v>280</v>
      </c>
      <c r="HCN868" s="290" t="s">
        <v>280</v>
      </c>
      <c r="HCO868" s="290" t="s">
        <v>280</v>
      </c>
      <c r="HCP868" s="290" t="s">
        <v>280</v>
      </c>
      <c r="HCQ868" s="290" t="s">
        <v>280</v>
      </c>
      <c r="HCR868" s="290" t="s">
        <v>280</v>
      </c>
      <c r="HCS868" s="290" t="s">
        <v>280</v>
      </c>
      <c r="HCT868" s="290" t="s">
        <v>280</v>
      </c>
      <c r="HCU868" s="290" t="s">
        <v>280</v>
      </c>
      <c r="HCV868" s="290" t="s">
        <v>280</v>
      </c>
      <c r="HCW868" s="290" t="s">
        <v>280</v>
      </c>
      <c r="HCX868" s="290" t="s">
        <v>280</v>
      </c>
      <c r="HCY868" s="290" t="s">
        <v>280</v>
      </c>
      <c r="HCZ868" s="290" t="s">
        <v>280</v>
      </c>
      <c r="HDA868" s="290" t="s">
        <v>280</v>
      </c>
      <c r="HDB868" s="290" t="s">
        <v>280</v>
      </c>
      <c r="HDC868" s="290" t="s">
        <v>280</v>
      </c>
      <c r="HDD868" s="290" t="s">
        <v>280</v>
      </c>
      <c r="HDE868" s="290" t="s">
        <v>280</v>
      </c>
      <c r="HDF868" s="290" t="s">
        <v>280</v>
      </c>
      <c r="HDG868" s="290" t="s">
        <v>280</v>
      </c>
      <c r="HDH868" s="290" t="s">
        <v>280</v>
      </c>
      <c r="HDI868" s="290" t="s">
        <v>280</v>
      </c>
      <c r="HDJ868" s="290" t="s">
        <v>280</v>
      </c>
      <c r="HDK868" s="290" t="s">
        <v>280</v>
      </c>
      <c r="HDL868" s="290" t="s">
        <v>280</v>
      </c>
      <c r="HDM868" s="290" t="s">
        <v>280</v>
      </c>
      <c r="HDN868" s="290" t="s">
        <v>280</v>
      </c>
      <c r="HDO868" s="290" t="s">
        <v>280</v>
      </c>
      <c r="HDP868" s="290" t="s">
        <v>280</v>
      </c>
      <c r="HDQ868" s="290" t="s">
        <v>280</v>
      </c>
      <c r="HDR868" s="290" t="s">
        <v>280</v>
      </c>
      <c r="HDS868" s="290" t="s">
        <v>280</v>
      </c>
      <c r="HDT868" s="290" t="s">
        <v>280</v>
      </c>
      <c r="HDU868" s="290" t="s">
        <v>280</v>
      </c>
      <c r="HDV868" s="290" t="s">
        <v>280</v>
      </c>
      <c r="HDW868" s="290" t="s">
        <v>280</v>
      </c>
      <c r="HDX868" s="290" t="s">
        <v>280</v>
      </c>
      <c r="HDY868" s="290" t="s">
        <v>280</v>
      </c>
      <c r="HDZ868" s="290" t="s">
        <v>280</v>
      </c>
      <c r="HEA868" s="290" t="s">
        <v>280</v>
      </c>
      <c r="HEB868" s="290" t="s">
        <v>280</v>
      </c>
      <c r="HEC868" s="290" t="s">
        <v>280</v>
      </c>
      <c r="HED868" s="290" t="s">
        <v>280</v>
      </c>
      <c r="HEE868" s="290" t="s">
        <v>280</v>
      </c>
      <c r="HEF868" s="290" t="s">
        <v>280</v>
      </c>
      <c r="HEG868" s="290" t="s">
        <v>280</v>
      </c>
      <c r="HEH868" s="290" t="s">
        <v>280</v>
      </c>
      <c r="HEI868" s="290" t="s">
        <v>280</v>
      </c>
      <c r="HEJ868" s="290" t="s">
        <v>280</v>
      </c>
      <c r="HEK868" s="290" t="s">
        <v>280</v>
      </c>
      <c r="HEL868" s="290" t="s">
        <v>280</v>
      </c>
      <c r="HEM868" s="290" t="s">
        <v>280</v>
      </c>
      <c r="HEN868" s="290" t="s">
        <v>280</v>
      </c>
      <c r="HEO868" s="290" t="s">
        <v>280</v>
      </c>
      <c r="HEP868" s="290" t="s">
        <v>280</v>
      </c>
      <c r="HEQ868" s="290" t="s">
        <v>280</v>
      </c>
      <c r="HER868" s="290" t="s">
        <v>280</v>
      </c>
      <c r="HES868" s="290" t="s">
        <v>280</v>
      </c>
      <c r="HET868" s="290" t="s">
        <v>280</v>
      </c>
      <c r="HEU868" s="290" t="s">
        <v>280</v>
      </c>
      <c r="HEV868" s="290" t="s">
        <v>280</v>
      </c>
      <c r="HEW868" s="290" t="s">
        <v>280</v>
      </c>
      <c r="HEX868" s="290" t="s">
        <v>280</v>
      </c>
      <c r="HEY868" s="290" t="s">
        <v>280</v>
      </c>
      <c r="HEZ868" s="290" t="s">
        <v>280</v>
      </c>
      <c r="HFA868" s="290" t="s">
        <v>280</v>
      </c>
      <c r="HFB868" s="290" t="s">
        <v>280</v>
      </c>
      <c r="HFC868" s="290" t="s">
        <v>280</v>
      </c>
      <c r="HFD868" s="290" t="s">
        <v>280</v>
      </c>
      <c r="HFE868" s="290" t="s">
        <v>280</v>
      </c>
      <c r="HFF868" s="290" t="s">
        <v>280</v>
      </c>
      <c r="HFG868" s="290" t="s">
        <v>280</v>
      </c>
      <c r="HFH868" s="290" t="s">
        <v>280</v>
      </c>
      <c r="HFI868" s="290" t="s">
        <v>280</v>
      </c>
      <c r="HFJ868" s="290" t="s">
        <v>280</v>
      </c>
      <c r="HFK868" s="290" t="s">
        <v>280</v>
      </c>
      <c r="HFL868" s="290" t="s">
        <v>280</v>
      </c>
      <c r="HFM868" s="290" t="s">
        <v>280</v>
      </c>
      <c r="HFN868" s="290" t="s">
        <v>280</v>
      </c>
      <c r="HFO868" s="290" t="s">
        <v>280</v>
      </c>
      <c r="HFP868" s="290" t="s">
        <v>280</v>
      </c>
      <c r="HFQ868" s="290" t="s">
        <v>280</v>
      </c>
      <c r="HFR868" s="290" t="s">
        <v>280</v>
      </c>
      <c r="HFS868" s="290" t="s">
        <v>280</v>
      </c>
      <c r="HFT868" s="290" t="s">
        <v>280</v>
      </c>
      <c r="HFU868" s="290" t="s">
        <v>280</v>
      </c>
      <c r="HFV868" s="290" t="s">
        <v>280</v>
      </c>
      <c r="HFW868" s="290" t="s">
        <v>280</v>
      </c>
      <c r="HFX868" s="290" t="s">
        <v>280</v>
      </c>
      <c r="HFY868" s="290" t="s">
        <v>280</v>
      </c>
      <c r="HFZ868" s="290" t="s">
        <v>280</v>
      </c>
      <c r="HGA868" s="290" t="s">
        <v>280</v>
      </c>
      <c r="HGB868" s="290" t="s">
        <v>280</v>
      </c>
      <c r="HGC868" s="290" t="s">
        <v>280</v>
      </c>
      <c r="HGD868" s="290" t="s">
        <v>280</v>
      </c>
      <c r="HGE868" s="290" t="s">
        <v>280</v>
      </c>
      <c r="HGF868" s="290" t="s">
        <v>280</v>
      </c>
      <c r="HGG868" s="290" t="s">
        <v>280</v>
      </c>
      <c r="HGH868" s="290" t="s">
        <v>280</v>
      </c>
      <c r="HGI868" s="290" t="s">
        <v>280</v>
      </c>
      <c r="HGJ868" s="290" t="s">
        <v>280</v>
      </c>
      <c r="HGK868" s="290" t="s">
        <v>280</v>
      </c>
      <c r="HGL868" s="290" t="s">
        <v>280</v>
      </c>
      <c r="HGM868" s="290" t="s">
        <v>280</v>
      </c>
      <c r="HGN868" s="290" t="s">
        <v>280</v>
      </c>
      <c r="HGO868" s="290" t="s">
        <v>280</v>
      </c>
      <c r="HGP868" s="290" t="s">
        <v>280</v>
      </c>
      <c r="HGQ868" s="290" t="s">
        <v>280</v>
      </c>
      <c r="HGR868" s="290" t="s">
        <v>280</v>
      </c>
      <c r="HGS868" s="290" t="s">
        <v>280</v>
      </c>
      <c r="HGT868" s="290" t="s">
        <v>280</v>
      </c>
      <c r="HGU868" s="290" t="s">
        <v>280</v>
      </c>
      <c r="HGV868" s="290" t="s">
        <v>280</v>
      </c>
      <c r="HGW868" s="290" t="s">
        <v>280</v>
      </c>
      <c r="HGX868" s="290" t="s">
        <v>280</v>
      </c>
      <c r="HGY868" s="290" t="s">
        <v>280</v>
      </c>
      <c r="HGZ868" s="290" t="s">
        <v>280</v>
      </c>
      <c r="HHA868" s="290" t="s">
        <v>280</v>
      </c>
      <c r="HHB868" s="290" t="s">
        <v>280</v>
      </c>
      <c r="HHC868" s="290" t="s">
        <v>280</v>
      </c>
      <c r="HHD868" s="290" t="s">
        <v>280</v>
      </c>
      <c r="HHE868" s="290" t="s">
        <v>280</v>
      </c>
      <c r="HHF868" s="290" t="s">
        <v>280</v>
      </c>
      <c r="HHG868" s="290" t="s">
        <v>280</v>
      </c>
      <c r="HHH868" s="290" t="s">
        <v>280</v>
      </c>
      <c r="HHI868" s="290" t="s">
        <v>280</v>
      </c>
      <c r="HHJ868" s="290" t="s">
        <v>280</v>
      </c>
      <c r="HHK868" s="290" t="s">
        <v>280</v>
      </c>
      <c r="HHL868" s="290" t="s">
        <v>280</v>
      </c>
      <c r="HHM868" s="290" t="s">
        <v>280</v>
      </c>
      <c r="HHN868" s="290" t="s">
        <v>280</v>
      </c>
      <c r="HHO868" s="290" t="s">
        <v>280</v>
      </c>
      <c r="HHP868" s="290" t="s">
        <v>280</v>
      </c>
      <c r="HHQ868" s="290" t="s">
        <v>280</v>
      </c>
      <c r="HHR868" s="290" t="s">
        <v>280</v>
      </c>
      <c r="HHS868" s="290" t="s">
        <v>280</v>
      </c>
      <c r="HHT868" s="290" t="s">
        <v>280</v>
      </c>
      <c r="HHU868" s="290" t="s">
        <v>280</v>
      </c>
      <c r="HHV868" s="290" t="s">
        <v>280</v>
      </c>
      <c r="HHW868" s="290" t="s">
        <v>280</v>
      </c>
      <c r="HHX868" s="290" t="s">
        <v>280</v>
      </c>
      <c r="HHY868" s="290" t="s">
        <v>280</v>
      </c>
      <c r="HHZ868" s="290" t="s">
        <v>280</v>
      </c>
      <c r="HIA868" s="290" t="s">
        <v>280</v>
      </c>
      <c r="HIB868" s="290" t="s">
        <v>280</v>
      </c>
      <c r="HIC868" s="290" t="s">
        <v>280</v>
      </c>
      <c r="HID868" s="290" t="s">
        <v>280</v>
      </c>
      <c r="HIE868" s="290" t="s">
        <v>280</v>
      </c>
      <c r="HIF868" s="290" t="s">
        <v>280</v>
      </c>
      <c r="HIG868" s="290" t="s">
        <v>280</v>
      </c>
      <c r="HIH868" s="290" t="s">
        <v>280</v>
      </c>
      <c r="HII868" s="290" t="s">
        <v>280</v>
      </c>
      <c r="HIJ868" s="290" t="s">
        <v>280</v>
      </c>
      <c r="HIK868" s="290" t="s">
        <v>280</v>
      </c>
      <c r="HIL868" s="290" t="s">
        <v>280</v>
      </c>
      <c r="HIM868" s="290" t="s">
        <v>280</v>
      </c>
      <c r="HIN868" s="290" t="s">
        <v>280</v>
      </c>
      <c r="HIO868" s="290" t="s">
        <v>280</v>
      </c>
      <c r="HIP868" s="290" t="s">
        <v>280</v>
      </c>
      <c r="HIQ868" s="290" t="s">
        <v>280</v>
      </c>
      <c r="HIR868" s="290" t="s">
        <v>280</v>
      </c>
      <c r="HIS868" s="290" t="s">
        <v>280</v>
      </c>
      <c r="HIT868" s="290" t="s">
        <v>280</v>
      </c>
      <c r="HIU868" s="290" t="s">
        <v>280</v>
      </c>
      <c r="HIV868" s="290" t="s">
        <v>280</v>
      </c>
      <c r="HIW868" s="290" t="s">
        <v>280</v>
      </c>
      <c r="HIX868" s="290" t="s">
        <v>280</v>
      </c>
      <c r="HIY868" s="290" t="s">
        <v>280</v>
      </c>
      <c r="HIZ868" s="290" t="s">
        <v>280</v>
      </c>
      <c r="HJA868" s="290" t="s">
        <v>280</v>
      </c>
      <c r="HJB868" s="290" t="s">
        <v>280</v>
      </c>
      <c r="HJC868" s="290" t="s">
        <v>280</v>
      </c>
      <c r="HJD868" s="290" t="s">
        <v>280</v>
      </c>
      <c r="HJE868" s="290" t="s">
        <v>280</v>
      </c>
      <c r="HJF868" s="290" t="s">
        <v>280</v>
      </c>
      <c r="HJG868" s="290" t="s">
        <v>280</v>
      </c>
      <c r="HJH868" s="290" t="s">
        <v>280</v>
      </c>
      <c r="HJI868" s="290" t="s">
        <v>280</v>
      </c>
      <c r="HJJ868" s="290" t="s">
        <v>280</v>
      </c>
      <c r="HJK868" s="290" t="s">
        <v>280</v>
      </c>
      <c r="HJL868" s="290" t="s">
        <v>280</v>
      </c>
      <c r="HJM868" s="290" t="s">
        <v>280</v>
      </c>
      <c r="HJN868" s="290" t="s">
        <v>280</v>
      </c>
      <c r="HJO868" s="290" t="s">
        <v>280</v>
      </c>
      <c r="HJP868" s="290" t="s">
        <v>280</v>
      </c>
      <c r="HJQ868" s="290" t="s">
        <v>280</v>
      </c>
      <c r="HJR868" s="290" t="s">
        <v>280</v>
      </c>
      <c r="HJS868" s="290" t="s">
        <v>280</v>
      </c>
      <c r="HJT868" s="290" t="s">
        <v>280</v>
      </c>
      <c r="HJU868" s="290" t="s">
        <v>280</v>
      </c>
      <c r="HJV868" s="290" t="s">
        <v>280</v>
      </c>
      <c r="HJW868" s="290" t="s">
        <v>280</v>
      </c>
      <c r="HJX868" s="290" t="s">
        <v>280</v>
      </c>
      <c r="HJY868" s="290" t="s">
        <v>280</v>
      </c>
      <c r="HJZ868" s="290" t="s">
        <v>280</v>
      </c>
      <c r="HKA868" s="290" t="s">
        <v>280</v>
      </c>
      <c r="HKB868" s="290" t="s">
        <v>280</v>
      </c>
      <c r="HKC868" s="290" t="s">
        <v>280</v>
      </c>
      <c r="HKD868" s="290" t="s">
        <v>280</v>
      </c>
      <c r="HKE868" s="290" t="s">
        <v>280</v>
      </c>
      <c r="HKF868" s="290" t="s">
        <v>280</v>
      </c>
      <c r="HKG868" s="290" t="s">
        <v>280</v>
      </c>
      <c r="HKH868" s="290" t="s">
        <v>280</v>
      </c>
      <c r="HKI868" s="290" t="s">
        <v>280</v>
      </c>
      <c r="HKJ868" s="290" t="s">
        <v>280</v>
      </c>
      <c r="HKK868" s="290" t="s">
        <v>280</v>
      </c>
      <c r="HKL868" s="290" t="s">
        <v>280</v>
      </c>
      <c r="HKM868" s="290" t="s">
        <v>280</v>
      </c>
      <c r="HKN868" s="290" t="s">
        <v>280</v>
      </c>
      <c r="HKO868" s="290" t="s">
        <v>280</v>
      </c>
      <c r="HKP868" s="290" t="s">
        <v>280</v>
      </c>
      <c r="HKQ868" s="290" t="s">
        <v>280</v>
      </c>
      <c r="HKR868" s="290" t="s">
        <v>280</v>
      </c>
      <c r="HKS868" s="290" t="s">
        <v>280</v>
      </c>
      <c r="HKT868" s="290" t="s">
        <v>280</v>
      </c>
      <c r="HKU868" s="290" t="s">
        <v>280</v>
      </c>
      <c r="HKV868" s="290" t="s">
        <v>280</v>
      </c>
      <c r="HKW868" s="290" t="s">
        <v>280</v>
      </c>
      <c r="HKX868" s="290" t="s">
        <v>280</v>
      </c>
      <c r="HKY868" s="290" t="s">
        <v>280</v>
      </c>
      <c r="HKZ868" s="290" t="s">
        <v>280</v>
      </c>
      <c r="HLA868" s="290" t="s">
        <v>280</v>
      </c>
      <c r="HLB868" s="290" t="s">
        <v>280</v>
      </c>
      <c r="HLC868" s="290" t="s">
        <v>280</v>
      </c>
      <c r="HLD868" s="290" t="s">
        <v>280</v>
      </c>
      <c r="HLE868" s="290" t="s">
        <v>280</v>
      </c>
      <c r="HLF868" s="290" t="s">
        <v>280</v>
      </c>
      <c r="HLG868" s="290" t="s">
        <v>280</v>
      </c>
      <c r="HLH868" s="290" t="s">
        <v>280</v>
      </c>
      <c r="HLI868" s="290" t="s">
        <v>280</v>
      </c>
      <c r="HLJ868" s="290" t="s">
        <v>280</v>
      </c>
      <c r="HLK868" s="290" t="s">
        <v>280</v>
      </c>
      <c r="HLL868" s="290" t="s">
        <v>280</v>
      </c>
      <c r="HLM868" s="290" t="s">
        <v>280</v>
      </c>
      <c r="HLN868" s="290" t="s">
        <v>280</v>
      </c>
      <c r="HLO868" s="290" t="s">
        <v>280</v>
      </c>
      <c r="HLP868" s="290" t="s">
        <v>280</v>
      </c>
      <c r="HLQ868" s="290" t="s">
        <v>280</v>
      </c>
      <c r="HLR868" s="290" t="s">
        <v>280</v>
      </c>
      <c r="HLS868" s="290" t="s">
        <v>280</v>
      </c>
      <c r="HLT868" s="290" t="s">
        <v>280</v>
      </c>
      <c r="HLU868" s="290" t="s">
        <v>280</v>
      </c>
      <c r="HLV868" s="290" t="s">
        <v>280</v>
      </c>
      <c r="HLW868" s="290" t="s">
        <v>280</v>
      </c>
      <c r="HLX868" s="290" t="s">
        <v>280</v>
      </c>
      <c r="HLY868" s="290" t="s">
        <v>280</v>
      </c>
      <c r="HLZ868" s="290" t="s">
        <v>280</v>
      </c>
      <c r="HMA868" s="290" t="s">
        <v>280</v>
      </c>
      <c r="HMB868" s="290" t="s">
        <v>280</v>
      </c>
      <c r="HMC868" s="290" t="s">
        <v>280</v>
      </c>
      <c r="HMD868" s="290" t="s">
        <v>280</v>
      </c>
      <c r="HME868" s="290" t="s">
        <v>280</v>
      </c>
      <c r="HMF868" s="290" t="s">
        <v>280</v>
      </c>
      <c r="HMG868" s="290" t="s">
        <v>280</v>
      </c>
      <c r="HMH868" s="290" t="s">
        <v>280</v>
      </c>
      <c r="HMI868" s="290" t="s">
        <v>280</v>
      </c>
      <c r="HMJ868" s="290" t="s">
        <v>280</v>
      </c>
      <c r="HMK868" s="290" t="s">
        <v>280</v>
      </c>
      <c r="HML868" s="290" t="s">
        <v>280</v>
      </c>
      <c r="HMM868" s="290" t="s">
        <v>280</v>
      </c>
      <c r="HMN868" s="290" t="s">
        <v>280</v>
      </c>
      <c r="HMO868" s="290" t="s">
        <v>280</v>
      </c>
      <c r="HMP868" s="290" t="s">
        <v>280</v>
      </c>
      <c r="HMQ868" s="290" t="s">
        <v>280</v>
      </c>
      <c r="HMR868" s="290" t="s">
        <v>280</v>
      </c>
      <c r="HMS868" s="290" t="s">
        <v>280</v>
      </c>
      <c r="HMT868" s="290" t="s">
        <v>280</v>
      </c>
      <c r="HMU868" s="290" t="s">
        <v>280</v>
      </c>
      <c r="HMV868" s="290" t="s">
        <v>280</v>
      </c>
      <c r="HMW868" s="290" t="s">
        <v>280</v>
      </c>
      <c r="HMX868" s="290" t="s">
        <v>280</v>
      </c>
      <c r="HMY868" s="290" t="s">
        <v>280</v>
      </c>
      <c r="HMZ868" s="290" t="s">
        <v>280</v>
      </c>
      <c r="HNA868" s="290" t="s">
        <v>280</v>
      </c>
      <c r="HNB868" s="290" t="s">
        <v>280</v>
      </c>
      <c r="HNC868" s="290" t="s">
        <v>280</v>
      </c>
      <c r="HND868" s="290" t="s">
        <v>280</v>
      </c>
      <c r="HNE868" s="290" t="s">
        <v>280</v>
      </c>
      <c r="HNF868" s="290" t="s">
        <v>280</v>
      </c>
      <c r="HNG868" s="290" t="s">
        <v>280</v>
      </c>
      <c r="HNH868" s="290" t="s">
        <v>280</v>
      </c>
      <c r="HNI868" s="290" t="s">
        <v>280</v>
      </c>
      <c r="HNJ868" s="290" t="s">
        <v>280</v>
      </c>
      <c r="HNK868" s="290" t="s">
        <v>280</v>
      </c>
      <c r="HNL868" s="290" t="s">
        <v>280</v>
      </c>
      <c r="HNM868" s="290" t="s">
        <v>280</v>
      </c>
      <c r="HNN868" s="290" t="s">
        <v>280</v>
      </c>
      <c r="HNO868" s="290" t="s">
        <v>280</v>
      </c>
      <c r="HNP868" s="290" t="s">
        <v>280</v>
      </c>
      <c r="HNQ868" s="290" t="s">
        <v>280</v>
      </c>
      <c r="HNR868" s="290" t="s">
        <v>280</v>
      </c>
      <c r="HNS868" s="290" t="s">
        <v>280</v>
      </c>
      <c r="HNT868" s="290" t="s">
        <v>280</v>
      </c>
      <c r="HNU868" s="290" t="s">
        <v>280</v>
      </c>
      <c r="HNV868" s="290" t="s">
        <v>280</v>
      </c>
      <c r="HNW868" s="290" t="s">
        <v>280</v>
      </c>
      <c r="HNX868" s="290" t="s">
        <v>280</v>
      </c>
      <c r="HNY868" s="290" t="s">
        <v>280</v>
      </c>
      <c r="HNZ868" s="290" t="s">
        <v>280</v>
      </c>
      <c r="HOA868" s="290" t="s">
        <v>280</v>
      </c>
      <c r="HOB868" s="290" t="s">
        <v>280</v>
      </c>
      <c r="HOC868" s="290" t="s">
        <v>280</v>
      </c>
      <c r="HOD868" s="290" t="s">
        <v>280</v>
      </c>
      <c r="HOE868" s="290" t="s">
        <v>280</v>
      </c>
      <c r="HOF868" s="290" t="s">
        <v>280</v>
      </c>
      <c r="HOG868" s="290" t="s">
        <v>280</v>
      </c>
      <c r="HOH868" s="290" t="s">
        <v>280</v>
      </c>
      <c r="HOI868" s="290" t="s">
        <v>280</v>
      </c>
      <c r="HOJ868" s="290" t="s">
        <v>280</v>
      </c>
      <c r="HOK868" s="290" t="s">
        <v>280</v>
      </c>
      <c r="HOL868" s="290" t="s">
        <v>280</v>
      </c>
      <c r="HOM868" s="290" t="s">
        <v>280</v>
      </c>
      <c r="HON868" s="290" t="s">
        <v>280</v>
      </c>
      <c r="HOO868" s="290" t="s">
        <v>280</v>
      </c>
      <c r="HOP868" s="290" t="s">
        <v>280</v>
      </c>
      <c r="HOQ868" s="290" t="s">
        <v>280</v>
      </c>
      <c r="HOR868" s="290" t="s">
        <v>280</v>
      </c>
      <c r="HOS868" s="290" t="s">
        <v>280</v>
      </c>
      <c r="HOT868" s="290" t="s">
        <v>280</v>
      </c>
      <c r="HOU868" s="290" t="s">
        <v>280</v>
      </c>
      <c r="HOV868" s="290" t="s">
        <v>280</v>
      </c>
      <c r="HOW868" s="290" t="s">
        <v>280</v>
      </c>
      <c r="HOX868" s="290" t="s">
        <v>280</v>
      </c>
      <c r="HOY868" s="290" t="s">
        <v>280</v>
      </c>
      <c r="HOZ868" s="290" t="s">
        <v>280</v>
      </c>
      <c r="HPA868" s="290" t="s">
        <v>280</v>
      </c>
      <c r="HPB868" s="290" t="s">
        <v>280</v>
      </c>
      <c r="HPC868" s="290" t="s">
        <v>280</v>
      </c>
      <c r="HPD868" s="290" t="s">
        <v>280</v>
      </c>
      <c r="HPE868" s="290" t="s">
        <v>280</v>
      </c>
      <c r="HPF868" s="290" t="s">
        <v>280</v>
      </c>
      <c r="HPG868" s="290" t="s">
        <v>280</v>
      </c>
      <c r="HPH868" s="290" t="s">
        <v>280</v>
      </c>
      <c r="HPI868" s="290" t="s">
        <v>280</v>
      </c>
      <c r="HPJ868" s="290" t="s">
        <v>280</v>
      </c>
      <c r="HPK868" s="290" t="s">
        <v>280</v>
      </c>
      <c r="HPL868" s="290" t="s">
        <v>280</v>
      </c>
      <c r="HPM868" s="290" t="s">
        <v>280</v>
      </c>
      <c r="HPN868" s="290" t="s">
        <v>280</v>
      </c>
      <c r="HPO868" s="290" t="s">
        <v>280</v>
      </c>
      <c r="HPP868" s="290" t="s">
        <v>280</v>
      </c>
      <c r="HPQ868" s="290" t="s">
        <v>280</v>
      </c>
      <c r="HPR868" s="290" t="s">
        <v>280</v>
      </c>
      <c r="HPS868" s="290" t="s">
        <v>280</v>
      </c>
      <c r="HPT868" s="290" t="s">
        <v>280</v>
      </c>
      <c r="HPU868" s="290" t="s">
        <v>280</v>
      </c>
      <c r="HPV868" s="290" t="s">
        <v>280</v>
      </c>
      <c r="HPW868" s="290" t="s">
        <v>280</v>
      </c>
      <c r="HPX868" s="290" t="s">
        <v>280</v>
      </c>
      <c r="HPY868" s="290" t="s">
        <v>280</v>
      </c>
      <c r="HPZ868" s="290" t="s">
        <v>280</v>
      </c>
      <c r="HQA868" s="290" t="s">
        <v>280</v>
      </c>
      <c r="HQB868" s="290" t="s">
        <v>280</v>
      </c>
      <c r="HQC868" s="290" t="s">
        <v>280</v>
      </c>
      <c r="HQD868" s="290" t="s">
        <v>280</v>
      </c>
      <c r="HQE868" s="290" t="s">
        <v>280</v>
      </c>
      <c r="HQF868" s="290" t="s">
        <v>280</v>
      </c>
      <c r="HQG868" s="290" t="s">
        <v>280</v>
      </c>
      <c r="HQH868" s="290" t="s">
        <v>280</v>
      </c>
      <c r="HQI868" s="290" t="s">
        <v>280</v>
      </c>
      <c r="HQJ868" s="290" t="s">
        <v>280</v>
      </c>
      <c r="HQK868" s="290" t="s">
        <v>280</v>
      </c>
      <c r="HQL868" s="290" t="s">
        <v>280</v>
      </c>
      <c r="HQM868" s="290" t="s">
        <v>280</v>
      </c>
      <c r="HQN868" s="290" t="s">
        <v>280</v>
      </c>
      <c r="HQO868" s="290" t="s">
        <v>280</v>
      </c>
      <c r="HQP868" s="290" t="s">
        <v>280</v>
      </c>
      <c r="HQQ868" s="290" t="s">
        <v>280</v>
      </c>
      <c r="HQR868" s="290" t="s">
        <v>280</v>
      </c>
      <c r="HQS868" s="290" t="s">
        <v>280</v>
      </c>
      <c r="HQT868" s="290" t="s">
        <v>280</v>
      </c>
      <c r="HQU868" s="290" t="s">
        <v>280</v>
      </c>
      <c r="HQV868" s="290" t="s">
        <v>280</v>
      </c>
      <c r="HQW868" s="290" t="s">
        <v>280</v>
      </c>
      <c r="HQX868" s="290" t="s">
        <v>280</v>
      </c>
      <c r="HQY868" s="290" t="s">
        <v>280</v>
      </c>
      <c r="HQZ868" s="290" t="s">
        <v>280</v>
      </c>
      <c r="HRA868" s="290" t="s">
        <v>280</v>
      </c>
      <c r="HRB868" s="290" t="s">
        <v>280</v>
      </c>
      <c r="HRC868" s="290" t="s">
        <v>280</v>
      </c>
      <c r="HRD868" s="290" t="s">
        <v>280</v>
      </c>
      <c r="HRE868" s="290" t="s">
        <v>280</v>
      </c>
      <c r="HRF868" s="290" t="s">
        <v>280</v>
      </c>
      <c r="HRG868" s="290" t="s">
        <v>280</v>
      </c>
      <c r="HRH868" s="290" t="s">
        <v>280</v>
      </c>
      <c r="HRI868" s="290" t="s">
        <v>280</v>
      </c>
      <c r="HRJ868" s="290" t="s">
        <v>280</v>
      </c>
      <c r="HRK868" s="290" t="s">
        <v>280</v>
      </c>
      <c r="HRL868" s="290" t="s">
        <v>280</v>
      </c>
      <c r="HRM868" s="290" t="s">
        <v>280</v>
      </c>
      <c r="HRN868" s="290" t="s">
        <v>280</v>
      </c>
      <c r="HRO868" s="290" t="s">
        <v>280</v>
      </c>
      <c r="HRP868" s="290" t="s">
        <v>280</v>
      </c>
      <c r="HRQ868" s="290" t="s">
        <v>280</v>
      </c>
      <c r="HRR868" s="290" t="s">
        <v>280</v>
      </c>
      <c r="HRS868" s="290" t="s">
        <v>280</v>
      </c>
      <c r="HRT868" s="290" t="s">
        <v>280</v>
      </c>
      <c r="HRU868" s="290" t="s">
        <v>280</v>
      </c>
      <c r="HRV868" s="290" t="s">
        <v>280</v>
      </c>
      <c r="HRW868" s="290" t="s">
        <v>280</v>
      </c>
      <c r="HRX868" s="290" t="s">
        <v>280</v>
      </c>
      <c r="HRY868" s="290" t="s">
        <v>280</v>
      </c>
      <c r="HRZ868" s="290" t="s">
        <v>280</v>
      </c>
      <c r="HSA868" s="290" t="s">
        <v>280</v>
      </c>
      <c r="HSB868" s="290" t="s">
        <v>280</v>
      </c>
      <c r="HSC868" s="290" t="s">
        <v>280</v>
      </c>
      <c r="HSD868" s="290" t="s">
        <v>280</v>
      </c>
      <c r="HSE868" s="290" t="s">
        <v>280</v>
      </c>
      <c r="HSF868" s="290" t="s">
        <v>280</v>
      </c>
      <c r="HSG868" s="290" t="s">
        <v>280</v>
      </c>
      <c r="HSH868" s="290" t="s">
        <v>280</v>
      </c>
      <c r="HSI868" s="290" t="s">
        <v>280</v>
      </c>
      <c r="HSJ868" s="290" t="s">
        <v>280</v>
      </c>
      <c r="HSK868" s="290" t="s">
        <v>280</v>
      </c>
      <c r="HSL868" s="290" t="s">
        <v>280</v>
      </c>
      <c r="HSM868" s="290" t="s">
        <v>280</v>
      </c>
      <c r="HSN868" s="290" t="s">
        <v>280</v>
      </c>
      <c r="HSO868" s="290" t="s">
        <v>280</v>
      </c>
      <c r="HSP868" s="290" t="s">
        <v>280</v>
      </c>
      <c r="HSQ868" s="290" t="s">
        <v>280</v>
      </c>
      <c r="HSR868" s="290" t="s">
        <v>280</v>
      </c>
      <c r="HSS868" s="290" t="s">
        <v>280</v>
      </c>
      <c r="HST868" s="290" t="s">
        <v>280</v>
      </c>
      <c r="HSU868" s="290" t="s">
        <v>280</v>
      </c>
      <c r="HSV868" s="290" t="s">
        <v>280</v>
      </c>
      <c r="HSW868" s="290" t="s">
        <v>280</v>
      </c>
      <c r="HSX868" s="290" t="s">
        <v>280</v>
      </c>
      <c r="HSY868" s="290" t="s">
        <v>280</v>
      </c>
      <c r="HSZ868" s="290" t="s">
        <v>280</v>
      </c>
      <c r="HTA868" s="290" t="s">
        <v>280</v>
      </c>
      <c r="HTB868" s="290" t="s">
        <v>280</v>
      </c>
      <c r="HTC868" s="290" t="s">
        <v>280</v>
      </c>
      <c r="HTD868" s="290" t="s">
        <v>280</v>
      </c>
      <c r="HTE868" s="290" t="s">
        <v>280</v>
      </c>
      <c r="HTF868" s="290" t="s">
        <v>280</v>
      </c>
      <c r="HTG868" s="290" t="s">
        <v>280</v>
      </c>
      <c r="HTH868" s="290" t="s">
        <v>280</v>
      </c>
      <c r="HTI868" s="290" t="s">
        <v>280</v>
      </c>
      <c r="HTJ868" s="290" t="s">
        <v>280</v>
      </c>
      <c r="HTK868" s="290" t="s">
        <v>280</v>
      </c>
      <c r="HTL868" s="290" t="s">
        <v>280</v>
      </c>
      <c r="HTM868" s="290" t="s">
        <v>280</v>
      </c>
      <c r="HTN868" s="290" t="s">
        <v>280</v>
      </c>
      <c r="HTO868" s="290" t="s">
        <v>280</v>
      </c>
      <c r="HTP868" s="290" t="s">
        <v>280</v>
      </c>
      <c r="HTQ868" s="290" t="s">
        <v>280</v>
      </c>
      <c r="HTR868" s="290" t="s">
        <v>280</v>
      </c>
      <c r="HTS868" s="290" t="s">
        <v>280</v>
      </c>
      <c r="HTT868" s="290" t="s">
        <v>280</v>
      </c>
      <c r="HTU868" s="290" t="s">
        <v>280</v>
      </c>
      <c r="HTV868" s="290" t="s">
        <v>280</v>
      </c>
      <c r="HTW868" s="290" t="s">
        <v>280</v>
      </c>
      <c r="HTX868" s="290" t="s">
        <v>280</v>
      </c>
      <c r="HTY868" s="290" t="s">
        <v>280</v>
      </c>
      <c r="HTZ868" s="290" t="s">
        <v>280</v>
      </c>
      <c r="HUA868" s="290" t="s">
        <v>280</v>
      </c>
      <c r="HUB868" s="290" t="s">
        <v>280</v>
      </c>
      <c r="HUC868" s="290" t="s">
        <v>280</v>
      </c>
      <c r="HUD868" s="290" t="s">
        <v>280</v>
      </c>
      <c r="HUE868" s="290" t="s">
        <v>280</v>
      </c>
      <c r="HUF868" s="290" t="s">
        <v>280</v>
      </c>
      <c r="HUG868" s="290" t="s">
        <v>280</v>
      </c>
      <c r="HUH868" s="290" t="s">
        <v>280</v>
      </c>
      <c r="HUI868" s="290" t="s">
        <v>280</v>
      </c>
      <c r="HUJ868" s="290" t="s">
        <v>280</v>
      </c>
      <c r="HUK868" s="290" t="s">
        <v>280</v>
      </c>
      <c r="HUL868" s="290" t="s">
        <v>280</v>
      </c>
      <c r="HUM868" s="290" t="s">
        <v>280</v>
      </c>
      <c r="HUN868" s="290" t="s">
        <v>280</v>
      </c>
      <c r="HUO868" s="290" t="s">
        <v>280</v>
      </c>
      <c r="HUP868" s="290" t="s">
        <v>280</v>
      </c>
      <c r="HUQ868" s="290" t="s">
        <v>280</v>
      </c>
      <c r="HUR868" s="290" t="s">
        <v>280</v>
      </c>
      <c r="HUS868" s="290" t="s">
        <v>280</v>
      </c>
      <c r="HUT868" s="290" t="s">
        <v>280</v>
      </c>
      <c r="HUU868" s="290" t="s">
        <v>280</v>
      </c>
      <c r="HUV868" s="290" t="s">
        <v>280</v>
      </c>
      <c r="HUW868" s="290" t="s">
        <v>280</v>
      </c>
      <c r="HUX868" s="290" t="s">
        <v>280</v>
      </c>
      <c r="HUY868" s="290" t="s">
        <v>280</v>
      </c>
      <c r="HUZ868" s="290" t="s">
        <v>280</v>
      </c>
      <c r="HVA868" s="290" t="s">
        <v>280</v>
      </c>
      <c r="HVB868" s="290" t="s">
        <v>280</v>
      </c>
      <c r="HVC868" s="290" t="s">
        <v>280</v>
      </c>
      <c r="HVD868" s="290" t="s">
        <v>280</v>
      </c>
      <c r="HVE868" s="290" t="s">
        <v>280</v>
      </c>
      <c r="HVF868" s="290" t="s">
        <v>280</v>
      </c>
      <c r="HVG868" s="290" t="s">
        <v>280</v>
      </c>
      <c r="HVH868" s="290" t="s">
        <v>280</v>
      </c>
      <c r="HVI868" s="290" t="s">
        <v>280</v>
      </c>
      <c r="HVJ868" s="290" t="s">
        <v>280</v>
      </c>
      <c r="HVK868" s="290" t="s">
        <v>280</v>
      </c>
      <c r="HVL868" s="290" t="s">
        <v>280</v>
      </c>
      <c r="HVM868" s="290" t="s">
        <v>280</v>
      </c>
      <c r="HVN868" s="290" t="s">
        <v>280</v>
      </c>
      <c r="HVO868" s="290" t="s">
        <v>280</v>
      </c>
      <c r="HVP868" s="290" t="s">
        <v>280</v>
      </c>
      <c r="HVQ868" s="290" t="s">
        <v>280</v>
      </c>
      <c r="HVR868" s="290" t="s">
        <v>280</v>
      </c>
      <c r="HVS868" s="290" t="s">
        <v>280</v>
      </c>
      <c r="HVT868" s="290" t="s">
        <v>280</v>
      </c>
      <c r="HVU868" s="290" t="s">
        <v>280</v>
      </c>
      <c r="HVV868" s="290" t="s">
        <v>280</v>
      </c>
      <c r="HVW868" s="290" t="s">
        <v>280</v>
      </c>
      <c r="HVX868" s="290" t="s">
        <v>280</v>
      </c>
      <c r="HVY868" s="290" t="s">
        <v>280</v>
      </c>
      <c r="HVZ868" s="290" t="s">
        <v>280</v>
      </c>
      <c r="HWA868" s="290" t="s">
        <v>280</v>
      </c>
      <c r="HWB868" s="290" t="s">
        <v>280</v>
      </c>
      <c r="HWC868" s="290" t="s">
        <v>280</v>
      </c>
      <c r="HWD868" s="290" t="s">
        <v>280</v>
      </c>
      <c r="HWE868" s="290" t="s">
        <v>280</v>
      </c>
      <c r="HWF868" s="290" t="s">
        <v>280</v>
      </c>
      <c r="HWG868" s="290" t="s">
        <v>280</v>
      </c>
      <c r="HWH868" s="290" t="s">
        <v>280</v>
      </c>
      <c r="HWI868" s="290" t="s">
        <v>280</v>
      </c>
      <c r="HWJ868" s="290" t="s">
        <v>280</v>
      </c>
      <c r="HWK868" s="290" t="s">
        <v>280</v>
      </c>
      <c r="HWL868" s="290" t="s">
        <v>280</v>
      </c>
      <c r="HWM868" s="290" t="s">
        <v>280</v>
      </c>
      <c r="HWN868" s="290" t="s">
        <v>280</v>
      </c>
      <c r="HWO868" s="290" t="s">
        <v>280</v>
      </c>
      <c r="HWP868" s="290" t="s">
        <v>280</v>
      </c>
      <c r="HWQ868" s="290" t="s">
        <v>280</v>
      </c>
      <c r="HWR868" s="290" t="s">
        <v>280</v>
      </c>
      <c r="HWS868" s="290" t="s">
        <v>280</v>
      </c>
      <c r="HWT868" s="290" t="s">
        <v>280</v>
      </c>
      <c r="HWU868" s="290" t="s">
        <v>280</v>
      </c>
      <c r="HWV868" s="290" t="s">
        <v>280</v>
      </c>
      <c r="HWW868" s="290" t="s">
        <v>280</v>
      </c>
      <c r="HWX868" s="290" t="s">
        <v>280</v>
      </c>
      <c r="HWY868" s="290" t="s">
        <v>280</v>
      </c>
      <c r="HWZ868" s="290" t="s">
        <v>280</v>
      </c>
      <c r="HXA868" s="290" t="s">
        <v>280</v>
      </c>
      <c r="HXB868" s="290" t="s">
        <v>280</v>
      </c>
      <c r="HXC868" s="290" t="s">
        <v>280</v>
      </c>
      <c r="HXD868" s="290" t="s">
        <v>280</v>
      </c>
      <c r="HXE868" s="290" t="s">
        <v>280</v>
      </c>
      <c r="HXF868" s="290" t="s">
        <v>280</v>
      </c>
      <c r="HXG868" s="290" t="s">
        <v>280</v>
      </c>
      <c r="HXH868" s="290" t="s">
        <v>280</v>
      </c>
      <c r="HXI868" s="290" t="s">
        <v>280</v>
      </c>
      <c r="HXJ868" s="290" t="s">
        <v>280</v>
      </c>
      <c r="HXK868" s="290" t="s">
        <v>280</v>
      </c>
      <c r="HXL868" s="290" t="s">
        <v>280</v>
      </c>
      <c r="HXM868" s="290" t="s">
        <v>280</v>
      </c>
      <c r="HXN868" s="290" t="s">
        <v>280</v>
      </c>
      <c r="HXO868" s="290" t="s">
        <v>280</v>
      </c>
      <c r="HXP868" s="290" t="s">
        <v>280</v>
      </c>
      <c r="HXQ868" s="290" t="s">
        <v>280</v>
      </c>
      <c r="HXR868" s="290" t="s">
        <v>280</v>
      </c>
      <c r="HXS868" s="290" t="s">
        <v>280</v>
      </c>
      <c r="HXT868" s="290" t="s">
        <v>280</v>
      </c>
      <c r="HXU868" s="290" t="s">
        <v>280</v>
      </c>
      <c r="HXV868" s="290" t="s">
        <v>280</v>
      </c>
      <c r="HXW868" s="290" t="s">
        <v>280</v>
      </c>
      <c r="HXX868" s="290" t="s">
        <v>280</v>
      </c>
      <c r="HXY868" s="290" t="s">
        <v>280</v>
      </c>
      <c r="HXZ868" s="290" t="s">
        <v>280</v>
      </c>
      <c r="HYA868" s="290" t="s">
        <v>280</v>
      </c>
      <c r="HYB868" s="290" t="s">
        <v>280</v>
      </c>
      <c r="HYC868" s="290" t="s">
        <v>280</v>
      </c>
      <c r="HYD868" s="290" t="s">
        <v>280</v>
      </c>
      <c r="HYE868" s="290" t="s">
        <v>280</v>
      </c>
      <c r="HYF868" s="290" t="s">
        <v>280</v>
      </c>
      <c r="HYG868" s="290" t="s">
        <v>280</v>
      </c>
      <c r="HYH868" s="290" t="s">
        <v>280</v>
      </c>
      <c r="HYI868" s="290" t="s">
        <v>280</v>
      </c>
      <c r="HYJ868" s="290" t="s">
        <v>280</v>
      </c>
      <c r="HYK868" s="290" t="s">
        <v>280</v>
      </c>
      <c r="HYL868" s="290" t="s">
        <v>280</v>
      </c>
      <c r="HYM868" s="290" t="s">
        <v>280</v>
      </c>
      <c r="HYN868" s="290" t="s">
        <v>280</v>
      </c>
      <c r="HYO868" s="290" t="s">
        <v>280</v>
      </c>
      <c r="HYP868" s="290" t="s">
        <v>280</v>
      </c>
      <c r="HYQ868" s="290" t="s">
        <v>280</v>
      </c>
      <c r="HYR868" s="290" t="s">
        <v>280</v>
      </c>
      <c r="HYS868" s="290" t="s">
        <v>280</v>
      </c>
      <c r="HYT868" s="290" t="s">
        <v>280</v>
      </c>
      <c r="HYU868" s="290" t="s">
        <v>280</v>
      </c>
      <c r="HYV868" s="290" t="s">
        <v>280</v>
      </c>
      <c r="HYW868" s="290" t="s">
        <v>280</v>
      </c>
      <c r="HYX868" s="290" t="s">
        <v>280</v>
      </c>
      <c r="HYY868" s="290" t="s">
        <v>280</v>
      </c>
      <c r="HYZ868" s="290" t="s">
        <v>280</v>
      </c>
      <c r="HZA868" s="290" t="s">
        <v>280</v>
      </c>
      <c r="HZB868" s="290" t="s">
        <v>280</v>
      </c>
      <c r="HZC868" s="290" t="s">
        <v>280</v>
      </c>
      <c r="HZD868" s="290" t="s">
        <v>280</v>
      </c>
      <c r="HZE868" s="290" t="s">
        <v>280</v>
      </c>
      <c r="HZF868" s="290" t="s">
        <v>280</v>
      </c>
      <c r="HZG868" s="290" t="s">
        <v>280</v>
      </c>
      <c r="HZH868" s="290" t="s">
        <v>280</v>
      </c>
      <c r="HZI868" s="290" t="s">
        <v>280</v>
      </c>
      <c r="HZJ868" s="290" t="s">
        <v>280</v>
      </c>
      <c r="HZK868" s="290" t="s">
        <v>280</v>
      </c>
      <c r="HZL868" s="290" t="s">
        <v>280</v>
      </c>
      <c r="HZM868" s="290" t="s">
        <v>280</v>
      </c>
      <c r="HZN868" s="290" t="s">
        <v>280</v>
      </c>
      <c r="HZO868" s="290" t="s">
        <v>280</v>
      </c>
      <c r="HZP868" s="290" t="s">
        <v>280</v>
      </c>
      <c r="HZQ868" s="290" t="s">
        <v>280</v>
      </c>
      <c r="HZR868" s="290" t="s">
        <v>280</v>
      </c>
      <c r="HZS868" s="290" t="s">
        <v>280</v>
      </c>
      <c r="HZT868" s="290" t="s">
        <v>280</v>
      </c>
      <c r="HZU868" s="290" t="s">
        <v>280</v>
      </c>
      <c r="HZV868" s="290" t="s">
        <v>280</v>
      </c>
      <c r="HZW868" s="290" t="s">
        <v>280</v>
      </c>
      <c r="HZX868" s="290" t="s">
        <v>280</v>
      </c>
      <c r="HZY868" s="290" t="s">
        <v>280</v>
      </c>
      <c r="HZZ868" s="290" t="s">
        <v>280</v>
      </c>
      <c r="IAA868" s="290" t="s">
        <v>280</v>
      </c>
      <c r="IAB868" s="290" t="s">
        <v>280</v>
      </c>
      <c r="IAC868" s="290" t="s">
        <v>280</v>
      </c>
      <c r="IAD868" s="290" t="s">
        <v>280</v>
      </c>
      <c r="IAE868" s="290" t="s">
        <v>280</v>
      </c>
      <c r="IAF868" s="290" t="s">
        <v>280</v>
      </c>
      <c r="IAG868" s="290" t="s">
        <v>280</v>
      </c>
      <c r="IAH868" s="290" t="s">
        <v>280</v>
      </c>
      <c r="IAI868" s="290" t="s">
        <v>280</v>
      </c>
      <c r="IAJ868" s="290" t="s">
        <v>280</v>
      </c>
      <c r="IAK868" s="290" t="s">
        <v>280</v>
      </c>
      <c r="IAL868" s="290" t="s">
        <v>280</v>
      </c>
      <c r="IAM868" s="290" t="s">
        <v>280</v>
      </c>
      <c r="IAN868" s="290" t="s">
        <v>280</v>
      </c>
      <c r="IAO868" s="290" t="s">
        <v>280</v>
      </c>
      <c r="IAP868" s="290" t="s">
        <v>280</v>
      </c>
      <c r="IAQ868" s="290" t="s">
        <v>280</v>
      </c>
      <c r="IAR868" s="290" t="s">
        <v>280</v>
      </c>
      <c r="IAS868" s="290" t="s">
        <v>280</v>
      </c>
      <c r="IAT868" s="290" t="s">
        <v>280</v>
      </c>
      <c r="IAU868" s="290" t="s">
        <v>280</v>
      </c>
      <c r="IAV868" s="290" t="s">
        <v>280</v>
      </c>
      <c r="IAW868" s="290" t="s">
        <v>280</v>
      </c>
      <c r="IAX868" s="290" t="s">
        <v>280</v>
      </c>
      <c r="IAY868" s="290" t="s">
        <v>280</v>
      </c>
      <c r="IAZ868" s="290" t="s">
        <v>280</v>
      </c>
      <c r="IBA868" s="290" t="s">
        <v>280</v>
      </c>
      <c r="IBB868" s="290" t="s">
        <v>280</v>
      </c>
      <c r="IBC868" s="290" t="s">
        <v>280</v>
      </c>
      <c r="IBD868" s="290" t="s">
        <v>280</v>
      </c>
      <c r="IBE868" s="290" t="s">
        <v>280</v>
      </c>
      <c r="IBF868" s="290" t="s">
        <v>280</v>
      </c>
      <c r="IBG868" s="290" t="s">
        <v>280</v>
      </c>
      <c r="IBH868" s="290" t="s">
        <v>280</v>
      </c>
      <c r="IBI868" s="290" t="s">
        <v>280</v>
      </c>
      <c r="IBJ868" s="290" t="s">
        <v>280</v>
      </c>
      <c r="IBK868" s="290" t="s">
        <v>280</v>
      </c>
      <c r="IBL868" s="290" t="s">
        <v>280</v>
      </c>
      <c r="IBM868" s="290" t="s">
        <v>280</v>
      </c>
      <c r="IBN868" s="290" t="s">
        <v>280</v>
      </c>
      <c r="IBO868" s="290" t="s">
        <v>280</v>
      </c>
      <c r="IBP868" s="290" t="s">
        <v>280</v>
      </c>
      <c r="IBQ868" s="290" t="s">
        <v>280</v>
      </c>
      <c r="IBR868" s="290" t="s">
        <v>280</v>
      </c>
      <c r="IBS868" s="290" t="s">
        <v>280</v>
      </c>
      <c r="IBT868" s="290" t="s">
        <v>280</v>
      </c>
      <c r="IBU868" s="290" t="s">
        <v>280</v>
      </c>
      <c r="IBV868" s="290" t="s">
        <v>280</v>
      </c>
      <c r="IBW868" s="290" t="s">
        <v>280</v>
      </c>
      <c r="IBX868" s="290" t="s">
        <v>280</v>
      </c>
      <c r="IBY868" s="290" t="s">
        <v>280</v>
      </c>
      <c r="IBZ868" s="290" t="s">
        <v>280</v>
      </c>
      <c r="ICA868" s="290" t="s">
        <v>280</v>
      </c>
      <c r="ICB868" s="290" t="s">
        <v>280</v>
      </c>
      <c r="ICC868" s="290" t="s">
        <v>280</v>
      </c>
      <c r="ICD868" s="290" t="s">
        <v>280</v>
      </c>
      <c r="ICE868" s="290" t="s">
        <v>280</v>
      </c>
      <c r="ICF868" s="290" t="s">
        <v>280</v>
      </c>
      <c r="ICG868" s="290" t="s">
        <v>280</v>
      </c>
      <c r="ICH868" s="290" t="s">
        <v>280</v>
      </c>
      <c r="ICI868" s="290" t="s">
        <v>280</v>
      </c>
      <c r="ICJ868" s="290" t="s">
        <v>280</v>
      </c>
      <c r="ICK868" s="290" t="s">
        <v>280</v>
      </c>
      <c r="ICL868" s="290" t="s">
        <v>280</v>
      </c>
      <c r="ICM868" s="290" t="s">
        <v>280</v>
      </c>
      <c r="ICN868" s="290" t="s">
        <v>280</v>
      </c>
      <c r="ICO868" s="290" t="s">
        <v>280</v>
      </c>
      <c r="ICP868" s="290" t="s">
        <v>280</v>
      </c>
      <c r="ICQ868" s="290" t="s">
        <v>280</v>
      </c>
      <c r="ICR868" s="290" t="s">
        <v>280</v>
      </c>
      <c r="ICS868" s="290" t="s">
        <v>280</v>
      </c>
      <c r="ICT868" s="290" t="s">
        <v>280</v>
      </c>
      <c r="ICU868" s="290" t="s">
        <v>280</v>
      </c>
      <c r="ICV868" s="290" t="s">
        <v>280</v>
      </c>
      <c r="ICW868" s="290" t="s">
        <v>280</v>
      </c>
      <c r="ICX868" s="290" t="s">
        <v>280</v>
      </c>
      <c r="ICY868" s="290" t="s">
        <v>280</v>
      </c>
      <c r="ICZ868" s="290" t="s">
        <v>280</v>
      </c>
      <c r="IDA868" s="290" t="s">
        <v>280</v>
      </c>
      <c r="IDB868" s="290" t="s">
        <v>280</v>
      </c>
      <c r="IDC868" s="290" t="s">
        <v>280</v>
      </c>
      <c r="IDD868" s="290" t="s">
        <v>280</v>
      </c>
      <c r="IDE868" s="290" t="s">
        <v>280</v>
      </c>
      <c r="IDF868" s="290" t="s">
        <v>280</v>
      </c>
      <c r="IDG868" s="290" t="s">
        <v>280</v>
      </c>
      <c r="IDH868" s="290" t="s">
        <v>280</v>
      </c>
      <c r="IDI868" s="290" t="s">
        <v>280</v>
      </c>
      <c r="IDJ868" s="290" t="s">
        <v>280</v>
      </c>
      <c r="IDK868" s="290" t="s">
        <v>280</v>
      </c>
      <c r="IDL868" s="290" t="s">
        <v>280</v>
      </c>
      <c r="IDM868" s="290" t="s">
        <v>280</v>
      </c>
      <c r="IDN868" s="290" t="s">
        <v>280</v>
      </c>
      <c r="IDO868" s="290" t="s">
        <v>280</v>
      </c>
      <c r="IDP868" s="290" t="s">
        <v>280</v>
      </c>
      <c r="IDQ868" s="290" t="s">
        <v>280</v>
      </c>
      <c r="IDR868" s="290" t="s">
        <v>280</v>
      </c>
      <c r="IDS868" s="290" t="s">
        <v>280</v>
      </c>
      <c r="IDT868" s="290" t="s">
        <v>280</v>
      </c>
      <c r="IDU868" s="290" t="s">
        <v>280</v>
      </c>
      <c r="IDV868" s="290" t="s">
        <v>280</v>
      </c>
      <c r="IDW868" s="290" t="s">
        <v>280</v>
      </c>
      <c r="IDX868" s="290" t="s">
        <v>280</v>
      </c>
      <c r="IDY868" s="290" t="s">
        <v>280</v>
      </c>
      <c r="IDZ868" s="290" t="s">
        <v>280</v>
      </c>
      <c r="IEA868" s="290" t="s">
        <v>280</v>
      </c>
      <c r="IEB868" s="290" t="s">
        <v>280</v>
      </c>
      <c r="IEC868" s="290" t="s">
        <v>280</v>
      </c>
      <c r="IED868" s="290" t="s">
        <v>280</v>
      </c>
      <c r="IEE868" s="290" t="s">
        <v>280</v>
      </c>
      <c r="IEF868" s="290" t="s">
        <v>280</v>
      </c>
      <c r="IEG868" s="290" t="s">
        <v>280</v>
      </c>
      <c r="IEH868" s="290" t="s">
        <v>280</v>
      </c>
      <c r="IEI868" s="290" t="s">
        <v>280</v>
      </c>
      <c r="IEJ868" s="290" t="s">
        <v>280</v>
      </c>
      <c r="IEK868" s="290" t="s">
        <v>280</v>
      </c>
      <c r="IEL868" s="290" t="s">
        <v>280</v>
      </c>
      <c r="IEM868" s="290" t="s">
        <v>280</v>
      </c>
      <c r="IEN868" s="290" t="s">
        <v>280</v>
      </c>
      <c r="IEO868" s="290" t="s">
        <v>280</v>
      </c>
      <c r="IEP868" s="290" t="s">
        <v>280</v>
      </c>
      <c r="IEQ868" s="290" t="s">
        <v>280</v>
      </c>
      <c r="IER868" s="290" t="s">
        <v>280</v>
      </c>
      <c r="IES868" s="290" t="s">
        <v>280</v>
      </c>
      <c r="IET868" s="290" t="s">
        <v>280</v>
      </c>
      <c r="IEU868" s="290" t="s">
        <v>280</v>
      </c>
      <c r="IEV868" s="290" t="s">
        <v>280</v>
      </c>
      <c r="IEW868" s="290" t="s">
        <v>280</v>
      </c>
      <c r="IEX868" s="290" t="s">
        <v>280</v>
      </c>
      <c r="IEY868" s="290" t="s">
        <v>280</v>
      </c>
      <c r="IEZ868" s="290" t="s">
        <v>280</v>
      </c>
      <c r="IFA868" s="290" t="s">
        <v>280</v>
      </c>
      <c r="IFB868" s="290" t="s">
        <v>280</v>
      </c>
      <c r="IFC868" s="290" t="s">
        <v>280</v>
      </c>
      <c r="IFD868" s="290" t="s">
        <v>280</v>
      </c>
      <c r="IFE868" s="290" t="s">
        <v>280</v>
      </c>
      <c r="IFF868" s="290" t="s">
        <v>280</v>
      </c>
      <c r="IFG868" s="290" t="s">
        <v>280</v>
      </c>
      <c r="IFH868" s="290" t="s">
        <v>280</v>
      </c>
      <c r="IFI868" s="290" t="s">
        <v>280</v>
      </c>
      <c r="IFJ868" s="290" t="s">
        <v>280</v>
      </c>
      <c r="IFK868" s="290" t="s">
        <v>280</v>
      </c>
      <c r="IFL868" s="290" t="s">
        <v>280</v>
      </c>
      <c r="IFM868" s="290" t="s">
        <v>280</v>
      </c>
      <c r="IFN868" s="290" t="s">
        <v>280</v>
      </c>
      <c r="IFO868" s="290" t="s">
        <v>280</v>
      </c>
      <c r="IFP868" s="290" t="s">
        <v>280</v>
      </c>
      <c r="IFQ868" s="290" t="s">
        <v>280</v>
      </c>
      <c r="IFR868" s="290" t="s">
        <v>280</v>
      </c>
      <c r="IFS868" s="290" t="s">
        <v>280</v>
      </c>
      <c r="IFT868" s="290" t="s">
        <v>280</v>
      </c>
      <c r="IFU868" s="290" t="s">
        <v>280</v>
      </c>
      <c r="IFV868" s="290" t="s">
        <v>280</v>
      </c>
      <c r="IFW868" s="290" t="s">
        <v>280</v>
      </c>
      <c r="IFX868" s="290" t="s">
        <v>280</v>
      </c>
      <c r="IFY868" s="290" t="s">
        <v>280</v>
      </c>
      <c r="IFZ868" s="290" t="s">
        <v>280</v>
      </c>
      <c r="IGA868" s="290" t="s">
        <v>280</v>
      </c>
      <c r="IGB868" s="290" t="s">
        <v>280</v>
      </c>
      <c r="IGC868" s="290" t="s">
        <v>280</v>
      </c>
      <c r="IGD868" s="290" t="s">
        <v>280</v>
      </c>
      <c r="IGE868" s="290" t="s">
        <v>280</v>
      </c>
      <c r="IGF868" s="290" t="s">
        <v>280</v>
      </c>
      <c r="IGG868" s="290" t="s">
        <v>280</v>
      </c>
      <c r="IGH868" s="290" t="s">
        <v>280</v>
      </c>
      <c r="IGI868" s="290" t="s">
        <v>280</v>
      </c>
      <c r="IGJ868" s="290" t="s">
        <v>280</v>
      </c>
      <c r="IGK868" s="290" t="s">
        <v>280</v>
      </c>
      <c r="IGL868" s="290" t="s">
        <v>280</v>
      </c>
      <c r="IGM868" s="290" t="s">
        <v>280</v>
      </c>
      <c r="IGN868" s="290" t="s">
        <v>280</v>
      </c>
      <c r="IGO868" s="290" t="s">
        <v>280</v>
      </c>
      <c r="IGP868" s="290" t="s">
        <v>280</v>
      </c>
      <c r="IGQ868" s="290" t="s">
        <v>280</v>
      </c>
      <c r="IGR868" s="290" t="s">
        <v>280</v>
      </c>
      <c r="IGS868" s="290" t="s">
        <v>280</v>
      </c>
      <c r="IGT868" s="290" t="s">
        <v>280</v>
      </c>
      <c r="IGU868" s="290" t="s">
        <v>280</v>
      </c>
      <c r="IGV868" s="290" t="s">
        <v>280</v>
      </c>
      <c r="IGW868" s="290" t="s">
        <v>280</v>
      </c>
      <c r="IGX868" s="290" t="s">
        <v>280</v>
      </c>
      <c r="IGY868" s="290" t="s">
        <v>280</v>
      </c>
      <c r="IGZ868" s="290" t="s">
        <v>280</v>
      </c>
      <c r="IHA868" s="290" t="s">
        <v>280</v>
      </c>
      <c r="IHB868" s="290" t="s">
        <v>280</v>
      </c>
      <c r="IHC868" s="290" t="s">
        <v>280</v>
      </c>
      <c r="IHD868" s="290" t="s">
        <v>280</v>
      </c>
      <c r="IHE868" s="290" t="s">
        <v>280</v>
      </c>
      <c r="IHF868" s="290" t="s">
        <v>280</v>
      </c>
      <c r="IHG868" s="290" t="s">
        <v>280</v>
      </c>
      <c r="IHH868" s="290" t="s">
        <v>280</v>
      </c>
      <c r="IHI868" s="290" t="s">
        <v>280</v>
      </c>
      <c r="IHJ868" s="290" t="s">
        <v>280</v>
      </c>
      <c r="IHK868" s="290" t="s">
        <v>280</v>
      </c>
      <c r="IHL868" s="290" t="s">
        <v>280</v>
      </c>
      <c r="IHM868" s="290" t="s">
        <v>280</v>
      </c>
      <c r="IHN868" s="290" t="s">
        <v>280</v>
      </c>
      <c r="IHO868" s="290" t="s">
        <v>280</v>
      </c>
      <c r="IHP868" s="290" t="s">
        <v>280</v>
      </c>
      <c r="IHQ868" s="290" t="s">
        <v>280</v>
      </c>
      <c r="IHR868" s="290" t="s">
        <v>280</v>
      </c>
      <c r="IHS868" s="290" t="s">
        <v>280</v>
      </c>
      <c r="IHT868" s="290" t="s">
        <v>280</v>
      </c>
      <c r="IHU868" s="290" t="s">
        <v>280</v>
      </c>
      <c r="IHV868" s="290" t="s">
        <v>280</v>
      </c>
      <c r="IHW868" s="290" t="s">
        <v>280</v>
      </c>
      <c r="IHX868" s="290" t="s">
        <v>280</v>
      </c>
      <c r="IHY868" s="290" t="s">
        <v>280</v>
      </c>
      <c r="IHZ868" s="290" t="s">
        <v>280</v>
      </c>
      <c r="IIA868" s="290" t="s">
        <v>280</v>
      </c>
      <c r="IIB868" s="290" t="s">
        <v>280</v>
      </c>
      <c r="IIC868" s="290" t="s">
        <v>280</v>
      </c>
      <c r="IID868" s="290" t="s">
        <v>280</v>
      </c>
      <c r="IIE868" s="290" t="s">
        <v>280</v>
      </c>
      <c r="IIF868" s="290" t="s">
        <v>280</v>
      </c>
      <c r="IIG868" s="290" t="s">
        <v>280</v>
      </c>
      <c r="IIH868" s="290" t="s">
        <v>280</v>
      </c>
      <c r="III868" s="290" t="s">
        <v>280</v>
      </c>
      <c r="IIJ868" s="290" t="s">
        <v>280</v>
      </c>
      <c r="IIK868" s="290" t="s">
        <v>280</v>
      </c>
      <c r="IIL868" s="290" t="s">
        <v>280</v>
      </c>
      <c r="IIM868" s="290" t="s">
        <v>280</v>
      </c>
      <c r="IIN868" s="290" t="s">
        <v>280</v>
      </c>
      <c r="IIO868" s="290" t="s">
        <v>280</v>
      </c>
      <c r="IIP868" s="290" t="s">
        <v>280</v>
      </c>
      <c r="IIQ868" s="290" t="s">
        <v>280</v>
      </c>
      <c r="IIR868" s="290" t="s">
        <v>280</v>
      </c>
      <c r="IIS868" s="290" t="s">
        <v>280</v>
      </c>
      <c r="IIT868" s="290" t="s">
        <v>280</v>
      </c>
      <c r="IIU868" s="290" t="s">
        <v>280</v>
      </c>
      <c r="IIV868" s="290" t="s">
        <v>280</v>
      </c>
      <c r="IIW868" s="290" t="s">
        <v>280</v>
      </c>
      <c r="IIX868" s="290" t="s">
        <v>280</v>
      </c>
      <c r="IIY868" s="290" t="s">
        <v>280</v>
      </c>
      <c r="IIZ868" s="290" t="s">
        <v>280</v>
      </c>
      <c r="IJA868" s="290" t="s">
        <v>280</v>
      </c>
      <c r="IJB868" s="290" t="s">
        <v>280</v>
      </c>
      <c r="IJC868" s="290" t="s">
        <v>280</v>
      </c>
      <c r="IJD868" s="290" t="s">
        <v>280</v>
      </c>
      <c r="IJE868" s="290" t="s">
        <v>280</v>
      </c>
      <c r="IJF868" s="290" t="s">
        <v>280</v>
      </c>
      <c r="IJG868" s="290" t="s">
        <v>280</v>
      </c>
      <c r="IJH868" s="290" t="s">
        <v>280</v>
      </c>
      <c r="IJI868" s="290" t="s">
        <v>280</v>
      </c>
      <c r="IJJ868" s="290" t="s">
        <v>280</v>
      </c>
      <c r="IJK868" s="290" t="s">
        <v>280</v>
      </c>
      <c r="IJL868" s="290" t="s">
        <v>280</v>
      </c>
      <c r="IJM868" s="290" t="s">
        <v>280</v>
      </c>
      <c r="IJN868" s="290" t="s">
        <v>280</v>
      </c>
      <c r="IJO868" s="290" t="s">
        <v>280</v>
      </c>
      <c r="IJP868" s="290" t="s">
        <v>280</v>
      </c>
      <c r="IJQ868" s="290" t="s">
        <v>280</v>
      </c>
      <c r="IJR868" s="290" t="s">
        <v>280</v>
      </c>
      <c r="IJS868" s="290" t="s">
        <v>280</v>
      </c>
      <c r="IJT868" s="290" t="s">
        <v>280</v>
      </c>
      <c r="IJU868" s="290" t="s">
        <v>280</v>
      </c>
      <c r="IJV868" s="290" t="s">
        <v>280</v>
      </c>
      <c r="IJW868" s="290" t="s">
        <v>280</v>
      </c>
      <c r="IJX868" s="290" t="s">
        <v>280</v>
      </c>
      <c r="IJY868" s="290" t="s">
        <v>280</v>
      </c>
      <c r="IJZ868" s="290" t="s">
        <v>280</v>
      </c>
      <c r="IKA868" s="290" t="s">
        <v>280</v>
      </c>
      <c r="IKB868" s="290" t="s">
        <v>280</v>
      </c>
      <c r="IKC868" s="290" t="s">
        <v>280</v>
      </c>
      <c r="IKD868" s="290" t="s">
        <v>280</v>
      </c>
      <c r="IKE868" s="290" t="s">
        <v>280</v>
      </c>
      <c r="IKF868" s="290" t="s">
        <v>280</v>
      </c>
      <c r="IKG868" s="290" t="s">
        <v>280</v>
      </c>
      <c r="IKH868" s="290" t="s">
        <v>280</v>
      </c>
      <c r="IKI868" s="290" t="s">
        <v>280</v>
      </c>
      <c r="IKJ868" s="290" t="s">
        <v>280</v>
      </c>
      <c r="IKK868" s="290" t="s">
        <v>280</v>
      </c>
      <c r="IKL868" s="290" t="s">
        <v>280</v>
      </c>
      <c r="IKM868" s="290" t="s">
        <v>280</v>
      </c>
      <c r="IKN868" s="290" t="s">
        <v>280</v>
      </c>
      <c r="IKO868" s="290" t="s">
        <v>280</v>
      </c>
      <c r="IKP868" s="290" t="s">
        <v>280</v>
      </c>
      <c r="IKQ868" s="290" t="s">
        <v>280</v>
      </c>
      <c r="IKR868" s="290" t="s">
        <v>280</v>
      </c>
      <c r="IKS868" s="290" t="s">
        <v>280</v>
      </c>
      <c r="IKT868" s="290" t="s">
        <v>280</v>
      </c>
      <c r="IKU868" s="290" t="s">
        <v>280</v>
      </c>
      <c r="IKV868" s="290" t="s">
        <v>280</v>
      </c>
      <c r="IKW868" s="290" t="s">
        <v>280</v>
      </c>
      <c r="IKX868" s="290" t="s">
        <v>280</v>
      </c>
      <c r="IKY868" s="290" t="s">
        <v>280</v>
      </c>
      <c r="IKZ868" s="290" t="s">
        <v>280</v>
      </c>
      <c r="ILA868" s="290" t="s">
        <v>280</v>
      </c>
      <c r="ILB868" s="290" t="s">
        <v>280</v>
      </c>
      <c r="ILC868" s="290" t="s">
        <v>280</v>
      </c>
      <c r="ILD868" s="290" t="s">
        <v>280</v>
      </c>
      <c r="ILE868" s="290" t="s">
        <v>280</v>
      </c>
      <c r="ILF868" s="290" t="s">
        <v>280</v>
      </c>
      <c r="ILG868" s="290" t="s">
        <v>280</v>
      </c>
      <c r="ILH868" s="290" t="s">
        <v>280</v>
      </c>
      <c r="ILI868" s="290" t="s">
        <v>280</v>
      </c>
      <c r="ILJ868" s="290" t="s">
        <v>280</v>
      </c>
      <c r="ILK868" s="290" t="s">
        <v>280</v>
      </c>
      <c r="ILL868" s="290" t="s">
        <v>280</v>
      </c>
      <c r="ILM868" s="290" t="s">
        <v>280</v>
      </c>
      <c r="ILN868" s="290" t="s">
        <v>280</v>
      </c>
      <c r="ILO868" s="290" t="s">
        <v>280</v>
      </c>
      <c r="ILP868" s="290" t="s">
        <v>280</v>
      </c>
      <c r="ILQ868" s="290" t="s">
        <v>280</v>
      </c>
      <c r="ILR868" s="290" t="s">
        <v>280</v>
      </c>
      <c r="ILS868" s="290" t="s">
        <v>280</v>
      </c>
      <c r="ILT868" s="290" t="s">
        <v>280</v>
      </c>
      <c r="ILU868" s="290" t="s">
        <v>280</v>
      </c>
      <c r="ILV868" s="290" t="s">
        <v>280</v>
      </c>
      <c r="ILW868" s="290" t="s">
        <v>280</v>
      </c>
      <c r="ILX868" s="290" t="s">
        <v>280</v>
      </c>
      <c r="ILY868" s="290" t="s">
        <v>280</v>
      </c>
      <c r="ILZ868" s="290" t="s">
        <v>280</v>
      </c>
      <c r="IMA868" s="290" t="s">
        <v>280</v>
      </c>
      <c r="IMB868" s="290" t="s">
        <v>280</v>
      </c>
      <c r="IMC868" s="290" t="s">
        <v>280</v>
      </c>
      <c r="IMD868" s="290" t="s">
        <v>280</v>
      </c>
      <c r="IME868" s="290" t="s">
        <v>280</v>
      </c>
      <c r="IMF868" s="290" t="s">
        <v>280</v>
      </c>
      <c r="IMG868" s="290" t="s">
        <v>280</v>
      </c>
      <c r="IMH868" s="290" t="s">
        <v>280</v>
      </c>
      <c r="IMI868" s="290" t="s">
        <v>280</v>
      </c>
      <c r="IMJ868" s="290" t="s">
        <v>280</v>
      </c>
      <c r="IMK868" s="290" t="s">
        <v>280</v>
      </c>
      <c r="IML868" s="290" t="s">
        <v>280</v>
      </c>
      <c r="IMM868" s="290" t="s">
        <v>280</v>
      </c>
      <c r="IMN868" s="290" t="s">
        <v>280</v>
      </c>
      <c r="IMO868" s="290" t="s">
        <v>280</v>
      </c>
      <c r="IMP868" s="290" t="s">
        <v>280</v>
      </c>
      <c r="IMQ868" s="290" t="s">
        <v>280</v>
      </c>
      <c r="IMR868" s="290" t="s">
        <v>280</v>
      </c>
      <c r="IMS868" s="290" t="s">
        <v>280</v>
      </c>
      <c r="IMT868" s="290" t="s">
        <v>280</v>
      </c>
      <c r="IMU868" s="290" t="s">
        <v>280</v>
      </c>
      <c r="IMV868" s="290" t="s">
        <v>280</v>
      </c>
      <c r="IMW868" s="290" t="s">
        <v>280</v>
      </c>
      <c r="IMX868" s="290" t="s">
        <v>280</v>
      </c>
      <c r="IMY868" s="290" t="s">
        <v>280</v>
      </c>
      <c r="IMZ868" s="290" t="s">
        <v>280</v>
      </c>
      <c r="INA868" s="290" t="s">
        <v>280</v>
      </c>
      <c r="INB868" s="290" t="s">
        <v>280</v>
      </c>
      <c r="INC868" s="290" t="s">
        <v>280</v>
      </c>
      <c r="IND868" s="290" t="s">
        <v>280</v>
      </c>
      <c r="INE868" s="290" t="s">
        <v>280</v>
      </c>
      <c r="INF868" s="290" t="s">
        <v>280</v>
      </c>
      <c r="ING868" s="290" t="s">
        <v>280</v>
      </c>
      <c r="INH868" s="290" t="s">
        <v>280</v>
      </c>
      <c r="INI868" s="290" t="s">
        <v>280</v>
      </c>
      <c r="INJ868" s="290" t="s">
        <v>280</v>
      </c>
      <c r="INK868" s="290" t="s">
        <v>280</v>
      </c>
      <c r="INL868" s="290" t="s">
        <v>280</v>
      </c>
      <c r="INM868" s="290" t="s">
        <v>280</v>
      </c>
      <c r="INN868" s="290" t="s">
        <v>280</v>
      </c>
      <c r="INO868" s="290" t="s">
        <v>280</v>
      </c>
      <c r="INP868" s="290" t="s">
        <v>280</v>
      </c>
      <c r="INQ868" s="290" t="s">
        <v>280</v>
      </c>
      <c r="INR868" s="290" t="s">
        <v>280</v>
      </c>
      <c r="INS868" s="290" t="s">
        <v>280</v>
      </c>
      <c r="INT868" s="290" t="s">
        <v>280</v>
      </c>
      <c r="INU868" s="290" t="s">
        <v>280</v>
      </c>
      <c r="INV868" s="290" t="s">
        <v>280</v>
      </c>
      <c r="INW868" s="290" t="s">
        <v>280</v>
      </c>
      <c r="INX868" s="290" t="s">
        <v>280</v>
      </c>
      <c r="INY868" s="290" t="s">
        <v>280</v>
      </c>
      <c r="INZ868" s="290" t="s">
        <v>280</v>
      </c>
      <c r="IOA868" s="290" t="s">
        <v>280</v>
      </c>
      <c r="IOB868" s="290" t="s">
        <v>280</v>
      </c>
      <c r="IOC868" s="290" t="s">
        <v>280</v>
      </c>
      <c r="IOD868" s="290" t="s">
        <v>280</v>
      </c>
      <c r="IOE868" s="290" t="s">
        <v>280</v>
      </c>
      <c r="IOF868" s="290" t="s">
        <v>280</v>
      </c>
      <c r="IOG868" s="290" t="s">
        <v>280</v>
      </c>
      <c r="IOH868" s="290" t="s">
        <v>280</v>
      </c>
      <c r="IOI868" s="290" t="s">
        <v>280</v>
      </c>
      <c r="IOJ868" s="290" t="s">
        <v>280</v>
      </c>
      <c r="IOK868" s="290" t="s">
        <v>280</v>
      </c>
      <c r="IOL868" s="290" t="s">
        <v>280</v>
      </c>
      <c r="IOM868" s="290" t="s">
        <v>280</v>
      </c>
      <c r="ION868" s="290" t="s">
        <v>280</v>
      </c>
      <c r="IOO868" s="290" t="s">
        <v>280</v>
      </c>
      <c r="IOP868" s="290" t="s">
        <v>280</v>
      </c>
      <c r="IOQ868" s="290" t="s">
        <v>280</v>
      </c>
      <c r="IOR868" s="290" t="s">
        <v>280</v>
      </c>
      <c r="IOS868" s="290" t="s">
        <v>280</v>
      </c>
      <c r="IOT868" s="290" t="s">
        <v>280</v>
      </c>
      <c r="IOU868" s="290" t="s">
        <v>280</v>
      </c>
      <c r="IOV868" s="290" t="s">
        <v>280</v>
      </c>
      <c r="IOW868" s="290" t="s">
        <v>280</v>
      </c>
      <c r="IOX868" s="290" t="s">
        <v>280</v>
      </c>
      <c r="IOY868" s="290" t="s">
        <v>280</v>
      </c>
      <c r="IOZ868" s="290" t="s">
        <v>280</v>
      </c>
      <c r="IPA868" s="290" t="s">
        <v>280</v>
      </c>
      <c r="IPB868" s="290" t="s">
        <v>280</v>
      </c>
      <c r="IPC868" s="290" t="s">
        <v>280</v>
      </c>
      <c r="IPD868" s="290" t="s">
        <v>280</v>
      </c>
      <c r="IPE868" s="290" t="s">
        <v>280</v>
      </c>
      <c r="IPF868" s="290" t="s">
        <v>280</v>
      </c>
      <c r="IPG868" s="290" t="s">
        <v>280</v>
      </c>
      <c r="IPH868" s="290" t="s">
        <v>280</v>
      </c>
      <c r="IPI868" s="290" t="s">
        <v>280</v>
      </c>
      <c r="IPJ868" s="290" t="s">
        <v>280</v>
      </c>
      <c r="IPK868" s="290" t="s">
        <v>280</v>
      </c>
      <c r="IPL868" s="290" t="s">
        <v>280</v>
      </c>
      <c r="IPM868" s="290" t="s">
        <v>280</v>
      </c>
      <c r="IPN868" s="290" t="s">
        <v>280</v>
      </c>
      <c r="IPO868" s="290" t="s">
        <v>280</v>
      </c>
      <c r="IPP868" s="290" t="s">
        <v>280</v>
      </c>
      <c r="IPQ868" s="290" t="s">
        <v>280</v>
      </c>
      <c r="IPR868" s="290" t="s">
        <v>280</v>
      </c>
      <c r="IPS868" s="290" t="s">
        <v>280</v>
      </c>
      <c r="IPT868" s="290" t="s">
        <v>280</v>
      </c>
      <c r="IPU868" s="290" t="s">
        <v>280</v>
      </c>
      <c r="IPV868" s="290" t="s">
        <v>280</v>
      </c>
      <c r="IPW868" s="290" t="s">
        <v>280</v>
      </c>
      <c r="IPX868" s="290" t="s">
        <v>280</v>
      </c>
      <c r="IPY868" s="290" t="s">
        <v>280</v>
      </c>
      <c r="IPZ868" s="290" t="s">
        <v>280</v>
      </c>
      <c r="IQA868" s="290" t="s">
        <v>280</v>
      </c>
      <c r="IQB868" s="290" t="s">
        <v>280</v>
      </c>
      <c r="IQC868" s="290" t="s">
        <v>280</v>
      </c>
      <c r="IQD868" s="290" t="s">
        <v>280</v>
      </c>
      <c r="IQE868" s="290" t="s">
        <v>280</v>
      </c>
      <c r="IQF868" s="290" t="s">
        <v>280</v>
      </c>
      <c r="IQG868" s="290" t="s">
        <v>280</v>
      </c>
      <c r="IQH868" s="290" t="s">
        <v>280</v>
      </c>
      <c r="IQI868" s="290" t="s">
        <v>280</v>
      </c>
      <c r="IQJ868" s="290" t="s">
        <v>280</v>
      </c>
      <c r="IQK868" s="290" t="s">
        <v>280</v>
      </c>
      <c r="IQL868" s="290" t="s">
        <v>280</v>
      </c>
      <c r="IQM868" s="290" t="s">
        <v>280</v>
      </c>
      <c r="IQN868" s="290" t="s">
        <v>280</v>
      </c>
      <c r="IQO868" s="290" t="s">
        <v>280</v>
      </c>
      <c r="IQP868" s="290" t="s">
        <v>280</v>
      </c>
      <c r="IQQ868" s="290" t="s">
        <v>280</v>
      </c>
      <c r="IQR868" s="290" t="s">
        <v>280</v>
      </c>
      <c r="IQS868" s="290" t="s">
        <v>280</v>
      </c>
      <c r="IQT868" s="290" t="s">
        <v>280</v>
      </c>
      <c r="IQU868" s="290" t="s">
        <v>280</v>
      </c>
      <c r="IQV868" s="290" t="s">
        <v>280</v>
      </c>
      <c r="IQW868" s="290" t="s">
        <v>280</v>
      </c>
      <c r="IQX868" s="290" t="s">
        <v>280</v>
      </c>
      <c r="IQY868" s="290" t="s">
        <v>280</v>
      </c>
      <c r="IQZ868" s="290" t="s">
        <v>280</v>
      </c>
      <c r="IRA868" s="290" t="s">
        <v>280</v>
      </c>
      <c r="IRB868" s="290" t="s">
        <v>280</v>
      </c>
      <c r="IRC868" s="290" t="s">
        <v>280</v>
      </c>
      <c r="IRD868" s="290" t="s">
        <v>280</v>
      </c>
      <c r="IRE868" s="290" t="s">
        <v>280</v>
      </c>
      <c r="IRF868" s="290" t="s">
        <v>280</v>
      </c>
      <c r="IRG868" s="290" t="s">
        <v>280</v>
      </c>
      <c r="IRH868" s="290" t="s">
        <v>280</v>
      </c>
      <c r="IRI868" s="290" t="s">
        <v>280</v>
      </c>
      <c r="IRJ868" s="290" t="s">
        <v>280</v>
      </c>
      <c r="IRK868" s="290" t="s">
        <v>280</v>
      </c>
      <c r="IRL868" s="290" t="s">
        <v>280</v>
      </c>
      <c r="IRM868" s="290" t="s">
        <v>280</v>
      </c>
      <c r="IRN868" s="290" t="s">
        <v>280</v>
      </c>
      <c r="IRO868" s="290" t="s">
        <v>280</v>
      </c>
      <c r="IRP868" s="290" t="s">
        <v>280</v>
      </c>
      <c r="IRQ868" s="290" t="s">
        <v>280</v>
      </c>
      <c r="IRR868" s="290" t="s">
        <v>280</v>
      </c>
      <c r="IRS868" s="290" t="s">
        <v>280</v>
      </c>
      <c r="IRT868" s="290" t="s">
        <v>280</v>
      </c>
      <c r="IRU868" s="290" t="s">
        <v>280</v>
      </c>
      <c r="IRV868" s="290" t="s">
        <v>280</v>
      </c>
      <c r="IRW868" s="290" t="s">
        <v>280</v>
      </c>
      <c r="IRX868" s="290" t="s">
        <v>280</v>
      </c>
      <c r="IRY868" s="290" t="s">
        <v>280</v>
      </c>
      <c r="IRZ868" s="290" t="s">
        <v>280</v>
      </c>
      <c r="ISA868" s="290" t="s">
        <v>280</v>
      </c>
      <c r="ISB868" s="290" t="s">
        <v>280</v>
      </c>
      <c r="ISC868" s="290" t="s">
        <v>280</v>
      </c>
      <c r="ISD868" s="290" t="s">
        <v>280</v>
      </c>
      <c r="ISE868" s="290" t="s">
        <v>280</v>
      </c>
      <c r="ISF868" s="290" t="s">
        <v>280</v>
      </c>
      <c r="ISG868" s="290" t="s">
        <v>280</v>
      </c>
      <c r="ISH868" s="290" t="s">
        <v>280</v>
      </c>
      <c r="ISI868" s="290" t="s">
        <v>280</v>
      </c>
      <c r="ISJ868" s="290" t="s">
        <v>280</v>
      </c>
      <c r="ISK868" s="290" t="s">
        <v>280</v>
      </c>
      <c r="ISL868" s="290" t="s">
        <v>280</v>
      </c>
      <c r="ISM868" s="290" t="s">
        <v>280</v>
      </c>
      <c r="ISN868" s="290" t="s">
        <v>280</v>
      </c>
      <c r="ISO868" s="290" t="s">
        <v>280</v>
      </c>
      <c r="ISP868" s="290" t="s">
        <v>280</v>
      </c>
      <c r="ISQ868" s="290" t="s">
        <v>280</v>
      </c>
      <c r="ISR868" s="290" t="s">
        <v>280</v>
      </c>
      <c r="ISS868" s="290" t="s">
        <v>280</v>
      </c>
      <c r="IST868" s="290" t="s">
        <v>280</v>
      </c>
      <c r="ISU868" s="290" t="s">
        <v>280</v>
      </c>
      <c r="ISV868" s="290" t="s">
        <v>280</v>
      </c>
      <c r="ISW868" s="290" t="s">
        <v>280</v>
      </c>
      <c r="ISX868" s="290" t="s">
        <v>280</v>
      </c>
      <c r="ISY868" s="290" t="s">
        <v>280</v>
      </c>
      <c r="ISZ868" s="290" t="s">
        <v>280</v>
      </c>
      <c r="ITA868" s="290" t="s">
        <v>280</v>
      </c>
      <c r="ITB868" s="290" t="s">
        <v>280</v>
      </c>
      <c r="ITC868" s="290" t="s">
        <v>280</v>
      </c>
      <c r="ITD868" s="290" t="s">
        <v>280</v>
      </c>
      <c r="ITE868" s="290" t="s">
        <v>280</v>
      </c>
      <c r="ITF868" s="290" t="s">
        <v>280</v>
      </c>
      <c r="ITG868" s="290" t="s">
        <v>280</v>
      </c>
      <c r="ITH868" s="290" t="s">
        <v>280</v>
      </c>
      <c r="ITI868" s="290" t="s">
        <v>280</v>
      </c>
      <c r="ITJ868" s="290" t="s">
        <v>280</v>
      </c>
      <c r="ITK868" s="290" t="s">
        <v>280</v>
      </c>
      <c r="ITL868" s="290" t="s">
        <v>280</v>
      </c>
      <c r="ITM868" s="290" t="s">
        <v>280</v>
      </c>
      <c r="ITN868" s="290" t="s">
        <v>280</v>
      </c>
      <c r="ITO868" s="290" t="s">
        <v>280</v>
      </c>
      <c r="ITP868" s="290" t="s">
        <v>280</v>
      </c>
      <c r="ITQ868" s="290" t="s">
        <v>280</v>
      </c>
      <c r="ITR868" s="290" t="s">
        <v>280</v>
      </c>
      <c r="ITS868" s="290" t="s">
        <v>280</v>
      </c>
      <c r="ITT868" s="290" t="s">
        <v>280</v>
      </c>
      <c r="ITU868" s="290" t="s">
        <v>280</v>
      </c>
      <c r="ITV868" s="290" t="s">
        <v>280</v>
      </c>
      <c r="ITW868" s="290" t="s">
        <v>280</v>
      </c>
      <c r="ITX868" s="290" t="s">
        <v>280</v>
      </c>
      <c r="ITY868" s="290" t="s">
        <v>280</v>
      </c>
      <c r="ITZ868" s="290" t="s">
        <v>280</v>
      </c>
      <c r="IUA868" s="290" t="s">
        <v>280</v>
      </c>
      <c r="IUB868" s="290" t="s">
        <v>280</v>
      </c>
      <c r="IUC868" s="290" t="s">
        <v>280</v>
      </c>
      <c r="IUD868" s="290" t="s">
        <v>280</v>
      </c>
      <c r="IUE868" s="290" t="s">
        <v>280</v>
      </c>
      <c r="IUF868" s="290" t="s">
        <v>280</v>
      </c>
      <c r="IUG868" s="290" t="s">
        <v>280</v>
      </c>
      <c r="IUH868" s="290" t="s">
        <v>280</v>
      </c>
      <c r="IUI868" s="290" t="s">
        <v>280</v>
      </c>
      <c r="IUJ868" s="290" t="s">
        <v>280</v>
      </c>
      <c r="IUK868" s="290" t="s">
        <v>280</v>
      </c>
      <c r="IUL868" s="290" t="s">
        <v>280</v>
      </c>
      <c r="IUM868" s="290" t="s">
        <v>280</v>
      </c>
      <c r="IUN868" s="290" t="s">
        <v>280</v>
      </c>
      <c r="IUO868" s="290" t="s">
        <v>280</v>
      </c>
      <c r="IUP868" s="290" t="s">
        <v>280</v>
      </c>
      <c r="IUQ868" s="290" t="s">
        <v>280</v>
      </c>
      <c r="IUR868" s="290" t="s">
        <v>280</v>
      </c>
      <c r="IUS868" s="290" t="s">
        <v>280</v>
      </c>
      <c r="IUT868" s="290" t="s">
        <v>280</v>
      </c>
      <c r="IUU868" s="290" t="s">
        <v>280</v>
      </c>
      <c r="IUV868" s="290" t="s">
        <v>280</v>
      </c>
      <c r="IUW868" s="290" t="s">
        <v>280</v>
      </c>
      <c r="IUX868" s="290" t="s">
        <v>280</v>
      </c>
      <c r="IUY868" s="290" t="s">
        <v>280</v>
      </c>
      <c r="IUZ868" s="290" t="s">
        <v>280</v>
      </c>
      <c r="IVA868" s="290" t="s">
        <v>280</v>
      </c>
      <c r="IVB868" s="290" t="s">
        <v>280</v>
      </c>
      <c r="IVC868" s="290" t="s">
        <v>280</v>
      </c>
      <c r="IVD868" s="290" t="s">
        <v>280</v>
      </c>
      <c r="IVE868" s="290" t="s">
        <v>280</v>
      </c>
      <c r="IVF868" s="290" t="s">
        <v>280</v>
      </c>
      <c r="IVG868" s="290" t="s">
        <v>280</v>
      </c>
      <c r="IVH868" s="290" t="s">
        <v>280</v>
      </c>
      <c r="IVI868" s="290" t="s">
        <v>280</v>
      </c>
      <c r="IVJ868" s="290" t="s">
        <v>280</v>
      </c>
      <c r="IVK868" s="290" t="s">
        <v>280</v>
      </c>
      <c r="IVL868" s="290" t="s">
        <v>280</v>
      </c>
      <c r="IVM868" s="290" t="s">
        <v>280</v>
      </c>
      <c r="IVN868" s="290" t="s">
        <v>280</v>
      </c>
      <c r="IVO868" s="290" t="s">
        <v>280</v>
      </c>
      <c r="IVP868" s="290" t="s">
        <v>280</v>
      </c>
      <c r="IVQ868" s="290" t="s">
        <v>280</v>
      </c>
      <c r="IVR868" s="290" t="s">
        <v>280</v>
      </c>
      <c r="IVS868" s="290" t="s">
        <v>280</v>
      </c>
      <c r="IVT868" s="290" t="s">
        <v>280</v>
      </c>
      <c r="IVU868" s="290" t="s">
        <v>280</v>
      </c>
      <c r="IVV868" s="290" t="s">
        <v>280</v>
      </c>
      <c r="IVW868" s="290" t="s">
        <v>280</v>
      </c>
      <c r="IVX868" s="290" t="s">
        <v>280</v>
      </c>
      <c r="IVY868" s="290" t="s">
        <v>280</v>
      </c>
      <c r="IVZ868" s="290" t="s">
        <v>280</v>
      </c>
      <c r="IWA868" s="290" t="s">
        <v>280</v>
      </c>
      <c r="IWB868" s="290" t="s">
        <v>280</v>
      </c>
      <c r="IWC868" s="290" t="s">
        <v>280</v>
      </c>
      <c r="IWD868" s="290" t="s">
        <v>280</v>
      </c>
      <c r="IWE868" s="290" t="s">
        <v>280</v>
      </c>
      <c r="IWF868" s="290" t="s">
        <v>280</v>
      </c>
      <c r="IWG868" s="290" t="s">
        <v>280</v>
      </c>
      <c r="IWH868" s="290" t="s">
        <v>280</v>
      </c>
      <c r="IWI868" s="290" t="s">
        <v>280</v>
      </c>
      <c r="IWJ868" s="290" t="s">
        <v>280</v>
      </c>
      <c r="IWK868" s="290" t="s">
        <v>280</v>
      </c>
      <c r="IWL868" s="290" t="s">
        <v>280</v>
      </c>
      <c r="IWM868" s="290" t="s">
        <v>280</v>
      </c>
      <c r="IWN868" s="290" t="s">
        <v>280</v>
      </c>
      <c r="IWO868" s="290" t="s">
        <v>280</v>
      </c>
      <c r="IWP868" s="290" t="s">
        <v>280</v>
      </c>
      <c r="IWQ868" s="290" t="s">
        <v>280</v>
      </c>
      <c r="IWR868" s="290" t="s">
        <v>280</v>
      </c>
      <c r="IWS868" s="290" t="s">
        <v>280</v>
      </c>
      <c r="IWT868" s="290" t="s">
        <v>280</v>
      </c>
      <c r="IWU868" s="290" t="s">
        <v>280</v>
      </c>
      <c r="IWV868" s="290" t="s">
        <v>280</v>
      </c>
      <c r="IWW868" s="290" t="s">
        <v>280</v>
      </c>
      <c r="IWX868" s="290" t="s">
        <v>280</v>
      </c>
      <c r="IWY868" s="290" t="s">
        <v>280</v>
      </c>
      <c r="IWZ868" s="290" t="s">
        <v>280</v>
      </c>
      <c r="IXA868" s="290" t="s">
        <v>280</v>
      </c>
      <c r="IXB868" s="290" t="s">
        <v>280</v>
      </c>
      <c r="IXC868" s="290" t="s">
        <v>280</v>
      </c>
      <c r="IXD868" s="290" t="s">
        <v>280</v>
      </c>
      <c r="IXE868" s="290" t="s">
        <v>280</v>
      </c>
      <c r="IXF868" s="290" t="s">
        <v>280</v>
      </c>
      <c r="IXG868" s="290" t="s">
        <v>280</v>
      </c>
      <c r="IXH868" s="290" t="s">
        <v>280</v>
      </c>
      <c r="IXI868" s="290" t="s">
        <v>280</v>
      </c>
      <c r="IXJ868" s="290" t="s">
        <v>280</v>
      </c>
      <c r="IXK868" s="290" t="s">
        <v>280</v>
      </c>
      <c r="IXL868" s="290" t="s">
        <v>280</v>
      </c>
      <c r="IXM868" s="290" t="s">
        <v>280</v>
      </c>
      <c r="IXN868" s="290" t="s">
        <v>280</v>
      </c>
      <c r="IXO868" s="290" t="s">
        <v>280</v>
      </c>
      <c r="IXP868" s="290" t="s">
        <v>280</v>
      </c>
      <c r="IXQ868" s="290" t="s">
        <v>280</v>
      </c>
      <c r="IXR868" s="290" t="s">
        <v>280</v>
      </c>
      <c r="IXS868" s="290" t="s">
        <v>280</v>
      </c>
      <c r="IXT868" s="290" t="s">
        <v>280</v>
      </c>
      <c r="IXU868" s="290" t="s">
        <v>280</v>
      </c>
      <c r="IXV868" s="290" t="s">
        <v>280</v>
      </c>
      <c r="IXW868" s="290" t="s">
        <v>280</v>
      </c>
      <c r="IXX868" s="290" t="s">
        <v>280</v>
      </c>
      <c r="IXY868" s="290" t="s">
        <v>280</v>
      </c>
      <c r="IXZ868" s="290" t="s">
        <v>280</v>
      </c>
      <c r="IYA868" s="290" t="s">
        <v>280</v>
      </c>
      <c r="IYB868" s="290" t="s">
        <v>280</v>
      </c>
      <c r="IYC868" s="290" t="s">
        <v>280</v>
      </c>
      <c r="IYD868" s="290" t="s">
        <v>280</v>
      </c>
      <c r="IYE868" s="290" t="s">
        <v>280</v>
      </c>
      <c r="IYF868" s="290" t="s">
        <v>280</v>
      </c>
      <c r="IYG868" s="290" t="s">
        <v>280</v>
      </c>
      <c r="IYH868" s="290" t="s">
        <v>280</v>
      </c>
      <c r="IYI868" s="290" t="s">
        <v>280</v>
      </c>
      <c r="IYJ868" s="290" t="s">
        <v>280</v>
      </c>
      <c r="IYK868" s="290" t="s">
        <v>280</v>
      </c>
      <c r="IYL868" s="290" t="s">
        <v>280</v>
      </c>
      <c r="IYM868" s="290" t="s">
        <v>280</v>
      </c>
      <c r="IYN868" s="290" t="s">
        <v>280</v>
      </c>
      <c r="IYO868" s="290" t="s">
        <v>280</v>
      </c>
      <c r="IYP868" s="290" t="s">
        <v>280</v>
      </c>
      <c r="IYQ868" s="290" t="s">
        <v>280</v>
      </c>
      <c r="IYR868" s="290" t="s">
        <v>280</v>
      </c>
      <c r="IYS868" s="290" t="s">
        <v>280</v>
      </c>
      <c r="IYT868" s="290" t="s">
        <v>280</v>
      </c>
      <c r="IYU868" s="290" t="s">
        <v>280</v>
      </c>
      <c r="IYV868" s="290" t="s">
        <v>280</v>
      </c>
      <c r="IYW868" s="290" t="s">
        <v>280</v>
      </c>
      <c r="IYX868" s="290" t="s">
        <v>280</v>
      </c>
      <c r="IYY868" s="290" t="s">
        <v>280</v>
      </c>
      <c r="IYZ868" s="290" t="s">
        <v>280</v>
      </c>
      <c r="IZA868" s="290" t="s">
        <v>280</v>
      </c>
      <c r="IZB868" s="290" t="s">
        <v>280</v>
      </c>
      <c r="IZC868" s="290" t="s">
        <v>280</v>
      </c>
      <c r="IZD868" s="290" t="s">
        <v>280</v>
      </c>
      <c r="IZE868" s="290" t="s">
        <v>280</v>
      </c>
      <c r="IZF868" s="290" t="s">
        <v>280</v>
      </c>
      <c r="IZG868" s="290" t="s">
        <v>280</v>
      </c>
      <c r="IZH868" s="290" t="s">
        <v>280</v>
      </c>
      <c r="IZI868" s="290" t="s">
        <v>280</v>
      </c>
      <c r="IZJ868" s="290" t="s">
        <v>280</v>
      </c>
      <c r="IZK868" s="290" t="s">
        <v>280</v>
      </c>
      <c r="IZL868" s="290" t="s">
        <v>280</v>
      </c>
      <c r="IZM868" s="290" t="s">
        <v>280</v>
      </c>
      <c r="IZN868" s="290" t="s">
        <v>280</v>
      </c>
      <c r="IZO868" s="290" t="s">
        <v>280</v>
      </c>
      <c r="IZP868" s="290" t="s">
        <v>280</v>
      </c>
      <c r="IZQ868" s="290" t="s">
        <v>280</v>
      </c>
      <c r="IZR868" s="290" t="s">
        <v>280</v>
      </c>
      <c r="IZS868" s="290" t="s">
        <v>280</v>
      </c>
      <c r="IZT868" s="290" t="s">
        <v>280</v>
      </c>
      <c r="IZU868" s="290" t="s">
        <v>280</v>
      </c>
      <c r="IZV868" s="290" t="s">
        <v>280</v>
      </c>
      <c r="IZW868" s="290" t="s">
        <v>280</v>
      </c>
      <c r="IZX868" s="290" t="s">
        <v>280</v>
      </c>
      <c r="IZY868" s="290" t="s">
        <v>280</v>
      </c>
      <c r="IZZ868" s="290" t="s">
        <v>280</v>
      </c>
      <c r="JAA868" s="290" t="s">
        <v>280</v>
      </c>
      <c r="JAB868" s="290" t="s">
        <v>280</v>
      </c>
      <c r="JAC868" s="290" t="s">
        <v>280</v>
      </c>
      <c r="JAD868" s="290" t="s">
        <v>280</v>
      </c>
      <c r="JAE868" s="290" t="s">
        <v>280</v>
      </c>
      <c r="JAF868" s="290" t="s">
        <v>280</v>
      </c>
      <c r="JAG868" s="290" t="s">
        <v>280</v>
      </c>
      <c r="JAH868" s="290" t="s">
        <v>280</v>
      </c>
      <c r="JAI868" s="290" t="s">
        <v>280</v>
      </c>
      <c r="JAJ868" s="290" t="s">
        <v>280</v>
      </c>
      <c r="JAK868" s="290" t="s">
        <v>280</v>
      </c>
      <c r="JAL868" s="290" t="s">
        <v>280</v>
      </c>
      <c r="JAM868" s="290" t="s">
        <v>280</v>
      </c>
      <c r="JAN868" s="290" t="s">
        <v>280</v>
      </c>
      <c r="JAO868" s="290" t="s">
        <v>280</v>
      </c>
      <c r="JAP868" s="290" t="s">
        <v>280</v>
      </c>
      <c r="JAQ868" s="290" t="s">
        <v>280</v>
      </c>
      <c r="JAR868" s="290" t="s">
        <v>280</v>
      </c>
      <c r="JAS868" s="290" t="s">
        <v>280</v>
      </c>
      <c r="JAT868" s="290" t="s">
        <v>280</v>
      </c>
      <c r="JAU868" s="290" t="s">
        <v>280</v>
      </c>
      <c r="JAV868" s="290" t="s">
        <v>280</v>
      </c>
      <c r="JAW868" s="290" t="s">
        <v>280</v>
      </c>
      <c r="JAX868" s="290" t="s">
        <v>280</v>
      </c>
      <c r="JAY868" s="290" t="s">
        <v>280</v>
      </c>
      <c r="JAZ868" s="290" t="s">
        <v>280</v>
      </c>
      <c r="JBA868" s="290" t="s">
        <v>280</v>
      </c>
      <c r="JBB868" s="290" t="s">
        <v>280</v>
      </c>
      <c r="JBC868" s="290" t="s">
        <v>280</v>
      </c>
      <c r="JBD868" s="290" t="s">
        <v>280</v>
      </c>
      <c r="JBE868" s="290" t="s">
        <v>280</v>
      </c>
      <c r="JBF868" s="290" t="s">
        <v>280</v>
      </c>
      <c r="JBG868" s="290" t="s">
        <v>280</v>
      </c>
      <c r="JBH868" s="290" t="s">
        <v>280</v>
      </c>
      <c r="JBI868" s="290" t="s">
        <v>280</v>
      </c>
      <c r="JBJ868" s="290" t="s">
        <v>280</v>
      </c>
      <c r="JBK868" s="290" t="s">
        <v>280</v>
      </c>
      <c r="JBL868" s="290" t="s">
        <v>280</v>
      </c>
      <c r="JBM868" s="290" t="s">
        <v>280</v>
      </c>
      <c r="JBN868" s="290" t="s">
        <v>280</v>
      </c>
      <c r="JBO868" s="290" t="s">
        <v>280</v>
      </c>
      <c r="JBP868" s="290" t="s">
        <v>280</v>
      </c>
      <c r="JBQ868" s="290" t="s">
        <v>280</v>
      </c>
      <c r="JBR868" s="290" t="s">
        <v>280</v>
      </c>
      <c r="JBS868" s="290" t="s">
        <v>280</v>
      </c>
      <c r="JBT868" s="290" t="s">
        <v>280</v>
      </c>
      <c r="JBU868" s="290" t="s">
        <v>280</v>
      </c>
      <c r="JBV868" s="290" t="s">
        <v>280</v>
      </c>
      <c r="JBW868" s="290" t="s">
        <v>280</v>
      </c>
      <c r="JBX868" s="290" t="s">
        <v>280</v>
      </c>
      <c r="JBY868" s="290" t="s">
        <v>280</v>
      </c>
      <c r="JBZ868" s="290" t="s">
        <v>280</v>
      </c>
      <c r="JCA868" s="290" t="s">
        <v>280</v>
      </c>
      <c r="JCB868" s="290" t="s">
        <v>280</v>
      </c>
      <c r="JCC868" s="290" t="s">
        <v>280</v>
      </c>
      <c r="JCD868" s="290" t="s">
        <v>280</v>
      </c>
      <c r="JCE868" s="290" t="s">
        <v>280</v>
      </c>
      <c r="JCF868" s="290" t="s">
        <v>280</v>
      </c>
      <c r="JCG868" s="290" t="s">
        <v>280</v>
      </c>
      <c r="JCH868" s="290" t="s">
        <v>280</v>
      </c>
      <c r="JCI868" s="290" t="s">
        <v>280</v>
      </c>
      <c r="JCJ868" s="290" t="s">
        <v>280</v>
      </c>
      <c r="JCK868" s="290" t="s">
        <v>280</v>
      </c>
      <c r="JCL868" s="290" t="s">
        <v>280</v>
      </c>
      <c r="JCM868" s="290" t="s">
        <v>280</v>
      </c>
      <c r="JCN868" s="290" t="s">
        <v>280</v>
      </c>
      <c r="JCO868" s="290" t="s">
        <v>280</v>
      </c>
      <c r="JCP868" s="290" t="s">
        <v>280</v>
      </c>
      <c r="JCQ868" s="290" t="s">
        <v>280</v>
      </c>
      <c r="JCR868" s="290" t="s">
        <v>280</v>
      </c>
      <c r="JCS868" s="290" t="s">
        <v>280</v>
      </c>
      <c r="JCT868" s="290" t="s">
        <v>280</v>
      </c>
      <c r="JCU868" s="290" t="s">
        <v>280</v>
      </c>
      <c r="JCV868" s="290" t="s">
        <v>280</v>
      </c>
      <c r="JCW868" s="290" t="s">
        <v>280</v>
      </c>
      <c r="JCX868" s="290" t="s">
        <v>280</v>
      </c>
      <c r="JCY868" s="290" t="s">
        <v>280</v>
      </c>
      <c r="JCZ868" s="290" t="s">
        <v>280</v>
      </c>
      <c r="JDA868" s="290" t="s">
        <v>280</v>
      </c>
      <c r="JDB868" s="290" t="s">
        <v>280</v>
      </c>
      <c r="JDC868" s="290" t="s">
        <v>280</v>
      </c>
      <c r="JDD868" s="290" t="s">
        <v>280</v>
      </c>
      <c r="JDE868" s="290" t="s">
        <v>280</v>
      </c>
      <c r="JDF868" s="290" t="s">
        <v>280</v>
      </c>
      <c r="JDG868" s="290" t="s">
        <v>280</v>
      </c>
      <c r="JDH868" s="290" t="s">
        <v>280</v>
      </c>
      <c r="JDI868" s="290" t="s">
        <v>280</v>
      </c>
      <c r="JDJ868" s="290" t="s">
        <v>280</v>
      </c>
      <c r="JDK868" s="290" t="s">
        <v>280</v>
      </c>
      <c r="JDL868" s="290" t="s">
        <v>280</v>
      </c>
      <c r="JDM868" s="290" t="s">
        <v>280</v>
      </c>
      <c r="JDN868" s="290" t="s">
        <v>280</v>
      </c>
      <c r="JDO868" s="290" t="s">
        <v>280</v>
      </c>
      <c r="JDP868" s="290" t="s">
        <v>280</v>
      </c>
      <c r="JDQ868" s="290" t="s">
        <v>280</v>
      </c>
      <c r="JDR868" s="290" t="s">
        <v>280</v>
      </c>
      <c r="JDS868" s="290" t="s">
        <v>280</v>
      </c>
      <c r="JDT868" s="290" t="s">
        <v>280</v>
      </c>
      <c r="JDU868" s="290" t="s">
        <v>280</v>
      </c>
      <c r="JDV868" s="290" t="s">
        <v>280</v>
      </c>
      <c r="JDW868" s="290" t="s">
        <v>280</v>
      </c>
      <c r="JDX868" s="290" t="s">
        <v>280</v>
      </c>
      <c r="JDY868" s="290" t="s">
        <v>280</v>
      </c>
      <c r="JDZ868" s="290" t="s">
        <v>280</v>
      </c>
      <c r="JEA868" s="290" t="s">
        <v>280</v>
      </c>
      <c r="JEB868" s="290" t="s">
        <v>280</v>
      </c>
      <c r="JEC868" s="290" t="s">
        <v>280</v>
      </c>
      <c r="JED868" s="290" t="s">
        <v>280</v>
      </c>
      <c r="JEE868" s="290" t="s">
        <v>280</v>
      </c>
      <c r="JEF868" s="290" t="s">
        <v>280</v>
      </c>
      <c r="JEG868" s="290" t="s">
        <v>280</v>
      </c>
      <c r="JEH868" s="290" t="s">
        <v>280</v>
      </c>
      <c r="JEI868" s="290" t="s">
        <v>280</v>
      </c>
      <c r="JEJ868" s="290" t="s">
        <v>280</v>
      </c>
      <c r="JEK868" s="290" t="s">
        <v>280</v>
      </c>
      <c r="JEL868" s="290" t="s">
        <v>280</v>
      </c>
      <c r="JEM868" s="290" t="s">
        <v>280</v>
      </c>
      <c r="JEN868" s="290" t="s">
        <v>280</v>
      </c>
      <c r="JEO868" s="290" t="s">
        <v>280</v>
      </c>
      <c r="JEP868" s="290" t="s">
        <v>280</v>
      </c>
      <c r="JEQ868" s="290" t="s">
        <v>280</v>
      </c>
      <c r="JER868" s="290" t="s">
        <v>280</v>
      </c>
      <c r="JES868" s="290" t="s">
        <v>280</v>
      </c>
      <c r="JET868" s="290" t="s">
        <v>280</v>
      </c>
      <c r="JEU868" s="290" t="s">
        <v>280</v>
      </c>
      <c r="JEV868" s="290" t="s">
        <v>280</v>
      </c>
      <c r="JEW868" s="290" t="s">
        <v>280</v>
      </c>
      <c r="JEX868" s="290" t="s">
        <v>280</v>
      </c>
      <c r="JEY868" s="290" t="s">
        <v>280</v>
      </c>
      <c r="JEZ868" s="290" t="s">
        <v>280</v>
      </c>
      <c r="JFA868" s="290" t="s">
        <v>280</v>
      </c>
      <c r="JFB868" s="290" t="s">
        <v>280</v>
      </c>
      <c r="JFC868" s="290" t="s">
        <v>280</v>
      </c>
      <c r="JFD868" s="290" t="s">
        <v>280</v>
      </c>
      <c r="JFE868" s="290" t="s">
        <v>280</v>
      </c>
      <c r="JFF868" s="290" t="s">
        <v>280</v>
      </c>
      <c r="JFG868" s="290" t="s">
        <v>280</v>
      </c>
      <c r="JFH868" s="290" t="s">
        <v>280</v>
      </c>
      <c r="JFI868" s="290" t="s">
        <v>280</v>
      </c>
      <c r="JFJ868" s="290" t="s">
        <v>280</v>
      </c>
      <c r="JFK868" s="290" t="s">
        <v>280</v>
      </c>
      <c r="JFL868" s="290" t="s">
        <v>280</v>
      </c>
      <c r="JFM868" s="290" t="s">
        <v>280</v>
      </c>
      <c r="JFN868" s="290" t="s">
        <v>280</v>
      </c>
      <c r="JFO868" s="290" t="s">
        <v>280</v>
      </c>
      <c r="JFP868" s="290" t="s">
        <v>280</v>
      </c>
      <c r="JFQ868" s="290" t="s">
        <v>280</v>
      </c>
      <c r="JFR868" s="290" t="s">
        <v>280</v>
      </c>
      <c r="JFS868" s="290" t="s">
        <v>280</v>
      </c>
      <c r="JFT868" s="290" t="s">
        <v>280</v>
      </c>
      <c r="JFU868" s="290" t="s">
        <v>280</v>
      </c>
      <c r="JFV868" s="290" t="s">
        <v>280</v>
      </c>
      <c r="JFW868" s="290" t="s">
        <v>280</v>
      </c>
      <c r="JFX868" s="290" t="s">
        <v>280</v>
      </c>
      <c r="JFY868" s="290" t="s">
        <v>280</v>
      </c>
      <c r="JFZ868" s="290" t="s">
        <v>280</v>
      </c>
      <c r="JGA868" s="290" t="s">
        <v>280</v>
      </c>
      <c r="JGB868" s="290" t="s">
        <v>280</v>
      </c>
      <c r="JGC868" s="290" t="s">
        <v>280</v>
      </c>
      <c r="JGD868" s="290" t="s">
        <v>280</v>
      </c>
      <c r="JGE868" s="290" t="s">
        <v>280</v>
      </c>
      <c r="JGF868" s="290" t="s">
        <v>280</v>
      </c>
      <c r="JGG868" s="290" t="s">
        <v>280</v>
      </c>
      <c r="JGH868" s="290" t="s">
        <v>280</v>
      </c>
      <c r="JGI868" s="290" t="s">
        <v>280</v>
      </c>
      <c r="JGJ868" s="290" t="s">
        <v>280</v>
      </c>
      <c r="JGK868" s="290" t="s">
        <v>280</v>
      </c>
      <c r="JGL868" s="290" t="s">
        <v>280</v>
      </c>
      <c r="JGM868" s="290" t="s">
        <v>280</v>
      </c>
      <c r="JGN868" s="290" t="s">
        <v>280</v>
      </c>
      <c r="JGO868" s="290" t="s">
        <v>280</v>
      </c>
      <c r="JGP868" s="290" t="s">
        <v>280</v>
      </c>
      <c r="JGQ868" s="290" t="s">
        <v>280</v>
      </c>
      <c r="JGR868" s="290" t="s">
        <v>280</v>
      </c>
      <c r="JGS868" s="290" t="s">
        <v>280</v>
      </c>
      <c r="JGT868" s="290" t="s">
        <v>280</v>
      </c>
      <c r="JGU868" s="290" t="s">
        <v>280</v>
      </c>
      <c r="JGV868" s="290" t="s">
        <v>280</v>
      </c>
      <c r="JGW868" s="290" t="s">
        <v>280</v>
      </c>
      <c r="JGX868" s="290" t="s">
        <v>280</v>
      </c>
      <c r="JGY868" s="290" t="s">
        <v>280</v>
      </c>
      <c r="JGZ868" s="290" t="s">
        <v>280</v>
      </c>
      <c r="JHA868" s="290" t="s">
        <v>280</v>
      </c>
      <c r="JHB868" s="290" t="s">
        <v>280</v>
      </c>
      <c r="JHC868" s="290" t="s">
        <v>280</v>
      </c>
      <c r="JHD868" s="290" t="s">
        <v>280</v>
      </c>
      <c r="JHE868" s="290" t="s">
        <v>280</v>
      </c>
      <c r="JHF868" s="290" t="s">
        <v>280</v>
      </c>
      <c r="JHG868" s="290" t="s">
        <v>280</v>
      </c>
      <c r="JHH868" s="290" t="s">
        <v>280</v>
      </c>
      <c r="JHI868" s="290" t="s">
        <v>280</v>
      </c>
      <c r="JHJ868" s="290" t="s">
        <v>280</v>
      </c>
      <c r="JHK868" s="290" t="s">
        <v>280</v>
      </c>
      <c r="JHL868" s="290" t="s">
        <v>280</v>
      </c>
      <c r="JHM868" s="290" t="s">
        <v>280</v>
      </c>
      <c r="JHN868" s="290" t="s">
        <v>280</v>
      </c>
      <c r="JHO868" s="290" t="s">
        <v>280</v>
      </c>
      <c r="JHP868" s="290" t="s">
        <v>280</v>
      </c>
      <c r="JHQ868" s="290" t="s">
        <v>280</v>
      </c>
      <c r="JHR868" s="290" t="s">
        <v>280</v>
      </c>
      <c r="JHS868" s="290" t="s">
        <v>280</v>
      </c>
      <c r="JHT868" s="290" t="s">
        <v>280</v>
      </c>
      <c r="JHU868" s="290" t="s">
        <v>280</v>
      </c>
      <c r="JHV868" s="290" t="s">
        <v>280</v>
      </c>
      <c r="JHW868" s="290" t="s">
        <v>280</v>
      </c>
      <c r="JHX868" s="290" t="s">
        <v>280</v>
      </c>
      <c r="JHY868" s="290" t="s">
        <v>280</v>
      </c>
      <c r="JHZ868" s="290" t="s">
        <v>280</v>
      </c>
      <c r="JIA868" s="290" t="s">
        <v>280</v>
      </c>
      <c r="JIB868" s="290" t="s">
        <v>280</v>
      </c>
      <c r="JIC868" s="290" t="s">
        <v>280</v>
      </c>
      <c r="JID868" s="290" t="s">
        <v>280</v>
      </c>
      <c r="JIE868" s="290" t="s">
        <v>280</v>
      </c>
      <c r="JIF868" s="290" t="s">
        <v>280</v>
      </c>
      <c r="JIG868" s="290" t="s">
        <v>280</v>
      </c>
      <c r="JIH868" s="290" t="s">
        <v>280</v>
      </c>
      <c r="JII868" s="290" t="s">
        <v>280</v>
      </c>
      <c r="JIJ868" s="290" t="s">
        <v>280</v>
      </c>
      <c r="JIK868" s="290" t="s">
        <v>280</v>
      </c>
      <c r="JIL868" s="290" t="s">
        <v>280</v>
      </c>
      <c r="JIM868" s="290" t="s">
        <v>280</v>
      </c>
      <c r="JIN868" s="290" t="s">
        <v>280</v>
      </c>
      <c r="JIO868" s="290" t="s">
        <v>280</v>
      </c>
      <c r="JIP868" s="290" t="s">
        <v>280</v>
      </c>
      <c r="JIQ868" s="290" t="s">
        <v>280</v>
      </c>
      <c r="JIR868" s="290" t="s">
        <v>280</v>
      </c>
      <c r="JIS868" s="290" t="s">
        <v>280</v>
      </c>
      <c r="JIT868" s="290" t="s">
        <v>280</v>
      </c>
      <c r="JIU868" s="290" t="s">
        <v>280</v>
      </c>
      <c r="JIV868" s="290" t="s">
        <v>280</v>
      </c>
      <c r="JIW868" s="290" t="s">
        <v>280</v>
      </c>
      <c r="JIX868" s="290" t="s">
        <v>280</v>
      </c>
      <c r="JIY868" s="290" t="s">
        <v>280</v>
      </c>
      <c r="JIZ868" s="290" t="s">
        <v>280</v>
      </c>
      <c r="JJA868" s="290" t="s">
        <v>280</v>
      </c>
      <c r="JJB868" s="290" t="s">
        <v>280</v>
      </c>
      <c r="JJC868" s="290" t="s">
        <v>280</v>
      </c>
      <c r="JJD868" s="290" t="s">
        <v>280</v>
      </c>
      <c r="JJE868" s="290" t="s">
        <v>280</v>
      </c>
      <c r="JJF868" s="290" t="s">
        <v>280</v>
      </c>
      <c r="JJG868" s="290" t="s">
        <v>280</v>
      </c>
      <c r="JJH868" s="290" t="s">
        <v>280</v>
      </c>
      <c r="JJI868" s="290" t="s">
        <v>280</v>
      </c>
      <c r="JJJ868" s="290" t="s">
        <v>280</v>
      </c>
      <c r="JJK868" s="290" t="s">
        <v>280</v>
      </c>
      <c r="JJL868" s="290" t="s">
        <v>280</v>
      </c>
      <c r="JJM868" s="290" t="s">
        <v>280</v>
      </c>
      <c r="JJN868" s="290" t="s">
        <v>280</v>
      </c>
      <c r="JJO868" s="290" t="s">
        <v>280</v>
      </c>
      <c r="JJP868" s="290" t="s">
        <v>280</v>
      </c>
      <c r="JJQ868" s="290" t="s">
        <v>280</v>
      </c>
      <c r="JJR868" s="290" t="s">
        <v>280</v>
      </c>
      <c r="JJS868" s="290" t="s">
        <v>280</v>
      </c>
      <c r="JJT868" s="290" t="s">
        <v>280</v>
      </c>
      <c r="JJU868" s="290" t="s">
        <v>280</v>
      </c>
      <c r="JJV868" s="290" t="s">
        <v>280</v>
      </c>
      <c r="JJW868" s="290" t="s">
        <v>280</v>
      </c>
      <c r="JJX868" s="290" t="s">
        <v>280</v>
      </c>
      <c r="JJY868" s="290" t="s">
        <v>280</v>
      </c>
      <c r="JJZ868" s="290" t="s">
        <v>280</v>
      </c>
      <c r="JKA868" s="290" t="s">
        <v>280</v>
      </c>
      <c r="JKB868" s="290" t="s">
        <v>280</v>
      </c>
      <c r="JKC868" s="290" t="s">
        <v>280</v>
      </c>
      <c r="JKD868" s="290" t="s">
        <v>280</v>
      </c>
      <c r="JKE868" s="290" t="s">
        <v>280</v>
      </c>
      <c r="JKF868" s="290" t="s">
        <v>280</v>
      </c>
      <c r="JKG868" s="290" t="s">
        <v>280</v>
      </c>
      <c r="JKH868" s="290" t="s">
        <v>280</v>
      </c>
      <c r="JKI868" s="290" t="s">
        <v>280</v>
      </c>
      <c r="JKJ868" s="290" t="s">
        <v>280</v>
      </c>
      <c r="JKK868" s="290" t="s">
        <v>280</v>
      </c>
      <c r="JKL868" s="290" t="s">
        <v>280</v>
      </c>
      <c r="JKM868" s="290" t="s">
        <v>280</v>
      </c>
      <c r="JKN868" s="290" t="s">
        <v>280</v>
      </c>
      <c r="JKO868" s="290" t="s">
        <v>280</v>
      </c>
      <c r="JKP868" s="290" t="s">
        <v>280</v>
      </c>
      <c r="JKQ868" s="290" t="s">
        <v>280</v>
      </c>
      <c r="JKR868" s="290" t="s">
        <v>280</v>
      </c>
      <c r="JKS868" s="290" t="s">
        <v>280</v>
      </c>
      <c r="JKT868" s="290" t="s">
        <v>280</v>
      </c>
      <c r="JKU868" s="290" t="s">
        <v>280</v>
      </c>
      <c r="JKV868" s="290" t="s">
        <v>280</v>
      </c>
      <c r="JKW868" s="290" t="s">
        <v>280</v>
      </c>
      <c r="JKX868" s="290" t="s">
        <v>280</v>
      </c>
      <c r="JKY868" s="290" t="s">
        <v>280</v>
      </c>
      <c r="JKZ868" s="290" t="s">
        <v>280</v>
      </c>
      <c r="JLA868" s="290" t="s">
        <v>280</v>
      </c>
      <c r="JLB868" s="290" t="s">
        <v>280</v>
      </c>
      <c r="JLC868" s="290" t="s">
        <v>280</v>
      </c>
      <c r="JLD868" s="290" t="s">
        <v>280</v>
      </c>
      <c r="JLE868" s="290" t="s">
        <v>280</v>
      </c>
      <c r="JLF868" s="290" t="s">
        <v>280</v>
      </c>
      <c r="JLG868" s="290" t="s">
        <v>280</v>
      </c>
      <c r="JLH868" s="290" t="s">
        <v>280</v>
      </c>
      <c r="JLI868" s="290" t="s">
        <v>280</v>
      </c>
      <c r="JLJ868" s="290" t="s">
        <v>280</v>
      </c>
      <c r="JLK868" s="290" t="s">
        <v>280</v>
      </c>
      <c r="JLL868" s="290" t="s">
        <v>280</v>
      </c>
      <c r="JLM868" s="290" t="s">
        <v>280</v>
      </c>
      <c r="JLN868" s="290" t="s">
        <v>280</v>
      </c>
      <c r="JLO868" s="290" t="s">
        <v>280</v>
      </c>
      <c r="JLP868" s="290" t="s">
        <v>280</v>
      </c>
      <c r="JLQ868" s="290" t="s">
        <v>280</v>
      </c>
      <c r="JLR868" s="290" t="s">
        <v>280</v>
      </c>
      <c r="JLS868" s="290" t="s">
        <v>280</v>
      </c>
      <c r="JLT868" s="290" t="s">
        <v>280</v>
      </c>
      <c r="JLU868" s="290" t="s">
        <v>280</v>
      </c>
      <c r="JLV868" s="290" t="s">
        <v>280</v>
      </c>
      <c r="JLW868" s="290" t="s">
        <v>280</v>
      </c>
      <c r="JLX868" s="290" t="s">
        <v>280</v>
      </c>
      <c r="JLY868" s="290" t="s">
        <v>280</v>
      </c>
      <c r="JLZ868" s="290" t="s">
        <v>280</v>
      </c>
      <c r="JMA868" s="290" t="s">
        <v>280</v>
      </c>
      <c r="JMB868" s="290" t="s">
        <v>280</v>
      </c>
      <c r="JMC868" s="290" t="s">
        <v>280</v>
      </c>
      <c r="JMD868" s="290" t="s">
        <v>280</v>
      </c>
      <c r="JME868" s="290" t="s">
        <v>280</v>
      </c>
      <c r="JMF868" s="290" t="s">
        <v>280</v>
      </c>
      <c r="JMG868" s="290" t="s">
        <v>280</v>
      </c>
      <c r="JMH868" s="290" t="s">
        <v>280</v>
      </c>
      <c r="JMI868" s="290" t="s">
        <v>280</v>
      </c>
      <c r="JMJ868" s="290" t="s">
        <v>280</v>
      </c>
      <c r="JMK868" s="290" t="s">
        <v>280</v>
      </c>
      <c r="JML868" s="290" t="s">
        <v>280</v>
      </c>
      <c r="JMM868" s="290" t="s">
        <v>280</v>
      </c>
      <c r="JMN868" s="290" t="s">
        <v>280</v>
      </c>
      <c r="JMO868" s="290" t="s">
        <v>280</v>
      </c>
      <c r="JMP868" s="290" t="s">
        <v>280</v>
      </c>
      <c r="JMQ868" s="290" t="s">
        <v>280</v>
      </c>
      <c r="JMR868" s="290" t="s">
        <v>280</v>
      </c>
      <c r="JMS868" s="290" t="s">
        <v>280</v>
      </c>
      <c r="JMT868" s="290" t="s">
        <v>280</v>
      </c>
      <c r="JMU868" s="290" t="s">
        <v>280</v>
      </c>
      <c r="JMV868" s="290" t="s">
        <v>280</v>
      </c>
      <c r="JMW868" s="290" t="s">
        <v>280</v>
      </c>
      <c r="JMX868" s="290" t="s">
        <v>280</v>
      </c>
      <c r="JMY868" s="290" t="s">
        <v>280</v>
      </c>
      <c r="JMZ868" s="290" t="s">
        <v>280</v>
      </c>
      <c r="JNA868" s="290" t="s">
        <v>280</v>
      </c>
      <c r="JNB868" s="290" t="s">
        <v>280</v>
      </c>
      <c r="JNC868" s="290" t="s">
        <v>280</v>
      </c>
      <c r="JND868" s="290" t="s">
        <v>280</v>
      </c>
      <c r="JNE868" s="290" t="s">
        <v>280</v>
      </c>
      <c r="JNF868" s="290" t="s">
        <v>280</v>
      </c>
      <c r="JNG868" s="290" t="s">
        <v>280</v>
      </c>
      <c r="JNH868" s="290" t="s">
        <v>280</v>
      </c>
      <c r="JNI868" s="290" t="s">
        <v>280</v>
      </c>
      <c r="JNJ868" s="290" t="s">
        <v>280</v>
      </c>
      <c r="JNK868" s="290" t="s">
        <v>280</v>
      </c>
      <c r="JNL868" s="290" t="s">
        <v>280</v>
      </c>
      <c r="JNM868" s="290" t="s">
        <v>280</v>
      </c>
      <c r="JNN868" s="290" t="s">
        <v>280</v>
      </c>
      <c r="JNO868" s="290" t="s">
        <v>280</v>
      </c>
      <c r="JNP868" s="290" t="s">
        <v>280</v>
      </c>
      <c r="JNQ868" s="290" t="s">
        <v>280</v>
      </c>
      <c r="JNR868" s="290" t="s">
        <v>280</v>
      </c>
      <c r="JNS868" s="290" t="s">
        <v>280</v>
      </c>
      <c r="JNT868" s="290" t="s">
        <v>280</v>
      </c>
      <c r="JNU868" s="290" t="s">
        <v>280</v>
      </c>
      <c r="JNV868" s="290" t="s">
        <v>280</v>
      </c>
      <c r="JNW868" s="290" t="s">
        <v>280</v>
      </c>
      <c r="JNX868" s="290" t="s">
        <v>280</v>
      </c>
      <c r="JNY868" s="290" t="s">
        <v>280</v>
      </c>
      <c r="JNZ868" s="290" t="s">
        <v>280</v>
      </c>
      <c r="JOA868" s="290" t="s">
        <v>280</v>
      </c>
      <c r="JOB868" s="290" t="s">
        <v>280</v>
      </c>
      <c r="JOC868" s="290" t="s">
        <v>280</v>
      </c>
      <c r="JOD868" s="290" t="s">
        <v>280</v>
      </c>
      <c r="JOE868" s="290" t="s">
        <v>280</v>
      </c>
      <c r="JOF868" s="290" t="s">
        <v>280</v>
      </c>
      <c r="JOG868" s="290" t="s">
        <v>280</v>
      </c>
      <c r="JOH868" s="290" t="s">
        <v>280</v>
      </c>
      <c r="JOI868" s="290" t="s">
        <v>280</v>
      </c>
      <c r="JOJ868" s="290" t="s">
        <v>280</v>
      </c>
      <c r="JOK868" s="290" t="s">
        <v>280</v>
      </c>
      <c r="JOL868" s="290" t="s">
        <v>280</v>
      </c>
      <c r="JOM868" s="290" t="s">
        <v>280</v>
      </c>
      <c r="JON868" s="290" t="s">
        <v>280</v>
      </c>
      <c r="JOO868" s="290" t="s">
        <v>280</v>
      </c>
      <c r="JOP868" s="290" t="s">
        <v>280</v>
      </c>
      <c r="JOQ868" s="290" t="s">
        <v>280</v>
      </c>
      <c r="JOR868" s="290" t="s">
        <v>280</v>
      </c>
      <c r="JOS868" s="290" t="s">
        <v>280</v>
      </c>
      <c r="JOT868" s="290" t="s">
        <v>280</v>
      </c>
      <c r="JOU868" s="290" t="s">
        <v>280</v>
      </c>
      <c r="JOV868" s="290" t="s">
        <v>280</v>
      </c>
      <c r="JOW868" s="290" t="s">
        <v>280</v>
      </c>
      <c r="JOX868" s="290" t="s">
        <v>280</v>
      </c>
      <c r="JOY868" s="290" t="s">
        <v>280</v>
      </c>
      <c r="JOZ868" s="290" t="s">
        <v>280</v>
      </c>
      <c r="JPA868" s="290" t="s">
        <v>280</v>
      </c>
      <c r="JPB868" s="290" t="s">
        <v>280</v>
      </c>
      <c r="JPC868" s="290" t="s">
        <v>280</v>
      </c>
      <c r="JPD868" s="290" t="s">
        <v>280</v>
      </c>
      <c r="JPE868" s="290" t="s">
        <v>280</v>
      </c>
      <c r="JPF868" s="290" t="s">
        <v>280</v>
      </c>
      <c r="JPG868" s="290" t="s">
        <v>280</v>
      </c>
      <c r="JPH868" s="290" t="s">
        <v>280</v>
      </c>
      <c r="JPI868" s="290" t="s">
        <v>280</v>
      </c>
      <c r="JPJ868" s="290" t="s">
        <v>280</v>
      </c>
      <c r="JPK868" s="290" t="s">
        <v>280</v>
      </c>
      <c r="JPL868" s="290" t="s">
        <v>280</v>
      </c>
      <c r="JPM868" s="290" t="s">
        <v>280</v>
      </c>
      <c r="JPN868" s="290" t="s">
        <v>280</v>
      </c>
      <c r="JPO868" s="290" t="s">
        <v>280</v>
      </c>
      <c r="JPP868" s="290" t="s">
        <v>280</v>
      </c>
      <c r="JPQ868" s="290" t="s">
        <v>280</v>
      </c>
      <c r="JPR868" s="290" t="s">
        <v>280</v>
      </c>
      <c r="JPS868" s="290" t="s">
        <v>280</v>
      </c>
      <c r="JPT868" s="290" t="s">
        <v>280</v>
      </c>
      <c r="JPU868" s="290" t="s">
        <v>280</v>
      </c>
      <c r="JPV868" s="290" t="s">
        <v>280</v>
      </c>
      <c r="JPW868" s="290" t="s">
        <v>280</v>
      </c>
      <c r="JPX868" s="290" t="s">
        <v>280</v>
      </c>
      <c r="JPY868" s="290" t="s">
        <v>280</v>
      </c>
      <c r="JPZ868" s="290" t="s">
        <v>280</v>
      </c>
      <c r="JQA868" s="290" t="s">
        <v>280</v>
      </c>
      <c r="JQB868" s="290" t="s">
        <v>280</v>
      </c>
      <c r="JQC868" s="290" t="s">
        <v>280</v>
      </c>
      <c r="JQD868" s="290" t="s">
        <v>280</v>
      </c>
      <c r="JQE868" s="290" t="s">
        <v>280</v>
      </c>
      <c r="JQF868" s="290" t="s">
        <v>280</v>
      </c>
      <c r="JQG868" s="290" t="s">
        <v>280</v>
      </c>
      <c r="JQH868" s="290" t="s">
        <v>280</v>
      </c>
      <c r="JQI868" s="290" t="s">
        <v>280</v>
      </c>
      <c r="JQJ868" s="290" t="s">
        <v>280</v>
      </c>
      <c r="JQK868" s="290" t="s">
        <v>280</v>
      </c>
      <c r="JQL868" s="290" t="s">
        <v>280</v>
      </c>
      <c r="JQM868" s="290" t="s">
        <v>280</v>
      </c>
      <c r="JQN868" s="290" t="s">
        <v>280</v>
      </c>
      <c r="JQO868" s="290" t="s">
        <v>280</v>
      </c>
      <c r="JQP868" s="290" t="s">
        <v>280</v>
      </c>
      <c r="JQQ868" s="290" t="s">
        <v>280</v>
      </c>
      <c r="JQR868" s="290" t="s">
        <v>280</v>
      </c>
      <c r="JQS868" s="290" t="s">
        <v>280</v>
      </c>
      <c r="JQT868" s="290" t="s">
        <v>280</v>
      </c>
      <c r="JQU868" s="290" t="s">
        <v>280</v>
      </c>
      <c r="JQV868" s="290" t="s">
        <v>280</v>
      </c>
      <c r="JQW868" s="290" t="s">
        <v>280</v>
      </c>
      <c r="JQX868" s="290" t="s">
        <v>280</v>
      </c>
      <c r="JQY868" s="290" t="s">
        <v>280</v>
      </c>
      <c r="JQZ868" s="290" t="s">
        <v>280</v>
      </c>
      <c r="JRA868" s="290" t="s">
        <v>280</v>
      </c>
      <c r="JRB868" s="290" t="s">
        <v>280</v>
      </c>
      <c r="JRC868" s="290" t="s">
        <v>280</v>
      </c>
      <c r="JRD868" s="290" t="s">
        <v>280</v>
      </c>
      <c r="JRE868" s="290" t="s">
        <v>280</v>
      </c>
      <c r="JRF868" s="290" t="s">
        <v>280</v>
      </c>
      <c r="JRG868" s="290" t="s">
        <v>280</v>
      </c>
      <c r="JRH868" s="290" t="s">
        <v>280</v>
      </c>
      <c r="JRI868" s="290" t="s">
        <v>280</v>
      </c>
      <c r="JRJ868" s="290" t="s">
        <v>280</v>
      </c>
      <c r="JRK868" s="290" t="s">
        <v>280</v>
      </c>
      <c r="JRL868" s="290" t="s">
        <v>280</v>
      </c>
      <c r="JRM868" s="290" t="s">
        <v>280</v>
      </c>
      <c r="JRN868" s="290" t="s">
        <v>280</v>
      </c>
      <c r="JRO868" s="290" t="s">
        <v>280</v>
      </c>
      <c r="JRP868" s="290" t="s">
        <v>280</v>
      </c>
      <c r="JRQ868" s="290" t="s">
        <v>280</v>
      </c>
      <c r="JRR868" s="290" t="s">
        <v>280</v>
      </c>
      <c r="JRS868" s="290" t="s">
        <v>280</v>
      </c>
      <c r="JRT868" s="290" t="s">
        <v>280</v>
      </c>
      <c r="JRU868" s="290" t="s">
        <v>280</v>
      </c>
      <c r="JRV868" s="290" t="s">
        <v>280</v>
      </c>
      <c r="JRW868" s="290" t="s">
        <v>280</v>
      </c>
      <c r="JRX868" s="290" t="s">
        <v>280</v>
      </c>
      <c r="JRY868" s="290" t="s">
        <v>280</v>
      </c>
      <c r="JRZ868" s="290" t="s">
        <v>280</v>
      </c>
      <c r="JSA868" s="290" t="s">
        <v>280</v>
      </c>
      <c r="JSB868" s="290" t="s">
        <v>280</v>
      </c>
      <c r="JSC868" s="290" t="s">
        <v>280</v>
      </c>
      <c r="JSD868" s="290" t="s">
        <v>280</v>
      </c>
      <c r="JSE868" s="290" t="s">
        <v>280</v>
      </c>
      <c r="JSF868" s="290" t="s">
        <v>280</v>
      </c>
      <c r="JSG868" s="290" t="s">
        <v>280</v>
      </c>
      <c r="JSH868" s="290" t="s">
        <v>280</v>
      </c>
      <c r="JSI868" s="290" t="s">
        <v>280</v>
      </c>
      <c r="JSJ868" s="290" t="s">
        <v>280</v>
      </c>
      <c r="JSK868" s="290" t="s">
        <v>280</v>
      </c>
      <c r="JSL868" s="290" t="s">
        <v>280</v>
      </c>
      <c r="JSM868" s="290" t="s">
        <v>280</v>
      </c>
      <c r="JSN868" s="290" t="s">
        <v>280</v>
      </c>
      <c r="JSO868" s="290" t="s">
        <v>280</v>
      </c>
      <c r="JSP868" s="290" t="s">
        <v>280</v>
      </c>
      <c r="JSQ868" s="290" t="s">
        <v>280</v>
      </c>
      <c r="JSR868" s="290" t="s">
        <v>280</v>
      </c>
      <c r="JSS868" s="290" t="s">
        <v>280</v>
      </c>
      <c r="JST868" s="290" t="s">
        <v>280</v>
      </c>
      <c r="JSU868" s="290" t="s">
        <v>280</v>
      </c>
      <c r="JSV868" s="290" t="s">
        <v>280</v>
      </c>
      <c r="JSW868" s="290" t="s">
        <v>280</v>
      </c>
      <c r="JSX868" s="290" t="s">
        <v>280</v>
      </c>
      <c r="JSY868" s="290" t="s">
        <v>280</v>
      </c>
      <c r="JSZ868" s="290" t="s">
        <v>280</v>
      </c>
      <c r="JTA868" s="290" t="s">
        <v>280</v>
      </c>
      <c r="JTB868" s="290" t="s">
        <v>280</v>
      </c>
      <c r="JTC868" s="290" t="s">
        <v>280</v>
      </c>
      <c r="JTD868" s="290" t="s">
        <v>280</v>
      </c>
      <c r="JTE868" s="290" t="s">
        <v>280</v>
      </c>
      <c r="JTF868" s="290" t="s">
        <v>280</v>
      </c>
      <c r="JTG868" s="290" t="s">
        <v>280</v>
      </c>
      <c r="JTH868" s="290" t="s">
        <v>280</v>
      </c>
      <c r="JTI868" s="290" t="s">
        <v>280</v>
      </c>
      <c r="JTJ868" s="290" t="s">
        <v>280</v>
      </c>
      <c r="JTK868" s="290" t="s">
        <v>280</v>
      </c>
      <c r="JTL868" s="290" t="s">
        <v>280</v>
      </c>
      <c r="JTM868" s="290" t="s">
        <v>280</v>
      </c>
      <c r="JTN868" s="290" t="s">
        <v>280</v>
      </c>
      <c r="JTO868" s="290" t="s">
        <v>280</v>
      </c>
      <c r="JTP868" s="290" t="s">
        <v>280</v>
      </c>
      <c r="JTQ868" s="290" t="s">
        <v>280</v>
      </c>
      <c r="JTR868" s="290" t="s">
        <v>280</v>
      </c>
      <c r="JTS868" s="290" t="s">
        <v>280</v>
      </c>
      <c r="JTT868" s="290" t="s">
        <v>280</v>
      </c>
      <c r="JTU868" s="290" t="s">
        <v>280</v>
      </c>
      <c r="JTV868" s="290" t="s">
        <v>280</v>
      </c>
      <c r="JTW868" s="290" t="s">
        <v>280</v>
      </c>
      <c r="JTX868" s="290" t="s">
        <v>280</v>
      </c>
      <c r="JTY868" s="290" t="s">
        <v>280</v>
      </c>
      <c r="JTZ868" s="290" t="s">
        <v>280</v>
      </c>
      <c r="JUA868" s="290" t="s">
        <v>280</v>
      </c>
      <c r="JUB868" s="290" t="s">
        <v>280</v>
      </c>
      <c r="JUC868" s="290" t="s">
        <v>280</v>
      </c>
      <c r="JUD868" s="290" t="s">
        <v>280</v>
      </c>
      <c r="JUE868" s="290" t="s">
        <v>280</v>
      </c>
      <c r="JUF868" s="290" t="s">
        <v>280</v>
      </c>
      <c r="JUG868" s="290" t="s">
        <v>280</v>
      </c>
      <c r="JUH868" s="290" t="s">
        <v>280</v>
      </c>
      <c r="JUI868" s="290" t="s">
        <v>280</v>
      </c>
      <c r="JUJ868" s="290" t="s">
        <v>280</v>
      </c>
      <c r="JUK868" s="290" t="s">
        <v>280</v>
      </c>
      <c r="JUL868" s="290" t="s">
        <v>280</v>
      </c>
      <c r="JUM868" s="290" t="s">
        <v>280</v>
      </c>
      <c r="JUN868" s="290" t="s">
        <v>280</v>
      </c>
      <c r="JUO868" s="290" t="s">
        <v>280</v>
      </c>
      <c r="JUP868" s="290" t="s">
        <v>280</v>
      </c>
      <c r="JUQ868" s="290" t="s">
        <v>280</v>
      </c>
      <c r="JUR868" s="290" t="s">
        <v>280</v>
      </c>
      <c r="JUS868" s="290" t="s">
        <v>280</v>
      </c>
      <c r="JUT868" s="290" t="s">
        <v>280</v>
      </c>
      <c r="JUU868" s="290" t="s">
        <v>280</v>
      </c>
      <c r="JUV868" s="290" t="s">
        <v>280</v>
      </c>
      <c r="JUW868" s="290" t="s">
        <v>280</v>
      </c>
      <c r="JUX868" s="290" t="s">
        <v>280</v>
      </c>
      <c r="JUY868" s="290" t="s">
        <v>280</v>
      </c>
      <c r="JUZ868" s="290" t="s">
        <v>280</v>
      </c>
      <c r="JVA868" s="290" t="s">
        <v>280</v>
      </c>
      <c r="JVB868" s="290" t="s">
        <v>280</v>
      </c>
      <c r="JVC868" s="290" t="s">
        <v>280</v>
      </c>
      <c r="JVD868" s="290" t="s">
        <v>280</v>
      </c>
      <c r="JVE868" s="290" t="s">
        <v>280</v>
      </c>
      <c r="JVF868" s="290" t="s">
        <v>280</v>
      </c>
      <c r="JVG868" s="290" t="s">
        <v>280</v>
      </c>
      <c r="JVH868" s="290" t="s">
        <v>280</v>
      </c>
      <c r="JVI868" s="290" t="s">
        <v>280</v>
      </c>
      <c r="JVJ868" s="290" t="s">
        <v>280</v>
      </c>
      <c r="JVK868" s="290" t="s">
        <v>280</v>
      </c>
      <c r="JVL868" s="290" t="s">
        <v>280</v>
      </c>
      <c r="JVM868" s="290" t="s">
        <v>280</v>
      </c>
      <c r="JVN868" s="290" t="s">
        <v>280</v>
      </c>
      <c r="JVO868" s="290" t="s">
        <v>280</v>
      </c>
      <c r="JVP868" s="290" t="s">
        <v>280</v>
      </c>
      <c r="JVQ868" s="290" t="s">
        <v>280</v>
      </c>
      <c r="JVR868" s="290" t="s">
        <v>280</v>
      </c>
      <c r="JVS868" s="290" t="s">
        <v>280</v>
      </c>
      <c r="JVT868" s="290" t="s">
        <v>280</v>
      </c>
      <c r="JVU868" s="290" t="s">
        <v>280</v>
      </c>
      <c r="JVV868" s="290" t="s">
        <v>280</v>
      </c>
      <c r="JVW868" s="290" t="s">
        <v>280</v>
      </c>
      <c r="JVX868" s="290" t="s">
        <v>280</v>
      </c>
      <c r="JVY868" s="290" t="s">
        <v>280</v>
      </c>
      <c r="JVZ868" s="290" t="s">
        <v>280</v>
      </c>
      <c r="JWA868" s="290" t="s">
        <v>280</v>
      </c>
      <c r="JWB868" s="290" t="s">
        <v>280</v>
      </c>
      <c r="JWC868" s="290" t="s">
        <v>280</v>
      </c>
      <c r="JWD868" s="290" t="s">
        <v>280</v>
      </c>
      <c r="JWE868" s="290" t="s">
        <v>280</v>
      </c>
      <c r="JWF868" s="290" t="s">
        <v>280</v>
      </c>
      <c r="JWG868" s="290" t="s">
        <v>280</v>
      </c>
      <c r="JWH868" s="290" t="s">
        <v>280</v>
      </c>
      <c r="JWI868" s="290" t="s">
        <v>280</v>
      </c>
      <c r="JWJ868" s="290" t="s">
        <v>280</v>
      </c>
      <c r="JWK868" s="290" t="s">
        <v>280</v>
      </c>
      <c r="JWL868" s="290" t="s">
        <v>280</v>
      </c>
      <c r="JWM868" s="290" t="s">
        <v>280</v>
      </c>
      <c r="JWN868" s="290" t="s">
        <v>280</v>
      </c>
      <c r="JWO868" s="290" t="s">
        <v>280</v>
      </c>
      <c r="JWP868" s="290" t="s">
        <v>280</v>
      </c>
      <c r="JWQ868" s="290" t="s">
        <v>280</v>
      </c>
      <c r="JWR868" s="290" t="s">
        <v>280</v>
      </c>
      <c r="JWS868" s="290" t="s">
        <v>280</v>
      </c>
      <c r="JWT868" s="290" t="s">
        <v>280</v>
      </c>
      <c r="JWU868" s="290" t="s">
        <v>280</v>
      </c>
      <c r="JWV868" s="290" t="s">
        <v>280</v>
      </c>
      <c r="JWW868" s="290" t="s">
        <v>280</v>
      </c>
      <c r="JWX868" s="290" t="s">
        <v>280</v>
      </c>
      <c r="JWY868" s="290" t="s">
        <v>280</v>
      </c>
      <c r="JWZ868" s="290" t="s">
        <v>280</v>
      </c>
      <c r="JXA868" s="290" t="s">
        <v>280</v>
      </c>
      <c r="JXB868" s="290" t="s">
        <v>280</v>
      </c>
      <c r="JXC868" s="290" t="s">
        <v>280</v>
      </c>
      <c r="JXD868" s="290" t="s">
        <v>280</v>
      </c>
      <c r="JXE868" s="290" t="s">
        <v>280</v>
      </c>
      <c r="JXF868" s="290" t="s">
        <v>280</v>
      </c>
      <c r="JXG868" s="290" t="s">
        <v>280</v>
      </c>
      <c r="JXH868" s="290" t="s">
        <v>280</v>
      </c>
      <c r="JXI868" s="290" t="s">
        <v>280</v>
      </c>
      <c r="JXJ868" s="290" t="s">
        <v>280</v>
      </c>
      <c r="JXK868" s="290" t="s">
        <v>280</v>
      </c>
      <c r="JXL868" s="290" t="s">
        <v>280</v>
      </c>
      <c r="JXM868" s="290" t="s">
        <v>280</v>
      </c>
      <c r="JXN868" s="290" t="s">
        <v>280</v>
      </c>
      <c r="JXO868" s="290" t="s">
        <v>280</v>
      </c>
      <c r="JXP868" s="290" t="s">
        <v>280</v>
      </c>
      <c r="JXQ868" s="290" t="s">
        <v>280</v>
      </c>
      <c r="JXR868" s="290" t="s">
        <v>280</v>
      </c>
      <c r="JXS868" s="290" t="s">
        <v>280</v>
      </c>
      <c r="JXT868" s="290" t="s">
        <v>280</v>
      </c>
      <c r="JXU868" s="290" t="s">
        <v>280</v>
      </c>
      <c r="JXV868" s="290" t="s">
        <v>280</v>
      </c>
      <c r="JXW868" s="290" t="s">
        <v>280</v>
      </c>
      <c r="JXX868" s="290" t="s">
        <v>280</v>
      </c>
      <c r="JXY868" s="290" t="s">
        <v>280</v>
      </c>
      <c r="JXZ868" s="290" t="s">
        <v>280</v>
      </c>
      <c r="JYA868" s="290" t="s">
        <v>280</v>
      </c>
      <c r="JYB868" s="290" t="s">
        <v>280</v>
      </c>
      <c r="JYC868" s="290" t="s">
        <v>280</v>
      </c>
      <c r="JYD868" s="290" t="s">
        <v>280</v>
      </c>
      <c r="JYE868" s="290" t="s">
        <v>280</v>
      </c>
      <c r="JYF868" s="290" t="s">
        <v>280</v>
      </c>
      <c r="JYG868" s="290" t="s">
        <v>280</v>
      </c>
      <c r="JYH868" s="290" t="s">
        <v>280</v>
      </c>
      <c r="JYI868" s="290" t="s">
        <v>280</v>
      </c>
      <c r="JYJ868" s="290" t="s">
        <v>280</v>
      </c>
      <c r="JYK868" s="290" t="s">
        <v>280</v>
      </c>
      <c r="JYL868" s="290" t="s">
        <v>280</v>
      </c>
      <c r="JYM868" s="290" t="s">
        <v>280</v>
      </c>
      <c r="JYN868" s="290" t="s">
        <v>280</v>
      </c>
      <c r="JYO868" s="290" t="s">
        <v>280</v>
      </c>
      <c r="JYP868" s="290" t="s">
        <v>280</v>
      </c>
      <c r="JYQ868" s="290" t="s">
        <v>280</v>
      </c>
      <c r="JYR868" s="290" t="s">
        <v>280</v>
      </c>
      <c r="JYS868" s="290" t="s">
        <v>280</v>
      </c>
      <c r="JYT868" s="290" t="s">
        <v>280</v>
      </c>
      <c r="JYU868" s="290" t="s">
        <v>280</v>
      </c>
      <c r="JYV868" s="290" t="s">
        <v>280</v>
      </c>
      <c r="JYW868" s="290" t="s">
        <v>280</v>
      </c>
      <c r="JYX868" s="290" t="s">
        <v>280</v>
      </c>
      <c r="JYY868" s="290" t="s">
        <v>280</v>
      </c>
      <c r="JYZ868" s="290" t="s">
        <v>280</v>
      </c>
      <c r="JZA868" s="290" t="s">
        <v>280</v>
      </c>
      <c r="JZB868" s="290" t="s">
        <v>280</v>
      </c>
      <c r="JZC868" s="290" t="s">
        <v>280</v>
      </c>
      <c r="JZD868" s="290" t="s">
        <v>280</v>
      </c>
      <c r="JZE868" s="290" t="s">
        <v>280</v>
      </c>
      <c r="JZF868" s="290" t="s">
        <v>280</v>
      </c>
      <c r="JZG868" s="290" t="s">
        <v>280</v>
      </c>
      <c r="JZH868" s="290" t="s">
        <v>280</v>
      </c>
      <c r="JZI868" s="290" t="s">
        <v>280</v>
      </c>
      <c r="JZJ868" s="290" t="s">
        <v>280</v>
      </c>
      <c r="JZK868" s="290" t="s">
        <v>280</v>
      </c>
      <c r="JZL868" s="290" t="s">
        <v>280</v>
      </c>
      <c r="JZM868" s="290" t="s">
        <v>280</v>
      </c>
      <c r="JZN868" s="290" t="s">
        <v>280</v>
      </c>
      <c r="JZO868" s="290" t="s">
        <v>280</v>
      </c>
      <c r="JZP868" s="290" t="s">
        <v>280</v>
      </c>
      <c r="JZQ868" s="290" t="s">
        <v>280</v>
      </c>
      <c r="JZR868" s="290" t="s">
        <v>280</v>
      </c>
      <c r="JZS868" s="290" t="s">
        <v>280</v>
      </c>
      <c r="JZT868" s="290" t="s">
        <v>280</v>
      </c>
      <c r="JZU868" s="290" t="s">
        <v>280</v>
      </c>
      <c r="JZV868" s="290" t="s">
        <v>280</v>
      </c>
      <c r="JZW868" s="290" t="s">
        <v>280</v>
      </c>
      <c r="JZX868" s="290" t="s">
        <v>280</v>
      </c>
      <c r="JZY868" s="290" t="s">
        <v>280</v>
      </c>
      <c r="JZZ868" s="290" t="s">
        <v>280</v>
      </c>
      <c r="KAA868" s="290" t="s">
        <v>280</v>
      </c>
      <c r="KAB868" s="290" t="s">
        <v>280</v>
      </c>
      <c r="KAC868" s="290" t="s">
        <v>280</v>
      </c>
      <c r="KAD868" s="290" t="s">
        <v>280</v>
      </c>
      <c r="KAE868" s="290" t="s">
        <v>280</v>
      </c>
      <c r="KAF868" s="290" t="s">
        <v>280</v>
      </c>
      <c r="KAG868" s="290" t="s">
        <v>280</v>
      </c>
      <c r="KAH868" s="290" t="s">
        <v>280</v>
      </c>
      <c r="KAI868" s="290" t="s">
        <v>280</v>
      </c>
      <c r="KAJ868" s="290" t="s">
        <v>280</v>
      </c>
      <c r="KAK868" s="290" t="s">
        <v>280</v>
      </c>
      <c r="KAL868" s="290" t="s">
        <v>280</v>
      </c>
      <c r="KAM868" s="290" t="s">
        <v>280</v>
      </c>
      <c r="KAN868" s="290" t="s">
        <v>280</v>
      </c>
      <c r="KAO868" s="290" t="s">
        <v>280</v>
      </c>
      <c r="KAP868" s="290" t="s">
        <v>280</v>
      </c>
      <c r="KAQ868" s="290" t="s">
        <v>280</v>
      </c>
      <c r="KAR868" s="290" t="s">
        <v>280</v>
      </c>
      <c r="KAS868" s="290" t="s">
        <v>280</v>
      </c>
      <c r="KAT868" s="290" t="s">
        <v>280</v>
      </c>
      <c r="KAU868" s="290" t="s">
        <v>280</v>
      </c>
      <c r="KAV868" s="290" t="s">
        <v>280</v>
      </c>
      <c r="KAW868" s="290" t="s">
        <v>280</v>
      </c>
      <c r="KAX868" s="290" t="s">
        <v>280</v>
      </c>
      <c r="KAY868" s="290" t="s">
        <v>280</v>
      </c>
      <c r="KAZ868" s="290" t="s">
        <v>280</v>
      </c>
      <c r="KBA868" s="290" t="s">
        <v>280</v>
      </c>
      <c r="KBB868" s="290" t="s">
        <v>280</v>
      </c>
      <c r="KBC868" s="290" t="s">
        <v>280</v>
      </c>
      <c r="KBD868" s="290" t="s">
        <v>280</v>
      </c>
      <c r="KBE868" s="290" t="s">
        <v>280</v>
      </c>
      <c r="KBF868" s="290" t="s">
        <v>280</v>
      </c>
      <c r="KBG868" s="290" t="s">
        <v>280</v>
      </c>
      <c r="KBH868" s="290" t="s">
        <v>280</v>
      </c>
      <c r="KBI868" s="290" t="s">
        <v>280</v>
      </c>
      <c r="KBJ868" s="290" t="s">
        <v>280</v>
      </c>
      <c r="KBK868" s="290" t="s">
        <v>280</v>
      </c>
      <c r="KBL868" s="290" t="s">
        <v>280</v>
      </c>
      <c r="KBM868" s="290" t="s">
        <v>280</v>
      </c>
      <c r="KBN868" s="290" t="s">
        <v>280</v>
      </c>
      <c r="KBO868" s="290" t="s">
        <v>280</v>
      </c>
      <c r="KBP868" s="290" t="s">
        <v>280</v>
      </c>
      <c r="KBQ868" s="290" t="s">
        <v>280</v>
      </c>
      <c r="KBR868" s="290" t="s">
        <v>280</v>
      </c>
      <c r="KBS868" s="290" t="s">
        <v>280</v>
      </c>
      <c r="KBT868" s="290" t="s">
        <v>280</v>
      </c>
      <c r="KBU868" s="290" t="s">
        <v>280</v>
      </c>
      <c r="KBV868" s="290" t="s">
        <v>280</v>
      </c>
      <c r="KBW868" s="290" t="s">
        <v>280</v>
      </c>
      <c r="KBX868" s="290" t="s">
        <v>280</v>
      </c>
      <c r="KBY868" s="290" t="s">
        <v>280</v>
      </c>
      <c r="KBZ868" s="290" t="s">
        <v>280</v>
      </c>
      <c r="KCA868" s="290" t="s">
        <v>280</v>
      </c>
      <c r="KCB868" s="290" t="s">
        <v>280</v>
      </c>
      <c r="KCC868" s="290" t="s">
        <v>280</v>
      </c>
      <c r="KCD868" s="290" t="s">
        <v>280</v>
      </c>
      <c r="KCE868" s="290" t="s">
        <v>280</v>
      </c>
      <c r="KCF868" s="290" t="s">
        <v>280</v>
      </c>
      <c r="KCG868" s="290" t="s">
        <v>280</v>
      </c>
      <c r="KCH868" s="290" t="s">
        <v>280</v>
      </c>
      <c r="KCI868" s="290" t="s">
        <v>280</v>
      </c>
      <c r="KCJ868" s="290" t="s">
        <v>280</v>
      </c>
      <c r="KCK868" s="290" t="s">
        <v>280</v>
      </c>
      <c r="KCL868" s="290" t="s">
        <v>280</v>
      </c>
      <c r="KCM868" s="290" t="s">
        <v>280</v>
      </c>
      <c r="KCN868" s="290" t="s">
        <v>280</v>
      </c>
      <c r="KCO868" s="290" t="s">
        <v>280</v>
      </c>
      <c r="KCP868" s="290" t="s">
        <v>280</v>
      </c>
      <c r="KCQ868" s="290" t="s">
        <v>280</v>
      </c>
      <c r="KCR868" s="290" t="s">
        <v>280</v>
      </c>
      <c r="KCS868" s="290" t="s">
        <v>280</v>
      </c>
      <c r="KCT868" s="290" t="s">
        <v>280</v>
      </c>
      <c r="KCU868" s="290" t="s">
        <v>280</v>
      </c>
      <c r="KCV868" s="290" t="s">
        <v>280</v>
      </c>
      <c r="KCW868" s="290" t="s">
        <v>280</v>
      </c>
      <c r="KCX868" s="290" t="s">
        <v>280</v>
      </c>
      <c r="KCY868" s="290" t="s">
        <v>280</v>
      </c>
      <c r="KCZ868" s="290" t="s">
        <v>280</v>
      </c>
      <c r="KDA868" s="290" t="s">
        <v>280</v>
      </c>
      <c r="KDB868" s="290" t="s">
        <v>280</v>
      </c>
      <c r="KDC868" s="290" t="s">
        <v>280</v>
      </c>
      <c r="KDD868" s="290" t="s">
        <v>280</v>
      </c>
      <c r="KDE868" s="290" t="s">
        <v>280</v>
      </c>
      <c r="KDF868" s="290" t="s">
        <v>280</v>
      </c>
      <c r="KDG868" s="290" t="s">
        <v>280</v>
      </c>
      <c r="KDH868" s="290" t="s">
        <v>280</v>
      </c>
      <c r="KDI868" s="290" t="s">
        <v>280</v>
      </c>
      <c r="KDJ868" s="290" t="s">
        <v>280</v>
      </c>
      <c r="KDK868" s="290" t="s">
        <v>280</v>
      </c>
      <c r="KDL868" s="290" t="s">
        <v>280</v>
      </c>
      <c r="KDM868" s="290" t="s">
        <v>280</v>
      </c>
      <c r="KDN868" s="290" t="s">
        <v>280</v>
      </c>
      <c r="KDO868" s="290" t="s">
        <v>280</v>
      </c>
      <c r="KDP868" s="290" t="s">
        <v>280</v>
      </c>
      <c r="KDQ868" s="290" t="s">
        <v>280</v>
      </c>
      <c r="KDR868" s="290" t="s">
        <v>280</v>
      </c>
      <c r="KDS868" s="290" t="s">
        <v>280</v>
      </c>
      <c r="KDT868" s="290" t="s">
        <v>280</v>
      </c>
      <c r="KDU868" s="290" t="s">
        <v>280</v>
      </c>
      <c r="KDV868" s="290" t="s">
        <v>280</v>
      </c>
      <c r="KDW868" s="290" t="s">
        <v>280</v>
      </c>
      <c r="KDX868" s="290" t="s">
        <v>280</v>
      </c>
      <c r="KDY868" s="290" t="s">
        <v>280</v>
      </c>
      <c r="KDZ868" s="290" t="s">
        <v>280</v>
      </c>
      <c r="KEA868" s="290" t="s">
        <v>280</v>
      </c>
      <c r="KEB868" s="290" t="s">
        <v>280</v>
      </c>
      <c r="KEC868" s="290" t="s">
        <v>280</v>
      </c>
      <c r="KED868" s="290" t="s">
        <v>280</v>
      </c>
      <c r="KEE868" s="290" t="s">
        <v>280</v>
      </c>
      <c r="KEF868" s="290" t="s">
        <v>280</v>
      </c>
      <c r="KEG868" s="290" t="s">
        <v>280</v>
      </c>
      <c r="KEH868" s="290" t="s">
        <v>280</v>
      </c>
      <c r="KEI868" s="290" t="s">
        <v>280</v>
      </c>
      <c r="KEJ868" s="290" t="s">
        <v>280</v>
      </c>
      <c r="KEK868" s="290" t="s">
        <v>280</v>
      </c>
      <c r="KEL868" s="290" t="s">
        <v>280</v>
      </c>
      <c r="KEM868" s="290" t="s">
        <v>280</v>
      </c>
      <c r="KEN868" s="290" t="s">
        <v>280</v>
      </c>
      <c r="KEO868" s="290" t="s">
        <v>280</v>
      </c>
      <c r="KEP868" s="290" t="s">
        <v>280</v>
      </c>
      <c r="KEQ868" s="290" t="s">
        <v>280</v>
      </c>
      <c r="KER868" s="290" t="s">
        <v>280</v>
      </c>
      <c r="KES868" s="290" t="s">
        <v>280</v>
      </c>
      <c r="KET868" s="290" t="s">
        <v>280</v>
      </c>
      <c r="KEU868" s="290" t="s">
        <v>280</v>
      </c>
      <c r="KEV868" s="290" t="s">
        <v>280</v>
      </c>
      <c r="KEW868" s="290" t="s">
        <v>280</v>
      </c>
      <c r="KEX868" s="290" t="s">
        <v>280</v>
      </c>
      <c r="KEY868" s="290" t="s">
        <v>280</v>
      </c>
      <c r="KEZ868" s="290" t="s">
        <v>280</v>
      </c>
      <c r="KFA868" s="290" t="s">
        <v>280</v>
      </c>
      <c r="KFB868" s="290" t="s">
        <v>280</v>
      </c>
      <c r="KFC868" s="290" t="s">
        <v>280</v>
      </c>
      <c r="KFD868" s="290" t="s">
        <v>280</v>
      </c>
      <c r="KFE868" s="290" t="s">
        <v>280</v>
      </c>
      <c r="KFF868" s="290" t="s">
        <v>280</v>
      </c>
      <c r="KFG868" s="290" t="s">
        <v>280</v>
      </c>
      <c r="KFH868" s="290" t="s">
        <v>280</v>
      </c>
      <c r="KFI868" s="290" t="s">
        <v>280</v>
      </c>
      <c r="KFJ868" s="290" t="s">
        <v>280</v>
      </c>
      <c r="KFK868" s="290" t="s">
        <v>280</v>
      </c>
      <c r="KFL868" s="290" t="s">
        <v>280</v>
      </c>
      <c r="KFM868" s="290" t="s">
        <v>280</v>
      </c>
      <c r="KFN868" s="290" t="s">
        <v>280</v>
      </c>
      <c r="KFO868" s="290" t="s">
        <v>280</v>
      </c>
      <c r="KFP868" s="290" t="s">
        <v>280</v>
      </c>
      <c r="KFQ868" s="290" t="s">
        <v>280</v>
      </c>
      <c r="KFR868" s="290" t="s">
        <v>280</v>
      </c>
      <c r="KFS868" s="290" t="s">
        <v>280</v>
      </c>
      <c r="KFT868" s="290" t="s">
        <v>280</v>
      </c>
      <c r="KFU868" s="290" t="s">
        <v>280</v>
      </c>
      <c r="KFV868" s="290" t="s">
        <v>280</v>
      </c>
      <c r="KFW868" s="290" t="s">
        <v>280</v>
      </c>
      <c r="KFX868" s="290" t="s">
        <v>280</v>
      </c>
      <c r="KFY868" s="290" t="s">
        <v>280</v>
      </c>
      <c r="KFZ868" s="290" t="s">
        <v>280</v>
      </c>
      <c r="KGA868" s="290" t="s">
        <v>280</v>
      </c>
      <c r="KGB868" s="290" t="s">
        <v>280</v>
      </c>
      <c r="KGC868" s="290" t="s">
        <v>280</v>
      </c>
      <c r="KGD868" s="290" t="s">
        <v>280</v>
      </c>
      <c r="KGE868" s="290" t="s">
        <v>280</v>
      </c>
      <c r="KGF868" s="290" t="s">
        <v>280</v>
      </c>
      <c r="KGG868" s="290" t="s">
        <v>280</v>
      </c>
      <c r="KGH868" s="290" t="s">
        <v>280</v>
      </c>
      <c r="KGI868" s="290" t="s">
        <v>280</v>
      </c>
      <c r="KGJ868" s="290" t="s">
        <v>280</v>
      </c>
      <c r="KGK868" s="290" t="s">
        <v>280</v>
      </c>
      <c r="KGL868" s="290" t="s">
        <v>280</v>
      </c>
      <c r="KGM868" s="290" t="s">
        <v>280</v>
      </c>
      <c r="KGN868" s="290" t="s">
        <v>280</v>
      </c>
      <c r="KGO868" s="290" t="s">
        <v>280</v>
      </c>
      <c r="KGP868" s="290" t="s">
        <v>280</v>
      </c>
      <c r="KGQ868" s="290" t="s">
        <v>280</v>
      </c>
      <c r="KGR868" s="290" t="s">
        <v>280</v>
      </c>
      <c r="KGS868" s="290" t="s">
        <v>280</v>
      </c>
      <c r="KGT868" s="290" t="s">
        <v>280</v>
      </c>
      <c r="KGU868" s="290" t="s">
        <v>280</v>
      </c>
      <c r="KGV868" s="290" t="s">
        <v>280</v>
      </c>
      <c r="KGW868" s="290" t="s">
        <v>280</v>
      </c>
      <c r="KGX868" s="290" t="s">
        <v>280</v>
      </c>
      <c r="KGY868" s="290" t="s">
        <v>280</v>
      </c>
      <c r="KGZ868" s="290" t="s">
        <v>280</v>
      </c>
      <c r="KHA868" s="290" t="s">
        <v>280</v>
      </c>
      <c r="KHB868" s="290" t="s">
        <v>280</v>
      </c>
      <c r="KHC868" s="290" t="s">
        <v>280</v>
      </c>
      <c r="KHD868" s="290" t="s">
        <v>280</v>
      </c>
      <c r="KHE868" s="290" t="s">
        <v>280</v>
      </c>
      <c r="KHF868" s="290" t="s">
        <v>280</v>
      </c>
      <c r="KHG868" s="290" t="s">
        <v>280</v>
      </c>
      <c r="KHH868" s="290" t="s">
        <v>280</v>
      </c>
      <c r="KHI868" s="290" t="s">
        <v>280</v>
      </c>
      <c r="KHJ868" s="290" t="s">
        <v>280</v>
      </c>
      <c r="KHK868" s="290" t="s">
        <v>280</v>
      </c>
      <c r="KHL868" s="290" t="s">
        <v>280</v>
      </c>
      <c r="KHM868" s="290" t="s">
        <v>280</v>
      </c>
      <c r="KHN868" s="290" t="s">
        <v>280</v>
      </c>
      <c r="KHO868" s="290" t="s">
        <v>280</v>
      </c>
      <c r="KHP868" s="290" t="s">
        <v>280</v>
      </c>
      <c r="KHQ868" s="290" t="s">
        <v>280</v>
      </c>
      <c r="KHR868" s="290" t="s">
        <v>280</v>
      </c>
      <c r="KHS868" s="290" t="s">
        <v>280</v>
      </c>
      <c r="KHT868" s="290" t="s">
        <v>280</v>
      </c>
      <c r="KHU868" s="290" t="s">
        <v>280</v>
      </c>
      <c r="KHV868" s="290" t="s">
        <v>280</v>
      </c>
      <c r="KHW868" s="290" t="s">
        <v>280</v>
      </c>
      <c r="KHX868" s="290" t="s">
        <v>280</v>
      </c>
      <c r="KHY868" s="290" t="s">
        <v>280</v>
      </c>
      <c r="KHZ868" s="290" t="s">
        <v>280</v>
      </c>
      <c r="KIA868" s="290" t="s">
        <v>280</v>
      </c>
      <c r="KIB868" s="290" t="s">
        <v>280</v>
      </c>
      <c r="KIC868" s="290" t="s">
        <v>280</v>
      </c>
      <c r="KID868" s="290" t="s">
        <v>280</v>
      </c>
      <c r="KIE868" s="290" t="s">
        <v>280</v>
      </c>
      <c r="KIF868" s="290" t="s">
        <v>280</v>
      </c>
      <c r="KIG868" s="290" t="s">
        <v>280</v>
      </c>
      <c r="KIH868" s="290" t="s">
        <v>280</v>
      </c>
      <c r="KII868" s="290" t="s">
        <v>280</v>
      </c>
      <c r="KIJ868" s="290" t="s">
        <v>280</v>
      </c>
      <c r="KIK868" s="290" t="s">
        <v>280</v>
      </c>
      <c r="KIL868" s="290" t="s">
        <v>280</v>
      </c>
      <c r="KIM868" s="290" t="s">
        <v>280</v>
      </c>
      <c r="KIN868" s="290" t="s">
        <v>280</v>
      </c>
      <c r="KIO868" s="290" t="s">
        <v>280</v>
      </c>
      <c r="KIP868" s="290" t="s">
        <v>280</v>
      </c>
      <c r="KIQ868" s="290" t="s">
        <v>280</v>
      </c>
      <c r="KIR868" s="290" t="s">
        <v>280</v>
      </c>
      <c r="KIS868" s="290" t="s">
        <v>280</v>
      </c>
      <c r="KIT868" s="290" t="s">
        <v>280</v>
      </c>
      <c r="KIU868" s="290" t="s">
        <v>280</v>
      </c>
      <c r="KIV868" s="290" t="s">
        <v>280</v>
      </c>
      <c r="KIW868" s="290" t="s">
        <v>280</v>
      </c>
      <c r="KIX868" s="290" t="s">
        <v>280</v>
      </c>
      <c r="KIY868" s="290" t="s">
        <v>280</v>
      </c>
      <c r="KIZ868" s="290" t="s">
        <v>280</v>
      </c>
      <c r="KJA868" s="290" t="s">
        <v>280</v>
      </c>
      <c r="KJB868" s="290" t="s">
        <v>280</v>
      </c>
      <c r="KJC868" s="290" t="s">
        <v>280</v>
      </c>
      <c r="KJD868" s="290" t="s">
        <v>280</v>
      </c>
      <c r="KJE868" s="290" t="s">
        <v>280</v>
      </c>
      <c r="KJF868" s="290" t="s">
        <v>280</v>
      </c>
      <c r="KJG868" s="290" t="s">
        <v>280</v>
      </c>
      <c r="KJH868" s="290" t="s">
        <v>280</v>
      </c>
      <c r="KJI868" s="290" t="s">
        <v>280</v>
      </c>
      <c r="KJJ868" s="290" t="s">
        <v>280</v>
      </c>
      <c r="KJK868" s="290" t="s">
        <v>280</v>
      </c>
      <c r="KJL868" s="290" t="s">
        <v>280</v>
      </c>
      <c r="KJM868" s="290" t="s">
        <v>280</v>
      </c>
      <c r="KJN868" s="290" t="s">
        <v>280</v>
      </c>
      <c r="KJO868" s="290" t="s">
        <v>280</v>
      </c>
      <c r="KJP868" s="290" t="s">
        <v>280</v>
      </c>
      <c r="KJQ868" s="290" t="s">
        <v>280</v>
      </c>
      <c r="KJR868" s="290" t="s">
        <v>280</v>
      </c>
      <c r="KJS868" s="290" t="s">
        <v>280</v>
      </c>
      <c r="KJT868" s="290" t="s">
        <v>280</v>
      </c>
      <c r="KJU868" s="290" t="s">
        <v>280</v>
      </c>
      <c r="KJV868" s="290" t="s">
        <v>280</v>
      </c>
      <c r="KJW868" s="290" t="s">
        <v>280</v>
      </c>
      <c r="KJX868" s="290" t="s">
        <v>280</v>
      </c>
      <c r="KJY868" s="290" t="s">
        <v>280</v>
      </c>
      <c r="KJZ868" s="290" t="s">
        <v>280</v>
      </c>
      <c r="KKA868" s="290" t="s">
        <v>280</v>
      </c>
      <c r="KKB868" s="290" t="s">
        <v>280</v>
      </c>
      <c r="KKC868" s="290" t="s">
        <v>280</v>
      </c>
      <c r="KKD868" s="290" t="s">
        <v>280</v>
      </c>
      <c r="KKE868" s="290" t="s">
        <v>280</v>
      </c>
      <c r="KKF868" s="290" t="s">
        <v>280</v>
      </c>
      <c r="KKG868" s="290" t="s">
        <v>280</v>
      </c>
      <c r="KKH868" s="290" t="s">
        <v>280</v>
      </c>
      <c r="KKI868" s="290" t="s">
        <v>280</v>
      </c>
      <c r="KKJ868" s="290" t="s">
        <v>280</v>
      </c>
      <c r="KKK868" s="290" t="s">
        <v>280</v>
      </c>
      <c r="KKL868" s="290" t="s">
        <v>280</v>
      </c>
      <c r="KKM868" s="290" t="s">
        <v>280</v>
      </c>
      <c r="KKN868" s="290" t="s">
        <v>280</v>
      </c>
      <c r="KKO868" s="290" t="s">
        <v>280</v>
      </c>
      <c r="KKP868" s="290" t="s">
        <v>280</v>
      </c>
      <c r="KKQ868" s="290" t="s">
        <v>280</v>
      </c>
      <c r="KKR868" s="290" t="s">
        <v>280</v>
      </c>
      <c r="KKS868" s="290" t="s">
        <v>280</v>
      </c>
      <c r="KKT868" s="290" t="s">
        <v>280</v>
      </c>
      <c r="KKU868" s="290" t="s">
        <v>280</v>
      </c>
      <c r="KKV868" s="290" t="s">
        <v>280</v>
      </c>
      <c r="KKW868" s="290" t="s">
        <v>280</v>
      </c>
      <c r="KKX868" s="290" t="s">
        <v>280</v>
      </c>
      <c r="KKY868" s="290" t="s">
        <v>280</v>
      </c>
      <c r="KKZ868" s="290" t="s">
        <v>280</v>
      </c>
      <c r="KLA868" s="290" t="s">
        <v>280</v>
      </c>
      <c r="KLB868" s="290" t="s">
        <v>280</v>
      </c>
      <c r="KLC868" s="290" t="s">
        <v>280</v>
      </c>
      <c r="KLD868" s="290" t="s">
        <v>280</v>
      </c>
      <c r="KLE868" s="290" t="s">
        <v>280</v>
      </c>
      <c r="KLF868" s="290" t="s">
        <v>280</v>
      </c>
      <c r="KLG868" s="290" t="s">
        <v>280</v>
      </c>
      <c r="KLH868" s="290" t="s">
        <v>280</v>
      </c>
      <c r="KLI868" s="290" t="s">
        <v>280</v>
      </c>
      <c r="KLJ868" s="290" t="s">
        <v>280</v>
      </c>
      <c r="KLK868" s="290" t="s">
        <v>280</v>
      </c>
      <c r="KLL868" s="290" t="s">
        <v>280</v>
      </c>
      <c r="KLM868" s="290" t="s">
        <v>280</v>
      </c>
      <c r="KLN868" s="290" t="s">
        <v>280</v>
      </c>
      <c r="KLO868" s="290" t="s">
        <v>280</v>
      </c>
      <c r="KLP868" s="290" t="s">
        <v>280</v>
      </c>
      <c r="KLQ868" s="290" t="s">
        <v>280</v>
      </c>
      <c r="KLR868" s="290" t="s">
        <v>280</v>
      </c>
      <c r="KLS868" s="290" t="s">
        <v>280</v>
      </c>
      <c r="KLT868" s="290" t="s">
        <v>280</v>
      </c>
      <c r="KLU868" s="290" t="s">
        <v>280</v>
      </c>
      <c r="KLV868" s="290" t="s">
        <v>280</v>
      </c>
      <c r="KLW868" s="290" t="s">
        <v>280</v>
      </c>
      <c r="KLX868" s="290" t="s">
        <v>280</v>
      </c>
      <c r="KLY868" s="290" t="s">
        <v>280</v>
      </c>
      <c r="KLZ868" s="290" t="s">
        <v>280</v>
      </c>
      <c r="KMA868" s="290" t="s">
        <v>280</v>
      </c>
      <c r="KMB868" s="290" t="s">
        <v>280</v>
      </c>
      <c r="KMC868" s="290" t="s">
        <v>280</v>
      </c>
      <c r="KMD868" s="290" t="s">
        <v>280</v>
      </c>
      <c r="KME868" s="290" t="s">
        <v>280</v>
      </c>
      <c r="KMF868" s="290" t="s">
        <v>280</v>
      </c>
      <c r="KMG868" s="290" t="s">
        <v>280</v>
      </c>
      <c r="KMH868" s="290" t="s">
        <v>280</v>
      </c>
      <c r="KMI868" s="290" t="s">
        <v>280</v>
      </c>
      <c r="KMJ868" s="290" t="s">
        <v>280</v>
      </c>
      <c r="KMK868" s="290" t="s">
        <v>280</v>
      </c>
      <c r="KML868" s="290" t="s">
        <v>280</v>
      </c>
      <c r="KMM868" s="290" t="s">
        <v>280</v>
      </c>
      <c r="KMN868" s="290" t="s">
        <v>280</v>
      </c>
      <c r="KMO868" s="290" t="s">
        <v>280</v>
      </c>
      <c r="KMP868" s="290" t="s">
        <v>280</v>
      </c>
      <c r="KMQ868" s="290" t="s">
        <v>280</v>
      </c>
      <c r="KMR868" s="290" t="s">
        <v>280</v>
      </c>
      <c r="KMS868" s="290" t="s">
        <v>280</v>
      </c>
      <c r="KMT868" s="290" t="s">
        <v>280</v>
      </c>
      <c r="KMU868" s="290" t="s">
        <v>280</v>
      </c>
      <c r="KMV868" s="290" t="s">
        <v>280</v>
      </c>
      <c r="KMW868" s="290" t="s">
        <v>280</v>
      </c>
      <c r="KMX868" s="290" t="s">
        <v>280</v>
      </c>
      <c r="KMY868" s="290" t="s">
        <v>280</v>
      </c>
      <c r="KMZ868" s="290" t="s">
        <v>280</v>
      </c>
      <c r="KNA868" s="290" t="s">
        <v>280</v>
      </c>
      <c r="KNB868" s="290" t="s">
        <v>280</v>
      </c>
      <c r="KNC868" s="290" t="s">
        <v>280</v>
      </c>
      <c r="KND868" s="290" t="s">
        <v>280</v>
      </c>
      <c r="KNE868" s="290" t="s">
        <v>280</v>
      </c>
      <c r="KNF868" s="290" t="s">
        <v>280</v>
      </c>
      <c r="KNG868" s="290" t="s">
        <v>280</v>
      </c>
      <c r="KNH868" s="290" t="s">
        <v>280</v>
      </c>
      <c r="KNI868" s="290" t="s">
        <v>280</v>
      </c>
      <c r="KNJ868" s="290" t="s">
        <v>280</v>
      </c>
      <c r="KNK868" s="290" t="s">
        <v>280</v>
      </c>
      <c r="KNL868" s="290" t="s">
        <v>280</v>
      </c>
      <c r="KNM868" s="290" t="s">
        <v>280</v>
      </c>
      <c r="KNN868" s="290" t="s">
        <v>280</v>
      </c>
      <c r="KNO868" s="290" t="s">
        <v>280</v>
      </c>
      <c r="KNP868" s="290" t="s">
        <v>280</v>
      </c>
      <c r="KNQ868" s="290" t="s">
        <v>280</v>
      </c>
      <c r="KNR868" s="290" t="s">
        <v>280</v>
      </c>
      <c r="KNS868" s="290" t="s">
        <v>280</v>
      </c>
      <c r="KNT868" s="290" t="s">
        <v>280</v>
      </c>
      <c r="KNU868" s="290" t="s">
        <v>280</v>
      </c>
      <c r="KNV868" s="290" t="s">
        <v>280</v>
      </c>
      <c r="KNW868" s="290" t="s">
        <v>280</v>
      </c>
      <c r="KNX868" s="290" t="s">
        <v>280</v>
      </c>
      <c r="KNY868" s="290" t="s">
        <v>280</v>
      </c>
      <c r="KNZ868" s="290" t="s">
        <v>280</v>
      </c>
      <c r="KOA868" s="290" t="s">
        <v>280</v>
      </c>
      <c r="KOB868" s="290" t="s">
        <v>280</v>
      </c>
      <c r="KOC868" s="290" t="s">
        <v>280</v>
      </c>
      <c r="KOD868" s="290" t="s">
        <v>280</v>
      </c>
      <c r="KOE868" s="290" t="s">
        <v>280</v>
      </c>
      <c r="KOF868" s="290" t="s">
        <v>280</v>
      </c>
      <c r="KOG868" s="290" t="s">
        <v>280</v>
      </c>
      <c r="KOH868" s="290" t="s">
        <v>280</v>
      </c>
      <c r="KOI868" s="290" t="s">
        <v>280</v>
      </c>
      <c r="KOJ868" s="290" t="s">
        <v>280</v>
      </c>
      <c r="KOK868" s="290" t="s">
        <v>280</v>
      </c>
      <c r="KOL868" s="290" t="s">
        <v>280</v>
      </c>
      <c r="KOM868" s="290" t="s">
        <v>280</v>
      </c>
      <c r="KON868" s="290" t="s">
        <v>280</v>
      </c>
      <c r="KOO868" s="290" t="s">
        <v>280</v>
      </c>
      <c r="KOP868" s="290" t="s">
        <v>280</v>
      </c>
      <c r="KOQ868" s="290" t="s">
        <v>280</v>
      </c>
      <c r="KOR868" s="290" t="s">
        <v>280</v>
      </c>
      <c r="KOS868" s="290" t="s">
        <v>280</v>
      </c>
      <c r="KOT868" s="290" t="s">
        <v>280</v>
      </c>
      <c r="KOU868" s="290" t="s">
        <v>280</v>
      </c>
      <c r="KOV868" s="290" t="s">
        <v>280</v>
      </c>
      <c r="KOW868" s="290" t="s">
        <v>280</v>
      </c>
      <c r="KOX868" s="290" t="s">
        <v>280</v>
      </c>
      <c r="KOY868" s="290" t="s">
        <v>280</v>
      </c>
      <c r="KOZ868" s="290" t="s">
        <v>280</v>
      </c>
      <c r="KPA868" s="290" t="s">
        <v>280</v>
      </c>
      <c r="KPB868" s="290" t="s">
        <v>280</v>
      </c>
      <c r="KPC868" s="290" t="s">
        <v>280</v>
      </c>
      <c r="KPD868" s="290" t="s">
        <v>280</v>
      </c>
      <c r="KPE868" s="290" t="s">
        <v>280</v>
      </c>
      <c r="KPF868" s="290" t="s">
        <v>280</v>
      </c>
      <c r="KPG868" s="290" t="s">
        <v>280</v>
      </c>
      <c r="KPH868" s="290" t="s">
        <v>280</v>
      </c>
      <c r="KPI868" s="290" t="s">
        <v>280</v>
      </c>
      <c r="KPJ868" s="290" t="s">
        <v>280</v>
      </c>
      <c r="KPK868" s="290" t="s">
        <v>280</v>
      </c>
      <c r="KPL868" s="290" t="s">
        <v>280</v>
      </c>
      <c r="KPM868" s="290" t="s">
        <v>280</v>
      </c>
      <c r="KPN868" s="290" t="s">
        <v>280</v>
      </c>
      <c r="KPO868" s="290" t="s">
        <v>280</v>
      </c>
      <c r="KPP868" s="290" t="s">
        <v>280</v>
      </c>
      <c r="KPQ868" s="290" t="s">
        <v>280</v>
      </c>
      <c r="KPR868" s="290" t="s">
        <v>280</v>
      </c>
      <c r="KPS868" s="290" t="s">
        <v>280</v>
      </c>
      <c r="KPT868" s="290" t="s">
        <v>280</v>
      </c>
      <c r="KPU868" s="290" t="s">
        <v>280</v>
      </c>
      <c r="KPV868" s="290" t="s">
        <v>280</v>
      </c>
      <c r="KPW868" s="290" t="s">
        <v>280</v>
      </c>
      <c r="KPX868" s="290" t="s">
        <v>280</v>
      </c>
      <c r="KPY868" s="290" t="s">
        <v>280</v>
      </c>
      <c r="KPZ868" s="290" t="s">
        <v>280</v>
      </c>
      <c r="KQA868" s="290" t="s">
        <v>280</v>
      </c>
      <c r="KQB868" s="290" t="s">
        <v>280</v>
      </c>
      <c r="KQC868" s="290" t="s">
        <v>280</v>
      </c>
      <c r="KQD868" s="290" t="s">
        <v>280</v>
      </c>
      <c r="KQE868" s="290" t="s">
        <v>280</v>
      </c>
      <c r="KQF868" s="290" t="s">
        <v>280</v>
      </c>
      <c r="KQG868" s="290" t="s">
        <v>280</v>
      </c>
      <c r="KQH868" s="290" t="s">
        <v>280</v>
      </c>
      <c r="KQI868" s="290" t="s">
        <v>280</v>
      </c>
      <c r="KQJ868" s="290" t="s">
        <v>280</v>
      </c>
      <c r="KQK868" s="290" t="s">
        <v>280</v>
      </c>
      <c r="KQL868" s="290" t="s">
        <v>280</v>
      </c>
      <c r="KQM868" s="290" t="s">
        <v>280</v>
      </c>
      <c r="KQN868" s="290" t="s">
        <v>280</v>
      </c>
      <c r="KQO868" s="290" t="s">
        <v>280</v>
      </c>
      <c r="KQP868" s="290" t="s">
        <v>280</v>
      </c>
      <c r="KQQ868" s="290" t="s">
        <v>280</v>
      </c>
      <c r="KQR868" s="290" t="s">
        <v>280</v>
      </c>
      <c r="KQS868" s="290" t="s">
        <v>280</v>
      </c>
      <c r="KQT868" s="290" t="s">
        <v>280</v>
      </c>
      <c r="KQU868" s="290" t="s">
        <v>280</v>
      </c>
      <c r="KQV868" s="290" t="s">
        <v>280</v>
      </c>
      <c r="KQW868" s="290" t="s">
        <v>280</v>
      </c>
      <c r="KQX868" s="290" t="s">
        <v>280</v>
      </c>
      <c r="KQY868" s="290" t="s">
        <v>280</v>
      </c>
      <c r="KQZ868" s="290" t="s">
        <v>280</v>
      </c>
      <c r="KRA868" s="290" t="s">
        <v>280</v>
      </c>
      <c r="KRB868" s="290" t="s">
        <v>280</v>
      </c>
      <c r="KRC868" s="290" t="s">
        <v>280</v>
      </c>
      <c r="KRD868" s="290" t="s">
        <v>280</v>
      </c>
      <c r="KRE868" s="290" t="s">
        <v>280</v>
      </c>
      <c r="KRF868" s="290" t="s">
        <v>280</v>
      </c>
      <c r="KRG868" s="290" t="s">
        <v>280</v>
      </c>
      <c r="KRH868" s="290" t="s">
        <v>280</v>
      </c>
      <c r="KRI868" s="290" t="s">
        <v>280</v>
      </c>
      <c r="KRJ868" s="290" t="s">
        <v>280</v>
      </c>
      <c r="KRK868" s="290" t="s">
        <v>280</v>
      </c>
      <c r="KRL868" s="290" t="s">
        <v>280</v>
      </c>
      <c r="KRM868" s="290" t="s">
        <v>280</v>
      </c>
      <c r="KRN868" s="290" t="s">
        <v>280</v>
      </c>
      <c r="KRO868" s="290" t="s">
        <v>280</v>
      </c>
      <c r="KRP868" s="290" t="s">
        <v>280</v>
      </c>
      <c r="KRQ868" s="290" t="s">
        <v>280</v>
      </c>
      <c r="KRR868" s="290" t="s">
        <v>280</v>
      </c>
      <c r="KRS868" s="290" t="s">
        <v>280</v>
      </c>
      <c r="KRT868" s="290" t="s">
        <v>280</v>
      </c>
      <c r="KRU868" s="290" t="s">
        <v>280</v>
      </c>
      <c r="KRV868" s="290" t="s">
        <v>280</v>
      </c>
      <c r="KRW868" s="290" t="s">
        <v>280</v>
      </c>
      <c r="KRX868" s="290" t="s">
        <v>280</v>
      </c>
      <c r="KRY868" s="290" t="s">
        <v>280</v>
      </c>
      <c r="KRZ868" s="290" t="s">
        <v>280</v>
      </c>
      <c r="KSA868" s="290" t="s">
        <v>280</v>
      </c>
      <c r="KSB868" s="290" t="s">
        <v>280</v>
      </c>
      <c r="KSC868" s="290" t="s">
        <v>280</v>
      </c>
      <c r="KSD868" s="290" t="s">
        <v>280</v>
      </c>
      <c r="KSE868" s="290" t="s">
        <v>280</v>
      </c>
      <c r="KSF868" s="290" t="s">
        <v>280</v>
      </c>
      <c r="KSG868" s="290" t="s">
        <v>280</v>
      </c>
      <c r="KSH868" s="290" t="s">
        <v>280</v>
      </c>
      <c r="KSI868" s="290" t="s">
        <v>280</v>
      </c>
      <c r="KSJ868" s="290" t="s">
        <v>280</v>
      </c>
      <c r="KSK868" s="290" t="s">
        <v>280</v>
      </c>
      <c r="KSL868" s="290" t="s">
        <v>280</v>
      </c>
      <c r="KSM868" s="290" t="s">
        <v>280</v>
      </c>
      <c r="KSN868" s="290" t="s">
        <v>280</v>
      </c>
      <c r="KSO868" s="290" t="s">
        <v>280</v>
      </c>
      <c r="KSP868" s="290" t="s">
        <v>280</v>
      </c>
      <c r="KSQ868" s="290" t="s">
        <v>280</v>
      </c>
      <c r="KSR868" s="290" t="s">
        <v>280</v>
      </c>
      <c r="KSS868" s="290" t="s">
        <v>280</v>
      </c>
      <c r="KST868" s="290" t="s">
        <v>280</v>
      </c>
      <c r="KSU868" s="290" t="s">
        <v>280</v>
      </c>
      <c r="KSV868" s="290" t="s">
        <v>280</v>
      </c>
      <c r="KSW868" s="290" t="s">
        <v>280</v>
      </c>
      <c r="KSX868" s="290" t="s">
        <v>280</v>
      </c>
      <c r="KSY868" s="290" t="s">
        <v>280</v>
      </c>
      <c r="KSZ868" s="290" t="s">
        <v>280</v>
      </c>
      <c r="KTA868" s="290" t="s">
        <v>280</v>
      </c>
      <c r="KTB868" s="290" t="s">
        <v>280</v>
      </c>
      <c r="KTC868" s="290" t="s">
        <v>280</v>
      </c>
      <c r="KTD868" s="290" t="s">
        <v>280</v>
      </c>
      <c r="KTE868" s="290" t="s">
        <v>280</v>
      </c>
      <c r="KTF868" s="290" t="s">
        <v>280</v>
      </c>
      <c r="KTG868" s="290" t="s">
        <v>280</v>
      </c>
      <c r="KTH868" s="290" t="s">
        <v>280</v>
      </c>
      <c r="KTI868" s="290" t="s">
        <v>280</v>
      </c>
      <c r="KTJ868" s="290" t="s">
        <v>280</v>
      </c>
      <c r="KTK868" s="290" t="s">
        <v>280</v>
      </c>
      <c r="KTL868" s="290" t="s">
        <v>280</v>
      </c>
      <c r="KTM868" s="290" t="s">
        <v>280</v>
      </c>
      <c r="KTN868" s="290" t="s">
        <v>280</v>
      </c>
      <c r="KTO868" s="290" t="s">
        <v>280</v>
      </c>
      <c r="KTP868" s="290" t="s">
        <v>280</v>
      </c>
      <c r="KTQ868" s="290" t="s">
        <v>280</v>
      </c>
      <c r="KTR868" s="290" t="s">
        <v>280</v>
      </c>
      <c r="KTS868" s="290" t="s">
        <v>280</v>
      </c>
      <c r="KTT868" s="290" t="s">
        <v>280</v>
      </c>
      <c r="KTU868" s="290" t="s">
        <v>280</v>
      </c>
      <c r="KTV868" s="290" t="s">
        <v>280</v>
      </c>
      <c r="KTW868" s="290" t="s">
        <v>280</v>
      </c>
      <c r="KTX868" s="290" t="s">
        <v>280</v>
      </c>
      <c r="KTY868" s="290" t="s">
        <v>280</v>
      </c>
      <c r="KTZ868" s="290" t="s">
        <v>280</v>
      </c>
      <c r="KUA868" s="290" t="s">
        <v>280</v>
      </c>
      <c r="KUB868" s="290" t="s">
        <v>280</v>
      </c>
      <c r="KUC868" s="290" t="s">
        <v>280</v>
      </c>
      <c r="KUD868" s="290" t="s">
        <v>280</v>
      </c>
      <c r="KUE868" s="290" t="s">
        <v>280</v>
      </c>
      <c r="KUF868" s="290" t="s">
        <v>280</v>
      </c>
      <c r="KUG868" s="290" t="s">
        <v>280</v>
      </c>
      <c r="KUH868" s="290" t="s">
        <v>280</v>
      </c>
      <c r="KUI868" s="290" t="s">
        <v>280</v>
      </c>
      <c r="KUJ868" s="290" t="s">
        <v>280</v>
      </c>
      <c r="KUK868" s="290" t="s">
        <v>280</v>
      </c>
      <c r="KUL868" s="290" t="s">
        <v>280</v>
      </c>
      <c r="KUM868" s="290" t="s">
        <v>280</v>
      </c>
      <c r="KUN868" s="290" t="s">
        <v>280</v>
      </c>
      <c r="KUO868" s="290" t="s">
        <v>280</v>
      </c>
      <c r="KUP868" s="290" t="s">
        <v>280</v>
      </c>
      <c r="KUQ868" s="290" t="s">
        <v>280</v>
      </c>
      <c r="KUR868" s="290" t="s">
        <v>280</v>
      </c>
      <c r="KUS868" s="290" t="s">
        <v>280</v>
      </c>
      <c r="KUT868" s="290" t="s">
        <v>280</v>
      </c>
      <c r="KUU868" s="290" t="s">
        <v>280</v>
      </c>
      <c r="KUV868" s="290" t="s">
        <v>280</v>
      </c>
      <c r="KUW868" s="290" t="s">
        <v>280</v>
      </c>
      <c r="KUX868" s="290" t="s">
        <v>280</v>
      </c>
      <c r="KUY868" s="290" t="s">
        <v>280</v>
      </c>
      <c r="KUZ868" s="290" t="s">
        <v>280</v>
      </c>
      <c r="KVA868" s="290" t="s">
        <v>280</v>
      </c>
      <c r="KVB868" s="290" t="s">
        <v>280</v>
      </c>
      <c r="KVC868" s="290" t="s">
        <v>280</v>
      </c>
      <c r="KVD868" s="290" t="s">
        <v>280</v>
      </c>
      <c r="KVE868" s="290" t="s">
        <v>280</v>
      </c>
      <c r="KVF868" s="290" t="s">
        <v>280</v>
      </c>
      <c r="KVG868" s="290" t="s">
        <v>280</v>
      </c>
      <c r="KVH868" s="290" t="s">
        <v>280</v>
      </c>
      <c r="KVI868" s="290" t="s">
        <v>280</v>
      </c>
      <c r="KVJ868" s="290" t="s">
        <v>280</v>
      </c>
      <c r="KVK868" s="290" t="s">
        <v>280</v>
      </c>
      <c r="KVL868" s="290" t="s">
        <v>280</v>
      </c>
      <c r="KVM868" s="290" t="s">
        <v>280</v>
      </c>
      <c r="KVN868" s="290" t="s">
        <v>280</v>
      </c>
      <c r="KVO868" s="290" t="s">
        <v>280</v>
      </c>
      <c r="KVP868" s="290" t="s">
        <v>280</v>
      </c>
      <c r="KVQ868" s="290" t="s">
        <v>280</v>
      </c>
      <c r="KVR868" s="290" t="s">
        <v>280</v>
      </c>
      <c r="KVS868" s="290" t="s">
        <v>280</v>
      </c>
      <c r="KVT868" s="290" t="s">
        <v>280</v>
      </c>
      <c r="KVU868" s="290" t="s">
        <v>280</v>
      </c>
      <c r="KVV868" s="290" t="s">
        <v>280</v>
      </c>
      <c r="KVW868" s="290" t="s">
        <v>280</v>
      </c>
      <c r="KVX868" s="290" t="s">
        <v>280</v>
      </c>
      <c r="KVY868" s="290" t="s">
        <v>280</v>
      </c>
      <c r="KVZ868" s="290" t="s">
        <v>280</v>
      </c>
      <c r="KWA868" s="290" t="s">
        <v>280</v>
      </c>
      <c r="KWB868" s="290" t="s">
        <v>280</v>
      </c>
      <c r="KWC868" s="290" t="s">
        <v>280</v>
      </c>
      <c r="KWD868" s="290" t="s">
        <v>280</v>
      </c>
      <c r="KWE868" s="290" t="s">
        <v>280</v>
      </c>
      <c r="KWF868" s="290" t="s">
        <v>280</v>
      </c>
      <c r="KWG868" s="290" t="s">
        <v>280</v>
      </c>
      <c r="KWH868" s="290" t="s">
        <v>280</v>
      </c>
      <c r="KWI868" s="290" t="s">
        <v>280</v>
      </c>
      <c r="KWJ868" s="290" t="s">
        <v>280</v>
      </c>
      <c r="KWK868" s="290" t="s">
        <v>280</v>
      </c>
      <c r="KWL868" s="290" t="s">
        <v>280</v>
      </c>
      <c r="KWM868" s="290" t="s">
        <v>280</v>
      </c>
      <c r="KWN868" s="290" t="s">
        <v>280</v>
      </c>
      <c r="KWO868" s="290" t="s">
        <v>280</v>
      </c>
      <c r="KWP868" s="290" t="s">
        <v>280</v>
      </c>
      <c r="KWQ868" s="290" t="s">
        <v>280</v>
      </c>
      <c r="KWR868" s="290" t="s">
        <v>280</v>
      </c>
      <c r="KWS868" s="290" t="s">
        <v>280</v>
      </c>
      <c r="KWT868" s="290" t="s">
        <v>280</v>
      </c>
      <c r="KWU868" s="290" t="s">
        <v>280</v>
      </c>
      <c r="KWV868" s="290" t="s">
        <v>280</v>
      </c>
      <c r="KWW868" s="290" t="s">
        <v>280</v>
      </c>
      <c r="KWX868" s="290" t="s">
        <v>280</v>
      </c>
      <c r="KWY868" s="290" t="s">
        <v>280</v>
      </c>
      <c r="KWZ868" s="290" t="s">
        <v>280</v>
      </c>
      <c r="KXA868" s="290" t="s">
        <v>280</v>
      </c>
      <c r="KXB868" s="290" t="s">
        <v>280</v>
      </c>
      <c r="KXC868" s="290" t="s">
        <v>280</v>
      </c>
      <c r="KXD868" s="290" t="s">
        <v>280</v>
      </c>
      <c r="KXE868" s="290" t="s">
        <v>280</v>
      </c>
      <c r="KXF868" s="290" t="s">
        <v>280</v>
      </c>
      <c r="KXG868" s="290" t="s">
        <v>280</v>
      </c>
      <c r="KXH868" s="290" t="s">
        <v>280</v>
      </c>
      <c r="KXI868" s="290" t="s">
        <v>280</v>
      </c>
      <c r="KXJ868" s="290" t="s">
        <v>280</v>
      </c>
      <c r="KXK868" s="290" t="s">
        <v>280</v>
      </c>
      <c r="KXL868" s="290" t="s">
        <v>280</v>
      </c>
      <c r="KXM868" s="290" t="s">
        <v>280</v>
      </c>
      <c r="KXN868" s="290" t="s">
        <v>280</v>
      </c>
      <c r="KXO868" s="290" t="s">
        <v>280</v>
      </c>
      <c r="KXP868" s="290" t="s">
        <v>280</v>
      </c>
      <c r="KXQ868" s="290" t="s">
        <v>280</v>
      </c>
      <c r="KXR868" s="290" t="s">
        <v>280</v>
      </c>
      <c r="KXS868" s="290" t="s">
        <v>280</v>
      </c>
      <c r="KXT868" s="290" t="s">
        <v>280</v>
      </c>
      <c r="KXU868" s="290" t="s">
        <v>280</v>
      </c>
      <c r="KXV868" s="290" t="s">
        <v>280</v>
      </c>
      <c r="KXW868" s="290" t="s">
        <v>280</v>
      </c>
      <c r="KXX868" s="290" t="s">
        <v>280</v>
      </c>
      <c r="KXY868" s="290" t="s">
        <v>280</v>
      </c>
      <c r="KXZ868" s="290" t="s">
        <v>280</v>
      </c>
      <c r="KYA868" s="290" t="s">
        <v>280</v>
      </c>
      <c r="KYB868" s="290" t="s">
        <v>280</v>
      </c>
      <c r="KYC868" s="290" t="s">
        <v>280</v>
      </c>
      <c r="KYD868" s="290" t="s">
        <v>280</v>
      </c>
      <c r="KYE868" s="290" t="s">
        <v>280</v>
      </c>
      <c r="KYF868" s="290" t="s">
        <v>280</v>
      </c>
      <c r="KYG868" s="290" t="s">
        <v>280</v>
      </c>
      <c r="KYH868" s="290" t="s">
        <v>280</v>
      </c>
      <c r="KYI868" s="290" t="s">
        <v>280</v>
      </c>
      <c r="KYJ868" s="290" t="s">
        <v>280</v>
      </c>
      <c r="KYK868" s="290" t="s">
        <v>280</v>
      </c>
      <c r="KYL868" s="290" t="s">
        <v>280</v>
      </c>
      <c r="KYM868" s="290" t="s">
        <v>280</v>
      </c>
      <c r="KYN868" s="290" t="s">
        <v>280</v>
      </c>
      <c r="KYO868" s="290" t="s">
        <v>280</v>
      </c>
      <c r="KYP868" s="290" t="s">
        <v>280</v>
      </c>
      <c r="KYQ868" s="290" t="s">
        <v>280</v>
      </c>
      <c r="KYR868" s="290" t="s">
        <v>280</v>
      </c>
      <c r="KYS868" s="290" t="s">
        <v>280</v>
      </c>
      <c r="KYT868" s="290" t="s">
        <v>280</v>
      </c>
      <c r="KYU868" s="290" t="s">
        <v>280</v>
      </c>
      <c r="KYV868" s="290" t="s">
        <v>280</v>
      </c>
      <c r="KYW868" s="290" t="s">
        <v>280</v>
      </c>
      <c r="KYX868" s="290" t="s">
        <v>280</v>
      </c>
      <c r="KYY868" s="290" t="s">
        <v>280</v>
      </c>
      <c r="KYZ868" s="290" t="s">
        <v>280</v>
      </c>
      <c r="KZA868" s="290" t="s">
        <v>280</v>
      </c>
      <c r="KZB868" s="290" t="s">
        <v>280</v>
      </c>
      <c r="KZC868" s="290" t="s">
        <v>280</v>
      </c>
      <c r="KZD868" s="290" t="s">
        <v>280</v>
      </c>
      <c r="KZE868" s="290" t="s">
        <v>280</v>
      </c>
      <c r="KZF868" s="290" t="s">
        <v>280</v>
      </c>
      <c r="KZG868" s="290" t="s">
        <v>280</v>
      </c>
      <c r="KZH868" s="290" t="s">
        <v>280</v>
      </c>
      <c r="KZI868" s="290" t="s">
        <v>280</v>
      </c>
      <c r="KZJ868" s="290" t="s">
        <v>280</v>
      </c>
      <c r="KZK868" s="290" t="s">
        <v>280</v>
      </c>
      <c r="KZL868" s="290" t="s">
        <v>280</v>
      </c>
      <c r="KZM868" s="290" t="s">
        <v>280</v>
      </c>
      <c r="KZN868" s="290" t="s">
        <v>280</v>
      </c>
      <c r="KZO868" s="290" t="s">
        <v>280</v>
      </c>
      <c r="KZP868" s="290" t="s">
        <v>280</v>
      </c>
      <c r="KZQ868" s="290" t="s">
        <v>280</v>
      </c>
      <c r="KZR868" s="290" t="s">
        <v>280</v>
      </c>
      <c r="KZS868" s="290" t="s">
        <v>280</v>
      </c>
      <c r="KZT868" s="290" t="s">
        <v>280</v>
      </c>
      <c r="KZU868" s="290" t="s">
        <v>280</v>
      </c>
      <c r="KZV868" s="290" t="s">
        <v>280</v>
      </c>
      <c r="KZW868" s="290" t="s">
        <v>280</v>
      </c>
      <c r="KZX868" s="290" t="s">
        <v>280</v>
      </c>
      <c r="KZY868" s="290" t="s">
        <v>280</v>
      </c>
      <c r="KZZ868" s="290" t="s">
        <v>280</v>
      </c>
      <c r="LAA868" s="290" t="s">
        <v>280</v>
      </c>
      <c r="LAB868" s="290" t="s">
        <v>280</v>
      </c>
      <c r="LAC868" s="290" t="s">
        <v>280</v>
      </c>
      <c r="LAD868" s="290" t="s">
        <v>280</v>
      </c>
      <c r="LAE868" s="290" t="s">
        <v>280</v>
      </c>
      <c r="LAF868" s="290" t="s">
        <v>280</v>
      </c>
      <c r="LAG868" s="290" t="s">
        <v>280</v>
      </c>
      <c r="LAH868" s="290" t="s">
        <v>280</v>
      </c>
      <c r="LAI868" s="290" t="s">
        <v>280</v>
      </c>
      <c r="LAJ868" s="290" t="s">
        <v>280</v>
      </c>
      <c r="LAK868" s="290" t="s">
        <v>280</v>
      </c>
      <c r="LAL868" s="290" t="s">
        <v>280</v>
      </c>
      <c r="LAM868" s="290" t="s">
        <v>280</v>
      </c>
      <c r="LAN868" s="290" t="s">
        <v>280</v>
      </c>
      <c r="LAO868" s="290" t="s">
        <v>280</v>
      </c>
      <c r="LAP868" s="290" t="s">
        <v>280</v>
      </c>
      <c r="LAQ868" s="290" t="s">
        <v>280</v>
      </c>
      <c r="LAR868" s="290" t="s">
        <v>280</v>
      </c>
      <c r="LAS868" s="290" t="s">
        <v>280</v>
      </c>
      <c r="LAT868" s="290" t="s">
        <v>280</v>
      </c>
      <c r="LAU868" s="290" t="s">
        <v>280</v>
      </c>
      <c r="LAV868" s="290" t="s">
        <v>280</v>
      </c>
      <c r="LAW868" s="290" t="s">
        <v>280</v>
      </c>
      <c r="LAX868" s="290" t="s">
        <v>280</v>
      </c>
      <c r="LAY868" s="290" t="s">
        <v>280</v>
      </c>
      <c r="LAZ868" s="290" t="s">
        <v>280</v>
      </c>
      <c r="LBA868" s="290" t="s">
        <v>280</v>
      </c>
      <c r="LBB868" s="290" t="s">
        <v>280</v>
      </c>
      <c r="LBC868" s="290" t="s">
        <v>280</v>
      </c>
      <c r="LBD868" s="290" t="s">
        <v>280</v>
      </c>
      <c r="LBE868" s="290" t="s">
        <v>280</v>
      </c>
      <c r="LBF868" s="290" t="s">
        <v>280</v>
      </c>
      <c r="LBG868" s="290" t="s">
        <v>280</v>
      </c>
      <c r="LBH868" s="290" t="s">
        <v>280</v>
      </c>
      <c r="LBI868" s="290" t="s">
        <v>280</v>
      </c>
      <c r="LBJ868" s="290" t="s">
        <v>280</v>
      </c>
      <c r="LBK868" s="290" t="s">
        <v>280</v>
      </c>
      <c r="LBL868" s="290" t="s">
        <v>280</v>
      </c>
      <c r="LBM868" s="290" t="s">
        <v>280</v>
      </c>
      <c r="LBN868" s="290" t="s">
        <v>280</v>
      </c>
      <c r="LBO868" s="290" t="s">
        <v>280</v>
      </c>
      <c r="LBP868" s="290" t="s">
        <v>280</v>
      </c>
      <c r="LBQ868" s="290" t="s">
        <v>280</v>
      </c>
      <c r="LBR868" s="290" t="s">
        <v>280</v>
      </c>
      <c r="LBS868" s="290" t="s">
        <v>280</v>
      </c>
      <c r="LBT868" s="290" t="s">
        <v>280</v>
      </c>
      <c r="LBU868" s="290" t="s">
        <v>280</v>
      </c>
      <c r="LBV868" s="290" t="s">
        <v>280</v>
      </c>
      <c r="LBW868" s="290" t="s">
        <v>280</v>
      </c>
      <c r="LBX868" s="290" t="s">
        <v>280</v>
      </c>
      <c r="LBY868" s="290" t="s">
        <v>280</v>
      </c>
      <c r="LBZ868" s="290" t="s">
        <v>280</v>
      </c>
      <c r="LCA868" s="290" t="s">
        <v>280</v>
      </c>
      <c r="LCB868" s="290" t="s">
        <v>280</v>
      </c>
      <c r="LCC868" s="290" t="s">
        <v>280</v>
      </c>
      <c r="LCD868" s="290" t="s">
        <v>280</v>
      </c>
      <c r="LCE868" s="290" t="s">
        <v>280</v>
      </c>
      <c r="LCF868" s="290" t="s">
        <v>280</v>
      </c>
      <c r="LCG868" s="290" t="s">
        <v>280</v>
      </c>
      <c r="LCH868" s="290" t="s">
        <v>280</v>
      </c>
      <c r="LCI868" s="290" t="s">
        <v>280</v>
      </c>
      <c r="LCJ868" s="290" t="s">
        <v>280</v>
      </c>
      <c r="LCK868" s="290" t="s">
        <v>280</v>
      </c>
      <c r="LCL868" s="290" t="s">
        <v>280</v>
      </c>
      <c r="LCM868" s="290" t="s">
        <v>280</v>
      </c>
      <c r="LCN868" s="290" t="s">
        <v>280</v>
      </c>
      <c r="LCO868" s="290" t="s">
        <v>280</v>
      </c>
      <c r="LCP868" s="290" t="s">
        <v>280</v>
      </c>
      <c r="LCQ868" s="290" t="s">
        <v>280</v>
      </c>
      <c r="LCR868" s="290" t="s">
        <v>280</v>
      </c>
      <c r="LCS868" s="290" t="s">
        <v>280</v>
      </c>
      <c r="LCT868" s="290" t="s">
        <v>280</v>
      </c>
      <c r="LCU868" s="290" t="s">
        <v>280</v>
      </c>
      <c r="LCV868" s="290" t="s">
        <v>280</v>
      </c>
      <c r="LCW868" s="290" t="s">
        <v>280</v>
      </c>
      <c r="LCX868" s="290" t="s">
        <v>280</v>
      </c>
      <c r="LCY868" s="290" t="s">
        <v>280</v>
      </c>
      <c r="LCZ868" s="290" t="s">
        <v>280</v>
      </c>
      <c r="LDA868" s="290" t="s">
        <v>280</v>
      </c>
      <c r="LDB868" s="290" t="s">
        <v>280</v>
      </c>
      <c r="LDC868" s="290" t="s">
        <v>280</v>
      </c>
      <c r="LDD868" s="290" t="s">
        <v>280</v>
      </c>
      <c r="LDE868" s="290" t="s">
        <v>280</v>
      </c>
      <c r="LDF868" s="290" t="s">
        <v>280</v>
      </c>
      <c r="LDG868" s="290" t="s">
        <v>280</v>
      </c>
      <c r="LDH868" s="290" t="s">
        <v>280</v>
      </c>
      <c r="LDI868" s="290" t="s">
        <v>280</v>
      </c>
      <c r="LDJ868" s="290" t="s">
        <v>280</v>
      </c>
      <c r="LDK868" s="290" t="s">
        <v>280</v>
      </c>
      <c r="LDL868" s="290" t="s">
        <v>280</v>
      </c>
      <c r="LDM868" s="290" t="s">
        <v>280</v>
      </c>
      <c r="LDN868" s="290" t="s">
        <v>280</v>
      </c>
      <c r="LDO868" s="290" t="s">
        <v>280</v>
      </c>
      <c r="LDP868" s="290" t="s">
        <v>280</v>
      </c>
      <c r="LDQ868" s="290" t="s">
        <v>280</v>
      </c>
      <c r="LDR868" s="290" t="s">
        <v>280</v>
      </c>
      <c r="LDS868" s="290" t="s">
        <v>280</v>
      </c>
      <c r="LDT868" s="290" t="s">
        <v>280</v>
      </c>
      <c r="LDU868" s="290" t="s">
        <v>280</v>
      </c>
      <c r="LDV868" s="290" t="s">
        <v>280</v>
      </c>
      <c r="LDW868" s="290" t="s">
        <v>280</v>
      </c>
      <c r="LDX868" s="290" t="s">
        <v>280</v>
      </c>
      <c r="LDY868" s="290" t="s">
        <v>280</v>
      </c>
      <c r="LDZ868" s="290" t="s">
        <v>280</v>
      </c>
      <c r="LEA868" s="290" t="s">
        <v>280</v>
      </c>
      <c r="LEB868" s="290" t="s">
        <v>280</v>
      </c>
      <c r="LEC868" s="290" t="s">
        <v>280</v>
      </c>
      <c r="LED868" s="290" t="s">
        <v>280</v>
      </c>
      <c r="LEE868" s="290" t="s">
        <v>280</v>
      </c>
      <c r="LEF868" s="290" t="s">
        <v>280</v>
      </c>
      <c r="LEG868" s="290" t="s">
        <v>280</v>
      </c>
      <c r="LEH868" s="290" t="s">
        <v>280</v>
      </c>
      <c r="LEI868" s="290" t="s">
        <v>280</v>
      </c>
      <c r="LEJ868" s="290" t="s">
        <v>280</v>
      </c>
      <c r="LEK868" s="290" t="s">
        <v>280</v>
      </c>
      <c r="LEL868" s="290" t="s">
        <v>280</v>
      </c>
      <c r="LEM868" s="290" t="s">
        <v>280</v>
      </c>
      <c r="LEN868" s="290" t="s">
        <v>280</v>
      </c>
      <c r="LEO868" s="290" t="s">
        <v>280</v>
      </c>
      <c r="LEP868" s="290" t="s">
        <v>280</v>
      </c>
      <c r="LEQ868" s="290" t="s">
        <v>280</v>
      </c>
      <c r="LER868" s="290" t="s">
        <v>280</v>
      </c>
      <c r="LES868" s="290" t="s">
        <v>280</v>
      </c>
      <c r="LET868" s="290" t="s">
        <v>280</v>
      </c>
      <c r="LEU868" s="290" t="s">
        <v>280</v>
      </c>
      <c r="LEV868" s="290" t="s">
        <v>280</v>
      </c>
      <c r="LEW868" s="290" t="s">
        <v>280</v>
      </c>
      <c r="LEX868" s="290" t="s">
        <v>280</v>
      </c>
      <c r="LEY868" s="290" t="s">
        <v>280</v>
      </c>
      <c r="LEZ868" s="290" t="s">
        <v>280</v>
      </c>
      <c r="LFA868" s="290" t="s">
        <v>280</v>
      </c>
      <c r="LFB868" s="290" t="s">
        <v>280</v>
      </c>
      <c r="LFC868" s="290" t="s">
        <v>280</v>
      </c>
      <c r="LFD868" s="290" t="s">
        <v>280</v>
      </c>
      <c r="LFE868" s="290" t="s">
        <v>280</v>
      </c>
      <c r="LFF868" s="290" t="s">
        <v>280</v>
      </c>
      <c r="LFG868" s="290" t="s">
        <v>280</v>
      </c>
      <c r="LFH868" s="290" t="s">
        <v>280</v>
      </c>
      <c r="LFI868" s="290" t="s">
        <v>280</v>
      </c>
      <c r="LFJ868" s="290" t="s">
        <v>280</v>
      </c>
      <c r="LFK868" s="290" t="s">
        <v>280</v>
      </c>
      <c r="LFL868" s="290" t="s">
        <v>280</v>
      </c>
      <c r="LFM868" s="290" t="s">
        <v>280</v>
      </c>
      <c r="LFN868" s="290" t="s">
        <v>280</v>
      </c>
      <c r="LFO868" s="290" t="s">
        <v>280</v>
      </c>
      <c r="LFP868" s="290" t="s">
        <v>280</v>
      </c>
      <c r="LFQ868" s="290" t="s">
        <v>280</v>
      </c>
      <c r="LFR868" s="290" t="s">
        <v>280</v>
      </c>
      <c r="LFS868" s="290" t="s">
        <v>280</v>
      </c>
      <c r="LFT868" s="290" t="s">
        <v>280</v>
      </c>
      <c r="LFU868" s="290" t="s">
        <v>280</v>
      </c>
      <c r="LFV868" s="290" t="s">
        <v>280</v>
      </c>
      <c r="LFW868" s="290" t="s">
        <v>280</v>
      </c>
      <c r="LFX868" s="290" t="s">
        <v>280</v>
      </c>
      <c r="LFY868" s="290" t="s">
        <v>280</v>
      </c>
      <c r="LFZ868" s="290" t="s">
        <v>280</v>
      </c>
      <c r="LGA868" s="290" t="s">
        <v>280</v>
      </c>
      <c r="LGB868" s="290" t="s">
        <v>280</v>
      </c>
      <c r="LGC868" s="290" t="s">
        <v>280</v>
      </c>
      <c r="LGD868" s="290" t="s">
        <v>280</v>
      </c>
      <c r="LGE868" s="290" t="s">
        <v>280</v>
      </c>
      <c r="LGF868" s="290" t="s">
        <v>280</v>
      </c>
      <c r="LGG868" s="290" t="s">
        <v>280</v>
      </c>
      <c r="LGH868" s="290" t="s">
        <v>280</v>
      </c>
      <c r="LGI868" s="290" t="s">
        <v>280</v>
      </c>
      <c r="LGJ868" s="290" t="s">
        <v>280</v>
      </c>
      <c r="LGK868" s="290" t="s">
        <v>280</v>
      </c>
      <c r="LGL868" s="290" t="s">
        <v>280</v>
      </c>
      <c r="LGM868" s="290" t="s">
        <v>280</v>
      </c>
      <c r="LGN868" s="290" t="s">
        <v>280</v>
      </c>
      <c r="LGO868" s="290" t="s">
        <v>280</v>
      </c>
      <c r="LGP868" s="290" t="s">
        <v>280</v>
      </c>
      <c r="LGQ868" s="290" t="s">
        <v>280</v>
      </c>
      <c r="LGR868" s="290" t="s">
        <v>280</v>
      </c>
      <c r="LGS868" s="290" t="s">
        <v>280</v>
      </c>
      <c r="LGT868" s="290" t="s">
        <v>280</v>
      </c>
      <c r="LGU868" s="290" t="s">
        <v>280</v>
      </c>
      <c r="LGV868" s="290" t="s">
        <v>280</v>
      </c>
      <c r="LGW868" s="290" t="s">
        <v>280</v>
      </c>
      <c r="LGX868" s="290" t="s">
        <v>280</v>
      </c>
      <c r="LGY868" s="290" t="s">
        <v>280</v>
      </c>
      <c r="LGZ868" s="290" t="s">
        <v>280</v>
      </c>
      <c r="LHA868" s="290" t="s">
        <v>280</v>
      </c>
      <c r="LHB868" s="290" t="s">
        <v>280</v>
      </c>
      <c r="LHC868" s="290" t="s">
        <v>280</v>
      </c>
      <c r="LHD868" s="290" t="s">
        <v>280</v>
      </c>
      <c r="LHE868" s="290" t="s">
        <v>280</v>
      </c>
      <c r="LHF868" s="290" t="s">
        <v>280</v>
      </c>
      <c r="LHG868" s="290" t="s">
        <v>280</v>
      </c>
      <c r="LHH868" s="290" t="s">
        <v>280</v>
      </c>
      <c r="LHI868" s="290" t="s">
        <v>280</v>
      </c>
      <c r="LHJ868" s="290" t="s">
        <v>280</v>
      </c>
      <c r="LHK868" s="290" t="s">
        <v>280</v>
      </c>
      <c r="LHL868" s="290" t="s">
        <v>280</v>
      </c>
      <c r="LHM868" s="290" t="s">
        <v>280</v>
      </c>
      <c r="LHN868" s="290" t="s">
        <v>280</v>
      </c>
      <c r="LHO868" s="290" t="s">
        <v>280</v>
      </c>
      <c r="LHP868" s="290" t="s">
        <v>280</v>
      </c>
      <c r="LHQ868" s="290" t="s">
        <v>280</v>
      </c>
      <c r="LHR868" s="290" t="s">
        <v>280</v>
      </c>
      <c r="LHS868" s="290" t="s">
        <v>280</v>
      </c>
      <c r="LHT868" s="290" t="s">
        <v>280</v>
      </c>
      <c r="LHU868" s="290" t="s">
        <v>280</v>
      </c>
      <c r="LHV868" s="290" t="s">
        <v>280</v>
      </c>
      <c r="LHW868" s="290" t="s">
        <v>280</v>
      </c>
      <c r="LHX868" s="290" t="s">
        <v>280</v>
      </c>
      <c r="LHY868" s="290" t="s">
        <v>280</v>
      </c>
      <c r="LHZ868" s="290" t="s">
        <v>280</v>
      </c>
      <c r="LIA868" s="290" t="s">
        <v>280</v>
      </c>
      <c r="LIB868" s="290" t="s">
        <v>280</v>
      </c>
      <c r="LIC868" s="290" t="s">
        <v>280</v>
      </c>
      <c r="LID868" s="290" t="s">
        <v>280</v>
      </c>
      <c r="LIE868" s="290" t="s">
        <v>280</v>
      </c>
      <c r="LIF868" s="290" t="s">
        <v>280</v>
      </c>
      <c r="LIG868" s="290" t="s">
        <v>280</v>
      </c>
      <c r="LIH868" s="290" t="s">
        <v>280</v>
      </c>
      <c r="LII868" s="290" t="s">
        <v>280</v>
      </c>
      <c r="LIJ868" s="290" t="s">
        <v>280</v>
      </c>
      <c r="LIK868" s="290" t="s">
        <v>280</v>
      </c>
      <c r="LIL868" s="290" t="s">
        <v>280</v>
      </c>
      <c r="LIM868" s="290" t="s">
        <v>280</v>
      </c>
      <c r="LIN868" s="290" t="s">
        <v>280</v>
      </c>
      <c r="LIO868" s="290" t="s">
        <v>280</v>
      </c>
      <c r="LIP868" s="290" t="s">
        <v>280</v>
      </c>
      <c r="LIQ868" s="290" t="s">
        <v>280</v>
      </c>
      <c r="LIR868" s="290" t="s">
        <v>280</v>
      </c>
      <c r="LIS868" s="290" t="s">
        <v>280</v>
      </c>
      <c r="LIT868" s="290" t="s">
        <v>280</v>
      </c>
      <c r="LIU868" s="290" t="s">
        <v>280</v>
      </c>
      <c r="LIV868" s="290" t="s">
        <v>280</v>
      </c>
      <c r="LIW868" s="290" t="s">
        <v>280</v>
      </c>
      <c r="LIX868" s="290" t="s">
        <v>280</v>
      </c>
      <c r="LIY868" s="290" t="s">
        <v>280</v>
      </c>
      <c r="LIZ868" s="290" t="s">
        <v>280</v>
      </c>
      <c r="LJA868" s="290" t="s">
        <v>280</v>
      </c>
      <c r="LJB868" s="290" t="s">
        <v>280</v>
      </c>
      <c r="LJC868" s="290" t="s">
        <v>280</v>
      </c>
      <c r="LJD868" s="290" t="s">
        <v>280</v>
      </c>
      <c r="LJE868" s="290" t="s">
        <v>280</v>
      </c>
      <c r="LJF868" s="290" t="s">
        <v>280</v>
      </c>
      <c r="LJG868" s="290" t="s">
        <v>280</v>
      </c>
      <c r="LJH868" s="290" t="s">
        <v>280</v>
      </c>
      <c r="LJI868" s="290" t="s">
        <v>280</v>
      </c>
      <c r="LJJ868" s="290" t="s">
        <v>280</v>
      </c>
      <c r="LJK868" s="290" t="s">
        <v>280</v>
      </c>
      <c r="LJL868" s="290" t="s">
        <v>280</v>
      </c>
      <c r="LJM868" s="290" t="s">
        <v>280</v>
      </c>
      <c r="LJN868" s="290" t="s">
        <v>280</v>
      </c>
      <c r="LJO868" s="290" t="s">
        <v>280</v>
      </c>
      <c r="LJP868" s="290" t="s">
        <v>280</v>
      </c>
      <c r="LJQ868" s="290" t="s">
        <v>280</v>
      </c>
      <c r="LJR868" s="290" t="s">
        <v>280</v>
      </c>
      <c r="LJS868" s="290" t="s">
        <v>280</v>
      </c>
      <c r="LJT868" s="290" t="s">
        <v>280</v>
      </c>
      <c r="LJU868" s="290" t="s">
        <v>280</v>
      </c>
      <c r="LJV868" s="290" t="s">
        <v>280</v>
      </c>
      <c r="LJW868" s="290" t="s">
        <v>280</v>
      </c>
      <c r="LJX868" s="290" t="s">
        <v>280</v>
      </c>
      <c r="LJY868" s="290" t="s">
        <v>280</v>
      </c>
      <c r="LJZ868" s="290" t="s">
        <v>280</v>
      </c>
      <c r="LKA868" s="290" t="s">
        <v>280</v>
      </c>
      <c r="LKB868" s="290" t="s">
        <v>280</v>
      </c>
      <c r="LKC868" s="290" t="s">
        <v>280</v>
      </c>
      <c r="LKD868" s="290" t="s">
        <v>280</v>
      </c>
      <c r="LKE868" s="290" t="s">
        <v>280</v>
      </c>
      <c r="LKF868" s="290" t="s">
        <v>280</v>
      </c>
      <c r="LKG868" s="290" t="s">
        <v>280</v>
      </c>
      <c r="LKH868" s="290" t="s">
        <v>280</v>
      </c>
      <c r="LKI868" s="290" t="s">
        <v>280</v>
      </c>
      <c r="LKJ868" s="290" t="s">
        <v>280</v>
      </c>
      <c r="LKK868" s="290" t="s">
        <v>280</v>
      </c>
      <c r="LKL868" s="290" t="s">
        <v>280</v>
      </c>
      <c r="LKM868" s="290" t="s">
        <v>280</v>
      </c>
      <c r="LKN868" s="290" t="s">
        <v>280</v>
      </c>
      <c r="LKO868" s="290" t="s">
        <v>280</v>
      </c>
      <c r="LKP868" s="290" t="s">
        <v>280</v>
      </c>
      <c r="LKQ868" s="290" t="s">
        <v>280</v>
      </c>
      <c r="LKR868" s="290" t="s">
        <v>280</v>
      </c>
      <c r="LKS868" s="290" t="s">
        <v>280</v>
      </c>
      <c r="LKT868" s="290" t="s">
        <v>280</v>
      </c>
      <c r="LKU868" s="290" t="s">
        <v>280</v>
      </c>
      <c r="LKV868" s="290" t="s">
        <v>280</v>
      </c>
      <c r="LKW868" s="290" t="s">
        <v>280</v>
      </c>
      <c r="LKX868" s="290" t="s">
        <v>280</v>
      </c>
      <c r="LKY868" s="290" t="s">
        <v>280</v>
      </c>
      <c r="LKZ868" s="290" t="s">
        <v>280</v>
      </c>
      <c r="LLA868" s="290" t="s">
        <v>280</v>
      </c>
      <c r="LLB868" s="290" t="s">
        <v>280</v>
      </c>
      <c r="LLC868" s="290" t="s">
        <v>280</v>
      </c>
      <c r="LLD868" s="290" t="s">
        <v>280</v>
      </c>
      <c r="LLE868" s="290" t="s">
        <v>280</v>
      </c>
      <c r="LLF868" s="290" t="s">
        <v>280</v>
      </c>
      <c r="LLG868" s="290" t="s">
        <v>280</v>
      </c>
      <c r="LLH868" s="290" t="s">
        <v>280</v>
      </c>
      <c r="LLI868" s="290" t="s">
        <v>280</v>
      </c>
      <c r="LLJ868" s="290" t="s">
        <v>280</v>
      </c>
      <c r="LLK868" s="290" t="s">
        <v>280</v>
      </c>
      <c r="LLL868" s="290" t="s">
        <v>280</v>
      </c>
      <c r="LLM868" s="290" t="s">
        <v>280</v>
      </c>
      <c r="LLN868" s="290" t="s">
        <v>280</v>
      </c>
      <c r="LLO868" s="290" t="s">
        <v>280</v>
      </c>
      <c r="LLP868" s="290" t="s">
        <v>280</v>
      </c>
      <c r="LLQ868" s="290" t="s">
        <v>280</v>
      </c>
      <c r="LLR868" s="290" t="s">
        <v>280</v>
      </c>
      <c r="LLS868" s="290" t="s">
        <v>280</v>
      </c>
      <c r="LLT868" s="290" t="s">
        <v>280</v>
      </c>
      <c r="LLU868" s="290" t="s">
        <v>280</v>
      </c>
      <c r="LLV868" s="290" t="s">
        <v>280</v>
      </c>
      <c r="LLW868" s="290" t="s">
        <v>280</v>
      </c>
      <c r="LLX868" s="290" t="s">
        <v>280</v>
      </c>
      <c r="LLY868" s="290" t="s">
        <v>280</v>
      </c>
      <c r="LLZ868" s="290" t="s">
        <v>280</v>
      </c>
      <c r="LMA868" s="290" t="s">
        <v>280</v>
      </c>
      <c r="LMB868" s="290" t="s">
        <v>280</v>
      </c>
      <c r="LMC868" s="290" t="s">
        <v>280</v>
      </c>
      <c r="LMD868" s="290" t="s">
        <v>280</v>
      </c>
      <c r="LME868" s="290" t="s">
        <v>280</v>
      </c>
      <c r="LMF868" s="290" t="s">
        <v>280</v>
      </c>
      <c r="LMG868" s="290" t="s">
        <v>280</v>
      </c>
      <c r="LMH868" s="290" t="s">
        <v>280</v>
      </c>
      <c r="LMI868" s="290" t="s">
        <v>280</v>
      </c>
      <c r="LMJ868" s="290" t="s">
        <v>280</v>
      </c>
      <c r="LMK868" s="290" t="s">
        <v>280</v>
      </c>
      <c r="LML868" s="290" t="s">
        <v>280</v>
      </c>
      <c r="LMM868" s="290" t="s">
        <v>280</v>
      </c>
      <c r="LMN868" s="290" t="s">
        <v>280</v>
      </c>
      <c r="LMO868" s="290" t="s">
        <v>280</v>
      </c>
      <c r="LMP868" s="290" t="s">
        <v>280</v>
      </c>
      <c r="LMQ868" s="290" t="s">
        <v>280</v>
      </c>
      <c r="LMR868" s="290" t="s">
        <v>280</v>
      </c>
      <c r="LMS868" s="290" t="s">
        <v>280</v>
      </c>
      <c r="LMT868" s="290" t="s">
        <v>280</v>
      </c>
      <c r="LMU868" s="290" t="s">
        <v>280</v>
      </c>
      <c r="LMV868" s="290" t="s">
        <v>280</v>
      </c>
      <c r="LMW868" s="290" t="s">
        <v>280</v>
      </c>
      <c r="LMX868" s="290" t="s">
        <v>280</v>
      </c>
      <c r="LMY868" s="290" t="s">
        <v>280</v>
      </c>
      <c r="LMZ868" s="290" t="s">
        <v>280</v>
      </c>
      <c r="LNA868" s="290" t="s">
        <v>280</v>
      </c>
      <c r="LNB868" s="290" t="s">
        <v>280</v>
      </c>
      <c r="LNC868" s="290" t="s">
        <v>280</v>
      </c>
      <c r="LND868" s="290" t="s">
        <v>280</v>
      </c>
      <c r="LNE868" s="290" t="s">
        <v>280</v>
      </c>
      <c r="LNF868" s="290" t="s">
        <v>280</v>
      </c>
      <c r="LNG868" s="290" t="s">
        <v>280</v>
      </c>
      <c r="LNH868" s="290" t="s">
        <v>280</v>
      </c>
      <c r="LNI868" s="290" t="s">
        <v>280</v>
      </c>
      <c r="LNJ868" s="290" t="s">
        <v>280</v>
      </c>
      <c r="LNK868" s="290" t="s">
        <v>280</v>
      </c>
      <c r="LNL868" s="290" t="s">
        <v>280</v>
      </c>
      <c r="LNM868" s="290" t="s">
        <v>280</v>
      </c>
      <c r="LNN868" s="290" t="s">
        <v>280</v>
      </c>
      <c r="LNO868" s="290" t="s">
        <v>280</v>
      </c>
      <c r="LNP868" s="290" t="s">
        <v>280</v>
      </c>
      <c r="LNQ868" s="290" t="s">
        <v>280</v>
      </c>
      <c r="LNR868" s="290" t="s">
        <v>280</v>
      </c>
      <c r="LNS868" s="290" t="s">
        <v>280</v>
      </c>
      <c r="LNT868" s="290" t="s">
        <v>280</v>
      </c>
      <c r="LNU868" s="290" t="s">
        <v>280</v>
      </c>
      <c r="LNV868" s="290" t="s">
        <v>280</v>
      </c>
      <c r="LNW868" s="290" t="s">
        <v>280</v>
      </c>
      <c r="LNX868" s="290" t="s">
        <v>280</v>
      </c>
      <c r="LNY868" s="290" t="s">
        <v>280</v>
      </c>
      <c r="LNZ868" s="290" t="s">
        <v>280</v>
      </c>
      <c r="LOA868" s="290" t="s">
        <v>280</v>
      </c>
      <c r="LOB868" s="290" t="s">
        <v>280</v>
      </c>
      <c r="LOC868" s="290" t="s">
        <v>280</v>
      </c>
      <c r="LOD868" s="290" t="s">
        <v>280</v>
      </c>
      <c r="LOE868" s="290" t="s">
        <v>280</v>
      </c>
      <c r="LOF868" s="290" t="s">
        <v>280</v>
      </c>
      <c r="LOG868" s="290" t="s">
        <v>280</v>
      </c>
      <c r="LOH868" s="290" t="s">
        <v>280</v>
      </c>
      <c r="LOI868" s="290" t="s">
        <v>280</v>
      </c>
      <c r="LOJ868" s="290" t="s">
        <v>280</v>
      </c>
      <c r="LOK868" s="290" t="s">
        <v>280</v>
      </c>
      <c r="LOL868" s="290" t="s">
        <v>280</v>
      </c>
      <c r="LOM868" s="290" t="s">
        <v>280</v>
      </c>
      <c r="LON868" s="290" t="s">
        <v>280</v>
      </c>
      <c r="LOO868" s="290" t="s">
        <v>280</v>
      </c>
      <c r="LOP868" s="290" t="s">
        <v>280</v>
      </c>
      <c r="LOQ868" s="290" t="s">
        <v>280</v>
      </c>
      <c r="LOR868" s="290" t="s">
        <v>280</v>
      </c>
      <c r="LOS868" s="290" t="s">
        <v>280</v>
      </c>
      <c r="LOT868" s="290" t="s">
        <v>280</v>
      </c>
      <c r="LOU868" s="290" t="s">
        <v>280</v>
      </c>
      <c r="LOV868" s="290" t="s">
        <v>280</v>
      </c>
      <c r="LOW868" s="290" t="s">
        <v>280</v>
      </c>
      <c r="LOX868" s="290" t="s">
        <v>280</v>
      </c>
      <c r="LOY868" s="290" t="s">
        <v>280</v>
      </c>
      <c r="LOZ868" s="290" t="s">
        <v>280</v>
      </c>
      <c r="LPA868" s="290" t="s">
        <v>280</v>
      </c>
      <c r="LPB868" s="290" t="s">
        <v>280</v>
      </c>
      <c r="LPC868" s="290" t="s">
        <v>280</v>
      </c>
      <c r="LPD868" s="290" t="s">
        <v>280</v>
      </c>
      <c r="LPE868" s="290" t="s">
        <v>280</v>
      </c>
      <c r="LPF868" s="290" t="s">
        <v>280</v>
      </c>
      <c r="LPG868" s="290" t="s">
        <v>280</v>
      </c>
      <c r="LPH868" s="290" t="s">
        <v>280</v>
      </c>
      <c r="LPI868" s="290" t="s">
        <v>280</v>
      </c>
      <c r="LPJ868" s="290" t="s">
        <v>280</v>
      </c>
      <c r="LPK868" s="290" t="s">
        <v>280</v>
      </c>
      <c r="LPL868" s="290" t="s">
        <v>280</v>
      </c>
      <c r="LPM868" s="290" t="s">
        <v>280</v>
      </c>
      <c r="LPN868" s="290" t="s">
        <v>280</v>
      </c>
      <c r="LPO868" s="290" t="s">
        <v>280</v>
      </c>
      <c r="LPP868" s="290" t="s">
        <v>280</v>
      </c>
      <c r="LPQ868" s="290" t="s">
        <v>280</v>
      </c>
      <c r="LPR868" s="290" t="s">
        <v>280</v>
      </c>
      <c r="LPS868" s="290" t="s">
        <v>280</v>
      </c>
      <c r="LPT868" s="290" t="s">
        <v>280</v>
      </c>
      <c r="LPU868" s="290" t="s">
        <v>280</v>
      </c>
      <c r="LPV868" s="290" t="s">
        <v>280</v>
      </c>
      <c r="LPW868" s="290" t="s">
        <v>280</v>
      </c>
      <c r="LPX868" s="290" t="s">
        <v>280</v>
      </c>
      <c r="LPY868" s="290" t="s">
        <v>280</v>
      </c>
      <c r="LPZ868" s="290" t="s">
        <v>280</v>
      </c>
      <c r="LQA868" s="290" t="s">
        <v>280</v>
      </c>
      <c r="LQB868" s="290" t="s">
        <v>280</v>
      </c>
      <c r="LQC868" s="290" t="s">
        <v>280</v>
      </c>
      <c r="LQD868" s="290" t="s">
        <v>280</v>
      </c>
      <c r="LQE868" s="290" t="s">
        <v>280</v>
      </c>
      <c r="LQF868" s="290" t="s">
        <v>280</v>
      </c>
      <c r="LQG868" s="290" t="s">
        <v>280</v>
      </c>
      <c r="LQH868" s="290" t="s">
        <v>280</v>
      </c>
      <c r="LQI868" s="290" t="s">
        <v>280</v>
      </c>
      <c r="LQJ868" s="290" t="s">
        <v>280</v>
      </c>
      <c r="LQK868" s="290" t="s">
        <v>280</v>
      </c>
      <c r="LQL868" s="290" t="s">
        <v>280</v>
      </c>
      <c r="LQM868" s="290" t="s">
        <v>280</v>
      </c>
      <c r="LQN868" s="290" t="s">
        <v>280</v>
      </c>
      <c r="LQO868" s="290" t="s">
        <v>280</v>
      </c>
      <c r="LQP868" s="290" t="s">
        <v>280</v>
      </c>
      <c r="LQQ868" s="290" t="s">
        <v>280</v>
      </c>
      <c r="LQR868" s="290" t="s">
        <v>280</v>
      </c>
      <c r="LQS868" s="290" t="s">
        <v>280</v>
      </c>
      <c r="LQT868" s="290" t="s">
        <v>280</v>
      </c>
      <c r="LQU868" s="290" t="s">
        <v>280</v>
      </c>
      <c r="LQV868" s="290" t="s">
        <v>280</v>
      </c>
      <c r="LQW868" s="290" t="s">
        <v>280</v>
      </c>
      <c r="LQX868" s="290" t="s">
        <v>280</v>
      </c>
      <c r="LQY868" s="290" t="s">
        <v>280</v>
      </c>
      <c r="LQZ868" s="290" t="s">
        <v>280</v>
      </c>
      <c r="LRA868" s="290" t="s">
        <v>280</v>
      </c>
      <c r="LRB868" s="290" t="s">
        <v>280</v>
      </c>
      <c r="LRC868" s="290" t="s">
        <v>280</v>
      </c>
      <c r="LRD868" s="290" t="s">
        <v>280</v>
      </c>
      <c r="LRE868" s="290" t="s">
        <v>280</v>
      </c>
      <c r="LRF868" s="290" t="s">
        <v>280</v>
      </c>
      <c r="LRG868" s="290" t="s">
        <v>280</v>
      </c>
      <c r="LRH868" s="290" t="s">
        <v>280</v>
      </c>
      <c r="LRI868" s="290" t="s">
        <v>280</v>
      </c>
      <c r="LRJ868" s="290" t="s">
        <v>280</v>
      </c>
      <c r="LRK868" s="290" t="s">
        <v>280</v>
      </c>
      <c r="LRL868" s="290" t="s">
        <v>280</v>
      </c>
      <c r="LRM868" s="290" t="s">
        <v>280</v>
      </c>
      <c r="LRN868" s="290" t="s">
        <v>280</v>
      </c>
      <c r="LRO868" s="290" t="s">
        <v>280</v>
      </c>
      <c r="LRP868" s="290" t="s">
        <v>280</v>
      </c>
      <c r="LRQ868" s="290" t="s">
        <v>280</v>
      </c>
      <c r="LRR868" s="290" t="s">
        <v>280</v>
      </c>
      <c r="LRS868" s="290" t="s">
        <v>280</v>
      </c>
      <c r="LRT868" s="290" t="s">
        <v>280</v>
      </c>
      <c r="LRU868" s="290" t="s">
        <v>280</v>
      </c>
      <c r="LRV868" s="290" t="s">
        <v>280</v>
      </c>
      <c r="LRW868" s="290" t="s">
        <v>280</v>
      </c>
      <c r="LRX868" s="290" t="s">
        <v>280</v>
      </c>
      <c r="LRY868" s="290" t="s">
        <v>280</v>
      </c>
      <c r="LRZ868" s="290" t="s">
        <v>280</v>
      </c>
      <c r="LSA868" s="290" t="s">
        <v>280</v>
      </c>
      <c r="LSB868" s="290" t="s">
        <v>280</v>
      </c>
      <c r="LSC868" s="290" t="s">
        <v>280</v>
      </c>
      <c r="LSD868" s="290" t="s">
        <v>280</v>
      </c>
      <c r="LSE868" s="290" t="s">
        <v>280</v>
      </c>
      <c r="LSF868" s="290" t="s">
        <v>280</v>
      </c>
      <c r="LSG868" s="290" t="s">
        <v>280</v>
      </c>
      <c r="LSH868" s="290" t="s">
        <v>280</v>
      </c>
      <c r="LSI868" s="290" t="s">
        <v>280</v>
      </c>
      <c r="LSJ868" s="290" t="s">
        <v>280</v>
      </c>
      <c r="LSK868" s="290" t="s">
        <v>280</v>
      </c>
      <c r="LSL868" s="290" t="s">
        <v>280</v>
      </c>
      <c r="LSM868" s="290" t="s">
        <v>280</v>
      </c>
      <c r="LSN868" s="290" t="s">
        <v>280</v>
      </c>
      <c r="LSO868" s="290" t="s">
        <v>280</v>
      </c>
      <c r="LSP868" s="290" t="s">
        <v>280</v>
      </c>
      <c r="LSQ868" s="290" t="s">
        <v>280</v>
      </c>
      <c r="LSR868" s="290" t="s">
        <v>280</v>
      </c>
      <c r="LSS868" s="290" t="s">
        <v>280</v>
      </c>
      <c r="LST868" s="290" t="s">
        <v>280</v>
      </c>
      <c r="LSU868" s="290" t="s">
        <v>280</v>
      </c>
      <c r="LSV868" s="290" t="s">
        <v>280</v>
      </c>
      <c r="LSW868" s="290" t="s">
        <v>280</v>
      </c>
      <c r="LSX868" s="290" t="s">
        <v>280</v>
      </c>
      <c r="LSY868" s="290" t="s">
        <v>280</v>
      </c>
      <c r="LSZ868" s="290" t="s">
        <v>280</v>
      </c>
      <c r="LTA868" s="290" t="s">
        <v>280</v>
      </c>
      <c r="LTB868" s="290" t="s">
        <v>280</v>
      </c>
      <c r="LTC868" s="290" t="s">
        <v>280</v>
      </c>
      <c r="LTD868" s="290" t="s">
        <v>280</v>
      </c>
      <c r="LTE868" s="290" t="s">
        <v>280</v>
      </c>
      <c r="LTF868" s="290" t="s">
        <v>280</v>
      </c>
      <c r="LTG868" s="290" t="s">
        <v>280</v>
      </c>
      <c r="LTH868" s="290" t="s">
        <v>280</v>
      </c>
      <c r="LTI868" s="290" t="s">
        <v>280</v>
      </c>
      <c r="LTJ868" s="290" t="s">
        <v>280</v>
      </c>
      <c r="LTK868" s="290" t="s">
        <v>280</v>
      </c>
      <c r="LTL868" s="290" t="s">
        <v>280</v>
      </c>
      <c r="LTM868" s="290" t="s">
        <v>280</v>
      </c>
      <c r="LTN868" s="290" t="s">
        <v>280</v>
      </c>
      <c r="LTO868" s="290" t="s">
        <v>280</v>
      </c>
      <c r="LTP868" s="290" t="s">
        <v>280</v>
      </c>
      <c r="LTQ868" s="290" t="s">
        <v>280</v>
      </c>
      <c r="LTR868" s="290" t="s">
        <v>280</v>
      </c>
      <c r="LTS868" s="290" t="s">
        <v>280</v>
      </c>
      <c r="LTT868" s="290" t="s">
        <v>280</v>
      </c>
      <c r="LTU868" s="290" t="s">
        <v>280</v>
      </c>
      <c r="LTV868" s="290" t="s">
        <v>280</v>
      </c>
      <c r="LTW868" s="290" t="s">
        <v>280</v>
      </c>
      <c r="LTX868" s="290" t="s">
        <v>280</v>
      </c>
      <c r="LTY868" s="290" t="s">
        <v>280</v>
      </c>
      <c r="LTZ868" s="290" t="s">
        <v>280</v>
      </c>
      <c r="LUA868" s="290" t="s">
        <v>280</v>
      </c>
      <c r="LUB868" s="290" t="s">
        <v>280</v>
      </c>
      <c r="LUC868" s="290" t="s">
        <v>280</v>
      </c>
      <c r="LUD868" s="290" t="s">
        <v>280</v>
      </c>
      <c r="LUE868" s="290" t="s">
        <v>280</v>
      </c>
      <c r="LUF868" s="290" t="s">
        <v>280</v>
      </c>
      <c r="LUG868" s="290" t="s">
        <v>280</v>
      </c>
      <c r="LUH868" s="290" t="s">
        <v>280</v>
      </c>
      <c r="LUI868" s="290" t="s">
        <v>280</v>
      </c>
      <c r="LUJ868" s="290" t="s">
        <v>280</v>
      </c>
      <c r="LUK868" s="290" t="s">
        <v>280</v>
      </c>
      <c r="LUL868" s="290" t="s">
        <v>280</v>
      </c>
      <c r="LUM868" s="290" t="s">
        <v>280</v>
      </c>
      <c r="LUN868" s="290" t="s">
        <v>280</v>
      </c>
      <c r="LUO868" s="290" t="s">
        <v>280</v>
      </c>
      <c r="LUP868" s="290" t="s">
        <v>280</v>
      </c>
      <c r="LUQ868" s="290" t="s">
        <v>280</v>
      </c>
      <c r="LUR868" s="290" t="s">
        <v>280</v>
      </c>
      <c r="LUS868" s="290" t="s">
        <v>280</v>
      </c>
      <c r="LUT868" s="290" t="s">
        <v>280</v>
      </c>
      <c r="LUU868" s="290" t="s">
        <v>280</v>
      </c>
      <c r="LUV868" s="290" t="s">
        <v>280</v>
      </c>
      <c r="LUW868" s="290" t="s">
        <v>280</v>
      </c>
      <c r="LUX868" s="290" t="s">
        <v>280</v>
      </c>
      <c r="LUY868" s="290" t="s">
        <v>280</v>
      </c>
      <c r="LUZ868" s="290" t="s">
        <v>280</v>
      </c>
      <c r="LVA868" s="290" t="s">
        <v>280</v>
      </c>
      <c r="LVB868" s="290" t="s">
        <v>280</v>
      </c>
      <c r="LVC868" s="290" t="s">
        <v>280</v>
      </c>
      <c r="LVD868" s="290" t="s">
        <v>280</v>
      </c>
      <c r="LVE868" s="290" t="s">
        <v>280</v>
      </c>
      <c r="LVF868" s="290" t="s">
        <v>280</v>
      </c>
      <c r="LVG868" s="290" t="s">
        <v>280</v>
      </c>
      <c r="LVH868" s="290" t="s">
        <v>280</v>
      </c>
      <c r="LVI868" s="290" t="s">
        <v>280</v>
      </c>
      <c r="LVJ868" s="290" t="s">
        <v>280</v>
      </c>
      <c r="LVK868" s="290" t="s">
        <v>280</v>
      </c>
      <c r="LVL868" s="290" t="s">
        <v>280</v>
      </c>
      <c r="LVM868" s="290" t="s">
        <v>280</v>
      </c>
      <c r="LVN868" s="290" t="s">
        <v>280</v>
      </c>
      <c r="LVO868" s="290" t="s">
        <v>280</v>
      </c>
      <c r="LVP868" s="290" t="s">
        <v>280</v>
      </c>
      <c r="LVQ868" s="290" t="s">
        <v>280</v>
      </c>
      <c r="LVR868" s="290" t="s">
        <v>280</v>
      </c>
      <c r="LVS868" s="290" t="s">
        <v>280</v>
      </c>
      <c r="LVT868" s="290" t="s">
        <v>280</v>
      </c>
      <c r="LVU868" s="290" t="s">
        <v>280</v>
      </c>
      <c r="LVV868" s="290" t="s">
        <v>280</v>
      </c>
      <c r="LVW868" s="290" t="s">
        <v>280</v>
      </c>
      <c r="LVX868" s="290" t="s">
        <v>280</v>
      </c>
      <c r="LVY868" s="290" t="s">
        <v>280</v>
      </c>
      <c r="LVZ868" s="290" t="s">
        <v>280</v>
      </c>
      <c r="LWA868" s="290" t="s">
        <v>280</v>
      </c>
      <c r="LWB868" s="290" t="s">
        <v>280</v>
      </c>
      <c r="LWC868" s="290" t="s">
        <v>280</v>
      </c>
      <c r="LWD868" s="290" t="s">
        <v>280</v>
      </c>
      <c r="LWE868" s="290" t="s">
        <v>280</v>
      </c>
      <c r="LWF868" s="290" t="s">
        <v>280</v>
      </c>
      <c r="LWG868" s="290" t="s">
        <v>280</v>
      </c>
      <c r="LWH868" s="290" t="s">
        <v>280</v>
      </c>
      <c r="LWI868" s="290" t="s">
        <v>280</v>
      </c>
      <c r="LWJ868" s="290" t="s">
        <v>280</v>
      </c>
      <c r="LWK868" s="290" t="s">
        <v>280</v>
      </c>
      <c r="LWL868" s="290" t="s">
        <v>280</v>
      </c>
      <c r="LWM868" s="290" t="s">
        <v>280</v>
      </c>
      <c r="LWN868" s="290" t="s">
        <v>280</v>
      </c>
      <c r="LWO868" s="290" t="s">
        <v>280</v>
      </c>
      <c r="LWP868" s="290" t="s">
        <v>280</v>
      </c>
      <c r="LWQ868" s="290" t="s">
        <v>280</v>
      </c>
      <c r="LWR868" s="290" t="s">
        <v>280</v>
      </c>
      <c r="LWS868" s="290" t="s">
        <v>280</v>
      </c>
      <c r="LWT868" s="290" t="s">
        <v>280</v>
      </c>
      <c r="LWU868" s="290" t="s">
        <v>280</v>
      </c>
      <c r="LWV868" s="290" t="s">
        <v>280</v>
      </c>
      <c r="LWW868" s="290" t="s">
        <v>280</v>
      </c>
      <c r="LWX868" s="290" t="s">
        <v>280</v>
      </c>
      <c r="LWY868" s="290" t="s">
        <v>280</v>
      </c>
      <c r="LWZ868" s="290" t="s">
        <v>280</v>
      </c>
      <c r="LXA868" s="290" t="s">
        <v>280</v>
      </c>
      <c r="LXB868" s="290" t="s">
        <v>280</v>
      </c>
      <c r="LXC868" s="290" t="s">
        <v>280</v>
      </c>
      <c r="LXD868" s="290" t="s">
        <v>280</v>
      </c>
      <c r="LXE868" s="290" t="s">
        <v>280</v>
      </c>
      <c r="LXF868" s="290" t="s">
        <v>280</v>
      </c>
      <c r="LXG868" s="290" t="s">
        <v>280</v>
      </c>
      <c r="LXH868" s="290" t="s">
        <v>280</v>
      </c>
      <c r="LXI868" s="290" t="s">
        <v>280</v>
      </c>
      <c r="LXJ868" s="290" t="s">
        <v>280</v>
      </c>
      <c r="LXK868" s="290" t="s">
        <v>280</v>
      </c>
      <c r="LXL868" s="290" t="s">
        <v>280</v>
      </c>
      <c r="LXM868" s="290" t="s">
        <v>280</v>
      </c>
      <c r="LXN868" s="290" t="s">
        <v>280</v>
      </c>
      <c r="LXO868" s="290" t="s">
        <v>280</v>
      </c>
      <c r="LXP868" s="290" t="s">
        <v>280</v>
      </c>
      <c r="LXQ868" s="290" t="s">
        <v>280</v>
      </c>
      <c r="LXR868" s="290" t="s">
        <v>280</v>
      </c>
      <c r="LXS868" s="290" t="s">
        <v>280</v>
      </c>
      <c r="LXT868" s="290" t="s">
        <v>280</v>
      </c>
      <c r="LXU868" s="290" t="s">
        <v>280</v>
      </c>
      <c r="LXV868" s="290" t="s">
        <v>280</v>
      </c>
      <c r="LXW868" s="290" t="s">
        <v>280</v>
      </c>
      <c r="LXX868" s="290" t="s">
        <v>280</v>
      </c>
      <c r="LXY868" s="290" t="s">
        <v>280</v>
      </c>
      <c r="LXZ868" s="290" t="s">
        <v>280</v>
      </c>
      <c r="LYA868" s="290" t="s">
        <v>280</v>
      </c>
      <c r="LYB868" s="290" t="s">
        <v>280</v>
      </c>
      <c r="LYC868" s="290" t="s">
        <v>280</v>
      </c>
      <c r="LYD868" s="290" t="s">
        <v>280</v>
      </c>
      <c r="LYE868" s="290" t="s">
        <v>280</v>
      </c>
      <c r="LYF868" s="290" t="s">
        <v>280</v>
      </c>
      <c r="LYG868" s="290" t="s">
        <v>280</v>
      </c>
      <c r="LYH868" s="290" t="s">
        <v>280</v>
      </c>
      <c r="LYI868" s="290" t="s">
        <v>280</v>
      </c>
      <c r="LYJ868" s="290" t="s">
        <v>280</v>
      </c>
      <c r="LYK868" s="290" t="s">
        <v>280</v>
      </c>
      <c r="LYL868" s="290" t="s">
        <v>280</v>
      </c>
      <c r="LYM868" s="290" t="s">
        <v>280</v>
      </c>
      <c r="LYN868" s="290" t="s">
        <v>280</v>
      </c>
      <c r="LYO868" s="290" t="s">
        <v>280</v>
      </c>
      <c r="LYP868" s="290" t="s">
        <v>280</v>
      </c>
      <c r="LYQ868" s="290" t="s">
        <v>280</v>
      </c>
      <c r="LYR868" s="290" t="s">
        <v>280</v>
      </c>
      <c r="LYS868" s="290" t="s">
        <v>280</v>
      </c>
      <c r="LYT868" s="290" t="s">
        <v>280</v>
      </c>
      <c r="LYU868" s="290" t="s">
        <v>280</v>
      </c>
      <c r="LYV868" s="290" t="s">
        <v>280</v>
      </c>
      <c r="LYW868" s="290" t="s">
        <v>280</v>
      </c>
      <c r="LYX868" s="290" t="s">
        <v>280</v>
      </c>
      <c r="LYY868" s="290" t="s">
        <v>280</v>
      </c>
      <c r="LYZ868" s="290" t="s">
        <v>280</v>
      </c>
      <c r="LZA868" s="290" t="s">
        <v>280</v>
      </c>
      <c r="LZB868" s="290" t="s">
        <v>280</v>
      </c>
      <c r="LZC868" s="290" t="s">
        <v>280</v>
      </c>
      <c r="LZD868" s="290" t="s">
        <v>280</v>
      </c>
      <c r="LZE868" s="290" t="s">
        <v>280</v>
      </c>
      <c r="LZF868" s="290" t="s">
        <v>280</v>
      </c>
      <c r="LZG868" s="290" t="s">
        <v>280</v>
      </c>
      <c r="LZH868" s="290" t="s">
        <v>280</v>
      </c>
      <c r="LZI868" s="290" t="s">
        <v>280</v>
      </c>
      <c r="LZJ868" s="290" t="s">
        <v>280</v>
      </c>
      <c r="LZK868" s="290" t="s">
        <v>280</v>
      </c>
      <c r="LZL868" s="290" t="s">
        <v>280</v>
      </c>
      <c r="LZM868" s="290" t="s">
        <v>280</v>
      </c>
      <c r="LZN868" s="290" t="s">
        <v>280</v>
      </c>
      <c r="LZO868" s="290" t="s">
        <v>280</v>
      </c>
      <c r="LZP868" s="290" t="s">
        <v>280</v>
      </c>
      <c r="LZQ868" s="290" t="s">
        <v>280</v>
      </c>
      <c r="LZR868" s="290" t="s">
        <v>280</v>
      </c>
      <c r="LZS868" s="290" t="s">
        <v>280</v>
      </c>
      <c r="LZT868" s="290" t="s">
        <v>280</v>
      </c>
      <c r="LZU868" s="290" t="s">
        <v>280</v>
      </c>
      <c r="LZV868" s="290" t="s">
        <v>280</v>
      </c>
      <c r="LZW868" s="290" t="s">
        <v>280</v>
      </c>
      <c r="LZX868" s="290" t="s">
        <v>280</v>
      </c>
      <c r="LZY868" s="290" t="s">
        <v>280</v>
      </c>
      <c r="LZZ868" s="290" t="s">
        <v>280</v>
      </c>
      <c r="MAA868" s="290" t="s">
        <v>280</v>
      </c>
      <c r="MAB868" s="290" t="s">
        <v>280</v>
      </c>
      <c r="MAC868" s="290" t="s">
        <v>280</v>
      </c>
      <c r="MAD868" s="290" t="s">
        <v>280</v>
      </c>
      <c r="MAE868" s="290" t="s">
        <v>280</v>
      </c>
      <c r="MAF868" s="290" t="s">
        <v>280</v>
      </c>
      <c r="MAG868" s="290" t="s">
        <v>280</v>
      </c>
      <c r="MAH868" s="290" t="s">
        <v>280</v>
      </c>
      <c r="MAI868" s="290" t="s">
        <v>280</v>
      </c>
      <c r="MAJ868" s="290" t="s">
        <v>280</v>
      </c>
      <c r="MAK868" s="290" t="s">
        <v>280</v>
      </c>
      <c r="MAL868" s="290" t="s">
        <v>280</v>
      </c>
      <c r="MAM868" s="290" t="s">
        <v>280</v>
      </c>
      <c r="MAN868" s="290" t="s">
        <v>280</v>
      </c>
      <c r="MAO868" s="290" t="s">
        <v>280</v>
      </c>
      <c r="MAP868" s="290" t="s">
        <v>280</v>
      </c>
      <c r="MAQ868" s="290" t="s">
        <v>280</v>
      </c>
      <c r="MAR868" s="290" t="s">
        <v>280</v>
      </c>
      <c r="MAS868" s="290" t="s">
        <v>280</v>
      </c>
      <c r="MAT868" s="290" t="s">
        <v>280</v>
      </c>
      <c r="MAU868" s="290" t="s">
        <v>280</v>
      </c>
      <c r="MAV868" s="290" t="s">
        <v>280</v>
      </c>
      <c r="MAW868" s="290" t="s">
        <v>280</v>
      </c>
      <c r="MAX868" s="290" t="s">
        <v>280</v>
      </c>
      <c r="MAY868" s="290" t="s">
        <v>280</v>
      </c>
      <c r="MAZ868" s="290" t="s">
        <v>280</v>
      </c>
      <c r="MBA868" s="290" t="s">
        <v>280</v>
      </c>
      <c r="MBB868" s="290" t="s">
        <v>280</v>
      </c>
      <c r="MBC868" s="290" t="s">
        <v>280</v>
      </c>
      <c r="MBD868" s="290" t="s">
        <v>280</v>
      </c>
      <c r="MBE868" s="290" t="s">
        <v>280</v>
      </c>
      <c r="MBF868" s="290" t="s">
        <v>280</v>
      </c>
      <c r="MBG868" s="290" t="s">
        <v>280</v>
      </c>
      <c r="MBH868" s="290" t="s">
        <v>280</v>
      </c>
      <c r="MBI868" s="290" t="s">
        <v>280</v>
      </c>
      <c r="MBJ868" s="290" t="s">
        <v>280</v>
      </c>
      <c r="MBK868" s="290" t="s">
        <v>280</v>
      </c>
      <c r="MBL868" s="290" t="s">
        <v>280</v>
      </c>
      <c r="MBM868" s="290" t="s">
        <v>280</v>
      </c>
      <c r="MBN868" s="290" t="s">
        <v>280</v>
      </c>
      <c r="MBO868" s="290" t="s">
        <v>280</v>
      </c>
      <c r="MBP868" s="290" t="s">
        <v>280</v>
      </c>
      <c r="MBQ868" s="290" t="s">
        <v>280</v>
      </c>
      <c r="MBR868" s="290" t="s">
        <v>280</v>
      </c>
      <c r="MBS868" s="290" t="s">
        <v>280</v>
      </c>
      <c r="MBT868" s="290" t="s">
        <v>280</v>
      </c>
      <c r="MBU868" s="290" t="s">
        <v>280</v>
      </c>
      <c r="MBV868" s="290" t="s">
        <v>280</v>
      </c>
      <c r="MBW868" s="290" t="s">
        <v>280</v>
      </c>
      <c r="MBX868" s="290" t="s">
        <v>280</v>
      </c>
      <c r="MBY868" s="290" t="s">
        <v>280</v>
      </c>
      <c r="MBZ868" s="290" t="s">
        <v>280</v>
      </c>
      <c r="MCA868" s="290" t="s">
        <v>280</v>
      </c>
      <c r="MCB868" s="290" t="s">
        <v>280</v>
      </c>
      <c r="MCC868" s="290" t="s">
        <v>280</v>
      </c>
      <c r="MCD868" s="290" t="s">
        <v>280</v>
      </c>
      <c r="MCE868" s="290" t="s">
        <v>280</v>
      </c>
      <c r="MCF868" s="290" t="s">
        <v>280</v>
      </c>
      <c r="MCG868" s="290" t="s">
        <v>280</v>
      </c>
      <c r="MCH868" s="290" t="s">
        <v>280</v>
      </c>
      <c r="MCI868" s="290" t="s">
        <v>280</v>
      </c>
      <c r="MCJ868" s="290" t="s">
        <v>280</v>
      </c>
      <c r="MCK868" s="290" t="s">
        <v>280</v>
      </c>
      <c r="MCL868" s="290" t="s">
        <v>280</v>
      </c>
      <c r="MCM868" s="290" t="s">
        <v>280</v>
      </c>
      <c r="MCN868" s="290" t="s">
        <v>280</v>
      </c>
      <c r="MCO868" s="290" t="s">
        <v>280</v>
      </c>
      <c r="MCP868" s="290" t="s">
        <v>280</v>
      </c>
      <c r="MCQ868" s="290" t="s">
        <v>280</v>
      </c>
      <c r="MCR868" s="290" t="s">
        <v>280</v>
      </c>
      <c r="MCS868" s="290" t="s">
        <v>280</v>
      </c>
      <c r="MCT868" s="290" t="s">
        <v>280</v>
      </c>
      <c r="MCU868" s="290" t="s">
        <v>280</v>
      </c>
      <c r="MCV868" s="290" t="s">
        <v>280</v>
      </c>
      <c r="MCW868" s="290" t="s">
        <v>280</v>
      </c>
      <c r="MCX868" s="290" t="s">
        <v>280</v>
      </c>
      <c r="MCY868" s="290" t="s">
        <v>280</v>
      </c>
      <c r="MCZ868" s="290" t="s">
        <v>280</v>
      </c>
      <c r="MDA868" s="290" t="s">
        <v>280</v>
      </c>
      <c r="MDB868" s="290" t="s">
        <v>280</v>
      </c>
      <c r="MDC868" s="290" t="s">
        <v>280</v>
      </c>
      <c r="MDD868" s="290" t="s">
        <v>280</v>
      </c>
      <c r="MDE868" s="290" t="s">
        <v>280</v>
      </c>
      <c r="MDF868" s="290" t="s">
        <v>280</v>
      </c>
      <c r="MDG868" s="290" t="s">
        <v>280</v>
      </c>
      <c r="MDH868" s="290" t="s">
        <v>280</v>
      </c>
      <c r="MDI868" s="290" t="s">
        <v>280</v>
      </c>
      <c r="MDJ868" s="290" t="s">
        <v>280</v>
      </c>
      <c r="MDK868" s="290" t="s">
        <v>280</v>
      </c>
      <c r="MDL868" s="290" t="s">
        <v>280</v>
      </c>
      <c r="MDM868" s="290" t="s">
        <v>280</v>
      </c>
      <c r="MDN868" s="290" t="s">
        <v>280</v>
      </c>
      <c r="MDO868" s="290" t="s">
        <v>280</v>
      </c>
      <c r="MDP868" s="290" t="s">
        <v>280</v>
      </c>
      <c r="MDQ868" s="290" t="s">
        <v>280</v>
      </c>
      <c r="MDR868" s="290" t="s">
        <v>280</v>
      </c>
      <c r="MDS868" s="290" t="s">
        <v>280</v>
      </c>
      <c r="MDT868" s="290" t="s">
        <v>280</v>
      </c>
      <c r="MDU868" s="290" t="s">
        <v>280</v>
      </c>
      <c r="MDV868" s="290" t="s">
        <v>280</v>
      </c>
      <c r="MDW868" s="290" t="s">
        <v>280</v>
      </c>
      <c r="MDX868" s="290" t="s">
        <v>280</v>
      </c>
      <c r="MDY868" s="290" t="s">
        <v>280</v>
      </c>
      <c r="MDZ868" s="290" t="s">
        <v>280</v>
      </c>
      <c r="MEA868" s="290" t="s">
        <v>280</v>
      </c>
      <c r="MEB868" s="290" t="s">
        <v>280</v>
      </c>
      <c r="MEC868" s="290" t="s">
        <v>280</v>
      </c>
      <c r="MED868" s="290" t="s">
        <v>280</v>
      </c>
      <c r="MEE868" s="290" t="s">
        <v>280</v>
      </c>
      <c r="MEF868" s="290" t="s">
        <v>280</v>
      </c>
      <c r="MEG868" s="290" t="s">
        <v>280</v>
      </c>
      <c r="MEH868" s="290" t="s">
        <v>280</v>
      </c>
      <c r="MEI868" s="290" t="s">
        <v>280</v>
      </c>
      <c r="MEJ868" s="290" t="s">
        <v>280</v>
      </c>
      <c r="MEK868" s="290" t="s">
        <v>280</v>
      </c>
      <c r="MEL868" s="290" t="s">
        <v>280</v>
      </c>
      <c r="MEM868" s="290" t="s">
        <v>280</v>
      </c>
      <c r="MEN868" s="290" t="s">
        <v>280</v>
      </c>
      <c r="MEO868" s="290" t="s">
        <v>280</v>
      </c>
      <c r="MEP868" s="290" t="s">
        <v>280</v>
      </c>
      <c r="MEQ868" s="290" t="s">
        <v>280</v>
      </c>
      <c r="MER868" s="290" t="s">
        <v>280</v>
      </c>
      <c r="MES868" s="290" t="s">
        <v>280</v>
      </c>
      <c r="MET868" s="290" t="s">
        <v>280</v>
      </c>
      <c r="MEU868" s="290" t="s">
        <v>280</v>
      </c>
      <c r="MEV868" s="290" t="s">
        <v>280</v>
      </c>
      <c r="MEW868" s="290" t="s">
        <v>280</v>
      </c>
      <c r="MEX868" s="290" t="s">
        <v>280</v>
      </c>
      <c r="MEY868" s="290" t="s">
        <v>280</v>
      </c>
      <c r="MEZ868" s="290" t="s">
        <v>280</v>
      </c>
      <c r="MFA868" s="290" t="s">
        <v>280</v>
      </c>
      <c r="MFB868" s="290" t="s">
        <v>280</v>
      </c>
      <c r="MFC868" s="290" t="s">
        <v>280</v>
      </c>
      <c r="MFD868" s="290" t="s">
        <v>280</v>
      </c>
      <c r="MFE868" s="290" t="s">
        <v>280</v>
      </c>
      <c r="MFF868" s="290" t="s">
        <v>280</v>
      </c>
      <c r="MFG868" s="290" t="s">
        <v>280</v>
      </c>
      <c r="MFH868" s="290" t="s">
        <v>280</v>
      </c>
      <c r="MFI868" s="290" t="s">
        <v>280</v>
      </c>
      <c r="MFJ868" s="290" t="s">
        <v>280</v>
      </c>
      <c r="MFK868" s="290" t="s">
        <v>280</v>
      </c>
      <c r="MFL868" s="290" t="s">
        <v>280</v>
      </c>
      <c r="MFM868" s="290" t="s">
        <v>280</v>
      </c>
      <c r="MFN868" s="290" t="s">
        <v>280</v>
      </c>
      <c r="MFO868" s="290" t="s">
        <v>280</v>
      </c>
      <c r="MFP868" s="290" t="s">
        <v>280</v>
      </c>
      <c r="MFQ868" s="290" t="s">
        <v>280</v>
      </c>
      <c r="MFR868" s="290" t="s">
        <v>280</v>
      </c>
      <c r="MFS868" s="290" t="s">
        <v>280</v>
      </c>
      <c r="MFT868" s="290" t="s">
        <v>280</v>
      </c>
      <c r="MFU868" s="290" t="s">
        <v>280</v>
      </c>
      <c r="MFV868" s="290" t="s">
        <v>280</v>
      </c>
      <c r="MFW868" s="290" t="s">
        <v>280</v>
      </c>
      <c r="MFX868" s="290" t="s">
        <v>280</v>
      </c>
      <c r="MFY868" s="290" t="s">
        <v>280</v>
      </c>
      <c r="MFZ868" s="290" t="s">
        <v>280</v>
      </c>
      <c r="MGA868" s="290" t="s">
        <v>280</v>
      </c>
      <c r="MGB868" s="290" t="s">
        <v>280</v>
      </c>
      <c r="MGC868" s="290" t="s">
        <v>280</v>
      </c>
      <c r="MGD868" s="290" t="s">
        <v>280</v>
      </c>
      <c r="MGE868" s="290" t="s">
        <v>280</v>
      </c>
      <c r="MGF868" s="290" t="s">
        <v>280</v>
      </c>
      <c r="MGG868" s="290" t="s">
        <v>280</v>
      </c>
      <c r="MGH868" s="290" t="s">
        <v>280</v>
      </c>
      <c r="MGI868" s="290" t="s">
        <v>280</v>
      </c>
      <c r="MGJ868" s="290" t="s">
        <v>280</v>
      </c>
      <c r="MGK868" s="290" t="s">
        <v>280</v>
      </c>
      <c r="MGL868" s="290" t="s">
        <v>280</v>
      </c>
      <c r="MGM868" s="290" t="s">
        <v>280</v>
      </c>
      <c r="MGN868" s="290" t="s">
        <v>280</v>
      </c>
      <c r="MGO868" s="290" t="s">
        <v>280</v>
      </c>
      <c r="MGP868" s="290" t="s">
        <v>280</v>
      </c>
      <c r="MGQ868" s="290" t="s">
        <v>280</v>
      </c>
      <c r="MGR868" s="290" t="s">
        <v>280</v>
      </c>
      <c r="MGS868" s="290" t="s">
        <v>280</v>
      </c>
      <c r="MGT868" s="290" t="s">
        <v>280</v>
      </c>
      <c r="MGU868" s="290" t="s">
        <v>280</v>
      </c>
      <c r="MGV868" s="290" t="s">
        <v>280</v>
      </c>
      <c r="MGW868" s="290" t="s">
        <v>280</v>
      </c>
      <c r="MGX868" s="290" t="s">
        <v>280</v>
      </c>
      <c r="MGY868" s="290" t="s">
        <v>280</v>
      </c>
      <c r="MGZ868" s="290" t="s">
        <v>280</v>
      </c>
      <c r="MHA868" s="290" t="s">
        <v>280</v>
      </c>
      <c r="MHB868" s="290" t="s">
        <v>280</v>
      </c>
      <c r="MHC868" s="290" t="s">
        <v>280</v>
      </c>
      <c r="MHD868" s="290" t="s">
        <v>280</v>
      </c>
      <c r="MHE868" s="290" t="s">
        <v>280</v>
      </c>
      <c r="MHF868" s="290" t="s">
        <v>280</v>
      </c>
      <c r="MHG868" s="290" t="s">
        <v>280</v>
      </c>
      <c r="MHH868" s="290" t="s">
        <v>280</v>
      </c>
      <c r="MHI868" s="290" t="s">
        <v>280</v>
      </c>
      <c r="MHJ868" s="290" t="s">
        <v>280</v>
      </c>
      <c r="MHK868" s="290" t="s">
        <v>280</v>
      </c>
      <c r="MHL868" s="290" t="s">
        <v>280</v>
      </c>
      <c r="MHM868" s="290" t="s">
        <v>280</v>
      </c>
      <c r="MHN868" s="290" t="s">
        <v>280</v>
      </c>
      <c r="MHO868" s="290" t="s">
        <v>280</v>
      </c>
      <c r="MHP868" s="290" t="s">
        <v>280</v>
      </c>
      <c r="MHQ868" s="290" t="s">
        <v>280</v>
      </c>
      <c r="MHR868" s="290" t="s">
        <v>280</v>
      </c>
      <c r="MHS868" s="290" t="s">
        <v>280</v>
      </c>
      <c r="MHT868" s="290" t="s">
        <v>280</v>
      </c>
      <c r="MHU868" s="290" t="s">
        <v>280</v>
      </c>
      <c r="MHV868" s="290" t="s">
        <v>280</v>
      </c>
      <c r="MHW868" s="290" t="s">
        <v>280</v>
      </c>
      <c r="MHX868" s="290" t="s">
        <v>280</v>
      </c>
      <c r="MHY868" s="290" t="s">
        <v>280</v>
      </c>
      <c r="MHZ868" s="290" t="s">
        <v>280</v>
      </c>
      <c r="MIA868" s="290" t="s">
        <v>280</v>
      </c>
      <c r="MIB868" s="290" t="s">
        <v>280</v>
      </c>
      <c r="MIC868" s="290" t="s">
        <v>280</v>
      </c>
      <c r="MID868" s="290" t="s">
        <v>280</v>
      </c>
      <c r="MIE868" s="290" t="s">
        <v>280</v>
      </c>
      <c r="MIF868" s="290" t="s">
        <v>280</v>
      </c>
      <c r="MIG868" s="290" t="s">
        <v>280</v>
      </c>
      <c r="MIH868" s="290" t="s">
        <v>280</v>
      </c>
      <c r="MII868" s="290" t="s">
        <v>280</v>
      </c>
      <c r="MIJ868" s="290" t="s">
        <v>280</v>
      </c>
      <c r="MIK868" s="290" t="s">
        <v>280</v>
      </c>
      <c r="MIL868" s="290" t="s">
        <v>280</v>
      </c>
      <c r="MIM868" s="290" t="s">
        <v>280</v>
      </c>
      <c r="MIN868" s="290" t="s">
        <v>280</v>
      </c>
      <c r="MIO868" s="290" t="s">
        <v>280</v>
      </c>
      <c r="MIP868" s="290" t="s">
        <v>280</v>
      </c>
      <c r="MIQ868" s="290" t="s">
        <v>280</v>
      </c>
      <c r="MIR868" s="290" t="s">
        <v>280</v>
      </c>
      <c r="MIS868" s="290" t="s">
        <v>280</v>
      </c>
      <c r="MIT868" s="290" t="s">
        <v>280</v>
      </c>
      <c r="MIU868" s="290" t="s">
        <v>280</v>
      </c>
      <c r="MIV868" s="290" t="s">
        <v>280</v>
      </c>
      <c r="MIW868" s="290" t="s">
        <v>280</v>
      </c>
      <c r="MIX868" s="290" t="s">
        <v>280</v>
      </c>
      <c r="MIY868" s="290" t="s">
        <v>280</v>
      </c>
      <c r="MIZ868" s="290" t="s">
        <v>280</v>
      </c>
      <c r="MJA868" s="290" t="s">
        <v>280</v>
      </c>
      <c r="MJB868" s="290" t="s">
        <v>280</v>
      </c>
      <c r="MJC868" s="290" t="s">
        <v>280</v>
      </c>
      <c r="MJD868" s="290" t="s">
        <v>280</v>
      </c>
      <c r="MJE868" s="290" t="s">
        <v>280</v>
      </c>
      <c r="MJF868" s="290" t="s">
        <v>280</v>
      </c>
      <c r="MJG868" s="290" t="s">
        <v>280</v>
      </c>
      <c r="MJH868" s="290" t="s">
        <v>280</v>
      </c>
      <c r="MJI868" s="290" t="s">
        <v>280</v>
      </c>
      <c r="MJJ868" s="290" t="s">
        <v>280</v>
      </c>
      <c r="MJK868" s="290" t="s">
        <v>280</v>
      </c>
      <c r="MJL868" s="290" t="s">
        <v>280</v>
      </c>
      <c r="MJM868" s="290" t="s">
        <v>280</v>
      </c>
      <c r="MJN868" s="290" t="s">
        <v>280</v>
      </c>
      <c r="MJO868" s="290" t="s">
        <v>280</v>
      </c>
      <c r="MJP868" s="290" t="s">
        <v>280</v>
      </c>
      <c r="MJQ868" s="290" t="s">
        <v>280</v>
      </c>
      <c r="MJR868" s="290" t="s">
        <v>280</v>
      </c>
      <c r="MJS868" s="290" t="s">
        <v>280</v>
      </c>
      <c r="MJT868" s="290" t="s">
        <v>280</v>
      </c>
      <c r="MJU868" s="290" t="s">
        <v>280</v>
      </c>
      <c r="MJV868" s="290" t="s">
        <v>280</v>
      </c>
      <c r="MJW868" s="290" t="s">
        <v>280</v>
      </c>
      <c r="MJX868" s="290" t="s">
        <v>280</v>
      </c>
      <c r="MJY868" s="290" t="s">
        <v>280</v>
      </c>
      <c r="MJZ868" s="290" t="s">
        <v>280</v>
      </c>
      <c r="MKA868" s="290" t="s">
        <v>280</v>
      </c>
      <c r="MKB868" s="290" t="s">
        <v>280</v>
      </c>
      <c r="MKC868" s="290" t="s">
        <v>280</v>
      </c>
      <c r="MKD868" s="290" t="s">
        <v>280</v>
      </c>
      <c r="MKE868" s="290" t="s">
        <v>280</v>
      </c>
      <c r="MKF868" s="290" t="s">
        <v>280</v>
      </c>
      <c r="MKG868" s="290" t="s">
        <v>280</v>
      </c>
      <c r="MKH868" s="290" t="s">
        <v>280</v>
      </c>
      <c r="MKI868" s="290" t="s">
        <v>280</v>
      </c>
      <c r="MKJ868" s="290" t="s">
        <v>280</v>
      </c>
      <c r="MKK868" s="290" t="s">
        <v>280</v>
      </c>
      <c r="MKL868" s="290" t="s">
        <v>280</v>
      </c>
      <c r="MKM868" s="290" t="s">
        <v>280</v>
      </c>
      <c r="MKN868" s="290" t="s">
        <v>280</v>
      </c>
      <c r="MKO868" s="290" t="s">
        <v>280</v>
      </c>
      <c r="MKP868" s="290" t="s">
        <v>280</v>
      </c>
      <c r="MKQ868" s="290" t="s">
        <v>280</v>
      </c>
      <c r="MKR868" s="290" t="s">
        <v>280</v>
      </c>
      <c r="MKS868" s="290" t="s">
        <v>280</v>
      </c>
      <c r="MKT868" s="290" t="s">
        <v>280</v>
      </c>
      <c r="MKU868" s="290" t="s">
        <v>280</v>
      </c>
      <c r="MKV868" s="290" t="s">
        <v>280</v>
      </c>
      <c r="MKW868" s="290" t="s">
        <v>280</v>
      </c>
      <c r="MKX868" s="290" t="s">
        <v>280</v>
      </c>
      <c r="MKY868" s="290" t="s">
        <v>280</v>
      </c>
      <c r="MKZ868" s="290" t="s">
        <v>280</v>
      </c>
      <c r="MLA868" s="290" t="s">
        <v>280</v>
      </c>
      <c r="MLB868" s="290" t="s">
        <v>280</v>
      </c>
      <c r="MLC868" s="290" t="s">
        <v>280</v>
      </c>
      <c r="MLD868" s="290" t="s">
        <v>280</v>
      </c>
      <c r="MLE868" s="290" t="s">
        <v>280</v>
      </c>
      <c r="MLF868" s="290" t="s">
        <v>280</v>
      </c>
      <c r="MLG868" s="290" t="s">
        <v>280</v>
      </c>
      <c r="MLH868" s="290" t="s">
        <v>280</v>
      </c>
      <c r="MLI868" s="290" t="s">
        <v>280</v>
      </c>
      <c r="MLJ868" s="290" t="s">
        <v>280</v>
      </c>
      <c r="MLK868" s="290" t="s">
        <v>280</v>
      </c>
      <c r="MLL868" s="290" t="s">
        <v>280</v>
      </c>
      <c r="MLM868" s="290" t="s">
        <v>280</v>
      </c>
      <c r="MLN868" s="290" t="s">
        <v>280</v>
      </c>
      <c r="MLO868" s="290" t="s">
        <v>280</v>
      </c>
      <c r="MLP868" s="290" t="s">
        <v>280</v>
      </c>
      <c r="MLQ868" s="290" t="s">
        <v>280</v>
      </c>
      <c r="MLR868" s="290" t="s">
        <v>280</v>
      </c>
      <c r="MLS868" s="290" t="s">
        <v>280</v>
      </c>
      <c r="MLT868" s="290" t="s">
        <v>280</v>
      </c>
      <c r="MLU868" s="290" t="s">
        <v>280</v>
      </c>
      <c r="MLV868" s="290" t="s">
        <v>280</v>
      </c>
      <c r="MLW868" s="290" t="s">
        <v>280</v>
      </c>
      <c r="MLX868" s="290" t="s">
        <v>280</v>
      </c>
      <c r="MLY868" s="290" t="s">
        <v>280</v>
      </c>
      <c r="MLZ868" s="290" t="s">
        <v>280</v>
      </c>
      <c r="MMA868" s="290" t="s">
        <v>280</v>
      </c>
      <c r="MMB868" s="290" t="s">
        <v>280</v>
      </c>
      <c r="MMC868" s="290" t="s">
        <v>280</v>
      </c>
      <c r="MMD868" s="290" t="s">
        <v>280</v>
      </c>
      <c r="MME868" s="290" t="s">
        <v>280</v>
      </c>
      <c r="MMF868" s="290" t="s">
        <v>280</v>
      </c>
      <c r="MMG868" s="290" t="s">
        <v>280</v>
      </c>
      <c r="MMH868" s="290" t="s">
        <v>280</v>
      </c>
      <c r="MMI868" s="290" t="s">
        <v>280</v>
      </c>
      <c r="MMJ868" s="290" t="s">
        <v>280</v>
      </c>
      <c r="MMK868" s="290" t="s">
        <v>280</v>
      </c>
      <c r="MML868" s="290" t="s">
        <v>280</v>
      </c>
      <c r="MMM868" s="290" t="s">
        <v>280</v>
      </c>
      <c r="MMN868" s="290" t="s">
        <v>280</v>
      </c>
      <c r="MMO868" s="290" t="s">
        <v>280</v>
      </c>
      <c r="MMP868" s="290" t="s">
        <v>280</v>
      </c>
      <c r="MMQ868" s="290" t="s">
        <v>280</v>
      </c>
      <c r="MMR868" s="290" t="s">
        <v>280</v>
      </c>
      <c r="MMS868" s="290" t="s">
        <v>280</v>
      </c>
      <c r="MMT868" s="290" t="s">
        <v>280</v>
      </c>
      <c r="MMU868" s="290" t="s">
        <v>280</v>
      </c>
      <c r="MMV868" s="290" t="s">
        <v>280</v>
      </c>
      <c r="MMW868" s="290" t="s">
        <v>280</v>
      </c>
      <c r="MMX868" s="290" t="s">
        <v>280</v>
      </c>
      <c r="MMY868" s="290" t="s">
        <v>280</v>
      </c>
      <c r="MMZ868" s="290" t="s">
        <v>280</v>
      </c>
      <c r="MNA868" s="290" t="s">
        <v>280</v>
      </c>
      <c r="MNB868" s="290" t="s">
        <v>280</v>
      </c>
      <c r="MNC868" s="290" t="s">
        <v>280</v>
      </c>
      <c r="MND868" s="290" t="s">
        <v>280</v>
      </c>
      <c r="MNE868" s="290" t="s">
        <v>280</v>
      </c>
      <c r="MNF868" s="290" t="s">
        <v>280</v>
      </c>
      <c r="MNG868" s="290" t="s">
        <v>280</v>
      </c>
      <c r="MNH868" s="290" t="s">
        <v>280</v>
      </c>
      <c r="MNI868" s="290" t="s">
        <v>280</v>
      </c>
      <c r="MNJ868" s="290" t="s">
        <v>280</v>
      </c>
      <c r="MNK868" s="290" t="s">
        <v>280</v>
      </c>
      <c r="MNL868" s="290" t="s">
        <v>280</v>
      </c>
      <c r="MNM868" s="290" t="s">
        <v>280</v>
      </c>
      <c r="MNN868" s="290" t="s">
        <v>280</v>
      </c>
      <c r="MNO868" s="290" t="s">
        <v>280</v>
      </c>
      <c r="MNP868" s="290" t="s">
        <v>280</v>
      </c>
      <c r="MNQ868" s="290" t="s">
        <v>280</v>
      </c>
      <c r="MNR868" s="290" t="s">
        <v>280</v>
      </c>
      <c r="MNS868" s="290" t="s">
        <v>280</v>
      </c>
      <c r="MNT868" s="290" t="s">
        <v>280</v>
      </c>
      <c r="MNU868" s="290" t="s">
        <v>280</v>
      </c>
      <c r="MNV868" s="290" t="s">
        <v>280</v>
      </c>
      <c r="MNW868" s="290" t="s">
        <v>280</v>
      </c>
      <c r="MNX868" s="290" t="s">
        <v>280</v>
      </c>
      <c r="MNY868" s="290" t="s">
        <v>280</v>
      </c>
      <c r="MNZ868" s="290" t="s">
        <v>280</v>
      </c>
      <c r="MOA868" s="290" t="s">
        <v>280</v>
      </c>
      <c r="MOB868" s="290" t="s">
        <v>280</v>
      </c>
      <c r="MOC868" s="290" t="s">
        <v>280</v>
      </c>
      <c r="MOD868" s="290" t="s">
        <v>280</v>
      </c>
      <c r="MOE868" s="290" t="s">
        <v>280</v>
      </c>
      <c r="MOF868" s="290" t="s">
        <v>280</v>
      </c>
      <c r="MOG868" s="290" t="s">
        <v>280</v>
      </c>
      <c r="MOH868" s="290" t="s">
        <v>280</v>
      </c>
      <c r="MOI868" s="290" t="s">
        <v>280</v>
      </c>
      <c r="MOJ868" s="290" t="s">
        <v>280</v>
      </c>
      <c r="MOK868" s="290" t="s">
        <v>280</v>
      </c>
      <c r="MOL868" s="290" t="s">
        <v>280</v>
      </c>
      <c r="MOM868" s="290" t="s">
        <v>280</v>
      </c>
      <c r="MON868" s="290" t="s">
        <v>280</v>
      </c>
      <c r="MOO868" s="290" t="s">
        <v>280</v>
      </c>
      <c r="MOP868" s="290" t="s">
        <v>280</v>
      </c>
      <c r="MOQ868" s="290" t="s">
        <v>280</v>
      </c>
      <c r="MOR868" s="290" t="s">
        <v>280</v>
      </c>
      <c r="MOS868" s="290" t="s">
        <v>280</v>
      </c>
      <c r="MOT868" s="290" t="s">
        <v>280</v>
      </c>
      <c r="MOU868" s="290" t="s">
        <v>280</v>
      </c>
      <c r="MOV868" s="290" t="s">
        <v>280</v>
      </c>
      <c r="MOW868" s="290" t="s">
        <v>280</v>
      </c>
      <c r="MOX868" s="290" t="s">
        <v>280</v>
      </c>
      <c r="MOY868" s="290" t="s">
        <v>280</v>
      </c>
      <c r="MOZ868" s="290" t="s">
        <v>280</v>
      </c>
      <c r="MPA868" s="290" t="s">
        <v>280</v>
      </c>
      <c r="MPB868" s="290" t="s">
        <v>280</v>
      </c>
      <c r="MPC868" s="290" t="s">
        <v>280</v>
      </c>
      <c r="MPD868" s="290" t="s">
        <v>280</v>
      </c>
      <c r="MPE868" s="290" t="s">
        <v>280</v>
      </c>
      <c r="MPF868" s="290" t="s">
        <v>280</v>
      </c>
      <c r="MPG868" s="290" t="s">
        <v>280</v>
      </c>
      <c r="MPH868" s="290" t="s">
        <v>280</v>
      </c>
      <c r="MPI868" s="290" t="s">
        <v>280</v>
      </c>
      <c r="MPJ868" s="290" t="s">
        <v>280</v>
      </c>
      <c r="MPK868" s="290" t="s">
        <v>280</v>
      </c>
      <c r="MPL868" s="290" t="s">
        <v>280</v>
      </c>
      <c r="MPM868" s="290" t="s">
        <v>280</v>
      </c>
      <c r="MPN868" s="290" t="s">
        <v>280</v>
      </c>
      <c r="MPO868" s="290" t="s">
        <v>280</v>
      </c>
      <c r="MPP868" s="290" t="s">
        <v>280</v>
      </c>
      <c r="MPQ868" s="290" t="s">
        <v>280</v>
      </c>
      <c r="MPR868" s="290" t="s">
        <v>280</v>
      </c>
      <c r="MPS868" s="290" t="s">
        <v>280</v>
      </c>
      <c r="MPT868" s="290" t="s">
        <v>280</v>
      </c>
      <c r="MPU868" s="290" t="s">
        <v>280</v>
      </c>
      <c r="MPV868" s="290" t="s">
        <v>280</v>
      </c>
      <c r="MPW868" s="290" t="s">
        <v>280</v>
      </c>
      <c r="MPX868" s="290" t="s">
        <v>280</v>
      </c>
      <c r="MPY868" s="290" t="s">
        <v>280</v>
      </c>
      <c r="MPZ868" s="290" t="s">
        <v>280</v>
      </c>
      <c r="MQA868" s="290" t="s">
        <v>280</v>
      </c>
      <c r="MQB868" s="290" t="s">
        <v>280</v>
      </c>
      <c r="MQC868" s="290" t="s">
        <v>280</v>
      </c>
      <c r="MQD868" s="290" t="s">
        <v>280</v>
      </c>
      <c r="MQE868" s="290" t="s">
        <v>280</v>
      </c>
      <c r="MQF868" s="290" t="s">
        <v>280</v>
      </c>
      <c r="MQG868" s="290" t="s">
        <v>280</v>
      </c>
      <c r="MQH868" s="290" t="s">
        <v>280</v>
      </c>
      <c r="MQI868" s="290" t="s">
        <v>280</v>
      </c>
      <c r="MQJ868" s="290" t="s">
        <v>280</v>
      </c>
      <c r="MQK868" s="290" t="s">
        <v>280</v>
      </c>
      <c r="MQL868" s="290" t="s">
        <v>280</v>
      </c>
      <c r="MQM868" s="290" t="s">
        <v>280</v>
      </c>
      <c r="MQN868" s="290" t="s">
        <v>280</v>
      </c>
      <c r="MQO868" s="290" t="s">
        <v>280</v>
      </c>
      <c r="MQP868" s="290" t="s">
        <v>280</v>
      </c>
      <c r="MQQ868" s="290" t="s">
        <v>280</v>
      </c>
      <c r="MQR868" s="290" t="s">
        <v>280</v>
      </c>
      <c r="MQS868" s="290" t="s">
        <v>280</v>
      </c>
      <c r="MQT868" s="290" t="s">
        <v>280</v>
      </c>
      <c r="MQU868" s="290" t="s">
        <v>280</v>
      </c>
      <c r="MQV868" s="290" t="s">
        <v>280</v>
      </c>
      <c r="MQW868" s="290" t="s">
        <v>280</v>
      </c>
      <c r="MQX868" s="290" t="s">
        <v>280</v>
      </c>
      <c r="MQY868" s="290" t="s">
        <v>280</v>
      </c>
      <c r="MQZ868" s="290" t="s">
        <v>280</v>
      </c>
      <c r="MRA868" s="290" t="s">
        <v>280</v>
      </c>
      <c r="MRB868" s="290" t="s">
        <v>280</v>
      </c>
      <c r="MRC868" s="290" t="s">
        <v>280</v>
      </c>
      <c r="MRD868" s="290" t="s">
        <v>280</v>
      </c>
      <c r="MRE868" s="290" t="s">
        <v>280</v>
      </c>
      <c r="MRF868" s="290" t="s">
        <v>280</v>
      </c>
      <c r="MRG868" s="290" t="s">
        <v>280</v>
      </c>
      <c r="MRH868" s="290" t="s">
        <v>280</v>
      </c>
      <c r="MRI868" s="290" t="s">
        <v>280</v>
      </c>
      <c r="MRJ868" s="290" t="s">
        <v>280</v>
      </c>
      <c r="MRK868" s="290" t="s">
        <v>280</v>
      </c>
      <c r="MRL868" s="290" t="s">
        <v>280</v>
      </c>
      <c r="MRM868" s="290" t="s">
        <v>280</v>
      </c>
      <c r="MRN868" s="290" t="s">
        <v>280</v>
      </c>
      <c r="MRO868" s="290" t="s">
        <v>280</v>
      </c>
      <c r="MRP868" s="290" t="s">
        <v>280</v>
      </c>
      <c r="MRQ868" s="290" t="s">
        <v>280</v>
      </c>
      <c r="MRR868" s="290" t="s">
        <v>280</v>
      </c>
      <c r="MRS868" s="290" t="s">
        <v>280</v>
      </c>
      <c r="MRT868" s="290" t="s">
        <v>280</v>
      </c>
      <c r="MRU868" s="290" t="s">
        <v>280</v>
      </c>
      <c r="MRV868" s="290" t="s">
        <v>280</v>
      </c>
      <c r="MRW868" s="290" t="s">
        <v>280</v>
      </c>
      <c r="MRX868" s="290" t="s">
        <v>280</v>
      </c>
      <c r="MRY868" s="290" t="s">
        <v>280</v>
      </c>
      <c r="MRZ868" s="290" t="s">
        <v>280</v>
      </c>
      <c r="MSA868" s="290" t="s">
        <v>280</v>
      </c>
      <c r="MSB868" s="290" t="s">
        <v>280</v>
      </c>
      <c r="MSC868" s="290" t="s">
        <v>280</v>
      </c>
      <c r="MSD868" s="290" t="s">
        <v>280</v>
      </c>
      <c r="MSE868" s="290" t="s">
        <v>280</v>
      </c>
      <c r="MSF868" s="290" t="s">
        <v>280</v>
      </c>
      <c r="MSG868" s="290" t="s">
        <v>280</v>
      </c>
      <c r="MSH868" s="290" t="s">
        <v>280</v>
      </c>
      <c r="MSI868" s="290" t="s">
        <v>280</v>
      </c>
      <c r="MSJ868" s="290" t="s">
        <v>280</v>
      </c>
      <c r="MSK868" s="290" t="s">
        <v>280</v>
      </c>
      <c r="MSL868" s="290" t="s">
        <v>280</v>
      </c>
      <c r="MSM868" s="290" t="s">
        <v>280</v>
      </c>
      <c r="MSN868" s="290" t="s">
        <v>280</v>
      </c>
      <c r="MSO868" s="290" t="s">
        <v>280</v>
      </c>
      <c r="MSP868" s="290" t="s">
        <v>280</v>
      </c>
      <c r="MSQ868" s="290" t="s">
        <v>280</v>
      </c>
      <c r="MSR868" s="290" t="s">
        <v>280</v>
      </c>
      <c r="MSS868" s="290" t="s">
        <v>280</v>
      </c>
      <c r="MST868" s="290" t="s">
        <v>280</v>
      </c>
      <c r="MSU868" s="290" t="s">
        <v>280</v>
      </c>
      <c r="MSV868" s="290" t="s">
        <v>280</v>
      </c>
      <c r="MSW868" s="290" t="s">
        <v>280</v>
      </c>
      <c r="MSX868" s="290" t="s">
        <v>280</v>
      </c>
      <c r="MSY868" s="290" t="s">
        <v>280</v>
      </c>
      <c r="MSZ868" s="290" t="s">
        <v>280</v>
      </c>
      <c r="MTA868" s="290" t="s">
        <v>280</v>
      </c>
      <c r="MTB868" s="290" t="s">
        <v>280</v>
      </c>
      <c r="MTC868" s="290" t="s">
        <v>280</v>
      </c>
      <c r="MTD868" s="290" t="s">
        <v>280</v>
      </c>
      <c r="MTE868" s="290" t="s">
        <v>280</v>
      </c>
      <c r="MTF868" s="290" t="s">
        <v>280</v>
      </c>
      <c r="MTG868" s="290" t="s">
        <v>280</v>
      </c>
      <c r="MTH868" s="290" t="s">
        <v>280</v>
      </c>
      <c r="MTI868" s="290" t="s">
        <v>280</v>
      </c>
      <c r="MTJ868" s="290" t="s">
        <v>280</v>
      </c>
      <c r="MTK868" s="290" t="s">
        <v>280</v>
      </c>
      <c r="MTL868" s="290" t="s">
        <v>280</v>
      </c>
      <c r="MTM868" s="290" t="s">
        <v>280</v>
      </c>
      <c r="MTN868" s="290" t="s">
        <v>280</v>
      </c>
      <c r="MTO868" s="290" t="s">
        <v>280</v>
      </c>
      <c r="MTP868" s="290" t="s">
        <v>280</v>
      </c>
      <c r="MTQ868" s="290" t="s">
        <v>280</v>
      </c>
      <c r="MTR868" s="290" t="s">
        <v>280</v>
      </c>
      <c r="MTS868" s="290" t="s">
        <v>280</v>
      </c>
      <c r="MTT868" s="290" t="s">
        <v>280</v>
      </c>
      <c r="MTU868" s="290" t="s">
        <v>280</v>
      </c>
      <c r="MTV868" s="290" t="s">
        <v>280</v>
      </c>
      <c r="MTW868" s="290" t="s">
        <v>280</v>
      </c>
      <c r="MTX868" s="290" t="s">
        <v>280</v>
      </c>
      <c r="MTY868" s="290" t="s">
        <v>280</v>
      </c>
      <c r="MTZ868" s="290" t="s">
        <v>280</v>
      </c>
      <c r="MUA868" s="290" t="s">
        <v>280</v>
      </c>
      <c r="MUB868" s="290" t="s">
        <v>280</v>
      </c>
      <c r="MUC868" s="290" t="s">
        <v>280</v>
      </c>
      <c r="MUD868" s="290" t="s">
        <v>280</v>
      </c>
      <c r="MUE868" s="290" t="s">
        <v>280</v>
      </c>
      <c r="MUF868" s="290" t="s">
        <v>280</v>
      </c>
      <c r="MUG868" s="290" t="s">
        <v>280</v>
      </c>
      <c r="MUH868" s="290" t="s">
        <v>280</v>
      </c>
      <c r="MUI868" s="290" t="s">
        <v>280</v>
      </c>
      <c r="MUJ868" s="290" t="s">
        <v>280</v>
      </c>
      <c r="MUK868" s="290" t="s">
        <v>280</v>
      </c>
      <c r="MUL868" s="290" t="s">
        <v>280</v>
      </c>
      <c r="MUM868" s="290" t="s">
        <v>280</v>
      </c>
      <c r="MUN868" s="290" t="s">
        <v>280</v>
      </c>
      <c r="MUO868" s="290" t="s">
        <v>280</v>
      </c>
      <c r="MUP868" s="290" t="s">
        <v>280</v>
      </c>
      <c r="MUQ868" s="290" t="s">
        <v>280</v>
      </c>
      <c r="MUR868" s="290" t="s">
        <v>280</v>
      </c>
      <c r="MUS868" s="290" t="s">
        <v>280</v>
      </c>
      <c r="MUT868" s="290" t="s">
        <v>280</v>
      </c>
      <c r="MUU868" s="290" t="s">
        <v>280</v>
      </c>
      <c r="MUV868" s="290" t="s">
        <v>280</v>
      </c>
      <c r="MUW868" s="290" t="s">
        <v>280</v>
      </c>
      <c r="MUX868" s="290" t="s">
        <v>280</v>
      </c>
      <c r="MUY868" s="290" t="s">
        <v>280</v>
      </c>
      <c r="MUZ868" s="290" t="s">
        <v>280</v>
      </c>
      <c r="MVA868" s="290" t="s">
        <v>280</v>
      </c>
      <c r="MVB868" s="290" t="s">
        <v>280</v>
      </c>
      <c r="MVC868" s="290" t="s">
        <v>280</v>
      </c>
      <c r="MVD868" s="290" t="s">
        <v>280</v>
      </c>
      <c r="MVE868" s="290" t="s">
        <v>280</v>
      </c>
      <c r="MVF868" s="290" t="s">
        <v>280</v>
      </c>
      <c r="MVG868" s="290" t="s">
        <v>280</v>
      </c>
      <c r="MVH868" s="290" t="s">
        <v>280</v>
      </c>
      <c r="MVI868" s="290" t="s">
        <v>280</v>
      </c>
      <c r="MVJ868" s="290" t="s">
        <v>280</v>
      </c>
      <c r="MVK868" s="290" t="s">
        <v>280</v>
      </c>
      <c r="MVL868" s="290" t="s">
        <v>280</v>
      </c>
      <c r="MVM868" s="290" t="s">
        <v>280</v>
      </c>
      <c r="MVN868" s="290" t="s">
        <v>280</v>
      </c>
      <c r="MVO868" s="290" t="s">
        <v>280</v>
      </c>
      <c r="MVP868" s="290" t="s">
        <v>280</v>
      </c>
      <c r="MVQ868" s="290" t="s">
        <v>280</v>
      </c>
      <c r="MVR868" s="290" t="s">
        <v>280</v>
      </c>
      <c r="MVS868" s="290" t="s">
        <v>280</v>
      </c>
      <c r="MVT868" s="290" t="s">
        <v>280</v>
      </c>
      <c r="MVU868" s="290" t="s">
        <v>280</v>
      </c>
      <c r="MVV868" s="290" t="s">
        <v>280</v>
      </c>
      <c r="MVW868" s="290" t="s">
        <v>280</v>
      </c>
      <c r="MVX868" s="290" t="s">
        <v>280</v>
      </c>
      <c r="MVY868" s="290" t="s">
        <v>280</v>
      </c>
      <c r="MVZ868" s="290" t="s">
        <v>280</v>
      </c>
      <c r="MWA868" s="290" t="s">
        <v>280</v>
      </c>
      <c r="MWB868" s="290" t="s">
        <v>280</v>
      </c>
      <c r="MWC868" s="290" t="s">
        <v>280</v>
      </c>
      <c r="MWD868" s="290" t="s">
        <v>280</v>
      </c>
      <c r="MWE868" s="290" t="s">
        <v>280</v>
      </c>
      <c r="MWF868" s="290" t="s">
        <v>280</v>
      </c>
      <c r="MWG868" s="290" t="s">
        <v>280</v>
      </c>
      <c r="MWH868" s="290" t="s">
        <v>280</v>
      </c>
      <c r="MWI868" s="290" t="s">
        <v>280</v>
      </c>
      <c r="MWJ868" s="290" t="s">
        <v>280</v>
      </c>
      <c r="MWK868" s="290" t="s">
        <v>280</v>
      </c>
      <c r="MWL868" s="290" t="s">
        <v>280</v>
      </c>
      <c r="MWM868" s="290" t="s">
        <v>280</v>
      </c>
      <c r="MWN868" s="290" t="s">
        <v>280</v>
      </c>
      <c r="MWO868" s="290" t="s">
        <v>280</v>
      </c>
      <c r="MWP868" s="290" t="s">
        <v>280</v>
      </c>
      <c r="MWQ868" s="290" t="s">
        <v>280</v>
      </c>
      <c r="MWR868" s="290" t="s">
        <v>280</v>
      </c>
      <c r="MWS868" s="290" t="s">
        <v>280</v>
      </c>
      <c r="MWT868" s="290" t="s">
        <v>280</v>
      </c>
      <c r="MWU868" s="290" t="s">
        <v>280</v>
      </c>
      <c r="MWV868" s="290" t="s">
        <v>280</v>
      </c>
      <c r="MWW868" s="290" t="s">
        <v>280</v>
      </c>
      <c r="MWX868" s="290" t="s">
        <v>280</v>
      </c>
      <c r="MWY868" s="290" t="s">
        <v>280</v>
      </c>
      <c r="MWZ868" s="290" t="s">
        <v>280</v>
      </c>
      <c r="MXA868" s="290" t="s">
        <v>280</v>
      </c>
      <c r="MXB868" s="290" t="s">
        <v>280</v>
      </c>
      <c r="MXC868" s="290" t="s">
        <v>280</v>
      </c>
      <c r="MXD868" s="290" t="s">
        <v>280</v>
      </c>
      <c r="MXE868" s="290" t="s">
        <v>280</v>
      </c>
      <c r="MXF868" s="290" t="s">
        <v>280</v>
      </c>
      <c r="MXG868" s="290" t="s">
        <v>280</v>
      </c>
      <c r="MXH868" s="290" t="s">
        <v>280</v>
      </c>
      <c r="MXI868" s="290" t="s">
        <v>280</v>
      </c>
      <c r="MXJ868" s="290" t="s">
        <v>280</v>
      </c>
      <c r="MXK868" s="290" t="s">
        <v>280</v>
      </c>
      <c r="MXL868" s="290" t="s">
        <v>280</v>
      </c>
      <c r="MXM868" s="290" t="s">
        <v>280</v>
      </c>
      <c r="MXN868" s="290" t="s">
        <v>280</v>
      </c>
      <c r="MXO868" s="290" t="s">
        <v>280</v>
      </c>
      <c r="MXP868" s="290" t="s">
        <v>280</v>
      </c>
      <c r="MXQ868" s="290" t="s">
        <v>280</v>
      </c>
      <c r="MXR868" s="290" t="s">
        <v>280</v>
      </c>
      <c r="MXS868" s="290" t="s">
        <v>280</v>
      </c>
      <c r="MXT868" s="290" t="s">
        <v>280</v>
      </c>
      <c r="MXU868" s="290" t="s">
        <v>280</v>
      </c>
      <c r="MXV868" s="290" t="s">
        <v>280</v>
      </c>
      <c r="MXW868" s="290" t="s">
        <v>280</v>
      </c>
      <c r="MXX868" s="290" t="s">
        <v>280</v>
      </c>
      <c r="MXY868" s="290" t="s">
        <v>280</v>
      </c>
      <c r="MXZ868" s="290" t="s">
        <v>280</v>
      </c>
      <c r="MYA868" s="290" t="s">
        <v>280</v>
      </c>
      <c r="MYB868" s="290" t="s">
        <v>280</v>
      </c>
      <c r="MYC868" s="290" t="s">
        <v>280</v>
      </c>
      <c r="MYD868" s="290" t="s">
        <v>280</v>
      </c>
      <c r="MYE868" s="290" t="s">
        <v>280</v>
      </c>
      <c r="MYF868" s="290" t="s">
        <v>280</v>
      </c>
      <c r="MYG868" s="290" t="s">
        <v>280</v>
      </c>
      <c r="MYH868" s="290" t="s">
        <v>280</v>
      </c>
      <c r="MYI868" s="290" t="s">
        <v>280</v>
      </c>
      <c r="MYJ868" s="290" t="s">
        <v>280</v>
      </c>
      <c r="MYK868" s="290" t="s">
        <v>280</v>
      </c>
      <c r="MYL868" s="290" t="s">
        <v>280</v>
      </c>
      <c r="MYM868" s="290" t="s">
        <v>280</v>
      </c>
      <c r="MYN868" s="290" t="s">
        <v>280</v>
      </c>
      <c r="MYO868" s="290" t="s">
        <v>280</v>
      </c>
      <c r="MYP868" s="290" t="s">
        <v>280</v>
      </c>
      <c r="MYQ868" s="290" t="s">
        <v>280</v>
      </c>
      <c r="MYR868" s="290" t="s">
        <v>280</v>
      </c>
      <c r="MYS868" s="290" t="s">
        <v>280</v>
      </c>
      <c r="MYT868" s="290" t="s">
        <v>280</v>
      </c>
      <c r="MYU868" s="290" t="s">
        <v>280</v>
      </c>
      <c r="MYV868" s="290" t="s">
        <v>280</v>
      </c>
      <c r="MYW868" s="290" t="s">
        <v>280</v>
      </c>
      <c r="MYX868" s="290" t="s">
        <v>280</v>
      </c>
      <c r="MYY868" s="290" t="s">
        <v>280</v>
      </c>
      <c r="MYZ868" s="290" t="s">
        <v>280</v>
      </c>
      <c r="MZA868" s="290" t="s">
        <v>280</v>
      </c>
      <c r="MZB868" s="290" t="s">
        <v>280</v>
      </c>
      <c r="MZC868" s="290" t="s">
        <v>280</v>
      </c>
      <c r="MZD868" s="290" t="s">
        <v>280</v>
      </c>
      <c r="MZE868" s="290" t="s">
        <v>280</v>
      </c>
      <c r="MZF868" s="290" t="s">
        <v>280</v>
      </c>
      <c r="MZG868" s="290" t="s">
        <v>280</v>
      </c>
      <c r="MZH868" s="290" t="s">
        <v>280</v>
      </c>
      <c r="MZI868" s="290" t="s">
        <v>280</v>
      </c>
      <c r="MZJ868" s="290" t="s">
        <v>280</v>
      </c>
      <c r="MZK868" s="290" t="s">
        <v>280</v>
      </c>
      <c r="MZL868" s="290" t="s">
        <v>280</v>
      </c>
      <c r="MZM868" s="290" t="s">
        <v>280</v>
      </c>
      <c r="MZN868" s="290" t="s">
        <v>280</v>
      </c>
      <c r="MZO868" s="290" t="s">
        <v>280</v>
      </c>
      <c r="MZP868" s="290" t="s">
        <v>280</v>
      </c>
      <c r="MZQ868" s="290" t="s">
        <v>280</v>
      </c>
      <c r="MZR868" s="290" t="s">
        <v>280</v>
      </c>
      <c r="MZS868" s="290" t="s">
        <v>280</v>
      </c>
      <c r="MZT868" s="290" t="s">
        <v>280</v>
      </c>
      <c r="MZU868" s="290" t="s">
        <v>280</v>
      </c>
      <c r="MZV868" s="290" t="s">
        <v>280</v>
      </c>
      <c r="MZW868" s="290" t="s">
        <v>280</v>
      </c>
      <c r="MZX868" s="290" t="s">
        <v>280</v>
      </c>
      <c r="MZY868" s="290" t="s">
        <v>280</v>
      </c>
      <c r="MZZ868" s="290" t="s">
        <v>280</v>
      </c>
      <c r="NAA868" s="290" t="s">
        <v>280</v>
      </c>
      <c r="NAB868" s="290" t="s">
        <v>280</v>
      </c>
      <c r="NAC868" s="290" t="s">
        <v>280</v>
      </c>
      <c r="NAD868" s="290" t="s">
        <v>280</v>
      </c>
      <c r="NAE868" s="290" t="s">
        <v>280</v>
      </c>
      <c r="NAF868" s="290" t="s">
        <v>280</v>
      </c>
      <c r="NAG868" s="290" t="s">
        <v>280</v>
      </c>
      <c r="NAH868" s="290" t="s">
        <v>280</v>
      </c>
      <c r="NAI868" s="290" t="s">
        <v>280</v>
      </c>
      <c r="NAJ868" s="290" t="s">
        <v>280</v>
      </c>
      <c r="NAK868" s="290" t="s">
        <v>280</v>
      </c>
      <c r="NAL868" s="290" t="s">
        <v>280</v>
      </c>
      <c r="NAM868" s="290" t="s">
        <v>280</v>
      </c>
      <c r="NAN868" s="290" t="s">
        <v>280</v>
      </c>
      <c r="NAO868" s="290" t="s">
        <v>280</v>
      </c>
      <c r="NAP868" s="290" t="s">
        <v>280</v>
      </c>
      <c r="NAQ868" s="290" t="s">
        <v>280</v>
      </c>
      <c r="NAR868" s="290" t="s">
        <v>280</v>
      </c>
      <c r="NAS868" s="290" t="s">
        <v>280</v>
      </c>
      <c r="NAT868" s="290" t="s">
        <v>280</v>
      </c>
      <c r="NAU868" s="290" t="s">
        <v>280</v>
      </c>
      <c r="NAV868" s="290" t="s">
        <v>280</v>
      </c>
      <c r="NAW868" s="290" t="s">
        <v>280</v>
      </c>
      <c r="NAX868" s="290" t="s">
        <v>280</v>
      </c>
      <c r="NAY868" s="290" t="s">
        <v>280</v>
      </c>
      <c r="NAZ868" s="290" t="s">
        <v>280</v>
      </c>
      <c r="NBA868" s="290" t="s">
        <v>280</v>
      </c>
      <c r="NBB868" s="290" t="s">
        <v>280</v>
      </c>
      <c r="NBC868" s="290" t="s">
        <v>280</v>
      </c>
      <c r="NBD868" s="290" t="s">
        <v>280</v>
      </c>
      <c r="NBE868" s="290" t="s">
        <v>280</v>
      </c>
      <c r="NBF868" s="290" t="s">
        <v>280</v>
      </c>
      <c r="NBG868" s="290" t="s">
        <v>280</v>
      </c>
      <c r="NBH868" s="290" t="s">
        <v>280</v>
      </c>
      <c r="NBI868" s="290" t="s">
        <v>280</v>
      </c>
      <c r="NBJ868" s="290" t="s">
        <v>280</v>
      </c>
      <c r="NBK868" s="290" t="s">
        <v>280</v>
      </c>
      <c r="NBL868" s="290" t="s">
        <v>280</v>
      </c>
      <c r="NBM868" s="290" t="s">
        <v>280</v>
      </c>
      <c r="NBN868" s="290" t="s">
        <v>280</v>
      </c>
      <c r="NBO868" s="290" t="s">
        <v>280</v>
      </c>
      <c r="NBP868" s="290" t="s">
        <v>280</v>
      </c>
      <c r="NBQ868" s="290" t="s">
        <v>280</v>
      </c>
      <c r="NBR868" s="290" t="s">
        <v>280</v>
      </c>
      <c r="NBS868" s="290" t="s">
        <v>280</v>
      </c>
      <c r="NBT868" s="290" t="s">
        <v>280</v>
      </c>
      <c r="NBU868" s="290" t="s">
        <v>280</v>
      </c>
      <c r="NBV868" s="290" t="s">
        <v>280</v>
      </c>
      <c r="NBW868" s="290" t="s">
        <v>280</v>
      </c>
      <c r="NBX868" s="290" t="s">
        <v>280</v>
      </c>
      <c r="NBY868" s="290" t="s">
        <v>280</v>
      </c>
      <c r="NBZ868" s="290" t="s">
        <v>280</v>
      </c>
      <c r="NCA868" s="290" t="s">
        <v>280</v>
      </c>
      <c r="NCB868" s="290" t="s">
        <v>280</v>
      </c>
      <c r="NCC868" s="290" t="s">
        <v>280</v>
      </c>
      <c r="NCD868" s="290" t="s">
        <v>280</v>
      </c>
      <c r="NCE868" s="290" t="s">
        <v>280</v>
      </c>
      <c r="NCF868" s="290" t="s">
        <v>280</v>
      </c>
      <c r="NCG868" s="290" t="s">
        <v>280</v>
      </c>
      <c r="NCH868" s="290" t="s">
        <v>280</v>
      </c>
      <c r="NCI868" s="290" t="s">
        <v>280</v>
      </c>
      <c r="NCJ868" s="290" t="s">
        <v>280</v>
      </c>
      <c r="NCK868" s="290" t="s">
        <v>280</v>
      </c>
      <c r="NCL868" s="290" t="s">
        <v>280</v>
      </c>
      <c r="NCM868" s="290" t="s">
        <v>280</v>
      </c>
      <c r="NCN868" s="290" t="s">
        <v>280</v>
      </c>
      <c r="NCO868" s="290" t="s">
        <v>280</v>
      </c>
      <c r="NCP868" s="290" t="s">
        <v>280</v>
      </c>
      <c r="NCQ868" s="290" t="s">
        <v>280</v>
      </c>
      <c r="NCR868" s="290" t="s">
        <v>280</v>
      </c>
      <c r="NCS868" s="290" t="s">
        <v>280</v>
      </c>
      <c r="NCT868" s="290" t="s">
        <v>280</v>
      </c>
      <c r="NCU868" s="290" t="s">
        <v>280</v>
      </c>
      <c r="NCV868" s="290" t="s">
        <v>280</v>
      </c>
      <c r="NCW868" s="290" t="s">
        <v>280</v>
      </c>
      <c r="NCX868" s="290" t="s">
        <v>280</v>
      </c>
      <c r="NCY868" s="290" t="s">
        <v>280</v>
      </c>
      <c r="NCZ868" s="290" t="s">
        <v>280</v>
      </c>
      <c r="NDA868" s="290" t="s">
        <v>280</v>
      </c>
      <c r="NDB868" s="290" t="s">
        <v>280</v>
      </c>
      <c r="NDC868" s="290" t="s">
        <v>280</v>
      </c>
      <c r="NDD868" s="290" t="s">
        <v>280</v>
      </c>
      <c r="NDE868" s="290" t="s">
        <v>280</v>
      </c>
      <c r="NDF868" s="290" t="s">
        <v>280</v>
      </c>
      <c r="NDG868" s="290" t="s">
        <v>280</v>
      </c>
      <c r="NDH868" s="290" t="s">
        <v>280</v>
      </c>
      <c r="NDI868" s="290" t="s">
        <v>280</v>
      </c>
      <c r="NDJ868" s="290" t="s">
        <v>280</v>
      </c>
      <c r="NDK868" s="290" t="s">
        <v>280</v>
      </c>
      <c r="NDL868" s="290" t="s">
        <v>280</v>
      </c>
      <c r="NDM868" s="290" t="s">
        <v>280</v>
      </c>
      <c r="NDN868" s="290" t="s">
        <v>280</v>
      </c>
      <c r="NDO868" s="290" t="s">
        <v>280</v>
      </c>
      <c r="NDP868" s="290" t="s">
        <v>280</v>
      </c>
      <c r="NDQ868" s="290" t="s">
        <v>280</v>
      </c>
      <c r="NDR868" s="290" t="s">
        <v>280</v>
      </c>
      <c r="NDS868" s="290" t="s">
        <v>280</v>
      </c>
      <c r="NDT868" s="290" t="s">
        <v>280</v>
      </c>
      <c r="NDU868" s="290" t="s">
        <v>280</v>
      </c>
      <c r="NDV868" s="290" t="s">
        <v>280</v>
      </c>
      <c r="NDW868" s="290" t="s">
        <v>280</v>
      </c>
      <c r="NDX868" s="290" t="s">
        <v>280</v>
      </c>
      <c r="NDY868" s="290" t="s">
        <v>280</v>
      </c>
      <c r="NDZ868" s="290" t="s">
        <v>280</v>
      </c>
      <c r="NEA868" s="290" t="s">
        <v>280</v>
      </c>
      <c r="NEB868" s="290" t="s">
        <v>280</v>
      </c>
      <c r="NEC868" s="290" t="s">
        <v>280</v>
      </c>
      <c r="NED868" s="290" t="s">
        <v>280</v>
      </c>
      <c r="NEE868" s="290" t="s">
        <v>280</v>
      </c>
      <c r="NEF868" s="290" t="s">
        <v>280</v>
      </c>
      <c r="NEG868" s="290" t="s">
        <v>280</v>
      </c>
      <c r="NEH868" s="290" t="s">
        <v>280</v>
      </c>
      <c r="NEI868" s="290" t="s">
        <v>280</v>
      </c>
      <c r="NEJ868" s="290" t="s">
        <v>280</v>
      </c>
      <c r="NEK868" s="290" t="s">
        <v>280</v>
      </c>
      <c r="NEL868" s="290" t="s">
        <v>280</v>
      </c>
      <c r="NEM868" s="290" t="s">
        <v>280</v>
      </c>
      <c r="NEN868" s="290" t="s">
        <v>280</v>
      </c>
      <c r="NEO868" s="290" t="s">
        <v>280</v>
      </c>
      <c r="NEP868" s="290" t="s">
        <v>280</v>
      </c>
      <c r="NEQ868" s="290" t="s">
        <v>280</v>
      </c>
      <c r="NER868" s="290" t="s">
        <v>280</v>
      </c>
      <c r="NES868" s="290" t="s">
        <v>280</v>
      </c>
      <c r="NET868" s="290" t="s">
        <v>280</v>
      </c>
      <c r="NEU868" s="290" t="s">
        <v>280</v>
      </c>
      <c r="NEV868" s="290" t="s">
        <v>280</v>
      </c>
      <c r="NEW868" s="290" t="s">
        <v>280</v>
      </c>
      <c r="NEX868" s="290" t="s">
        <v>280</v>
      </c>
      <c r="NEY868" s="290" t="s">
        <v>280</v>
      </c>
      <c r="NEZ868" s="290" t="s">
        <v>280</v>
      </c>
      <c r="NFA868" s="290" t="s">
        <v>280</v>
      </c>
      <c r="NFB868" s="290" t="s">
        <v>280</v>
      </c>
      <c r="NFC868" s="290" t="s">
        <v>280</v>
      </c>
      <c r="NFD868" s="290" t="s">
        <v>280</v>
      </c>
      <c r="NFE868" s="290" t="s">
        <v>280</v>
      </c>
      <c r="NFF868" s="290" t="s">
        <v>280</v>
      </c>
      <c r="NFG868" s="290" t="s">
        <v>280</v>
      </c>
      <c r="NFH868" s="290" t="s">
        <v>280</v>
      </c>
      <c r="NFI868" s="290" t="s">
        <v>280</v>
      </c>
      <c r="NFJ868" s="290" t="s">
        <v>280</v>
      </c>
      <c r="NFK868" s="290" t="s">
        <v>280</v>
      </c>
      <c r="NFL868" s="290" t="s">
        <v>280</v>
      </c>
      <c r="NFM868" s="290" t="s">
        <v>280</v>
      </c>
      <c r="NFN868" s="290" t="s">
        <v>280</v>
      </c>
      <c r="NFO868" s="290" t="s">
        <v>280</v>
      </c>
      <c r="NFP868" s="290" t="s">
        <v>280</v>
      </c>
      <c r="NFQ868" s="290" t="s">
        <v>280</v>
      </c>
      <c r="NFR868" s="290" t="s">
        <v>280</v>
      </c>
      <c r="NFS868" s="290" t="s">
        <v>280</v>
      </c>
      <c r="NFT868" s="290" t="s">
        <v>280</v>
      </c>
      <c r="NFU868" s="290" t="s">
        <v>280</v>
      </c>
      <c r="NFV868" s="290" t="s">
        <v>280</v>
      </c>
      <c r="NFW868" s="290" t="s">
        <v>280</v>
      </c>
      <c r="NFX868" s="290" t="s">
        <v>280</v>
      </c>
      <c r="NFY868" s="290" t="s">
        <v>280</v>
      </c>
      <c r="NFZ868" s="290" t="s">
        <v>280</v>
      </c>
      <c r="NGA868" s="290" t="s">
        <v>280</v>
      </c>
      <c r="NGB868" s="290" t="s">
        <v>280</v>
      </c>
      <c r="NGC868" s="290" t="s">
        <v>280</v>
      </c>
      <c r="NGD868" s="290" t="s">
        <v>280</v>
      </c>
      <c r="NGE868" s="290" t="s">
        <v>280</v>
      </c>
      <c r="NGF868" s="290" t="s">
        <v>280</v>
      </c>
      <c r="NGG868" s="290" t="s">
        <v>280</v>
      </c>
      <c r="NGH868" s="290" t="s">
        <v>280</v>
      </c>
      <c r="NGI868" s="290" t="s">
        <v>280</v>
      </c>
      <c r="NGJ868" s="290" t="s">
        <v>280</v>
      </c>
      <c r="NGK868" s="290" t="s">
        <v>280</v>
      </c>
      <c r="NGL868" s="290" t="s">
        <v>280</v>
      </c>
      <c r="NGM868" s="290" t="s">
        <v>280</v>
      </c>
      <c r="NGN868" s="290" t="s">
        <v>280</v>
      </c>
      <c r="NGO868" s="290" t="s">
        <v>280</v>
      </c>
      <c r="NGP868" s="290" t="s">
        <v>280</v>
      </c>
      <c r="NGQ868" s="290" t="s">
        <v>280</v>
      </c>
      <c r="NGR868" s="290" t="s">
        <v>280</v>
      </c>
      <c r="NGS868" s="290" t="s">
        <v>280</v>
      </c>
      <c r="NGT868" s="290" t="s">
        <v>280</v>
      </c>
      <c r="NGU868" s="290" t="s">
        <v>280</v>
      </c>
      <c r="NGV868" s="290" t="s">
        <v>280</v>
      </c>
      <c r="NGW868" s="290" t="s">
        <v>280</v>
      </c>
      <c r="NGX868" s="290" t="s">
        <v>280</v>
      </c>
      <c r="NGY868" s="290" t="s">
        <v>280</v>
      </c>
      <c r="NGZ868" s="290" t="s">
        <v>280</v>
      </c>
      <c r="NHA868" s="290" t="s">
        <v>280</v>
      </c>
      <c r="NHB868" s="290" t="s">
        <v>280</v>
      </c>
      <c r="NHC868" s="290" t="s">
        <v>280</v>
      </c>
      <c r="NHD868" s="290" t="s">
        <v>280</v>
      </c>
      <c r="NHE868" s="290" t="s">
        <v>280</v>
      </c>
      <c r="NHF868" s="290" t="s">
        <v>280</v>
      </c>
      <c r="NHG868" s="290" t="s">
        <v>280</v>
      </c>
      <c r="NHH868" s="290" t="s">
        <v>280</v>
      </c>
      <c r="NHI868" s="290" t="s">
        <v>280</v>
      </c>
      <c r="NHJ868" s="290" t="s">
        <v>280</v>
      </c>
      <c r="NHK868" s="290" t="s">
        <v>280</v>
      </c>
      <c r="NHL868" s="290" t="s">
        <v>280</v>
      </c>
      <c r="NHM868" s="290" t="s">
        <v>280</v>
      </c>
      <c r="NHN868" s="290" t="s">
        <v>280</v>
      </c>
      <c r="NHO868" s="290" t="s">
        <v>280</v>
      </c>
      <c r="NHP868" s="290" t="s">
        <v>280</v>
      </c>
      <c r="NHQ868" s="290" t="s">
        <v>280</v>
      </c>
      <c r="NHR868" s="290" t="s">
        <v>280</v>
      </c>
      <c r="NHS868" s="290" t="s">
        <v>280</v>
      </c>
      <c r="NHT868" s="290" t="s">
        <v>280</v>
      </c>
      <c r="NHU868" s="290" t="s">
        <v>280</v>
      </c>
      <c r="NHV868" s="290" t="s">
        <v>280</v>
      </c>
      <c r="NHW868" s="290" t="s">
        <v>280</v>
      </c>
      <c r="NHX868" s="290" t="s">
        <v>280</v>
      </c>
      <c r="NHY868" s="290" t="s">
        <v>280</v>
      </c>
      <c r="NHZ868" s="290" t="s">
        <v>280</v>
      </c>
      <c r="NIA868" s="290" t="s">
        <v>280</v>
      </c>
      <c r="NIB868" s="290" t="s">
        <v>280</v>
      </c>
      <c r="NIC868" s="290" t="s">
        <v>280</v>
      </c>
      <c r="NID868" s="290" t="s">
        <v>280</v>
      </c>
      <c r="NIE868" s="290" t="s">
        <v>280</v>
      </c>
      <c r="NIF868" s="290" t="s">
        <v>280</v>
      </c>
      <c r="NIG868" s="290" t="s">
        <v>280</v>
      </c>
      <c r="NIH868" s="290" t="s">
        <v>280</v>
      </c>
      <c r="NII868" s="290" t="s">
        <v>280</v>
      </c>
      <c r="NIJ868" s="290" t="s">
        <v>280</v>
      </c>
      <c r="NIK868" s="290" t="s">
        <v>280</v>
      </c>
      <c r="NIL868" s="290" t="s">
        <v>280</v>
      </c>
      <c r="NIM868" s="290" t="s">
        <v>280</v>
      </c>
      <c r="NIN868" s="290" t="s">
        <v>280</v>
      </c>
      <c r="NIO868" s="290" t="s">
        <v>280</v>
      </c>
      <c r="NIP868" s="290" t="s">
        <v>280</v>
      </c>
      <c r="NIQ868" s="290" t="s">
        <v>280</v>
      </c>
      <c r="NIR868" s="290" t="s">
        <v>280</v>
      </c>
      <c r="NIS868" s="290" t="s">
        <v>280</v>
      </c>
      <c r="NIT868" s="290" t="s">
        <v>280</v>
      </c>
      <c r="NIU868" s="290" t="s">
        <v>280</v>
      </c>
      <c r="NIV868" s="290" t="s">
        <v>280</v>
      </c>
      <c r="NIW868" s="290" t="s">
        <v>280</v>
      </c>
      <c r="NIX868" s="290" t="s">
        <v>280</v>
      </c>
      <c r="NIY868" s="290" t="s">
        <v>280</v>
      </c>
      <c r="NIZ868" s="290" t="s">
        <v>280</v>
      </c>
      <c r="NJA868" s="290" t="s">
        <v>280</v>
      </c>
      <c r="NJB868" s="290" t="s">
        <v>280</v>
      </c>
      <c r="NJC868" s="290" t="s">
        <v>280</v>
      </c>
      <c r="NJD868" s="290" t="s">
        <v>280</v>
      </c>
      <c r="NJE868" s="290" t="s">
        <v>280</v>
      </c>
      <c r="NJF868" s="290" t="s">
        <v>280</v>
      </c>
      <c r="NJG868" s="290" t="s">
        <v>280</v>
      </c>
      <c r="NJH868" s="290" t="s">
        <v>280</v>
      </c>
      <c r="NJI868" s="290" t="s">
        <v>280</v>
      </c>
      <c r="NJJ868" s="290" t="s">
        <v>280</v>
      </c>
      <c r="NJK868" s="290" t="s">
        <v>280</v>
      </c>
      <c r="NJL868" s="290" t="s">
        <v>280</v>
      </c>
      <c r="NJM868" s="290" t="s">
        <v>280</v>
      </c>
      <c r="NJN868" s="290" t="s">
        <v>280</v>
      </c>
      <c r="NJO868" s="290" t="s">
        <v>280</v>
      </c>
      <c r="NJP868" s="290" t="s">
        <v>280</v>
      </c>
      <c r="NJQ868" s="290" t="s">
        <v>280</v>
      </c>
      <c r="NJR868" s="290" t="s">
        <v>280</v>
      </c>
      <c r="NJS868" s="290" t="s">
        <v>280</v>
      </c>
      <c r="NJT868" s="290" t="s">
        <v>280</v>
      </c>
      <c r="NJU868" s="290" t="s">
        <v>280</v>
      </c>
      <c r="NJV868" s="290" t="s">
        <v>280</v>
      </c>
      <c r="NJW868" s="290" t="s">
        <v>280</v>
      </c>
      <c r="NJX868" s="290" t="s">
        <v>280</v>
      </c>
      <c r="NJY868" s="290" t="s">
        <v>280</v>
      </c>
      <c r="NJZ868" s="290" t="s">
        <v>280</v>
      </c>
      <c r="NKA868" s="290" t="s">
        <v>280</v>
      </c>
      <c r="NKB868" s="290" t="s">
        <v>280</v>
      </c>
      <c r="NKC868" s="290" t="s">
        <v>280</v>
      </c>
      <c r="NKD868" s="290" t="s">
        <v>280</v>
      </c>
      <c r="NKE868" s="290" t="s">
        <v>280</v>
      </c>
      <c r="NKF868" s="290" t="s">
        <v>280</v>
      </c>
      <c r="NKG868" s="290" t="s">
        <v>280</v>
      </c>
      <c r="NKH868" s="290" t="s">
        <v>280</v>
      </c>
      <c r="NKI868" s="290" t="s">
        <v>280</v>
      </c>
      <c r="NKJ868" s="290" t="s">
        <v>280</v>
      </c>
      <c r="NKK868" s="290" t="s">
        <v>280</v>
      </c>
      <c r="NKL868" s="290" t="s">
        <v>280</v>
      </c>
      <c r="NKM868" s="290" t="s">
        <v>280</v>
      </c>
      <c r="NKN868" s="290" t="s">
        <v>280</v>
      </c>
      <c r="NKO868" s="290" t="s">
        <v>280</v>
      </c>
      <c r="NKP868" s="290" t="s">
        <v>280</v>
      </c>
      <c r="NKQ868" s="290" t="s">
        <v>280</v>
      </c>
      <c r="NKR868" s="290" t="s">
        <v>280</v>
      </c>
      <c r="NKS868" s="290" t="s">
        <v>280</v>
      </c>
      <c r="NKT868" s="290" t="s">
        <v>280</v>
      </c>
      <c r="NKU868" s="290" t="s">
        <v>280</v>
      </c>
      <c r="NKV868" s="290" t="s">
        <v>280</v>
      </c>
      <c r="NKW868" s="290" t="s">
        <v>280</v>
      </c>
      <c r="NKX868" s="290" t="s">
        <v>280</v>
      </c>
      <c r="NKY868" s="290" t="s">
        <v>280</v>
      </c>
      <c r="NKZ868" s="290" t="s">
        <v>280</v>
      </c>
      <c r="NLA868" s="290" t="s">
        <v>280</v>
      </c>
      <c r="NLB868" s="290" t="s">
        <v>280</v>
      </c>
      <c r="NLC868" s="290" t="s">
        <v>280</v>
      </c>
      <c r="NLD868" s="290" t="s">
        <v>280</v>
      </c>
      <c r="NLE868" s="290" t="s">
        <v>280</v>
      </c>
      <c r="NLF868" s="290" t="s">
        <v>280</v>
      </c>
      <c r="NLG868" s="290" t="s">
        <v>280</v>
      </c>
      <c r="NLH868" s="290" t="s">
        <v>280</v>
      </c>
      <c r="NLI868" s="290" t="s">
        <v>280</v>
      </c>
      <c r="NLJ868" s="290" t="s">
        <v>280</v>
      </c>
      <c r="NLK868" s="290" t="s">
        <v>280</v>
      </c>
      <c r="NLL868" s="290" t="s">
        <v>280</v>
      </c>
      <c r="NLM868" s="290" t="s">
        <v>280</v>
      </c>
      <c r="NLN868" s="290" t="s">
        <v>280</v>
      </c>
      <c r="NLO868" s="290" t="s">
        <v>280</v>
      </c>
      <c r="NLP868" s="290" t="s">
        <v>280</v>
      </c>
      <c r="NLQ868" s="290" t="s">
        <v>280</v>
      </c>
      <c r="NLR868" s="290" t="s">
        <v>280</v>
      </c>
      <c r="NLS868" s="290" t="s">
        <v>280</v>
      </c>
      <c r="NLT868" s="290" t="s">
        <v>280</v>
      </c>
      <c r="NLU868" s="290" t="s">
        <v>280</v>
      </c>
      <c r="NLV868" s="290" t="s">
        <v>280</v>
      </c>
      <c r="NLW868" s="290" t="s">
        <v>280</v>
      </c>
      <c r="NLX868" s="290" t="s">
        <v>280</v>
      </c>
      <c r="NLY868" s="290" t="s">
        <v>280</v>
      </c>
      <c r="NLZ868" s="290" t="s">
        <v>280</v>
      </c>
      <c r="NMA868" s="290" t="s">
        <v>280</v>
      </c>
      <c r="NMB868" s="290" t="s">
        <v>280</v>
      </c>
      <c r="NMC868" s="290" t="s">
        <v>280</v>
      </c>
      <c r="NMD868" s="290" t="s">
        <v>280</v>
      </c>
      <c r="NME868" s="290" t="s">
        <v>280</v>
      </c>
      <c r="NMF868" s="290" t="s">
        <v>280</v>
      </c>
      <c r="NMG868" s="290" t="s">
        <v>280</v>
      </c>
      <c r="NMH868" s="290" t="s">
        <v>280</v>
      </c>
      <c r="NMI868" s="290" t="s">
        <v>280</v>
      </c>
      <c r="NMJ868" s="290" t="s">
        <v>280</v>
      </c>
      <c r="NMK868" s="290" t="s">
        <v>280</v>
      </c>
      <c r="NML868" s="290" t="s">
        <v>280</v>
      </c>
      <c r="NMM868" s="290" t="s">
        <v>280</v>
      </c>
      <c r="NMN868" s="290" t="s">
        <v>280</v>
      </c>
      <c r="NMO868" s="290" t="s">
        <v>280</v>
      </c>
      <c r="NMP868" s="290" t="s">
        <v>280</v>
      </c>
      <c r="NMQ868" s="290" t="s">
        <v>280</v>
      </c>
      <c r="NMR868" s="290" t="s">
        <v>280</v>
      </c>
      <c r="NMS868" s="290" t="s">
        <v>280</v>
      </c>
      <c r="NMT868" s="290" t="s">
        <v>280</v>
      </c>
      <c r="NMU868" s="290" t="s">
        <v>280</v>
      </c>
      <c r="NMV868" s="290" t="s">
        <v>280</v>
      </c>
      <c r="NMW868" s="290" t="s">
        <v>280</v>
      </c>
      <c r="NMX868" s="290" t="s">
        <v>280</v>
      </c>
      <c r="NMY868" s="290" t="s">
        <v>280</v>
      </c>
      <c r="NMZ868" s="290" t="s">
        <v>280</v>
      </c>
      <c r="NNA868" s="290" t="s">
        <v>280</v>
      </c>
      <c r="NNB868" s="290" t="s">
        <v>280</v>
      </c>
      <c r="NNC868" s="290" t="s">
        <v>280</v>
      </c>
      <c r="NND868" s="290" t="s">
        <v>280</v>
      </c>
      <c r="NNE868" s="290" t="s">
        <v>280</v>
      </c>
      <c r="NNF868" s="290" t="s">
        <v>280</v>
      </c>
      <c r="NNG868" s="290" t="s">
        <v>280</v>
      </c>
      <c r="NNH868" s="290" t="s">
        <v>280</v>
      </c>
      <c r="NNI868" s="290" t="s">
        <v>280</v>
      </c>
      <c r="NNJ868" s="290" t="s">
        <v>280</v>
      </c>
      <c r="NNK868" s="290" t="s">
        <v>280</v>
      </c>
      <c r="NNL868" s="290" t="s">
        <v>280</v>
      </c>
      <c r="NNM868" s="290" t="s">
        <v>280</v>
      </c>
      <c r="NNN868" s="290" t="s">
        <v>280</v>
      </c>
      <c r="NNO868" s="290" t="s">
        <v>280</v>
      </c>
      <c r="NNP868" s="290" t="s">
        <v>280</v>
      </c>
      <c r="NNQ868" s="290" t="s">
        <v>280</v>
      </c>
      <c r="NNR868" s="290" t="s">
        <v>280</v>
      </c>
      <c r="NNS868" s="290" t="s">
        <v>280</v>
      </c>
      <c r="NNT868" s="290" t="s">
        <v>280</v>
      </c>
      <c r="NNU868" s="290" t="s">
        <v>280</v>
      </c>
      <c r="NNV868" s="290" t="s">
        <v>280</v>
      </c>
      <c r="NNW868" s="290" t="s">
        <v>280</v>
      </c>
      <c r="NNX868" s="290" t="s">
        <v>280</v>
      </c>
      <c r="NNY868" s="290" t="s">
        <v>280</v>
      </c>
      <c r="NNZ868" s="290" t="s">
        <v>280</v>
      </c>
      <c r="NOA868" s="290" t="s">
        <v>280</v>
      </c>
      <c r="NOB868" s="290" t="s">
        <v>280</v>
      </c>
      <c r="NOC868" s="290" t="s">
        <v>280</v>
      </c>
      <c r="NOD868" s="290" t="s">
        <v>280</v>
      </c>
      <c r="NOE868" s="290" t="s">
        <v>280</v>
      </c>
      <c r="NOF868" s="290" t="s">
        <v>280</v>
      </c>
      <c r="NOG868" s="290" t="s">
        <v>280</v>
      </c>
      <c r="NOH868" s="290" t="s">
        <v>280</v>
      </c>
      <c r="NOI868" s="290" t="s">
        <v>280</v>
      </c>
      <c r="NOJ868" s="290" t="s">
        <v>280</v>
      </c>
      <c r="NOK868" s="290" t="s">
        <v>280</v>
      </c>
      <c r="NOL868" s="290" t="s">
        <v>280</v>
      </c>
      <c r="NOM868" s="290" t="s">
        <v>280</v>
      </c>
      <c r="NON868" s="290" t="s">
        <v>280</v>
      </c>
      <c r="NOO868" s="290" t="s">
        <v>280</v>
      </c>
      <c r="NOP868" s="290" t="s">
        <v>280</v>
      </c>
      <c r="NOQ868" s="290" t="s">
        <v>280</v>
      </c>
      <c r="NOR868" s="290" t="s">
        <v>280</v>
      </c>
      <c r="NOS868" s="290" t="s">
        <v>280</v>
      </c>
      <c r="NOT868" s="290" t="s">
        <v>280</v>
      </c>
      <c r="NOU868" s="290" t="s">
        <v>280</v>
      </c>
      <c r="NOV868" s="290" t="s">
        <v>280</v>
      </c>
      <c r="NOW868" s="290" t="s">
        <v>280</v>
      </c>
      <c r="NOX868" s="290" t="s">
        <v>280</v>
      </c>
      <c r="NOY868" s="290" t="s">
        <v>280</v>
      </c>
      <c r="NOZ868" s="290" t="s">
        <v>280</v>
      </c>
      <c r="NPA868" s="290" t="s">
        <v>280</v>
      </c>
      <c r="NPB868" s="290" t="s">
        <v>280</v>
      </c>
      <c r="NPC868" s="290" t="s">
        <v>280</v>
      </c>
      <c r="NPD868" s="290" t="s">
        <v>280</v>
      </c>
      <c r="NPE868" s="290" t="s">
        <v>280</v>
      </c>
      <c r="NPF868" s="290" t="s">
        <v>280</v>
      </c>
      <c r="NPG868" s="290" t="s">
        <v>280</v>
      </c>
      <c r="NPH868" s="290" t="s">
        <v>280</v>
      </c>
      <c r="NPI868" s="290" t="s">
        <v>280</v>
      </c>
      <c r="NPJ868" s="290" t="s">
        <v>280</v>
      </c>
      <c r="NPK868" s="290" t="s">
        <v>280</v>
      </c>
      <c r="NPL868" s="290" t="s">
        <v>280</v>
      </c>
      <c r="NPM868" s="290" t="s">
        <v>280</v>
      </c>
      <c r="NPN868" s="290" t="s">
        <v>280</v>
      </c>
      <c r="NPO868" s="290" t="s">
        <v>280</v>
      </c>
      <c r="NPP868" s="290" t="s">
        <v>280</v>
      </c>
      <c r="NPQ868" s="290" t="s">
        <v>280</v>
      </c>
      <c r="NPR868" s="290" t="s">
        <v>280</v>
      </c>
      <c r="NPS868" s="290" t="s">
        <v>280</v>
      </c>
      <c r="NPT868" s="290" t="s">
        <v>280</v>
      </c>
      <c r="NPU868" s="290" t="s">
        <v>280</v>
      </c>
      <c r="NPV868" s="290" t="s">
        <v>280</v>
      </c>
      <c r="NPW868" s="290" t="s">
        <v>280</v>
      </c>
      <c r="NPX868" s="290" t="s">
        <v>280</v>
      </c>
      <c r="NPY868" s="290" t="s">
        <v>280</v>
      </c>
      <c r="NPZ868" s="290" t="s">
        <v>280</v>
      </c>
      <c r="NQA868" s="290" t="s">
        <v>280</v>
      </c>
      <c r="NQB868" s="290" t="s">
        <v>280</v>
      </c>
      <c r="NQC868" s="290" t="s">
        <v>280</v>
      </c>
      <c r="NQD868" s="290" t="s">
        <v>280</v>
      </c>
      <c r="NQE868" s="290" t="s">
        <v>280</v>
      </c>
      <c r="NQF868" s="290" t="s">
        <v>280</v>
      </c>
      <c r="NQG868" s="290" t="s">
        <v>280</v>
      </c>
      <c r="NQH868" s="290" t="s">
        <v>280</v>
      </c>
      <c r="NQI868" s="290" t="s">
        <v>280</v>
      </c>
      <c r="NQJ868" s="290" t="s">
        <v>280</v>
      </c>
      <c r="NQK868" s="290" t="s">
        <v>280</v>
      </c>
      <c r="NQL868" s="290" t="s">
        <v>280</v>
      </c>
      <c r="NQM868" s="290" t="s">
        <v>280</v>
      </c>
      <c r="NQN868" s="290" t="s">
        <v>280</v>
      </c>
      <c r="NQO868" s="290" t="s">
        <v>280</v>
      </c>
      <c r="NQP868" s="290" t="s">
        <v>280</v>
      </c>
      <c r="NQQ868" s="290" t="s">
        <v>280</v>
      </c>
      <c r="NQR868" s="290" t="s">
        <v>280</v>
      </c>
      <c r="NQS868" s="290" t="s">
        <v>280</v>
      </c>
      <c r="NQT868" s="290" t="s">
        <v>280</v>
      </c>
      <c r="NQU868" s="290" t="s">
        <v>280</v>
      </c>
      <c r="NQV868" s="290" t="s">
        <v>280</v>
      </c>
      <c r="NQW868" s="290" t="s">
        <v>280</v>
      </c>
      <c r="NQX868" s="290" t="s">
        <v>280</v>
      </c>
      <c r="NQY868" s="290" t="s">
        <v>280</v>
      </c>
      <c r="NQZ868" s="290" t="s">
        <v>280</v>
      </c>
      <c r="NRA868" s="290" t="s">
        <v>280</v>
      </c>
      <c r="NRB868" s="290" t="s">
        <v>280</v>
      </c>
      <c r="NRC868" s="290" t="s">
        <v>280</v>
      </c>
      <c r="NRD868" s="290" t="s">
        <v>280</v>
      </c>
      <c r="NRE868" s="290" t="s">
        <v>280</v>
      </c>
      <c r="NRF868" s="290" t="s">
        <v>280</v>
      </c>
      <c r="NRG868" s="290" t="s">
        <v>280</v>
      </c>
      <c r="NRH868" s="290" t="s">
        <v>280</v>
      </c>
      <c r="NRI868" s="290" t="s">
        <v>280</v>
      </c>
      <c r="NRJ868" s="290" t="s">
        <v>280</v>
      </c>
      <c r="NRK868" s="290" t="s">
        <v>280</v>
      </c>
      <c r="NRL868" s="290" t="s">
        <v>280</v>
      </c>
      <c r="NRM868" s="290" t="s">
        <v>280</v>
      </c>
      <c r="NRN868" s="290" t="s">
        <v>280</v>
      </c>
      <c r="NRO868" s="290" t="s">
        <v>280</v>
      </c>
      <c r="NRP868" s="290" t="s">
        <v>280</v>
      </c>
      <c r="NRQ868" s="290" t="s">
        <v>280</v>
      </c>
      <c r="NRR868" s="290" t="s">
        <v>280</v>
      </c>
      <c r="NRS868" s="290" t="s">
        <v>280</v>
      </c>
      <c r="NRT868" s="290" t="s">
        <v>280</v>
      </c>
      <c r="NRU868" s="290" t="s">
        <v>280</v>
      </c>
      <c r="NRV868" s="290" t="s">
        <v>280</v>
      </c>
      <c r="NRW868" s="290" t="s">
        <v>280</v>
      </c>
      <c r="NRX868" s="290" t="s">
        <v>280</v>
      </c>
      <c r="NRY868" s="290" t="s">
        <v>280</v>
      </c>
      <c r="NRZ868" s="290" t="s">
        <v>280</v>
      </c>
      <c r="NSA868" s="290" t="s">
        <v>280</v>
      </c>
      <c r="NSB868" s="290" t="s">
        <v>280</v>
      </c>
      <c r="NSC868" s="290" t="s">
        <v>280</v>
      </c>
      <c r="NSD868" s="290" t="s">
        <v>280</v>
      </c>
      <c r="NSE868" s="290" t="s">
        <v>280</v>
      </c>
      <c r="NSF868" s="290" t="s">
        <v>280</v>
      </c>
      <c r="NSG868" s="290" t="s">
        <v>280</v>
      </c>
      <c r="NSH868" s="290" t="s">
        <v>280</v>
      </c>
      <c r="NSI868" s="290" t="s">
        <v>280</v>
      </c>
      <c r="NSJ868" s="290" t="s">
        <v>280</v>
      </c>
      <c r="NSK868" s="290" t="s">
        <v>280</v>
      </c>
      <c r="NSL868" s="290" t="s">
        <v>280</v>
      </c>
      <c r="NSM868" s="290" t="s">
        <v>280</v>
      </c>
      <c r="NSN868" s="290" t="s">
        <v>280</v>
      </c>
      <c r="NSO868" s="290" t="s">
        <v>280</v>
      </c>
      <c r="NSP868" s="290" t="s">
        <v>280</v>
      </c>
      <c r="NSQ868" s="290" t="s">
        <v>280</v>
      </c>
      <c r="NSR868" s="290" t="s">
        <v>280</v>
      </c>
      <c r="NSS868" s="290" t="s">
        <v>280</v>
      </c>
      <c r="NST868" s="290" t="s">
        <v>280</v>
      </c>
      <c r="NSU868" s="290" t="s">
        <v>280</v>
      </c>
      <c r="NSV868" s="290" t="s">
        <v>280</v>
      </c>
      <c r="NSW868" s="290" t="s">
        <v>280</v>
      </c>
      <c r="NSX868" s="290" t="s">
        <v>280</v>
      </c>
      <c r="NSY868" s="290" t="s">
        <v>280</v>
      </c>
      <c r="NSZ868" s="290" t="s">
        <v>280</v>
      </c>
      <c r="NTA868" s="290" t="s">
        <v>280</v>
      </c>
      <c r="NTB868" s="290" t="s">
        <v>280</v>
      </c>
      <c r="NTC868" s="290" t="s">
        <v>280</v>
      </c>
      <c r="NTD868" s="290" t="s">
        <v>280</v>
      </c>
      <c r="NTE868" s="290" t="s">
        <v>280</v>
      </c>
      <c r="NTF868" s="290" t="s">
        <v>280</v>
      </c>
      <c r="NTG868" s="290" t="s">
        <v>280</v>
      </c>
      <c r="NTH868" s="290" t="s">
        <v>280</v>
      </c>
      <c r="NTI868" s="290" t="s">
        <v>280</v>
      </c>
      <c r="NTJ868" s="290" t="s">
        <v>280</v>
      </c>
      <c r="NTK868" s="290" t="s">
        <v>280</v>
      </c>
      <c r="NTL868" s="290" t="s">
        <v>280</v>
      </c>
      <c r="NTM868" s="290" t="s">
        <v>280</v>
      </c>
      <c r="NTN868" s="290" t="s">
        <v>280</v>
      </c>
      <c r="NTO868" s="290" t="s">
        <v>280</v>
      </c>
      <c r="NTP868" s="290" t="s">
        <v>280</v>
      </c>
      <c r="NTQ868" s="290" t="s">
        <v>280</v>
      </c>
      <c r="NTR868" s="290" t="s">
        <v>280</v>
      </c>
      <c r="NTS868" s="290" t="s">
        <v>280</v>
      </c>
      <c r="NTT868" s="290" t="s">
        <v>280</v>
      </c>
      <c r="NTU868" s="290" t="s">
        <v>280</v>
      </c>
      <c r="NTV868" s="290" t="s">
        <v>280</v>
      </c>
      <c r="NTW868" s="290" t="s">
        <v>280</v>
      </c>
      <c r="NTX868" s="290" t="s">
        <v>280</v>
      </c>
      <c r="NTY868" s="290" t="s">
        <v>280</v>
      </c>
      <c r="NTZ868" s="290" t="s">
        <v>280</v>
      </c>
      <c r="NUA868" s="290" t="s">
        <v>280</v>
      </c>
      <c r="NUB868" s="290" t="s">
        <v>280</v>
      </c>
      <c r="NUC868" s="290" t="s">
        <v>280</v>
      </c>
      <c r="NUD868" s="290" t="s">
        <v>280</v>
      </c>
      <c r="NUE868" s="290" t="s">
        <v>280</v>
      </c>
      <c r="NUF868" s="290" t="s">
        <v>280</v>
      </c>
      <c r="NUG868" s="290" t="s">
        <v>280</v>
      </c>
      <c r="NUH868" s="290" t="s">
        <v>280</v>
      </c>
      <c r="NUI868" s="290" t="s">
        <v>280</v>
      </c>
      <c r="NUJ868" s="290" t="s">
        <v>280</v>
      </c>
      <c r="NUK868" s="290" t="s">
        <v>280</v>
      </c>
      <c r="NUL868" s="290" t="s">
        <v>280</v>
      </c>
      <c r="NUM868" s="290" t="s">
        <v>280</v>
      </c>
      <c r="NUN868" s="290" t="s">
        <v>280</v>
      </c>
      <c r="NUO868" s="290" t="s">
        <v>280</v>
      </c>
      <c r="NUP868" s="290" t="s">
        <v>280</v>
      </c>
      <c r="NUQ868" s="290" t="s">
        <v>280</v>
      </c>
      <c r="NUR868" s="290" t="s">
        <v>280</v>
      </c>
      <c r="NUS868" s="290" t="s">
        <v>280</v>
      </c>
      <c r="NUT868" s="290" t="s">
        <v>280</v>
      </c>
      <c r="NUU868" s="290" t="s">
        <v>280</v>
      </c>
      <c r="NUV868" s="290" t="s">
        <v>280</v>
      </c>
      <c r="NUW868" s="290" t="s">
        <v>280</v>
      </c>
      <c r="NUX868" s="290" t="s">
        <v>280</v>
      </c>
      <c r="NUY868" s="290" t="s">
        <v>280</v>
      </c>
      <c r="NUZ868" s="290" t="s">
        <v>280</v>
      </c>
      <c r="NVA868" s="290" t="s">
        <v>280</v>
      </c>
      <c r="NVB868" s="290" t="s">
        <v>280</v>
      </c>
      <c r="NVC868" s="290" t="s">
        <v>280</v>
      </c>
      <c r="NVD868" s="290" t="s">
        <v>280</v>
      </c>
      <c r="NVE868" s="290" t="s">
        <v>280</v>
      </c>
      <c r="NVF868" s="290" t="s">
        <v>280</v>
      </c>
      <c r="NVG868" s="290" t="s">
        <v>280</v>
      </c>
      <c r="NVH868" s="290" t="s">
        <v>280</v>
      </c>
      <c r="NVI868" s="290" t="s">
        <v>280</v>
      </c>
      <c r="NVJ868" s="290" t="s">
        <v>280</v>
      </c>
      <c r="NVK868" s="290" t="s">
        <v>280</v>
      </c>
      <c r="NVL868" s="290" t="s">
        <v>280</v>
      </c>
      <c r="NVM868" s="290" t="s">
        <v>280</v>
      </c>
      <c r="NVN868" s="290" t="s">
        <v>280</v>
      </c>
      <c r="NVO868" s="290" t="s">
        <v>280</v>
      </c>
      <c r="NVP868" s="290" t="s">
        <v>280</v>
      </c>
      <c r="NVQ868" s="290" t="s">
        <v>280</v>
      </c>
      <c r="NVR868" s="290" t="s">
        <v>280</v>
      </c>
      <c r="NVS868" s="290" t="s">
        <v>280</v>
      </c>
      <c r="NVT868" s="290" t="s">
        <v>280</v>
      </c>
      <c r="NVU868" s="290" t="s">
        <v>280</v>
      </c>
      <c r="NVV868" s="290" t="s">
        <v>280</v>
      </c>
      <c r="NVW868" s="290" t="s">
        <v>280</v>
      </c>
      <c r="NVX868" s="290" t="s">
        <v>280</v>
      </c>
      <c r="NVY868" s="290" t="s">
        <v>280</v>
      </c>
      <c r="NVZ868" s="290" t="s">
        <v>280</v>
      </c>
      <c r="NWA868" s="290" t="s">
        <v>280</v>
      </c>
      <c r="NWB868" s="290" t="s">
        <v>280</v>
      </c>
      <c r="NWC868" s="290" t="s">
        <v>280</v>
      </c>
      <c r="NWD868" s="290" t="s">
        <v>280</v>
      </c>
      <c r="NWE868" s="290" t="s">
        <v>280</v>
      </c>
      <c r="NWF868" s="290" t="s">
        <v>280</v>
      </c>
      <c r="NWG868" s="290" t="s">
        <v>280</v>
      </c>
      <c r="NWH868" s="290" t="s">
        <v>280</v>
      </c>
      <c r="NWI868" s="290" t="s">
        <v>280</v>
      </c>
      <c r="NWJ868" s="290" t="s">
        <v>280</v>
      </c>
      <c r="NWK868" s="290" t="s">
        <v>280</v>
      </c>
      <c r="NWL868" s="290" t="s">
        <v>280</v>
      </c>
      <c r="NWM868" s="290" t="s">
        <v>280</v>
      </c>
      <c r="NWN868" s="290" t="s">
        <v>280</v>
      </c>
      <c r="NWO868" s="290" t="s">
        <v>280</v>
      </c>
      <c r="NWP868" s="290" t="s">
        <v>280</v>
      </c>
      <c r="NWQ868" s="290" t="s">
        <v>280</v>
      </c>
      <c r="NWR868" s="290" t="s">
        <v>280</v>
      </c>
      <c r="NWS868" s="290" t="s">
        <v>280</v>
      </c>
      <c r="NWT868" s="290" t="s">
        <v>280</v>
      </c>
      <c r="NWU868" s="290" t="s">
        <v>280</v>
      </c>
      <c r="NWV868" s="290" t="s">
        <v>280</v>
      </c>
      <c r="NWW868" s="290" t="s">
        <v>280</v>
      </c>
      <c r="NWX868" s="290" t="s">
        <v>280</v>
      </c>
      <c r="NWY868" s="290" t="s">
        <v>280</v>
      </c>
      <c r="NWZ868" s="290" t="s">
        <v>280</v>
      </c>
      <c r="NXA868" s="290" t="s">
        <v>280</v>
      </c>
      <c r="NXB868" s="290" t="s">
        <v>280</v>
      </c>
      <c r="NXC868" s="290" t="s">
        <v>280</v>
      </c>
      <c r="NXD868" s="290" t="s">
        <v>280</v>
      </c>
      <c r="NXE868" s="290" t="s">
        <v>280</v>
      </c>
      <c r="NXF868" s="290" t="s">
        <v>280</v>
      </c>
      <c r="NXG868" s="290" t="s">
        <v>280</v>
      </c>
      <c r="NXH868" s="290" t="s">
        <v>280</v>
      </c>
      <c r="NXI868" s="290" t="s">
        <v>280</v>
      </c>
      <c r="NXJ868" s="290" t="s">
        <v>280</v>
      </c>
      <c r="NXK868" s="290" t="s">
        <v>280</v>
      </c>
      <c r="NXL868" s="290" t="s">
        <v>280</v>
      </c>
      <c r="NXM868" s="290" t="s">
        <v>280</v>
      </c>
      <c r="NXN868" s="290" t="s">
        <v>280</v>
      </c>
      <c r="NXO868" s="290" t="s">
        <v>280</v>
      </c>
      <c r="NXP868" s="290" t="s">
        <v>280</v>
      </c>
      <c r="NXQ868" s="290" t="s">
        <v>280</v>
      </c>
      <c r="NXR868" s="290" t="s">
        <v>280</v>
      </c>
      <c r="NXS868" s="290" t="s">
        <v>280</v>
      </c>
      <c r="NXT868" s="290" t="s">
        <v>280</v>
      </c>
      <c r="NXU868" s="290" t="s">
        <v>280</v>
      </c>
      <c r="NXV868" s="290" t="s">
        <v>280</v>
      </c>
      <c r="NXW868" s="290" t="s">
        <v>280</v>
      </c>
      <c r="NXX868" s="290" t="s">
        <v>280</v>
      </c>
      <c r="NXY868" s="290" t="s">
        <v>280</v>
      </c>
      <c r="NXZ868" s="290" t="s">
        <v>280</v>
      </c>
      <c r="NYA868" s="290" t="s">
        <v>280</v>
      </c>
      <c r="NYB868" s="290" t="s">
        <v>280</v>
      </c>
      <c r="NYC868" s="290" t="s">
        <v>280</v>
      </c>
      <c r="NYD868" s="290" t="s">
        <v>280</v>
      </c>
      <c r="NYE868" s="290" t="s">
        <v>280</v>
      </c>
      <c r="NYF868" s="290" t="s">
        <v>280</v>
      </c>
      <c r="NYG868" s="290" t="s">
        <v>280</v>
      </c>
      <c r="NYH868" s="290" t="s">
        <v>280</v>
      </c>
      <c r="NYI868" s="290" t="s">
        <v>280</v>
      </c>
      <c r="NYJ868" s="290" t="s">
        <v>280</v>
      </c>
      <c r="NYK868" s="290" t="s">
        <v>280</v>
      </c>
      <c r="NYL868" s="290" t="s">
        <v>280</v>
      </c>
      <c r="NYM868" s="290" t="s">
        <v>280</v>
      </c>
      <c r="NYN868" s="290" t="s">
        <v>280</v>
      </c>
      <c r="NYO868" s="290" t="s">
        <v>280</v>
      </c>
      <c r="NYP868" s="290" t="s">
        <v>280</v>
      </c>
      <c r="NYQ868" s="290" t="s">
        <v>280</v>
      </c>
      <c r="NYR868" s="290" t="s">
        <v>280</v>
      </c>
      <c r="NYS868" s="290" t="s">
        <v>280</v>
      </c>
      <c r="NYT868" s="290" t="s">
        <v>280</v>
      </c>
      <c r="NYU868" s="290" t="s">
        <v>280</v>
      </c>
      <c r="NYV868" s="290" t="s">
        <v>280</v>
      </c>
      <c r="NYW868" s="290" t="s">
        <v>280</v>
      </c>
      <c r="NYX868" s="290" t="s">
        <v>280</v>
      </c>
      <c r="NYY868" s="290" t="s">
        <v>280</v>
      </c>
      <c r="NYZ868" s="290" t="s">
        <v>280</v>
      </c>
      <c r="NZA868" s="290" t="s">
        <v>280</v>
      </c>
      <c r="NZB868" s="290" t="s">
        <v>280</v>
      </c>
      <c r="NZC868" s="290" t="s">
        <v>280</v>
      </c>
      <c r="NZD868" s="290" t="s">
        <v>280</v>
      </c>
      <c r="NZE868" s="290" t="s">
        <v>280</v>
      </c>
      <c r="NZF868" s="290" t="s">
        <v>280</v>
      </c>
      <c r="NZG868" s="290" t="s">
        <v>280</v>
      </c>
      <c r="NZH868" s="290" t="s">
        <v>280</v>
      </c>
      <c r="NZI868" s="290" t="s">
        <v>280</v>
      </c>
      <c r="NZJ868" s="290" t="s">
        <v>280</v>
      </c>
      <c r="NZK868" s="290" t="s">
        <v>280</v>
      </c>
      <c r="NZL868" s="290" t="s">
        <v>280</v>
      </c>
      <c r="NZM868" s="290" t="s">
        <v>280</v>
      </c>
      <c r="NZN868" s="290" t="s">
        <v>280</v>
      </c>
      <c r="NZO868" s="290" t="s">
        <v>280</v>
      </c>
      <c r="NZP868" s="290" t="s">
        <v>280</v>
      </c>
      <c r="NZQ868" s="290" t="s">
        <v>280</v>
      </c>
      <c r="NZR868" s="290" t="s">
        <v>280</v>
      </c>
      <c r="NZS868" s="290" t="s">
        <v>280</v>
      </c>
      <c r="NZT868" s="290" t="s">
        <v>280</v>
      </c>
      <c r="NZU868" s="290" t="s">
        <v>280</v>
      </c>
      <c r="NZV868" s="290" t="s">
        <v>280</v>
      </c>
      <c r="NZW868" s="290" t="s">
        <v>280</v>
      </c>
      <c r="NZX868" s="290" t="s">
        <v>280</v>
      </c>
      <c r="NZY868" s="290" t="s">
        <v>280</v>
      </c>
      <c r="NZZ868" s="290" t="s">
        <v>280</v>
      </c>
      <c r="OAA868" s="290" t="s">
        <v>280</v>
      </c>
      <c r="OAB868" s="290" t="s">
        <v>280</v>
      </c>
      <c r="OAC868" s="290" t="s">
        <v>280</v>
      </c>
      <c r="OAD868" s="290" t="s">
        <v>280</v>
      </c>
      <c r="OAE868" s="290" t="s">
        <v>280</v>
      </c>
      <c r="OAF868" s="290" t="s">
        <v>280</v>
      </c>
      <c r="OAG868" s="290" t="s">
        <v>280</v>
      </c>
      <c r="OAH868" s="290" t="s">
        <v>280</v>
      </c>
      <c r="OAI868" s="290" t="s">
        <v>280</v>
      </c>
      <c r="OAJ868" s="290" t="s">
        <v>280</v>
      </c>
      <c r="OAK868" s="290" t="s">
        <v>280</v>
      </c>
      <c r="OAL868" s="290" t="s">
        <v>280</v>
      </c>
      <c r="OAM868" s="290" t="s">
        <v>280</v>
      </c>
      <c r="OAN868" s="290" t="s">
        <v>280</v>
      </c>
      <c r="OAO868" s="290" t="s">
        <v>280</v>
      </c>
      <c r="OAP868" s="290" t="s">
        <v>280</v>
      </c>
      <c r="OAQ868" s="290" t="s">
        <v>280</v>
      </c>
      <c r="OAR868" s="290" t="s">
        <v>280</v>
      </c>
      <c r="OAS868" s="290" t="s">
        <v>280</v>
      </c>
      <c r="OAT868" s="290" t="s">
        <v>280</v>
      </c>
      <c r="OAU868" s="290" t="s">
        <v>280</v>
      </c>
      <c r="OAV868" s="290" t="s">
        <v>280</v>
      </c>
      <c r="OAW868" s="290" t="s">
        <v>280</v>
      </c>
      <c r="OAX868" s="290" t="s">
        <v>280</v>
      </c>
      <c r="OAY868" s="290" t="s">
        <v>280</v>
      </c>
      <c r="OAZ868" s="290" t="s">
        <v>280</v>
      </c>
      <c r="OBA868" s="290" t="s">
        <v>280</v>
      </c>
      <c r="OBB868" s="290" t="s">
        <v>280</v>
      </c>
      <c r="OBC868" s="290" t="s">
        <v>280</v>
      </c>
      <c r="OBD868" s="290" t="s">
        <v>280</v>
      </c>
      <c r="OBE868" s="290" t="s">
        <v>280</v>
      </c>
      <c r="OBF868" s="290" t="s">
        <v>280</v>
      </c>
      <c r="OBG868" s="290" t="s">
        <v>280</v>
      </c>
      <c r="OBH868" s="290" t="s">
        <v>280</v>
      </c>
      <c r="OBI868" s="290" t="s">
        <v>280</v>
      </c>
      <c r="OBJ868" s="290" t="s">
        <v>280</v>
      </c>
      <c r="OBK868" s="290" t="s">
        <v>280</v>
      </c>
      <c r="OBL868" s="290" t="s">
        <v>280</v>
      </c>
      <c r="OBM868" s="290" t="s">
        <v>280</v>
      </c>
      <c r="OBN868" s="290" t="s">
        <v>280</v>
      </c>
      <c r="OBO868" s="290" t="s">
        <v>280</v>
      </c>
      <c r="OBP868" s="290" t="s">
        <v>280</v>
      </c>
      <c r="OBQ868" s="290" t="s">
        <v>280</v>
      </c>
      <c r="OBR868" s="290" t="s">
        <v>280</v>
      </c>
      <c r="OBS868" s="290" t="s">
        <v>280</v>
      </c>
      <c r="OBT868" s="290" t="s">
        <v>280</v>
      </c>
      <c r="OBU868" s="290" t="s">
        <v>280</v>
      </c>
      <c r="OBV868" s="290" t="s">
        <v>280</v>
      </c>
      <c r="OBW868" s="290" t="s">
        <v>280</v>
      </c>
      <c r="OBX868" s="290" t="s">
        <v>280</v>
      </c>
      <c r="OBY868" s="290" t="s">
        <v>280</v>
      </c>
      <c r="OBZ868" s="290" t="s">
        <v>280</v>
      </c>
      <c r="OCA868" s="290" t="s">
        <v>280</v>
      </c>
      <c r="OCB868" s="290" t="s">
        <v>280</v>
      </c>
      <c r="OCC868" s="290" t="s">
        <v>280</v>
      </c>
      <c r="OCD868" s="290" t="s">
        <v>280</v>
      </c>
      <c r="OCE868" s="290" t="s">
        <v>280</v>
      </c>
      <c r="OCF868" s="290" t="s">
        <v>280</v>
      </c>
      <c r="OCG868" s="290" t="s">
        <v>280</v>
      </c>
      <c r="OCH868" s="290" t="s">
        <v>280</v>
      </c>
      <c r="OCI868" s="290" t="s">
        <v>280</v>
      </c>
      <c r="OCJ868" s="290" t="s">
        <v>280</v>
      </c>
      <c r="OCK868" s="290" t="s">
        <v>280</v>
      </c>
      <c r="OCL868" s="290" t="s">
        <v>280</v>
      </c>
      <c r="OCM868" s="290" t="s">
        <v>280</v>
      </c>
      <c r="OCN868" s="290" t="s">
        <v>280</v>
      </c>
      <c r="OCO868" s="290" t="s">
        <v>280</v>
      </c>
      <c r="OCP868" s="290" t="s">
        <v>280</v>
      </c>
      <c r="OCQ868" s="290" t="s">
        <v>280</v>
      </c>
      <c r="OCR868" s="290" t="s">
        <v>280</v>
      </c>
      <c r="OCS868" s="290" t="s">
        <v>280</v>
      </c>
      <c r="OCT868" s="290" t="s">
        <v>280</v>
      </c>
      <c r="OCU868" s="290" t="s">
        <v>280</v>
      </c>
      <c r="OCV868" s="290" t="s">
        <v>280</v>
      </c>
      <c r="OCW868" s="290" t="s">
        <v>280</v>
      </c>
      <c r="OCX868" s="290" t="s">
        <v>280</v>
      </c>
      <c r="OCY868" s="290" t="s">
        <v>280</v>
      </c>
      <c r="OCZ868" s="290" t="s">
        <v>280</v>
      </c>
      <c r="ODA868" s="290" t="s">
        <v>280</v>
      </c>
      <c r="ODB868" s="290" t="s">
        <v>280</v>
      </c>
      <c r="ODC868" s="290" t="s">
        <v>280</v>
      </c>
      <c r="ODD868" s="290" t="s">
        <v>280</v>
      </c>
      <c r="ODE868" s="290" t="s">
        <v>280</v>
      </c>
      <c r="ODF868" s="290" t="s">
        <v>280</v>
      </c>
      <c r="ODG868" s="290" t="s">
        <v>280</v>
      </c>
      <c r="ODH868" s="290" t="s">
        <v>280</v>
      </c>
      <c r="ODI868" s="290" t="s">
        <v>280</v>
      </c>
      <c r="ODJ868" s="290" t="s">
        <v>280</v>
      </c>
      <c r="ODK868" s="290" t="s">
        <v>280</v>
      </c>
      <c r="ODL868" s="290" t="s">
        <v>280</v>
      </c>
      <c r="ODM868" s="290" t="s">
        <v>280</v>
      </c>
      <c r="ODN868" s="290" t="s">
        <v>280</v>
      </c>
      <c r="ODO868" s="290" t="s">
        <v>280</v>
      </c>
      <c r="ODP868" s="290" t="s">
        <v>280</v>
      </c>
      <c r="ODQ868" s="290" t="s">
        <v>280</v>
      </c>
      <c r="ODR868" s="290" t="s">
        <v>280</v>
      </c>
      <c r="ODS868" s="290" t="s">
        <v>280</v>
      </c>
      <c r="ODT868" s="290" t="s">
        <v>280</v>
      </c>
      <c r="ODU868" s="290" t="s">
        <v>280</v>
      </c>
      <c r="ODV868" s="290" t="s">
        <v>280</v>
      </c>
      <c r="ODW868" s="290" t="s">
        <v>280</v>
      </c>
      <c r="ODX868" s="290" t="s">
        <v>280</v>
      </c>
      <c r="ODY868" s="290" t="s">
        <v>280</v>
      </c>
      <c r="ODZ868" s="290" t="s">
        <v>280</v>
      </c>
      <c r="OEA868" s="290" t="s">
        <v>280</v>
      </c>
      <c r="OEB868" s="290" t="s">
        <v>280</v>
      </c>
      <c r="OEC868" s="290" t="s">
        <v>280</v>
      </c>
      <c r="OED868" s="290" t="s">
        <v>280</v>
      </c>
      <c r="OEE868" s="290" t="s">
        <v>280</v>
      </c>
      <c r="OEF868" s="290" t="s">
        <v>280</v>
      </c>
      <c r="OEG868" s="290" t="s">
        <v>280</v>
      </c>
      <c r="OEH868" s="290" t="s">
        <v>280</v>
      </c>
      <c r="OEI868" s="290" t="s">
        <v>280</v>
      </c>
      <c r="OEJ868" s="290" t="s">
        <v>280</v>
      </c>
      <c r="OEK868" s="290" t="s">
        <v>280</v>
      </c>
      <c r="OEL868" s="290" t="s">
        <v>280</v>
      </c>
      <c r="OEM868" s="290" t="s">
        <v>280</v>
      </c>
      <c r="OEN868" s="290" t="s">
        <v>280</v>
      </c>
      <c r="OEO868" s="290" t="s">
        <v>280</v>
      </c>
      <c r="OEP868" s="290" t="s">
        <v>280</v>
      </c>
      <c r="OEQ868" s="290" t="s">
        <v>280</v>
      </c>
      <c r="OER868" s="290" t="s">
        <v>280</v>
      </c>
      <c r="OES868" s="290" t="s">
        <v>280</v>
      </c>
      <c r="OET868" s="290" t="s">
        <v>280</v>
      </c>
      <c r="OEU868" s="290" t="s">
        <v>280</v>
      </c>
      <c r="OEV868" s="290" t="s">
        <v>280</v>
      </c>
      <c r="OEW868" s="290" t="s">
        <v>280</v>
      </c>
      <c r="OEX868" s="290" t="s">
        <v>280</v>
      </c>
      <c r="OEY868" s="290" t="s">
        <v>280</v>
      </c>
      <c r="OEZ868" s="290" t="s">
        <v>280</v>
      </c>
      <c r="OFA868" s="290" t="s">
        <v>280</v>
      </c>
      <c r="OFB868" s="290" t="s">
        <v>280</v>
      </c>
      <c r="OFC868" s="290" t="s">
        <v>280</v>
      </c>
      <c r="OFD868" s="290" t="s">
        <v>280</v>
      </c>
      <c r="OFE868" s="290" t="s">
        <v>280</v>
      </c>
      <c r="OFF868" s="290" t="s">
        <v>280</v>
      </c>
      <c r="OFG868" s="290" t="s">
        <v>280</v>
      </c>
      <c r="OFH868" s="290" t="s">
        <v>280</v>
      </c>
      <c r="OFI868" s="290" t="s">
        <v>280</v>
      </c>
      <c r="OFJ868" s="290" t="s">
        <v>280</v>
      </c>
      <c r="OFK868" s="290" t="s">
        <v>280</v>
      </c>
      <c r="OFL868" s="290" t="s">
        <v>280</v>
      </c>
      <c r="OFM868" s="290" t="s">
        <v>280</v>
      </c>
      <c r="OFN868" s="290" t="s">
        <v>280</v>
      </c>
      <c r="OFO868" s="290" t="s">
        <v>280</v>
      </c>
      <c r="OFP868" s="290" t="s">
        <v>280</v>
      </c>
      <c r="OFQ868" s="290" t="s">
        <v>280</v>
      </c>
      <c r="OFR868" s="290" t="s">
        <v>280</v>
      </c>
      <c r="OFS868" s="290" t="s">
        <v>280</v>
      </c>
      <c r="OFT868" s="290" t="s">
        <v>280</v>
      </c>
      <c r="OFU868" s="290" t="s">
        <v>280</v>
      </c>
      <c r="OFV868" s="290" t="s">
        <v>280</v>
      </c>
      <c r="OFW868" s="290" t="s">
        <v>280</v>
      </c>
      <c r="OFX868" s="290" t="s">
        <v>280</v>
      </c>
      <c r="OFY868" s="290" t="s">
        <v>280</v>
      </c>
      <c r="OFZ868" s="290" t="s">
        <v>280</v>
      </c>
      <c r="OGA868" s="290" t="s">
        <v>280</v>
      </c>
      <c r="OGB868" s="290" t="s">
        <v>280</v>
      </c>
      <c r="OGC868" s="290" t="s">
        <v>280</v>
      </c>
      <c r="OGD868" s="290" t="s">
        <v>280</v>
      </c>
      <c r="OGE868" s="290" t="s">
        <v>280</v>
      </c>
      <c r="OGF868" s="290" t="s">
        <v>280</v>
      </c>
      <c r="OGG868" s="290" t="s">
        <v>280</v>
      </c>
      <c r="OGH868" s="290" t="s">
        <v>280</v>
      </c>
      <c r="OGI868" s="290" t="s">
        <v>280</v>
      </c>
      <c r="OGJ868" s="290" t="s">
        <v>280</v>
      </c>
      <c r="OGK868" s="290" t="s">
        <v>280</v>
      </c>
      <c r="OGL868" s="290" t="s">
        <v>280</v>
      </c>
      <c r="OGM868" s="290" t="s">
        <v>280</v>
      </c>
      <c r="OGN868" s="290" t="s">
        <v>280</v>
      </c>
      <c r="OGO868" s="290" t="s">
        <v>280</v>
      </c>
      <c r="OGP868" s="290" t="s">
        <v>280</v>
      </c>
      <c r="OGQ868" s="290" t="s">
        <v>280</v>
      </c>
      <c r="OGR868" s="290" t="s">
        <v>280</v>
      </c>
      <c r="OGS868" s="290" t="s">
        <v>280</v>
      </c>
      <c r="OGT868" s="290" t="s">
        <v>280</v>
      </c>
      <c r="OGU868" s="290" t="s">
        <v>280</v>
      </c>
      <c r="OGV868" s="290" t="s">
        <v>280</v>
      </c>
      <c r="OGW868" s="290" t="s">
        <v>280</v>
      </c>
      <c r="OGX868" s="290" t="s">
        <v>280</v>
      </c>
      <c r="OGY868" s="290" t="s">
        <v>280</v>
      </c>
      <c r="OGZ868" s="290" t="s">
        <v>280</v>
      </c>
      <c r="OHA868" s="290" t="s">
        <v>280</v>
      </c>
      <c r="OHB868" s="290" t="s">
        <v>280</v>
      </c>
      <c r="OHC868" s="290" t="s">
        <v>280</v>
      </c>
      <c r="OHD868" s="290" t="s">
        <v>280</v>
      </c>
      <c r="OHE868" s="290" t="s">
        <v>280</v>
      </c>
      <c r="OHF868" s="290" t="s">
        <v>280</v>
      </c>
      <c r="OHG868" s="290" t="s">
        <v>280</v>
      </c>
      <c r="OHH868" s="290" t="s">
        <v>280</v>
      </c>
      <c r="OHI868" s="290" t="s">
        <v>280</v>
      </c>
      <c r="OHJ868" s="290" t="s">
        <v>280</v>
      </c>
      <c r="OHK868" s="290" t="s">
        <v>280</v>
      </c>
      <c r="OHL868" s="290" t="s">
        <v>280</v>
      </c>
      <c r="OHM868" s="290" t="s">
        <v>280</v>
      </c>
      <c r="OHN868" s="290" t="s">
        <v>280</v>
      </c>
      <c r="OHO868" s="290" t="s">
        <v>280</v>
      </c>
      <c r="OHP868" s="290" t="s">
        <v>280</v>
      </c>
      <c r="OHQ868" s="290" t="s">
        <v>280</v>
      </c>
      <c r="OHR868" s="290" t="s">
        <v>280</v>
      </c>
      <c r="OHS868" s="290" t="s">
        <v>280</v>
      </c>
      <c r="OHT868" s="290" t="s">
        <v>280</v>
      </c>
      <c r="OHU868" s="290" t="s">
        <v>280</v>
      </c>
      <c r="OHV868" s="290" t="s">
        <v>280</v>
      </c>
      <c r="OHW868" s="290" t="s">
        <v>280</v>
      </c>
      <c r="OHX868" s="290" t="s">
        <v>280</v>
      </c>
      <c r="OHY868" s="290" t="s">
        <v>280</v>
      </c>
      <c r="OHZ868" s="290" t="s">
        <v>280</v>
      </c>
      <c r="OIA868" s="290" t="s">
        <v>280</v>
      </c>
      <c r="OIB868" s="290" t="s">
        <v>280</v>
      </c>
      <c r="OIC868" s="290" t="s">
        <v>280</v>
      </c>
      <c r="OID868" s="290" t="s">
        <v>280</v>
      </c>
      <c r="OIE868" s="290" t="s">
        <v>280</v>
      </c>
      <c r="OIF868" s="290" t="s">
        <v>280</v>
      </c>
      <c r="OIG868" s="290" t="s">
        <v>280</v>
      </c>
      <c r="OIH868" s="290" t="s">
        <v>280</v>
      </c>
      <c r="OII868" s="290" t="s">
        <v>280</v>
      </c>
      <c r="OIJ868" s="290" t="s">
        <v>280</v>
      </c>
      <c r="OIK868" s="290" t="s">
        <v>280</v>
      </c>
      <c r="OIL868" s="290" t="s">
        <v>280</v>
      </c>
      <c r="OIM868" s="290" t="s">
        <v>280</v>
      </c>
      <c r="OIN868" s="290" t="s">
        <v>280</v>
      </c>
      <c r="OIO868" s="290" t="s">
        <v>280</v>
      </c>
      <c r="OIP868" s="290" t="s">
        <v>280</v>
      </c>
      <c r="OIQ868" s="290" t="s">
        <v>280</v>
      </c>
      <c r="OIR868" s="290" t="s">
        <v>280</v>
      </c>
      <c r="OIS868" s="290" t="s">
        <v>280</v>
      </c>
      <c r="OIT868" s="290" t="s">
        <v>280</v>
      </c>
      <c r="OIU868" s="290" t="s">
        <v>280</v>
      </c>
      <c r="OIV868" s="290" t="s">
        <v>280</v>
      </c>
      <c r="OIW868" s="290" t="s">
        <v>280</v>
      </c>
      <c r="OIX868" s="290" t="s">
        <v>280</v>
      </c>
      <c r="OIY868" s="290" t="s">
        <v>280</v>
      </c>
      <c r="OIZ868" s="290" t="s">
        <v>280</v>
      </c>
      <c r="OJA868" s="290" t="s">
        <v>280</v>
      </c>
      <c r="OJB868" s="290" t="s">
        <v>280</v>
      </c>
      <c r="OJC868" s="290" t="s">
        <v>280</v>
      </c>
      <c r="OJD868" s="290" t="s">
        <v>280</v>
      </c>
      <c r="OJE868" s="290" t="s">
        <v>280</v>
      </c>
      <c r="OJF868" s="290" t="s">
        <v>280</v>
      </c>
      <c r="OJG868" s="290" t="s">
        <v>280</v>
      </c>
      <c r="OJH868" s="290" t="s">
        <v>280</v>
      </c>
      <c r="OJI868" s="290" t="s">
        <v>280</v>
      </c>
      <c r="OJJ868" s="290" t="s">
        <v>280</v>
      </c>
      <c r="OJK868" s="290" t="s">
        <v>280</v>
      </c>
      <c r="OJL868" s="290" t="s">
        <v>280</v>
      </c>
      <c r="OJM868" s="290" t="s">
        <v>280</v>
      </c>
      <c r="OJN868" s="290" t="s">
        <v>280</v>
      </c>
      <c r="OJO868" s="290" t="s">
        <v>280</v>
      </c>
      <c r="OJP868" s="290" t="s">
        <v>280</v>
      </c>
      <c r="OJQ868" s="290" t="s">
        <v>280</v>
      </c>
      <c r="OJR868" s="290" t="s">
        <v>280</v>
      </c>
      <c r="OJS868" s="290" t="s">
        <v>280</v>
      </c>
      <c r="OJT868" s="290" t="s">
        <v>280</v>
      </c>
      <c r="OJU868" s="290" t="s">
        <v>280</v>
      </c>
      <c r="OJV868" s="290" t="s">
        <v>280</v>
      </c>
      <c r="OJW868" s="290" t="s">
        <v>280</v>
      </c>
      <c r="OJX868" s="290" t="s">
        <v>280</v>
      </c>
      <c r="OJY868" s="290" t="s">
        <v>280</v>
      </c>
      <c r="OJZ868" s="290" t="s">
        <v>280</v>
      </c>
      <c r="OKA868" s="290" t="s">
        <v>280</v>
      </c>
      <c r="OKB868" s="290" t="s">
        <v>280</v>
      </c>
      <c r="OKC868" s="290" t="s">
        <v>280</v>
      </c>
      <c r="OKD868" s="290" t="s">
        <v>280</v>
      </c>
      <c r="OKE868" s="290" t="s">
        <v>280</v>
      </c>
      <c r="OKF868" s="290" t="s">
        <v>280</v>
      </c>
      <c r="OKG868" s="290" t="s">
        <v>280</v>
      </c>
      <c r="OKH868" s="290" t="s">
        <v>280</v>
      </c>
      <c r="OKI868" s="290" t="s">
        <v>280</v>
      </c>
      <c r="OKJ868" s="290" t="s">
        <v>280</v>
      </c>
      <c r="OKK868" s="290" t="s">
        <v>280</v>
      </c>
      <c r="OKL868" s="290" t="s">
        <v>280</v>
      </c>
      <c r="OKM868" s="290" t="s">
        <v>280</v>
      </c>
      <c r="OKN868" s="290" t="s">
        <v>280</v>
      </c>
      <c r="OKO868" s="290" t="s">
        <v>280</v>
      </c>
      <c r="OKP868" s="290" t="s">
        <v>280</v>
      </c>
      <c r="OKQ868" s="290" t="s">
        <v>280</v>
      </c>
      <c r="OKR868" s="290" t="s">
        <v>280</v>
      </c>
      <c r="OKS868" s="290" t="s">
        <v>280</v>
      </c>
      <c r="OKT868" s="290" t="s">
        <v>280</v>
      </c>
      <c r="OKU868" s="290" t="s">
        <v>280</v>
      </c>
      <c r="OKV868" s="290" t="s">
        <v>280</v>
      </c>
      <c r="OKW868" s="290" t="s">
        <v>280</v>
      </c>
      <c r="OKX868" s="290" t="s">
        <v>280</v>
      </c>
      <c r="OKY868" s="290" t="s">
        <v>280</v>
      </c>
      <c r="OKZ868" s="290" t="s">
        <v>280</v>
      </c>
      <c r="OLA868" s="290" t="s">
        <v>280</v>
      </c>
      <c r="OLB868" s="290" t="s">
        <v>280</v>
      </c>
      <c r="OLC868" s="290" t="s">
        <v>280</v>
      </c>
      <c r="OLD868" s="290" t="s">
        <v>280</v>
      </c>
      <c r="OLE868" s="290" t="s">
        <v>280</v>
      </c>
      <c r="OLF868" s="290" t="s">
        <v>280</v>
      </c>
      <c r="OLG868" s="290" t="s">
        <v>280</v>
      </c>
      <c r="OLH868" s="290" t="s">
        <v>280</v>
      </c>
      <c r="OLI868" s="290" t="s">
        <v>280</v>
      </c>
      <c r="OLJ868" s="290" t="s">
        <v>280</v>
      </c>
      <c r="OLK868" s="290" t="s">
        <v>280</v>
      </c>
      <c r="OLL868" s="290" t="s">
        <v>280</v>
      </c>
      <c r="OLM868" s="290" t="s">
        <v>280</v>
      </c>
      <c r="OLN868" s="290" t="s">
        <v>280</v>
      </c>
      <c r="OLO868" s="290" t="s">
        <v>280</v>
      </c>
      <c r="OLP868" s="290" t="s">
        <v>280</v>
      </c>
      <c r="OLQ868" s="290" t="s">
        <v>280</v>
      </c>
      <c r="OLR868" s="290" t="s">
        <v>280</v>
      </c>
      <c r="OLS868" s="290" t="s">
        <v>280</v>
      </c>
      <c r="OLT868" s="290" t="s">
        <v>280</v>
      </c>
      <c r="OLU868" s="290" t="s">
        <v>280</v>
      </c>
      <c r="OLV868" s="290" t="s">
        <v>280</v>
      </c>
      <c r="OLW868" s="290" t="s">
        <v>280</v>
      </c>
      <c r="OLX868" s="290" t="s">
        <v>280</v>
      </c>
      <c r="OLY868" s="290" t="s">
        <v>280</v>
      </c>
      <c r="OLZ868" s="290" t="s">
        <v>280</v>
      </c>
      <c r="OMA868" s="290" t="s">
        <v>280</v>
      </c>
      <c r="OMB868" s="290" t="s">
        <v>280</v>
      </c>
      <c r="OMC868" s="290" t="s">
        <v>280</v>
      </c>
      <c r="OMD868" s="290" t="s">
        <v>280</v>
      </c>
      <c r="OME868" s="290" t="s">
        <v>280</v>
      </c>
      <c r="OMF868" s="290" t="s">
        <v>280</v>
      </c>
      <c r="OMG868" s="290" t="s">
        <v>280</v>
      </c>
      <c r="OMH868" s="290" t="s">
        <v>280</v>
      </c>
      <c r="OMI868" s="290" t="s">
        <v>280</v>
      </c>
      <c r="OMJ868" s="290" t="s">
        <v>280</v>
      </c>
      <c r="OMK868" s="290" t="s">
        <v>280</v>
      </c>
      <c r="OML868" s="290" t="s">
        <v>280</v>
      </c>
      <c r="OMM868" s="290" t="s">
        <v>280</v>
      </c>
      <c r="OMN868" s="290" t="s">
        <v>280</v>
      </c>
      <c r="OMO868" s="290" t="s">
        <v>280</v>
      </c>
      <c r="OMP868" s="290" t="s">
        <v>280</v>
      </c>
      <c r="OMQ868" s="290" t="s">
        <v>280</v>
      </c>
      <c r="OMR868" s="290" t="s">
        <v>280</v>
      </c>
      <c r="OMS868" s="290" t="s">
        <v>280</v>
      </c>
      <c r="OMT868" s="290" t="s">
        <v>280</v>
      </c>
      <c r="OMU868" s="290" t="s">
        <v>280</v>
      </c>
      <c r="OMV868" s="290" t="s">
        <v>280</v>
      </c>
      <c r="OMW868" s="290" t="s">
        <v>280</v>
      </c>
      <c r="OMX868" s="290" t="s">
        <v>280</v>
      </c>
      <c r="OMY868" s="290" t="s">
        <v>280</v>
      </c>
      <c r="OMZ868" s="290" t="s">
        <v>280</v>
      </c>
      <c r="ONA868" s="290" t="s">
        <v>280</v>
      </c>
      <c r="ONB868" s="290" t="s">
        <v>280</v>
      </c>
      <c r="ONC868" s="290" t="s">
        <v>280</v>
      </c>
      <c r="OND868" s="290" t="s">
        <v>280</v>
      </c>
      <c r="ONE868" s="290" t="s">
        <v>280</v>
      </c>
      <c r="ONF868" s="290" t="s">
        <v>280</v>
      </c>
      <c r="ONG868" s="290" t="s">
        <v>280</v>
      </c>
      <c r="ONH868" s="290" t="s">
        <v>280</v>
      </c>
      <c r="ONI868" s="290" t="s">
        <v>280</v>
      </c>
      <c r="ONJ868" s="290" t="s">
        <v>280</v>
      </c>
      <c r="ONK868" s="290" t="s">
        <v>280</v>
      </c>
      <c r="ONL868" s="290" t="s">
        <v>280</v>
      </c>
      <c r="ONM868" s="290" t="s">
        <v>280</v>
      </c>
      <c r="ONN868" s="290" t="s">
        <v>280</v>
      </c>
      <c r="ONO868" s="290" t="s">
        <v>280</v>
      </c>
      <c r="ONP868" s="290" t="s">
        <v>280</v>
      </c>
      <c r="ONQ868" s="290" t="s">
        <v>280</v>
      </c>
      <c r="ONR868" s="290" t="s">
        <v>280</v>
      </c>
      <c r="ONS868" s="290" t="s">
        <v>280</v>
      </c>
      <c r="ONT868" s="290" t="s">
        <v>280</v>
      </c>
      <c r="ONU868" s="290" t="s">
        <v>280</v>
      </c>
      <c r="ONV868" s="290" t="s">
        <v>280</v>
      </c>
      <c r="ONW868" s="290" t="s">
        <v>280</v>
      </c>
      <c r="ONX868" s="290" t="s">
        <v>280</v>
      </c>
      <c r="ONY868" s="290" t="s">
        <v>280</v>
      </c>
      <c r="ONZ868" s="290" t="s">
        <v>280</v>
      </c>
      <c r="OOA868" s="290" t="s">
        <v>280</v>
      </c>
      <c r="OOB868" s="290" t="s">
        <v>280</v>
      </c>
      <c r="OOC868" s="290" t="s">
        <v>280</v>
      </c>
      <c r="OOD868" s="290" t="s">
        <v>280</v>
      </c>
      <c r="OOE868" s="290" t="s">
        <v>280</v>
      </c>
      <c r="OOF868" s="290" t="s">
        <v>280</v>
      </c>
      <c r="OOG868" s="290" t="s">
        <v>280</v>
      </c>
      <c r="OOH868" s="290" t="s">
        <v>280</v>
      </c>
      <c r="OOI868" s="290" t="s">
        <v>280</v>
      </c>
      <c r="OOJ868" s="290" t="s">
        <v>280</v>
      </c>
      <c r="OOK868" s="290" t="s">
        <v>280</v>
      </c>
      <c r="OOL868" s="290" t="s">
        <v>280</v>
      </c>
      <c r="OOM868" s="290" t="s">
        <v>280</v>
      </c>
      <c r="OON868" s="290" t="s">
        <v>280</v>
      </c>
      <c r="OOO868" s="290" t="s">
        <v>280</v>
      </c>
      <c r="OOP868" s="290" t="s">
        <v>280</v>
      </c>
      <c r="OOQ868" s="290" t="s">
        <v>280</v>
      </c>
      <c r="OOR868" s="290" t="s">
        <v>280</v>
      </c>
      <c r="OOS868" s="290" t="s">
        <v>280</v>
      </c>
      <c r="OOT868" s="290" t="s">
        <v>280</v>
      </c>
      <c r="OOU868" s="290" t="s">
        <v>280</v>
      </c>
      <c r="OOV868" s="290" t="s">
        <v>280</v>
      </c>
      <c r="OOW868" s="290" t="s">
        <v>280</v>
      </c>
      <c r="OOX868" s="290" t="s">
        <v>280</v>
      </c>
      <c r="OOY868" s="290" t="s">
        <v>280</v>
      </c>
      <c r="OOZ868" s="290" t="s">
        <v>280</v>
      </c>
      <c r="OPA868" s="290" t="s">
        <v>280</v>
      </c>
      <c r="OPB868" s="290" t="s">
        <v>280</v>
      </c>
      <c r="OPC868" s="290" t="s">
        <v>280</v>
      </c>
      <c r="OPD868" s="290" t="s">
        <v>280</v>
      </c>
      <c r="OPE868" s="290" t="s">
        <v>280</v>
      </c>
      <c r="OPF868" s="290" t="s">
        <v>280</v>
      </c>
      <c r="OPG868" s="290" t="s">
        <v>280</v>
      </c>
      <c r="OPH868" s="290" t="s">
        <v>280</v>
      </c>
      <c r="OPI868" s="290" t="s">
        <v>280</v>
      </c>
      <c r="OPJ868" s="290" t="s">
        <v>280</v>
      </c>
      <c r="OPK868" s="290" t="s">
        <v>280</v>
      </c>
      <c r="OPL868" s="290" t="s">
        <v>280</v>
      </c>
      <c r="OPM868" s="290" t="s">
        <v>280</v>
      </c>
      <c r="OPN868" s="290" t="s">
        <v>280</v>
      </c>
      <c r="OPO868" s="290" t="s">
        <v>280</v>
      </c>
      <c r="OPP868" s="290" t="s">
        <v>280</v>
      </c>
      <c r="OPQ868" s="290" t="s">
        <v>280</v>
      </c>
      <c r="OPR868" s="290" t="s">
        <v>280</v>
      </c>
      <c r="OPS868" s="290" t="s">
        <v>280</v>
      </c>
      <c r="OPT868" s="290" t="s">
        <v>280</v>
      </c>
      <c r="OPU868" s="290" t="s">
        <v>280</v>
      </c>
      <c r="OPV868" s="290" t="s">
        <v>280</v>
      </c>
      <c r="OPW868" s="290" t="s">
        <v>280</v>
      </c>
      <c r="OPX868" s="290" t="s">
        <v>280</v>
      </c>
      <c r="OPY868" s="290" t="s">
        <v>280</v>
      </c>
      <c r="OPZ868" s="290" t="s">
        <v>280</v>
      </c>
      <c r="OQA868" s="290" t="s">
        <v>280</v>
      </c>
      <c r="OQB868" s="290" t="s">
        <v>280</v>
      </c>
      <c r="OQC868" s="290" t="s">
        <v>280</v>
      </c>
      <c r="OQD868" s="290" t="s">
        <v>280</v>
      </c>
      <c r="OQE868" s="290" t="s">
        <v>280</v>
      </c>
      <c r="OQF868" s="290" t="s">
        <v>280</v>
      </c>
      <c r="OQG868" s="290" t="s">
        <v>280</v>
      </c>
      <c r="OQH868" s="290" t="s">
        <v>280</v>
      </c>
      <c r="OQI868" s="290" t="s">
        <v>280</v>
      </c>
      <c r="OQJ868" s="290" t="s">
        <v>280</v>
      </c>
      <c r="OQK868" s="290" t="s">
        <v>280</v>
      </c>
      <c r="OQL868" s="290" t="s">
        <v>280</v>
      </c>
      <c r="OQM868" s="290" t="s">
        <v>280</v>
      </c>
      <c r="OQN868" s="290" t="s">
        <v>280</v>
      </c>
      <c r="OQO868" s="290" t="s">
        <v>280</v>
      </c>
      <c r="OQP868" s="290" t="s">
        <v>280</v>
      </c>
      <c r="OQQ868" s="290" t="s">
        <v>280</v>
      </c>
      <c r="OQR868" s="290" t="s">
        <v>280</v>
      </c>
      <c r="OQS868" s="290" t="s">
        <v>280</v>
      </c>
      <c r="OQT868" s="290" t="s">
        <v>280</v>
      </c>
      <c r="OQU868" s="290" t="s">
        <v>280</v>
      </c>
      <c r="OQV868" s="290" t="s">
        <v>280</v>
      </c>
      <c r="OQW868" s="290" t="s">
        <v>280</v>
      </c>
      <c r="OQX868" s="290" t="s">
        <v>280</v>
      </c>
      <c r="OQY868" s="290" t="s">
        <v>280</v>
      </c>
      <c r="OQZ868" s="290" t="s">
        <v>280</v>
      </c>
      <c r="ORA868" s="290" t="s">
        <v>280</v>
      </c>
      <c r="ORB868" s="290" t="s">
        <v>280</v>
      </c>
      <c r="ORC868" s="290" t="s">
        <v>280</v>
      </c>
      <c r="ORD868" s="290" t="s">
        <v>280</v>
      </c>
      <c r="ORE868" s="290" t="s">
        <v>280</v>
      </c>
      <c r="ORF868" s="290" t="s">
        <v>280</v>
      </c>
      <c r="ORG868" s="290" t="s">
        <v>280</v>
      </c>
      <c r="ORH868" s="290" t="s">
        <v>280</v>
      </c>
      <c r="ORI868" s="290" t="s">
        <v>280</v>
      </c>
      <c r="ORJ868" s="290" t="s">
        <v>280</v>
      </c>
      <c r="ORK868" s="290" t="s">
        <v>280</v>
      </c>
      <c r="ORL868" s="290" t="s">
        <v>280</v>
      </c>
      <c r="ORM868" s="290" t="s">
        <v>280</v>
      </c>
      <c r="ORN868" s="290" t="s">
        <v>280</v>
      </c>
      <c r="ORO868" s="290" t="s">
        <v>280</v>
      </c>
      <c r="ORP868" s="290" t="s">
        <v>280</v>
      </c>
      <c r="ORQ868" s="290" t="s">
        <v>280</v>
      </c>
      <c r="ORR868" s="290" t="s">
        <v>280</v>
      </c>
      <c r="ORS868" s="290" t="s">
        <v>280</v>
      </c>
      <c r="ORT868" s="290" t="s">
        <v>280</v>
      </c>
      <c r="ORU868" s="290" t="s">
        <v>280</v>
      </c>
      <c r="ORV868" s="290" t="s">
        <v>280</v>
      </c>
      <c r="ORW868" s="290" t="s">
        <v>280</v>
      </c>
      <c r="ORX868" s="290" t="s">
        <v>280</v>
      </c>
      <c r="ORY868" s="290" t="s">
        <v>280</v>
      </c>
      <c r="ORZ868" s="290" t="s">
        <v>280</v>
      </c>
      <c r="OSA868" s="290" t="s">
        <v>280</v>
      </c>
      <c r="OSB868" s="290" t="s">
        <v>280</v>
      </c>
      <c r="OSC868" s="290" t="s">
        <v>280</v>
      </c>
      <c r="OSD868" s="290" t="s">
        <v>280</v>
      </c>
      <c r="OSE868" s="290" t="s">
        <v>280</v>
      </c>
      <c r="OSF868" s="290" t="s">
        <v>280</v>
      </c>
      <c r="OSG868" s="290" t="s">
        <v>280</v>
      </c>
      <c r="OSH868" s="290" t="s">
        <v>280</v>
      </c>
      <c r="OSI868" s="290" t="s">
        <v>280</v>
      </c>
      <c r="OSJ868" s="290" t="s">
        <v>280</v>
      </c>
      <c r="OSK868" s="290" t="s">
        <v>280</v>
      </c>
      <c r="OSL868" s="290" t="s">
        <v>280</v>
      </c>
      <c r="OSM868" s="290" t="s">
        <v>280</v>
      </c>
      <c r="OSN868" s="290" t="s">
        <v>280</v>
      </c>
      <c r="OSO868" s="290" t="s">
        <v>280</v>
      </c>
      <c r="OSP868" s="290" t="s">
        <v>280</v>
      </c>
      <c r="OSQ868" s="290" t="s">
        <v>280</v>
      </c>
      <c r="OSR868" s="290" t="s">
        <v>280</v>
      </c>
      <c r="OSS868" s="290" t="s">
        <v>280</v>
      </c>
      <c r="OST868" s="290" t="s">
        <v>280</v>
      </c>
      <c r="OSU868" s="290" t="s">
        <v>280</v>
      </c>
      <c r="OSV868" s="290" t="s">
        <v>280</v>
      </c>
      <c r="OSW868" s="290" t="s">
        <v>280</v>
      </c>
      <c r="OSX868" s="290" t="s">
        <v>280</v>
      </c>
      <c r="OSY868" s="290" t="s">
        <v>280</v>
      </c>
      <c r="OSZ868" s="290" t="s">
        <v>280</v>
      </c>
      <c r="OTA868" s="290" t="s">
        <v>280</v>
      </c>
      <c r="OTB868" s="290" t="s">
        <v>280</v>
      </c>
      <c r="OTC868" s="290" t="s">
        <v>280</v>
      </c>
      <c r="OTD868" s="290" t="s">
        <v>280</v>
      </c>
      <c r="OTE868" s="290" t="s">
        <v>280</v>
      </c>
      <c r="OTF868" s="290" t="s">
        <v>280</v>
      </c>
      <c r="OTG868" s="290" t="s">
        <v>280</v>
      </c>
      <c r="OTH868" s="290" t="s">
        <v>280</v>
      </c>
      <c r="OTI868" s="290" t="s">
        <v>280</v>
      </c>
      <c r="OTJ868" s="290" t="s">
        <v>280</v>
      </c>
      <c r="OTK868" s="290" t="s">
        <v>280</v>
      </c>
      <c r="OTL868" s="290" t="s">
        <v>280</v>
      </c>
      <c r="OTM868" s="290" t="s">
        <v>280</v>
      </c>
      <c r="OTN868" s="290" t="s">
        <v>280</v>
      </c>
      <c r="OTO868" s="290" t="s">
        <v>280</v>
      </c>
      <c r="OTP868" s="290" t="s">
        <v>280</v>
      </c>
      <c r="OTQ868" s="290" t="s">
        <v>280</v>
      </c>
      <c r="OTR868" s="290" t="s">
        <v>280</v>
      </c>
      <c r="OTS868" s="290" t="s">
        <v>280</v>
      </c>
      <c r="OTT868" s="290" t="s">
        <v>280</v>
      </c>
      <c r="OTU868" s="290" t="s">
        <v>280</v>
      </c>
      <c r="OTV868" s="290" t="s">
        <v>280</v>
      </c>
      <c r="OTW868" s="290" t="s">
        <v>280</v>
      </c>
      <c r="OTX868" s="290" t="s">
        <v>280</v>
      </c>
      <c r="OTY868" s="290" t="s">
        <v>280</v>
      </c>
      <c r="OTZ868" s="290" t="s">
        <v>280</v>
      </c>
      <c r="OUA868" s="290" t="s">
        <v>280</v>
      </c>
      <c r="OUB868" s="290" t="s">
        <v>280</v>
      </c>
      <c r="OUC868" s="290" t="s">
        <v>280</v>
      </c>
      <c r="OUD868" s="290" t="s">
        <v>280</v>
      </c>
      <c r="OUE868" s="290" t="s">
        <v>280</v>
      </c>
      <c r="OUF868" s="290" t="s">
        <v>280</v>
      </c>
      <c r="OUG868" s="290" t="s">
        <v>280</v>
      </c>
      <c r="OUH868" s="290" t="s">
        <v>280</v>
      </c>
      <c r="OUI868" s="290" t="s">
        <v>280</v>
      </c>
      <c r="OUJ868" s="290" t="s">
        <v>280</v>
      </c>
      <c r="OUK868" s="290" t="s">
        <v>280</v>
      </c>
      <c r="OUL868" s="290" t="s">
        <v>280</v>
      </c>
      <c r="OUM868" s="290" t="s">
        <v>280</v>
      </c>
      <c r="OUN868" s="290" t="s">
        <v>280</v>
      </c>
      <c r="OUO868" s="290" t="s">
        <v>280</v>
      </c>
      <c r="OUP868" s="290" t="s">
        <v>280</v>
      </c>
      <c r="OUQ868" s="290" t="s">
        <v>280</v>
      </c>
      <c r="OUR868" s="290" t="s">
        <v>280</v>
      </c>
      <c r="OUS868" s="290" t="s">
        <v>280</v>
      </c>
      <c r="OUT868" s="290" t="s">
        <v>280</v>
      </c>
      <c r="OUU868" s="290" t="s">
        <v>280</v>
      </c>
      <c r="OUV868" s="290" t="s">
        <v>280</v>
      </c>
      <c r="OUW868" s="290" t="s">
        <v>280</v>
      </c>
      <c r="OUX868" s="290" t="s">
        <v>280</v>
      </c>
      <c r="OUY868" s="290" t="s">
        <v>280</v>
      </c>
      <c r="OUZ868" s="290" t="s">
        <v>280</v>
      </c>
      <c r="OVA868" s="290" t="s">
        <v>280</v>
      </c>
      <c r="OVB868" s="290" t="s">
        <v>280</v>
      </c>
      <c r="OVC868" s="290" t="s">
        <v>280</v>
      </c>
      <c r="OVD868" s="290" t="s">
        <v>280</v>
      </c>
      <c r="OVE868" s="290" t="s">
        <v>280</v>
      </c>
      <c r="OVF868" s="290" t="s">
        <v>280</v>
      </c>
      <c r="OVG868" s="290" t="s">
        <v>280</v>
      </c>
      <c r="OVH868" s="290" t="s">
        <v>280</v>
      </c>
      <c r="OVI868" s="290" t="s">
        <v>280</v>
      </c>
      <c r="OVJ868" s="290" t="s">
        <v>280</v>
      </c>
      <c r="OVK868" s="290" t="s">
        <v>280</v>
      </c>
      <c r="OVL868" s="290" t="s">
        <v>280</v>
      </c>
      <c r="OVM868" s="290" t="s">
        <v>280</v>
      </c>
      <c r="OVN868" s="290" t="s">
        <v>280</v>
      </c>
      <c r="OVO868" s="290" t="s">
        <v>280</v>
      </c>
      <c r="OVP868" s="290" t="s">
        <v>280</v>
      </c>
      <c r="OVQ868" s="290" t="s">
        <v>280</v>
      </c>
      <c r="OVR868" s="290" t="s">
        <v>280</v>
      </c>
      <c r="OVS868" s="290" t="s">
        <v>280</v>
      </c>
      <c r="OVT868" s="290" t="s">
        <v>280</v>
      </c>
      <c r="OVU868" s="290" t="s">
        <v>280</v>
      </c>
      <c r="OVV868" s="290" t="s">
        <v>280</v>
      </c>
      <c r="OVW868" s="290" t="s">
        <v>280</v>
      </c>
      <c r="OVX868" s="290" t="s">
        <v>280</v>
      </c>
      <c r="OVY868" s="290" t="s">
        <v>280</v>
      </c>
      <c r="OVZ868" s="290" t="s">
        <v>280</v>
      </c>
      <c r="OWA868" s="290" t="s">
        <v>280</v>
      </c>
      <c r="OWB868" s="290" t="s">
        <v>280</v>
      </c>
      <c r="OWC868" s="290" t="s">
        <v>280</v>
      </c>
      <c r="OWD868" s="290" t="s">
        <v>280</v>
      </c>
      <c r="OWE868" s="290" t="s">
        <v>280</v>
      </c>
      <c r="OWF868" s="290" t="s">
        <v>280</v>
      </c>
      <c r="OWG868" s="290" t="s">
        <v>280</v>
      </c>
      <c r="OWH868" s="290" t="s">
        <v>280</v>
      </c>
      <c r="OWI868" s="290" t="s">
        <v>280</v>
      </c>
      <c r="OWJ868" s="290" t="s">
        <v>280</v>
      </c>
      <c r="OWK868" s="290" t="s">
        <v>280</v>
      </c>
      <c r="OWL868" s="290" t="s">
        <v>280</v>
      </c>
      <c r="OWM868" s="290" t="s">
        <v>280</v>
      </c>
      <c r="OWN868" s="290" t="s">
        <v>280</v>
      </c>
      <c r="OWO868" s="290" t="s">
        <v>280</v>
      </c>
      <c r="OWP868" s="290" t="s">
        <v>280</v>
      </c>
      <c r="OWQ868" s="290" t="s">
        <v>280</v>
      </c>
      <c r="OWR868" s="290" t="s">
        <v>280</v>
      </c>
      <c r="OWS868" s="290" t="s">
        <v>280</v>
      </c>
      <c r="OWT868" s="290" t="s">
        <v>280</v>
      </c>
      <c r="OWU868" s="290" t="s">
        <v>280</v>
      </c>
      <c r="OWV868" s="290" t="s">
        <v>280</v>
      </c>
      <c r="OWW868" s="290" t="s">
        <v>280</v>
      </c>
      <c r="OWX868" s="290" t="s">
        <v>280</v>
      </c>
      <c r="OWY868" s="290" t="s">
        <v>280</v>
      </c>
      <c r="OWZ868" s="290" t="s">
        <v>280</v>
      </c>
      <c r="OXA868" s="290" t="s">
        <v>280</v>
      </c>
      <c r="OXB868" s="290" t="s">
        <v>280</v>
      </c>
      <c r="OXC868" s="290" t="s">
        <v>280</v>
      </c>
      <c r="OXD868" s="290" t="s">
        <v>280</v>
      </c>
      <c r="OXE868" s="290" t="s">
        <v>280</v>
      </c>
      <c r="OXF868" s="290" t="s">
        <v>280</v>
      </c>
      <c r="OXG868" s="290" t="s">
        <v>280</v>
      </c>
      <c r="OXH868" s="290" t="s">
        <v>280</v>
      </c>
      <c r="OXI868" s="290" t="s">
        <v>280</v>
      </c>
      <c r="OXJ868" s="290" t="s">
        <v>280</v>
      </c>
      <c r="OXK868" s="290" t="s">
        <v>280</v>
      </c>
      <c r="OXL868" s="290" t="s">
        <v>280</v>
      </c>
      <c r="OXM868" s="290" t="s">
        <v>280</v>
      </c>
      <c r="OXN868" s="290" t="s">
        <v>280</v>
      </c>
      <c r="OXO868" s="290" t="s">
        <v>280</v>
      </c>
      <c r="OXP868" s="290" t="s">
        <v>280</v>
      </c>
      <c r="OXQ868" s="290" t="s">
        <v>280</v>
      </c>
      <c r="OXR868" s="290" t="s">
        <v>280</v>
      </c>
      <c r="OXS868" s="290" t="s">
        <v>280</v>
      </c>
      <c r="OXT868" s="290" t="s">
        <v>280</v>
      </c>
      <c r="OXU868" s="290" t="s">
        <v>280</v>
      </c>
      <c r="OXV868" s="290" t="s">
        <v>280</v>
      </c>
      <c r="OXW868" s="290" t="s">
        <v>280</v>
      </c>
      <c r="OXX868" s="290" t="s">
        <v>280</v>
      </c>
      <c r="OXY868" s="290" t="s">
        <v>280</v>
      </c>
      <c r="OXZ868" s="290" t="s">
        <v>280</v>
      </c>
      <c r="OYA868" s="290" t="s">
        <v>280</v>
      </c>
      <c r="OYB868" s="290" t="s">
        <v>280</v>
      </c>
      <c r="OYC868" s="290" t="s">
        <v>280</v>
      </c>
      <c r="OYD868" s="290" t="s">
        <v>280</v>
      </c>
      <c r="OYE868" s="290" t="s">
        <v>280</v>
      </c>
      <c r="OYF868" s="290" t="s">
        <v>280</v>
      </c>
      <c r="OYG868" s="290" t="s">
        <v>280</v>
      </c>
      <c r="OYH868" s="290" t="s">
        <v>280</v>
      </c>
      <c r="OYI868" s="290" t="s">
        <v>280</v>
      </c>
      <c r="OYJ868" s="290" t="s">
        <v>280</v>
      </c>
      <c r="OYK868" s="290" t="s">
        <v>280</v>
      </c>
      <c r="OYL868" s="290" t="s">
        <v>280</v>
      </c>
      <c r="OYM868" s="290" t="s">
        <v>280</v>
      </c>
      <c r="OYN868" s="290" t="s">
        <v>280</v>
      </c>
      <c r="OYO868" s="290" t="s">
        <v>280</v>
      </c>
      <c r="OYP868" s="290" t="s">
        <v>280</v>
      </c>
      <c r="OYQ868" s="290" t="s">
        <v>280</v>
      </c>
      <c r="OYR868" s="290" t="s">
        <v>280</v>
      </c>
      <c r="OYS868" s="290" t="s">
        <v>280</v>
      </c>
      <c r="OYT868" s="290" t="s">
        <v>280</v>
      </c>
      <c r="OYU868" s="290" t="s">
        <v>280</v>
      </c>
      <c r="OYV868" s="290" t="s">
        <v>280</v>
      </c>
      <c r="OYW868" s="290" t="s">
        <v>280</v>
      </c>
      <c r="OYX868" s="290" t="s">
        <v>280</v>
      </c>
      <c r="OYY868" s="290" t="s">
        <v>280</v>
      </c>
      <c r="OYZ868" s="290" t="s">
        <v>280</v>
      </c>
      <c r="OZA868" s="290" t="s">
        <v>280</v>
      </c>
      <c r="OZB868" s="290" t="s">
        <v>280</v>
      </c>
      <c r="OZC868" s="290" t="s">
        <v>280</v>
      </c>
      <c r="OZD868" s="290" t="s">
        <v>280</v>
      </c>
      <c r="OZE868" s="290" t="s">
        <v>280</v>
      </c>
      <c r="OZF868" s="290" t="s">
        <v>280</v>
      </c>
      <c r="OZG868" s="290" t="s">
        <v>280</v>
      </c>
      <c r="OZH868" s="290" t="s">
        <v>280</v>
      </c>
      <c r="OZI868" s="290" t="s">
        <v>280</v>
      </c>
      <c r="OZJ868" s="290" t="s">
        <v>280</v>
      </c>
      <c r="OZK868" s="290" t="s">
        <v>280</v>
      </c>
      <c r="OZL868" s="290" t="s">
        <v>280</v>
      </c>
      <c r="OZM868" s="290" t="s">
        <v>280</v>
      </c>
      <c r="OZN868" s="290" t="s">
        <v>280</v>
      </c>
      <c r="OZO868" s="290" t="s">
        <v>280</v>
      </c>
      <c r="OZP868" s="290" t="s">
        <v>280</v>
      </c>
      <c r="OZQ868" s="290" t="s">
        <v>280</v>
      </c>
      <c r="OZR868" s="290" t="s">
        <v>280</v>
      </c>
      <c r="OZS868" s="290" t="s">
        <v>280</v>
      </c>
      <c r="OZT868" s="290" t="s">
        <v>280</v>
      </c>
      <c r="OZU868" s="290" t="s">
        <v>280</v>
      </c>
      <c r="OZV868" s="290" t="s">
        <v>280</v>
      </c>
      <c r="OZW868" s="290" t="s">
        <v>280</v>
      </c>
      <c r="OZX868" s="290" t="s">
        <v>280</v>
      </c>
      <c r="OZY868" s="290" t="s">
        <v>280</v>
      </c>
      <c r="OZZ868" s="290" t="s">
        <v>280</v>
      </c>
      <c r="PAA868" s="290" t="s">
        <v>280</v>
      </c>
      <c r="PAB868" s="290" t="s">
        <v>280</v>
      </c>
      <c r="PAC868" s="290" t="s">
        <v>280</v>
      </c>
      <c r="PAD868" s="290" t="s">
        <v>280</v>
      </c>
      <c r="PAE868" s="290" t="s">
        <v>280</v>
      </c>
      <c r="PAF868" s="290" t="s">
        <v>280</v>
      </c>
      <c r="PAG868" s="290" t="s">
        <v>280</v>
      </c>
      <c r="PAH868" s="290" t="s">
        <v>280</v>
      </c>
      <c r="PAI868" s="290" t="s">
        <v>280</v>
      </c>
      <c r="PAJ868" s="290" t="s">
        <v>280</v>
      </c>
      <c r="PAK868" s="290" t="s">
        <v>280</v>
      </c>
      <c r="PAL868" s="290" t="s">
        <v>280</v>
      </c>
      <c r="PAM868" s="290" t="s">
        <v>280</v>
      </c>
      <c r="PAN868" s="290" t="s">
        <v>280</v>
      </c>
      <c r="PAO868" s="290" t="s">
        <v>280</v>
      </c>
      <c r="PAP868" s="290" t="s">
        <v>280</v>
      </c>
      <c r="PAQ868" s="290" t="s">
        <v>280</v>
      </c>
      <c r="PAR868" s="290" t="s">
        <v>280</v>
      </c>
      <c r="PAS868" s="290" t="s">
        <v>280</v>
      </c>
      <c r="PAT868" s="290" t="s">
        <v>280</v>
      </c>
      <c r="PAU868" s="290" t="s">
        <v>280</v>
      </c>
      <c r="PAV868" s="290" t="s">
        <v>280</v>
      </c>
      <c r="PAW868" s="290" t="s">
        <v>280</v>
      </c>
      <c r="PAX868" s="290" t="s">
        <v>280</v>
      </c>
      <c r="PAY868" s="290" t="s">
        <v>280</v>
      </c>
      <c r="PAZ868" s="290" t="s">
        <v>280</v>
      </c>
      <c r="PBA868" s="290" t="s">
        <v>280</v>
      </c>
      <c r="PBB868" s="290" t="s">
        <v>280</v>
      </c>
      <c r="PBC868" s="290" t="s">
        <v>280</v>
      </c>
      <c r="PBD868" s="290" t="s">
        <v>280</v>
      </c>
      <c r="PBE868" s="290" t="s">
        <v>280</v>
      </c>
      <c r="PBF868" s="290" t="s">
        <v>280</v>
      </c>
      <c r="PBG868" s="290" t="s">
        <v>280</v>
      </c>
      <c r="PBH868" s="290" t="s">
        <v>280</v>
      </c>
      <c r="PBI868" s="290" t="s">
        <v>280</v>
      </c>
      <c r="PBJ868" s="290" t="s">
        <v>280</v>
      </c>
      <c r="PBK868" s="290" t="s">
        <v>280</v>
      </c>
      <c r="PBL868" s="290" t="s">
        <v>280</v>
      </c>
      <c r="PBM868" s="290" t="s">
        <v>280</v>
      </c>
      <c r="PBN868" s="290" t="s">
        <v>280</v>
      </c>
      <c r="PBO868" s="290" t="s">
        <v>280</v>
      </c>
      <c r="PBP868" s="290" t="s">
        <v>280</v>
      </c>
      <c r="PBQ868" s="290" t="s">
        <v>280</v>
      </c>
      <c r="PBR868" s="290" t="s">
        <v>280</v>
      </c>
      <c r="PBS868" s="290" t="s">
        <v>280</v>
      </c>
      <c r="PBT868" s="290" t="s">
        <v>280</v>
      </c>
      <c r="PBU868" s="290" t="s">
        <v>280</v>
      </c>
      <c r="PBV868" s="290" t="s">
        <v>280</v>
      </c>
      <c r="PBW868" s="290" t="s">
        <v>280</v>
      </c>
      <c r="PBX868" s="290" t="s">
        <v>280</v>
      </c>
      <c r="PBY868" s="290" t="s">
        <v>280</v>
      </c>
      <c r="PBZ868" s="290" t="s">
        <v>280</v>
      </c>
      <c r="PCA868" s="290" t="s">
        <v>280</v>
      </c>
      <c r="PCB868" s="290" t="s">
        <v>280</v>
      </c>
      <c r="PCC868" s="290" t="s">
        <v>280</v>
      </c>
      <c r="PCD868" s="290" t="s">
        <v>280</v>
      </c>
      <c r="PCE868" s="290" t="s">
        <v>280</v>
      </c>
      <c r="PCF868" s="290" t="s">
        <v>280</v>
      </c>
      <c r="PCG868" s="290" t="s">
        <v>280</v>
      </c>
      <c r="PCH868" s="290" t="s">
        <v>280</v>
      </c>
      <c r="PCI868" s="290" t="s">
        <v>280</v>
      </c>
      <c r="PCJ868" s="290" t="s">
        <v>280</v>
      </c>
      <c r="PCK868" s="290" t="s">
        <v>280</v>
      </c>
      <c r="PCL868" s="290" t="s">
        <v>280</v>
      </c>
      <c r="PCM868" s="290" t="s">
        <v>280</v>
      </c>
      <c r="PCN868" s="290" t="s">
        <v>280</v>
      </c>
      <c r="PCO868" s="290" t="s">
        <v>280</v>
      </c>
      <c r="PCP868" s="290" t="s">
        <v>280</v>
      </c>
      <c r="PCQ868" s="290" t="s">
        <v>280</v>
      </c>
      <c r="PCR868" s="290" t="s">
        <v>280</v>
      </c>
      <c r="PCS868" s="290" t="s">
        <v>280</v>
      </c>
      <c r="PCT868" s="290" t="s">
        <v>280</v>
      </c>
      <c r="PCU868" s="290" t="s">
        <v>280</v>
      </c>
      <c r="PCV868" s="290" t="s">
        <v>280</v>
      </c>
      <c r="PCW868" s="290" t="s">
        <v>280</v>
      </c>
      <c r="PCX868" s="290" t="s">
        <v>280</v>
      </c>
      <c r="PCY868" s="290" t="s">
        <v>280</v>
      </c>
      <c r="PCZ868" s="290" t="s">
        <v>280</v>
      </c>
      <c r="PDA868" s="290" t="s">
        <v>280</v>
      </c>
      <c r="PDB868" s="290" t="s">
        <v>280</v>
      </c>
      <c r="PDC868" s="290" t="s">
        <v>280</v>
      </c>
      <c r="PDD868" s="290" t="s">
        <v>280</v>
      </c>
      <c r="PDE868" s="290" t="s">
        <v>280</v>
      </c>
      <c r="PDF868" s="290" t="s">
        <v>280</v>
      </c>
      <c r="PDG868" s="290" t="s">
        <v>280</v>
      </c>
      <c r="PDH868" s="290" t="s">
        <v>280</v>
      </c>
      <c r="PDI868" s="290" t="s">
        <v>280</v>
      </c>
      <c r="PDJ868" s="290" t="s">
        <v>280</v>
      </c>
      <c r="PDK868" s="290" t="s">
        <v>280</v>
      </c>
      <c r="PDL868" s="290" t="s">
        <v>280</v>
      </c>
      <c r="PDM868" s="290" t="s">
        <v>280</v>
      </c>
      <c r="PDN868" s="290" t="s">
        <v>280</v>
      </c>
      <c r="PDO868" s="290" t="s">
        <v>280</v>
      </c>
      <c r="PDP868" s="290" t="s">
        <v>280</v>
      </c>
      <c r="PDQ868" s="290" t="s">
        <v>280</v>
      </c>
      <c r="PDR868" s="290" t="s">
        <v>280</v>
      </c>
      <c r="PDS868" s="290" t="s">
        <v>280</v>
      </c>
      <c r="PDT868" s="290" t="s">
        <v>280</v>
      </c>
      <c r="PDU868" s="290" t="s">
        <v>280</v>
      </c>
      <c r="PDV868" s="290" t="s">
        <v>280</v>
      </c>
      <c r="PDW868" s="290" t="s">
        <v>280</v>
      </c>
      <c r="PDX868" s="290" t="s">
        <v>280</v>
      </c>
      <c r="PDY868" s="290" t="s">
        <v>280</v>
      </c>
      <c r="PDZ868" s="290" t="s">
        <v>280</v>
      </c>
      <c r="PEA868" s="290" t="s">
        <v>280</v>
      </c>
      <c r="PEB868" s="290" t="s">
        <v>280</v>
      </c>
      <c r="PEC868" s="290" t="s">
        <v>280</v>
      </c>
      <c r="PED868" s="290" t="s">
        <v>280</v>
      </c>
      <c r="PEE868" s="290" t="s">
        <v>280</v>
      </c>
      <c r="PEF868" s="290" t="s">
        <v>280</v>
      </c>
      <c r="PEG868" s="290" t="s">
        <v>280</v>
      </c>
      <c r="PEH868" s="290" t="s">
        <v>280</v>
      </c>
      <c r="PEI868" s="290" t="s">
        <v>280</v>
      </c>
      <c r="PEJ868" s="290" t="s">
        <v>280</v>
      </c>
      <c r="PEK868" s="290" t="s">
        <v>280</v>
      </c>
      <c r="PEL868" s="290" t="s">
        <v>280</v>
      </c>
      <c r="PEM868" s="290" t="s">
        <v>280</v>
      </c>
      <c r="PEN868" s="290" t="s">
        <v>280</v>
      </c>
      <c r="PEO868" s="290" t="s">
        <v>280</v>
      </c>
      <c r="PEP868" s="290" t="s">
        <v>280</v>
      </c>
      <c r="PEQ868" s="290" t="s">
        <v>280</v>
      </c>
      <c r="PER868" s="290" t="s">
        <v>280</v>
      </c>
      <c r="PES868" s="290" t="s">
        <v>280</v>
      </c>
      <c r="PET868" s="290" t="s">
        <v>280</v>
      </c>
      <c r="PEU868" s="290" t="s">
        <v>280</v>
      </c>
      <c r="PEV868" s="290" t="s">
        <v>280</v>
      </c>
      <c r="PEW868" s="290" t="s">
        <v>280</v>
      </c>
      <c r="PEX868" s="290" t="s">
        <v>280</v>
      </c>
      <c r="PEY868" s="290" t="s">
        <v>280</v>
      </c>
      <c r="PEZ868" s="290" t="s">
        <v>280</v>
      </c>
      <c r="PFA868" s="290" t="s">
        <v>280</v>
      </c>
      <c r="PFB868" s="290" t="s">
        <v>280</v>
      </c>
      <c r="PFC868" s="290" t="s">
        <v>280</v>
      </c>
      <c r="PFD868" s="290" t="s">
        <v>280</v>
      </c>
      <c r="PFE868" s="290" t="s">
        <v>280</v>
      </c>
      <c r="PFF868" s="290" t="s">
        <v>280</v>
      </c>
      <c r="PFG868" s="290" t="s">
        <v>280</v>
      </c>
      <c r="PFH868" s="290" t="s">
        <v>280</v>
      </c>
      <c r="PFI868" s="290" t="s">
        <v>280</v>
      </c>
      <c r="PFJ868" s="290" t="s">
        <v>280</v>
      </c>
      <c r="PFK868" s="290" t="s">
        <v>280</v>
      </c>
      <c r="PFL868" s="290" t="s">
        <v>280</v>
      </c>
      <c r="PFM868" s="290" t="s">
        <v>280</v>
      </c>
      <c r="PFN868" s="290" t="s">
        <v>280</v>
      </c>
      <c r="PFO868" s="290" t="s">
        <v>280</v>
      </c>
      <c r="PFP868" s="290" t="s">
        <v>280</v>
      </c>
      <c r="PFQ868" s="290" t="s">
        <v>280</v>
      </c>
      <c r="PFR868" s="290" t="s">
        <v>280</v>
      </c>
      <c r="PFS868" s="290" t="s">
        <v>280</v>
      </c>
      <c r="PFT868" s="290" t="s">
        <v>280</v>
      </c>
      <c r="PFU868" s="290" t="s">
        <v>280</v>
      </c>
      <c r="PFV868" s="290" t="s">
        <v>280</v>
      </c>
      <c r="PFW868" s="290" t="s">
        <v>280</v>
      </c>
      <c r="PFX868" s="290" t="s">
        <v>280</v>
      </c>
      <c r="PFY868" s="290" t="s">
        <v>280</v>
      </c>
      <c r="PFZ868" s="290" t="s">
        <v>280</v>
      </c>
      <c r="PGA868" s="290" t="s">
        <v>280</v>
      </c>
      <c r="PGB868" s="290" t="s">
        <v>280</v>
      </c>
      <c r="PGC868" s="290" t="s">
        <v>280</v>
      </c>
      <c r="PGD868" s="290" t="s">
        <v>280</v>
      </c>
      <c r="PGE868" s="290" t="s">
        <v>280</v>
      </c>
      <c r="PGF868" s="290" t="s">
        <v>280</v>
      </c>
      <c r="PGG868" s="290" t="s">
        <v>280</v>
      </c>
      <c r="PGH868" s="290" t="s">
        <v>280</v>
      </c>
      <c r="PGI868" s="290" t="s">
        <v>280</v>
      </c>
      <c r="PGJ868" s="290" t="s">
        <v>280</v>
      </c>
      <c r="PGK868" s="290" t="s">
        <v>280</v>
      </c>
      <c r="PGL868" s="290" t="s">
        <v>280</v>
      </c>
      <c r="PGM868" s="290" t="s">
        <v>280</v>
      </c>
      <c r="PGN868" s="290" t="s">
        <v>280</v>
      </c>
      <c r="PGO868" s="290" t="s">
        <v>280</v>
      </c>
      <c r="PGP868" s="290" t="s">
        <v>280</v>
      </c>
      <c r="PGQ868" s="290" t="s">
        <v>280</v>
      </c>
      <c r="PGR868" s="290" t="s">
        <v>280</v>
      </c>
      <c r="PGS868" s="290" t="s">
        <v>280</v>
      </c>
      <c r="PGT868" s="290" t="s">
        <v>280</v>
      </c>
      <c r="PGU868" s="290" t="s">
        <v>280</v>
      </c>
      <c r="PGV868" s="290" t="s">
        <v>280</v>
      </c>
      <c r="PGW868" s="290" t="s">
        <v>280</v>
      </c>
      <c r="PGX868" s="290" t="s">
        <v>280</v>
      </c>
      <c r="PGY868" s="290" t="s">
        <v>280</v>
      </c>
      <c r="PGZ868" s="290" t="s">
        <v>280</v>
      </c>
      <c r="PHA868" s="290" t="s">
        <v>280</v>
      </c>
      <c r="PHB868" s="290" t="s">
        <v>280</v>
      </c>
      <c r="PHC868" s="290" t="s">
        <v>280</v>
      </c>
      <c r="PHD868" s="290" t="s">
        <v>280</v>
      </c>
      <c r="PHE868" s="290" t="s">
        <v>280</v>
      </c>
      <c r="PHF868" s="290" t="s">
        <v>280</v>
      </c>
      <c r="PHG868" s="290" t="s">
        <v>280</v>
      </c>
      <c r="PHH868" s="290" t="s">
        <v>280</v>
      </c>
      <c r="PHI868" s="290" t="s">
        <v>280</v>
      </c>
      <c r="PHJ868" s="290" t="s">
        <v>280</v>
      </c>
      <c r="PHK868" s="290" t="s">
        <v>280</v>
      </c>
      <c r="PHL868" s="290" t="s">
        <v>280</v>
      </c>
      <c r="PHM868" s="290" t="s">
        <v>280</v>
      </c>
      <c r="PHN868" s="290" t="s">
        <v>280</v>
      </c>
      <c r="PHO868" s="290" t="s">
        <v>280</v>
      </c>
      <c r="PHP868" s="290" t="s">
        <v>280</v>
      </c>
      <c r="PHQ868" s="290" t="s">
        <v>280</v>
      </c>
      <c r="PHR868" s="290" t="s">
        <v>280</v>
      </c>
      <c r="PHS868" s="290" t="s">
        <v>280</v>
      </c>
      <c r="PHT868" s="290" t="s">
        <v>280</v>
      </c>
      <c r="PHU868" s="290" t="s">
        <v>280</v>
      </c>
      <c r="PHV868" s="290" t="s">
        <v>280</v>
      </c>
      <c r="PHW868" s="290" t="s">
        <v>280</v>
      </c>
      <c r="PHX868" s="290" t="s">
        <v>280</v>
      </c>
      <c r="PHY868" s="290" t="s">
        <v>280</v>
      </c>
      <c r="PHZ868" s="290" t="s">
        <v>280</v>
      </c>
      <c r="PIA868" s="290" t="s">
        <v>280</v>
      </c>
      <c r="PIB868" s="290" t="s">
        <v>280</v>
      </c>
      <c r="PIC868" s="290" t="s">
        <v>280</v>
      </c>
      <c r="PID868" s="290" t="s">
        <v>280</v>
      </c>
      <c r="PIE868" s="290" t="s">
        <v>280</v>
      </c>
      <c r="PIF868" s="290" t="s">
        <v>280</v>
      </c>
      <c r="PIG868" s="290" t="s">
        <v>280</v>
      </c>
      <c r="PIH868" s="290" t="s">
        <v>280</v>
      </c>
      <c r="PII868" s="290" t="s">
        <v>280</v>
      </c>
      <c r="PIJ868" s="290" t="s">
        <v>280</v>
      </c>
      <c r="PIK868" s="290" t="s">
        <v>280</v>
      </c>
      <c r="PIL868" s="290" t="s">
        <v>280</v>
      </c>
      <c r="PIM868" s="290" t="s">
        <v>280</v>
      </c>
      <c r="PIN868" s="290" t="s">
        <v>280</v>
      </c>
      <c r="PIO868" s="290" t="s">
        <v>280</v>
      </c>
      <c r="PIP868" s="290" t="s">
        <v>280</v>
      </c>
      <c r="PIQ868" s="290" t="s">
        <v>280</v>
      </c>
      <c r="PIR868" s="290" t="s">
        <v>280</v>
      </c>
      <c r="PIS868" s="290" t="s">
        <v>280</v>
      </c>
      <c r="PIT868" s="290" t="s">
        <v>280</v>
      </c>
      <c r="PIU868" s="290" t="s">
        <v>280</v>
      </c>
      <c r="PIV868" s="290" t="s">
        <v>280</v>
      </c>
      <c r="PIW868" s="290" t="s">
        <v>280</v>
      </c>
      <c r="PIX868" s="290" t="s">
        <v>280</v>
      </c>
      <c r="PIY868" s="290" t="s">
        <v>280</v>
      </c>
      <c r="PIZ868" s="290" t="s">
        <v>280</v>
      </c>
      <c r="PJA868" s="290" t="s">
        <v>280</v>
      </c>
      <c r="PJB868" s="290" t="s">
        <v>280</v>
      </c>
      <c r="PJC868" s="290" t="s">
        <v>280</v>
      </c>
      <c r="PJD868" s="290" t="s">
        <v>280</v>
      </c>
      <c r="PJE868" s="290" t="s">
        <v>280</v>
      </c>
      <c r="PJF868" s="290" t="s">
        <v>280</v>
      </c>
      <c r="PJG868" s="290" t="s">
        <v>280</v>
      </c>
      <c r="PJH868" s="290" t="s">
        <v>280</v>
      </c>
      <c r="PJI868" s="290" t="s">
        <v>280</v>
      </c>
      <c r="PJJ868" s="290" t="s">
        <v>280</v>
      </c>
      <c r="PJK868" s="290" t="s">
        <v>280</v>
      </c>
      <c r="PJL868" s="290" t="s">
        <v>280</v>
      </c>
      <c r="PJM868" s="290" t="s">
        <v>280</v>
      </c>
      <c r="PJN868" s="290" t="s">
        <v>280</v>
      </c>
      <c r="PJO868" s="290" t="s">
        <v>280</v>
      </c>
      <c r="PJP868" s="290" t="s">
        <v>280</v>
      </c>
      <c r="PJQ868" s="290" t="s">
        <v>280</v>
      </c>
      <c r="PJR868" s="290" t="s">
        <v>280</v>
      </c>
      <c r="PJS868" s="290" t="s">
        <v>280</v>
      </c>
      <c r="PJT868" s="290" t="s">
        <v>280</v>
      </c>
      <c r="PJU868" s="290" t="s">
        <v>280</v>
      </c>
      <c r="PJV868" s="290" t="s">
        <v>280</v>
      </c>
      <c r="PJW868" s="290" t="s">
        <v>280</v>
      </c>
      <c r="PJX868" s="290" t="s">
        <v>280</v>
      </c>
      <c r="PJY868" s="290" t="s">
        <v>280</v>
      </c>
      <c r="PJZ868" s="290" t="s">
        <v>280</v>
      </c>
      <c r="PKA868" s="290" t="s">
        <v>280</v>
      </c>
      <c r="PKB868" s="290" t="s">
        <v>280</v>
      </c>
      <c r="PKC868" s="290" t="s">
        <v>280</v>
      </c>
      <c r="PKD868" s="290" t="s">
        <v>280</v>
      </c>
      <c r="PKE868" s="290" t="s">
        <v>280</v>
      </c>
      <c r="PKF868" s="290" t="s">
        <v>280</v>
      </c>
      <c r="PKG868" s="290" t="s">
        <v>280</v>
      </c>
      <c r="PKH868" s="290" t="s">
        <v>280</v>
      </c>
      <c r="PKI868" s="290" t="s">
        <v>280</v>
      </c>
      <c r="PKJ868" s="290" t="s">
        <v>280</v>
      </c>
      <c r="PKK868" s="290" t="s">
        <v>280</v>
      </c>
      <c r="PKL868" s="290" t="s">
        <v>280</v>
      </c>
      <c r="PKM868" s="290" t="s">
        <v>280</v>
      </c>
      <c r="PKN868" s="290" t="s">
        <v>280</v>
      </c>
      <c r="PKO868" s="290" t="s">
        <v>280</v>
      </c>
      <c r="PKP868" s="290" t="s">
        <v>280</v>
      </c>
      <c r="PKQ868" s="290" t="s">
        <v>280</v>
      </c>
      <c r="PKR868" s="290" t="s">
        <v>280</v>
      </c>
      <c r="PKS868" s="290" t="s">
        <v>280</v>
      </c>
      <c r="PKT868" s="290" t="s">
        <v>280</v>
      </c>
      <c r="PKU868" s="290" t="s">
        <v>280</v>
      </c>
      <c r="PKV868" s="290" t="s">
        <v>280</v>
      </c>
      <c r="PKW868" s="290" t="s">
        <v>280</v>
      </c>
      <c r="PKX868" s="290" t="s">
        <v>280</v>
      </c>
      <c r="PKY868" s="290" t="s">
        <v>280</v>
      </c>
      <c r="PKZ868" s="290" t="s">
        <v>280</v>
      </c>
      <c r="PLA868" s="290" t="s">
        <v>280</v>
      </c>
      <c r="PLB868" s="290" t="s">
        <v>280</v>
      </c>
      <c r="PLC868" s="290" t="s">
        <v>280</v>
      </c>
      <c r="PLD868" s="290" t="s">
        <v>280</v>
      </c>
      <c r="PLE868" s="290" t="s">
        <v>280</v>
      </c>
      <c r="PLF868" s="290" t="s">
        <v>280</v>
      </c>
      <c r="PLG868" s="290" t="s">
        <v>280</v>
      </c>
      <c r="PLH868" s="290" t="s">
        <v>280</v>
      </c>
      <c r="PLI868" s="290" t="s">
        <v>280</v>
      </c>
      <c r="PLJ868" s="290" t="s">
        <v>280</v>
      </c>
      <c r="PLK868" s="290" t="s">
        <v>280</v>
      </c>
      <c r="PLL868" s="290" t="s">
        <v>280</v>
      </c>
      <c r="PLM868" s="290" t="s">
        <v>280</v>
      </c>
      <c r="PLN868" s="290" t="s">
        <v>280</v>
      </c>
      <c r="PLO868" s="290" t="s">
        <v>280</v>
      </c>
      <c r="PLP868" s="290" t="s">
        <v>280</v>
      </c>
      <c r="PLQ868" s="290" t="s">
        <v>280</v>
      </c>
      <c r="PLR868" s="290" t="s">
        <v>280</v>
      </c>
      <c r="PLS868" s="290" t="s">
        <v>280</v>
      </c>
      <c r="PLT868" s="290" t="s">
        <v>280</v>
      </c>
      <c r="PLU868" s="290" t="s">
        <v>280</v>
      </c>
      <c r="PLV868" s="290" t="s">
        <v>280</v>
      </c>
      <c r="PLW868" s="290" t="s">
        <v>280</v>
      </c>
      <c r="PLX868" s="290" t="s">
        <v>280</v>
      </c>
      <c r="PLY868" s="290" t="s">
        <v>280</v>
      </c>
      <c r="PLZ868" s="290" t="s">
        <v>280</v>
      </c>
      <c r="PMA868" s="290" t="s">
        <v>280</v>
      </c>
      <c r="PMB868" s="290" t="s">
        <v>280</v>
      </c>
      <c r="PMC868" s="290" t="s">
        <v>280</v>
      </c>
      <c r="PMD868" s="290" t="s">
        <v>280</v>
      </c>
      <c r="PME868" s="290" t="s">
        <v>280</v>
      </c>
      <c r="PMF868" s="290" t="s">
        <v>280</v>
      </c>
      <c r="PMG868" s="290" t="s">
        <v>280</v>
      </c>
      <c r="PMH868" s="290" t="s">
        <v>280</v>
      </c>
      <c r="PMI868" s="290" t="s">
        <v>280</v>
      </c>
      <c r="PMJ868" s="290" t="s">
        <v>280</v>
      </c>
      <c r="PMK868" s="290" t="s">
        <v>280</v>
      </c>
      <c r="PML868" s="290" t="s">
        <v>280</v>
      </c>
      <c r="PMM868" s="290" t="s">
        <v>280</v>
      </c>
      <c r="PMN868" s="290" t="s">
        <v>280</v>
      </c>
      <c r="PMO868" s="290" t="s">
        <v>280</v>
      </c>
      <c r="PMP868" s="290" t="s">
        <v>280</v>
      </c>
      <c r="PMQ868" s="290" t="s">
        <v>280</v>
      </c>
      <c r="PMR868" s="290" t="s">
        <v>280</v>
      </c>
      <c r="PMS868" s="290" t="s">
        <v>280</v>
      </c>
      <c r="PMT868" s="290" t="s">
        <v>280</v>
      </c>
      <c r="PMU868" s="290" t="s">
        <v>280</v>
      </c>
      <c r="PMV868" s="290" t="s">
        <v>280</v>
      </c>
      <c r="PMW868" s="290" t="s">
        <v>280</v>
      </c>
      <c r="PMX868" s="290" t="s">
        <v>280</v>
      </c>
      <c r="PMY868" s="290" t="s">
        <v>280</v>
      </c>
      <c r="PMZ868" s="290" t="s">
        <v>280</v>
      </c>
      <c r="PNA868" s="290" t="s">
        <v>280</v>
      </c>
      <c r="PNB868" s="290" t="s">
        <v>280</v>
      </c>
      <c r="PNC868" s="290" t="s">
        <v>280</v>
      </c>
      <c r="PND868" s="290" t="s">
        <v>280</v>
      </c>
      <c r="PNE868" s="290" t="s">
        <v>280</v>
      </c>
      <c r="PNF868" s="290" t="s">
        <v>280</v>
      </c>
      <c r="PNG868" s="290" t="s">
        <v>280</v>
      </c>
      <c r="PNH868" s="290" t="s">
        <v>280</v>
      </c>
      <c r="PNI868" s="290" t="s">
        <v>280</v>
      </c>
      <c r="PNJ868" s="290" t="s">
        <v>280</v>
      </c>
      <c r="PNK868" s="290" t="s">
        <v>280</v>
      </c>
      <c r="PNL868" s="290" t="s">
        <v>280</v>
      </c>
      <c r="PNM868" s="290" t="s">
        <v>280</v>
      </c>
      <c r="PNN868" s="290" t="s">
        <v>280</v>
      </c>
      <c r="PNO868" s="290" t="s">
        <v>280</v>
      </c>
      <c r="PNP868" s="290" t="s">
        <v>280</v>
      </c>
      <c r="PNQ868" s="290" t="s">
        <v>280</v>
      </c>
      <c r="PNR868" s="290" t="s">
        <v>280</v>
      </c>
      <c r="PNS868" s="290" t="s">
        <v>280</v>
      </c>
      <c r="PNT868" s="290" t="s">
        <v>280</v>
      </c>
      <c r="PNU868" s="290" t="s">
        <v>280</v>
      </c>
      <c r="PNV868" s="290" t="s">
        <v>280</v>
      </c>
      <c r="PNW868" s="290" t="s">
        <v>280</v>
      </c>
      <c r="PNX868" s="290" t="s">
        <v>280</v>
      </c>
      <c r="PNY868" s="290" t="s">
        <v>280</v>
      </c>
      <c r="PNZ868" s="290" t="s">
        <v>280</v>
      </c>
      <c r="POA868" s="290" t="s">
        <v>280</v>
      </c>
      <c r="POB868" s="290" t="s">
        <v>280</v>
      </c>
      <c r="POC868" s="290" t="s">
        <v>280</v>
      </c>
      <c r="POD868" s="290" t="s">
        <v>280</v>
      </c>
      <c r="POE868" s="290" t="s">
        <v>280</v>
      </c>
      <c r="POF868" s="290" t="s">
        <v>280</v>
      </c>
      <c r="POG868" s="290" t="s">
        <v>280</v>
      </c>
      <c r="POH868" s="290" t="s">
        <v>280</v>
      </c>
      <c r="POI868" s="290" t="s">
        <v>280</v>
      </c>
      <c r="POJ868" s="290" t="s">
        <v>280</v>
      </c>
      <c r="POK868" s="290" t="s">
        <v>280</v>
      </c>
      <c r="POL868" s="290" t="s">
        <v>280</v>
      </c>
      <c r="POM868" s="290" t="s">
        <v>280</v>
      </c>
      <c r="PON868" s="290" t="s">
        <v>280</v>
      </c>
      <c r="POO868" s="290" t="s">
        <v>280</v>
      </c>
      <c r="POP868" s="290" t="s">
        <v>280</v>
      </c>
      <c r="POQ868" s="290" t="s">
        <v>280</v>
      </c>
      <c r="POR868" s="290" t="s">
        <v>280</v>
      </c>
      <c r="POS868" s="290" t="s">
        <v>280</v>
      </c>
      <c r="POT868" s="290" t="s">
        <v>280</v>
      </c>
      <c r="POU868" s="290" t="s">
        <v>280</v>
      </c>
      <c r="POV868" s="290" t="s">
        <v>280</v>
      </c>
      <c r="POW868" s="290" t="s">
        <v>280</v>
      </c>
      <c r="POX868" s="290" t="s">
        <v>280</v>
      </c>
      <c r="POY868" s="290" t="s">
        <v>280</v>
      </c>
      <c r="POZ868" s="290" t="s">
        <v>280</v>
      </c>
      <c r="PPA868" s="290" t="s">
        <v>280</v>
      </c>
      <c r="PPB868" s="290" t="s">
        <v>280</v>
      </c>
      <c r="PPC868" s="290" t="s">
        <v>280</v>
      </c>
      <c r="PPD868" s="290" t="s">
        <v>280</v>
      </c>
      <c r="PPE868" s="290" t="s">
        <v>280</v>
      </c>
      <c r="PPF868" s="290" t="s">
        <v>280</v>
      </c>
      <c r="PPG868" s="290" t="s">
        <v>280</v>
      </c>
      <c r="PPH868" s="290" t="s">
        <v>280</v>
      </c>
      <c r="PPI868" s="290" t="s">
        <v>280</v>
      </c>
      <c r="PPJ868" s="290" t="s">
        <v>280</v>
      </c>
      <c r="PPK868" s="290" t="s">
        <v>280</v>
      </c>
      <c r="PPL868" s="290" t="s">
        <v>280</v>
      </c>
      <c r="PPM868" s="290" t="s">
        <v>280</v>
      </c>
      <c r="PPN868" s="290" t="s">
        <v>280</v>
      </c>
      <c r="PPO868" s="290" t="s">
        <v>280</v>
      </c>
      <c r="PPP868" s="290" t="s">
        <v>280</v>
      </c>
      <c r="PPQ868" s="290" t="s">
        <v>280</v>
      </c>
      <c r="PPR868" s="290" t="s">
        <v>280</v>
      </c>
      <c r="PPS868" s="290" t="s">
        <v>280</v>
      </c>
      <c r="PPT868" s="290" t="s">
        <v>280</v>
      </c>
      <c r="PPU868" s="290" t="s">
        <v>280</v>
      </c>
      <c r="PPV868" s="290" t="s">
        <v>280</v>
      </c>
      <c r="PPW868" s="290" t="s">
        <v>280</v>
      </c>
      <c r="PPX868" s="290" t="s">
        <v>280</v>
      </c>
      <c r="PPY868" s="290" t="s">
        <v>280</v>
      </c>
      <c r="PPZ868" s="290" t="s">
        <v>280</v>
      </c>
      <c r="PQA868" s="290" t="s">
        <v>280</v>
      </c>
      <c r="PQB868" s="290" t="s">
        <v>280</v>
      </c>
      <c r="PQC868" s="290" t="s">
        <v>280</v>
      </c>
      <c r="PQD868" s="290" t="s">
        <v>280</v>
      </c>
      <c r="PQE868" s="290" t="s">
        <v>280</v>
      </c>
      <c r="PQF868" s="290" t="s">
        <v>280</v>
      </c>
      <c r="PQG868" s="290" t="s">
        <v>280</v>
      </c>
      <c r="PQH868" s="290" t="s">
        <v>280</v>
      </c>
      <c r="PQI868" s="290" t="s">
        <v>280</v>
      </c>
      <c r="PQJ868" s="290" t="s">
        <v>280</v>
      </c>
      <c r="PQK868" s="290" t="s">
        <v>280</v>
      </c>
      <c r="PQL868" s="290" t="s">
        <v>280</v>
      </c>
      <c r="PQM868" s="290" t="s">
        <v>280</v>
      </c>
      <c r="PQN868" s="290" t="s">
        <v>280</v>
      </c>
      <c r="PQO868" s="290" t="s">
        <v>280</v>
      </c>
      <c r="PQP868" s="290" t="s">
        <v>280</v>
      </c>
      <c r="PQQ868" s="290" t="s">
        <v>280</v>
      </c>
      <c r="PQR868" s="290" t="s">
        <v>280</v>
      </c>
      <c r="PQS868" s="290" t="s">
        <v>280</v>
      </c>
      <c r="PQT868" s="290" t="s">
        <v>280</v>
      </c>
      <c r="PQU868" s="290" t="s">
        <v>280</v>
      </c>
      <c r="PQV868" s="290" t="s">
        <v>280</v>
      </c>
      <c r="PQW868" s="290" t="s">
        <v>280</v>
      </c>
      <c r="PQX868" s="290" t="s">
        <v>280</v>
      </c>
      <c r="PQY868" s="290" t="s">
        <v>280</v>
      </c>
      <c r="PQZ868" s="290" t="s">
        <v>280</v>
      </c>
      <c r="PRA868" s="290" t="s">
        <v>280</v>
      </c>
      <c r="PRB868" s="290" t="s">
        <v>280</v>
      </c>
      <c r="PRC868" s="290" t="s">
        <v>280</v>
      </c>
      <c r="PRD868" s="290" t="s">
        <v>280</v>
      </c>
      <c r="PRE868" s="290" t="s">
        <v>280</v>
      </c>
      <c r="PRF868" s="290" t="s">
        <v>280</v>
      </c>
      <c r="PRG868" s="290" t="s">
        <v>280</v>
      </c>
      <c r="PRH868" s="290" t="s">
        <v>280</v>
      </c>
      <c r="PRI868" s="290" t="s">
        <v>280</v>
      </c>
      <c r="PRJ868" s="290" t="s">
        <v>280</v>
      </c>
      <c r="PRK868" s="290" t="s">
        <v>280</v>
      </c>
      <c r="PRL868" s="290" t="s">
        <v>280</v>
      </c>
      <c r="PRM868" s="290" t="s">
        <v>280</v>
      </c>
      <c r="PRN868" s="290" t="s">
        <v>280</v>
      </c>
      <c r="PRO868" s="290" t="s">
        <v>280</v>
      </c>
      <c r="PRP868" s="290" t="s">
        <v>280</v>
      </c>
      <c r="PRQ868" s="290" t="s">
        <v>280</v>
      </c>
      <c r="PRR868" s="290" t="s">
        <v>280</v>
      </c>
      <c r="PRS868" s="290" t="s">
        <v>280</v>
      </c>
      <c r="PRT868" s="290" t="s">
        <v>280</v>
      </c>
      <c r="PRU868" s="290" t="s">
        <v>280</v>
      </c>
      <c r="PRV868" s="290" t="s">
        <v>280</v>
      </c>
      <c r="PRW868" s="290" t="s">
        <v>280</v>
      </c>
      <c r="PRX868" s="290" t="s">
        <v>280</v>
      </c>
      <c r="PRY868" s="290" t="s">
        <v>280</v>
      </c>
      <c r="PRZ868" s="290" t="s">
        <v>280</v>
      </c>
      <c r="PSA868" s="290" t="s">
        <v>280</v>
      </c>
      <c r="PSB868" s="290" t="s">
        <v>280</v>
      </c>
      <c r="PSC868" s="290" t="s">
        <v>280</v>
      </c>
      <c r="PSD868" s="290" t="s">
        <v>280</v>
      </c>
      <c r="PSE868" s="290" t="s">
        <v>280</v>
      </c>
      <c r="PSF868" s="290" t="s">
        <v>280</v>
      </c>
      <c r="PSG868" s="290" t="s">
        <v>280</v>
      </c>
      <c r="PSH868" s="290" t="s">
        <v>280</v>
      </c>
      <c r="PSI868" s="290" t="s">
        <v>280</v>
      </c>
      <c r="PSJ868" s="290" t="s">
        <v>280</v>
      </c>
      <c r="PSK868" s="290" t="s">
        <v>280</v>
      </c>
      <c r="PSL868" s="290" t="s">
        <v>280</v>
      </c>
      <c r="PSM868" s="290" t="s">
        <v>280</v>
      </c>
      <c r="PSN868" s="290" t="s">
        <v>280</v>
      </c>
      <c r="PSO868" s="290" t="s">
        <v>280</v>
      </c>
      <c r="PSP868" s="290" t="s">
        <v>280</v>
      </c>
      <c r="PSQ868" s="290" t="s">
        <v>280</v>
      </c>
      <c r="PSR868" s="290" t="s">
        <v>280</v>
      </c>
      <c r="PSS868" s="290" t="s">
        <v>280</v>
      </c>
      <c r="PST868" s="290" t="s">
        <v>280</v>
      </c>
      <c r="PSU868" s="290" t="s">
        <v>280</v>
      </c>
      <c r="PSV868" s="290" t="s">
        <v>280</v>
      </c>
      <c r="PSW868" s="290" t="s">
        <v>280</v>
      </c>
      <c r="PSX868" s="290" t="s">
        <v>280</v>
      </c>
      <c r="PSY868" s="290" t="s">
        <v>280</v>
      </c>
      <c r="PSZ868" s="290" t="s">
        <v>280</v>
      </c>
      <c r="PTA868" s="290" t="s">
        <v>280</v>
      </c>
      <c r="PTB868" s="290" t="s">
        <v>280</v>
      </c>
      <c r="PTC868" s="290" t="s">
        <v>280</v>
      </c>
      <c r="PTD868" s="290" t="s">
        <v>280</v>
      </c>
      <c r="PTE868" s="290" t="s">
        <v>280</v>
      </c>
      <c r="PTF868" s="290" t="s">
        <v>280</v>
      </c>
      <c r="PTG868" s="290" t="s">
        <v>280</v>
      </c>
      <c r="PTH868" s="290" t="s">
        <v>280</v>
      </c>
      <c r="PTI868" s="290" t="s">
        <v>280</v>
      </c>
      <c r="PTJ868" s="290" t="s">
        <v>280</v>
      </c>
      <c r="PTK868" s="290" t="s">
        <v>280</v>
      </c>
      <c r="PTL868" s="290" t="s">
        <v>280</v>
      </c>
      <c r="PTM868" s="290" t="s">
        <v>280</v>
      </c>
      <c r="PTN868" s="290" t="s">
        <v>280</v>
      </c>
      <c r="PTO868" s="290" t="s">
        <v>280</v>
      </c>
      <c r="PTP868" s="290" t="s">
        <v>280</v>
      </c>
      <c r="PTQ868" s="290" t="s">
        <v>280</v>
      </c>
      <c r="PTR868" s="290" t="s">
        <v>280</v>
      </c>
      <c r="PTS868" s="290" t="s">
        <v>280</v>
      </c>
      <c r="PTT868" s="290" t="s">
        <v>280</v>
      </c>
      <c r="PTU868" s="290" t="s">
        <v>280</v>
      </c>
      <c r="PTV868" s="290" t="s">
        <v>280</v>
      </c>
      <c r="PTW868" s="290" t="s">
        <v>280</v>
      </c>
      <c r="PTX868" s="290" t="s">
        <v>280</v>
      </c>
      <c r="PTY868" s="290" t="s">
        <v>280</v>
      </c>
      <c r="PTZ868" s="290" t="s">
        <v>280</v>
      </c>
      <c r="PUA868" s="290" t="s">
        <v>280</v>
      </c>
      <c r="PUB868" s="290" t="s">
        <v>280</v>
      </c>
      <c r="PUC868" s="290" t="s">
        <v>280</v>
      </c>
      <c r="PUD868" s="290" t="s">
        <v>280</v>
      </c>
      <c r="PUE868" s="290" t="s">
        <v>280</v>
      </c>
      <c r="PUF868" s="290" t="s">
        <v>280</v>
      </c>
      <c r="PUG868" s="290" t="s">
        <v>280</v>
      </c>
      <c r="PUH868" s="290" t="s">
        <v>280</v>
      </c>
      <c r="PUI868" s="290" t="s">
        <v>280</v>
      </c>
      <c r="PUJ868" s="290" t="s">
        <v>280</v>
      </c>
      <c r="PUK868" s="290" t="s">
        <v>280</v>
      </c>
      <c r="PUL868" s="290" t="s">
        <v>280</v>
      </c>
      <c r="PUM868" s="290" t="s">
        <v>280</v>
      </c>
      <c r="PUN868" s="290" t="s">
        <v>280</v>
      </c>
      <c r="PUO868" s="290" t="s">
        <v>280</v>
      </c>
      <c r="PUP868" s="290" t="s">
        <v>280</v>
      </c>
      <c r="PUQ868" s="290" t="s">
        <v>280</v>
      </c>
      <c r="PUR868" s="290" t="s">
        <v>280</v>
      </c>
      <c r="PUS868" s="290" t="s">
        <v>280</v>
      </c>
      <c r="PUT868" s="290" t="s">
        <v>280</v>
      </c>
      <c r="PUU868" s="290" t="s">
        <v>280</v>
      </c>
      <c r="PUV868" s="290" t="s">
        <v>280</v>
      </c>
      <c r="PUW868" s="290" t="s">
        <v>280</v>
      </c>
      <c r="PUX868" s="290" t="s">
        <v>280</v>
      </c>
      <c r="PUY868" s="290" t="s">
        <v>280</v>
      </c>
      <c r="PUZ868" s="290" t="s">
        <v>280</v>
      </c>
      <c r="PVA868" s="290" t="s">
        <v>280</v>
      </c>
      <c r="PVB868" s="290" t="s">
        <v>280</v>
      </c>
      <c r="PVC868" s="290" t="s">
        <v>280</v>
      </c>
      <c r="PVD868" s="290" t="s">
        <v>280</v>
      </c>
      <c r="PVE868" s="290" t="s">
        <v>280</v>
      </c>
      <c r="PVF868" s="290" t="s">
        <v>280</v>
      </c>
      <c r="PVG868" s="290" t="s">
        <v>280</v>
      </c>
      <c r="PVH868" s="290" t="s">
        <v>280</v>
      </c>
      <c r="PVI868" s="290" t="s">
        <v>280</v>
      </c>
      <c r="PVJ868" s="290" t="s">
        <v>280</v>
      </c>
      <c r="PVK868" s="290" t="s">
        <v>280</v>
      </c>
      <c r="PVL868" s="290" t="s">
        <v>280</v>
      </c>
      <c r="PVM868" s="290" t="s">
        <v>280</v>
      </c>
      <c r="PVN868" s="290" t="s">
        <v>280</v>
      </c>
      <c r="PVO868" s="290" t="s">
        <v>280</v>
      </c>
      <c r="PVP868" s="290" t="s">
        <v>280</v>
      </c>
      <c r="PVQ868" s="290" t="s">
        <v>280</v>
      </c>
      <c r="PVR868" s="290" t="s">
        <v>280</v>
      </c>
      <c r="PVS868" s="290" t="s">
        <v>280</v>
      </c>
      <c r="PVT868" s="290" t="s">
        <v>280</v>
      </c>
      <c r="PVU868" s="290" t="s">
        <v>280</v>
      </c>
      <c r="PVV868" s="290" t="s">
        <v>280</v>
      </c>
      <c r="PVW868" s="290" t="s">
        <v>280</v>
      </c>
      <c r="PVX868" s="290" t="s">
        <v>280</v>
      </c>
      <c r="PVY868" s="290" t="s">
        <v>280</v>
      </c>
      <c r="PVZ868" s="290" t="s">
        <v>280</v>
      </c>
      <c r="PWA868" s="290" t="s">
        <v>280</v>
      </c>
      <c r="PWB868" s="290" t="s">
        <v>280</v>
      </c>
      <c r="PWC868" s="290" t="s">
        <v>280</v>
      </c>
      <c r="PWD868" s="290" t="s">
        <v>280</v>
      </c>
      <c r="PWE868" s="290" t="s">
        <v>280</v>
      </c>
      <c r="PWF868" s="290" t="s">
        <v>280</v>
      </c>
      <c r="PWG868" s="290" t="s">
        <v>280</v>
      </c>
      <c r="PWH868" s="290" t="s">
        <v>280</v>
      </c>
      <c r="PWI868" s="290" t="s">
        <v>280</v>
      </c>
      <c r="PWJ868" s="290" t="s">
        <v>280</v>
      </c>
      <c r="PWK868" s="290" t="s">
        <v>280</v>
      </c>
      <c r="PWL868" s="290" t="s">
        <v>280</v>
      </c>
      <c r="PWM868" s="290" t="s">
        <v>280</v>
      </c>
      <c r="PWN868" s="290" t="s">
        <v>280</v>
      </c>
      <c r="PWO868" s="290" t="s">
        <v>280</v>
      </c>
      <c r="PWP868" s="290" t="s">
        <v>280</v>
      </c>
      <c r="PWQ868" s="290" t="s">
        <v>280</v>
      </c>
      <c r="PWR868" s="290" t="s">
        <v>280</v>
      </c>
      <c r="PWS868" s="290" t="s">
        <v>280</v>
      </c>
      <c r="PWT868" s="290" t="s">
        <v>280</v>
      </c>
      <c r="PWU868" s="290" t="s">
        <v>280</v>
      </c>
      <c r="PWV868" s="290" t="s">
        <v>280</v>
      </c>
      <c r="PWW868" s="290" t="s">
        <v>280</v>
      </c>
      <c r="PWX868" s="290" t="s">
        <v>280</v>
      </c>
      <c r="PWY868" s="290" t="s">
        <v>280</v>
      </c>
      <c r="PWZ868" s="290" t="s">
        <v>280</v>
      </c>
      <c r="PXA868" s="290" t="s">
        <v>280</v>
      </c>
      <c r="PXB868" s="290" t="s">
        <v>280</v>
      </c>
      <c r="PXC868" s="290" t="s">
        <v>280</v>
      </c>
      <c r="PXD868" s="290" t="s">
        <v>280</v>
      </c>
      <c r="PXE868" s="290" t="s">
        <v>280</v>
      </c>
      <c r="PXF868" s="290" t="s">
        <v>280</v>
      </c>
      <c r="PXG868" s="290" t="s">
        <v>280</v>
      </c>
      <c r="PXH868" s="290" t="s">
        <v>280</v>
      </c>
      <c r="PXI868" s="290" t="s">
        <v>280</v>
      </c>
      <c r="PXJ868" s="290" t="s">
        <v>280</v>
      </c>
      <c r="PXK868" s="290" t="s">
        <v>280</v>
      </c>
      <c r="PXL868" s="290" t="s">
        <v>280</v>
      </c>
      <c r="PXM868" s="290" t="s">
        <v>280</v>
      </c>
      <c r="PXN868" s="290" t="s">
        <v>280</v>
      </c>
      <c r="PXO868" s="290" t="s">
        <v>280</v>
      </c>
      <c r="PXP868" s="290" t="s">
        <v>280</v>
      </c>
      <c r="PXQ868" s="290" t="s">
        <v>280</v>
      </c>
      <c r="PXR868" s="290" t="s">
        <v>280</v>
      </c>
      <c r="PXS868" s="290" t="s">
        <v>280</v>
      </c>
      <c r="PXT868" s="290" t="s">
        <v>280</v>
      </c>
      <c r="PXU868" s="290" t="s">
        <v>280</v>
      </c>
      <c r="PXV868" s="290" t="s">
        <v>280</v>
      </c>
      <c r="PXW868" s="290" t="s">
        <v>280</v>
      </c>
      <c r="PXX868" s="290" t="s">
        <v>280</v>
      </c>
      <c r="PXY868" s="290" t="s">
        <v>280</v>
      </c>
      <c r="PXZ868" s="290" t="s">
        <v>280</v>
      </c>
      <c r="PYA868" s="290" t="s">
        <v>280</v>
      </c>
      <c r="PYB868" s="290" t="s">
        <v>280</v>
      </c>
      <c r="PYC868" s="290" t="s">
        <v>280</v>
      </c>
      <c r="PYD868" s="290" t="s">
        <v>280</v>
      </c>
      <c r="PYE868" s="290" t="s">
        <v>280</v>
      </c>
      <c r="PYF868" s="290" t="s">
        <v>280</v>
      </c>
      <c r="PYG868" s="290" t="s">
        <v>280</v>
      </c>
      <c r="PYH868" s="290" t="s">
        <v>280</v>
      </c>
      <c r="PYI868" s="290" t="s">
        <v>280</v>
      </c>
      <c r="PYJ868" s="290" t="s">
        <v>280</v>
      </c>
      <c r="PYK868" s="290" t="s">
        <v>280</v>
      </c>
      <c r="PYL868" s="290" t="s">
        <v>280</v>
      </c>
      <c r="PYM868" s="290" t="s">
        <v>280</v>
      </c>
      <c r="PYN868" s="290" t="s">
        <v>280</v>
      </c>
      <c r="PYO868" s="290" t="s">
        <v>280</v>
      </c>
      <c r="PYP868" s="290" t="s">
        <v>280</v>
      </c>
      <c r="PYQ868" s="290" t="s">
        <v>280</v>
      </c>
      <c r="PYR868" s="290" t="s">
        <v>280</v>
      </c>
      <c r="PYS868" s="290" t="s">
        <v>280</v>
      </c>
      <c r="PYT868" s="290" t="s">
        <v>280</v>
      </c>
      <c r="PYU868" s="290" t="s">
        <v>280</v>
      </c>
      <c r="PYV868" s="290" t="s">
        <v>280</v>
      </c>
      <c r="PYW868" s="290" t="s">
        <v>280</v>
      </c>
      <c r="PYX868" s="290" t="s">
        <v>280</v>
      </c>
      <c r="PYY868" s="290" t="s">
        <v>280</v>
      </c>
      <c r="PYZ868" s="290" t="s">
        <v>280</v>
      </c>
      <c r="PZA868" s="290" t="s">
        <v>280</v>
      </c>
      <c r="PZB868" s="290" t="s">
        <v>280</v>
      </c>
      <c r="PZC868" s="290" t="s">
        <v>280</v>
      </c>
      <c r="PZD868" s="290" t="s">
        <v>280</v>
      </c>
      <c r="PZE868" s="290" t="s">
        <v>280</v>
      </c>
      <c r="PZF868" s="290" t="s">
        <v>280</v>
      </c>
      <c r="PZG868" s="290" t="s">
        <v>280</v>
      </c>
      <c r="PZH868" s="290" t="s">
        <v>280</v>
      </c>
      <c r="PZI868" s="290" t="s">
        <v>280</v>
      </c>
      <c r="PZJ868" s="290" t="s">
        <v>280</v>
      </c>
      <c r="PZK868" s="290" t="s">
        <v>280</v>
      </c>
      <c r="PZL868" s="290" t="s">
        <v>280</v>
      </c>
      <c r="PZM868" s="290" t="s">
        <v>280</v>
      </c>
      <c r="PZN868" s="290" t="s">
        <v>280</v>
      </c>
      <c r="PZO868" s="290" t="s">
        <v>280</v>
      </c>
      <c r="PZP868" s="290" t="s">
        <v>280</v>
      </c>
      <c r="PZQ868" s="290" t="s">
        <v>280</v>
      </c>
      <c r="PZR868" s="290" t="s">
        <v>280</v>
      </c>
      <c r="PZS868" s="290" t="s">
        <v>280</v>
      </c>
      <c r="PZT868" s="290" t="s">
        <v>280</v>
      </c>
      <c r="PZU868" s="290" t="s">
        <v>280</v>
      </c>
      <c r="PZV868" s="290" t="s">
        <v>280</v>
      </c>
      <c r="PZW868" s="290" t="s">
        <v>280</v>
      </c>
      <c r="PZX868" s="290" t="s">
        <v>280</v>
      </c>
      <c r="PZY868" s="290" t="s">
        <v>280</v>
      </c>
      <c r="PZZ868" s="290" t="s">
        <v>280</v>
      </c>
      <c r="QAA868" s="290" t="s">
        <v>280</v>
      </c>
      <c r="QAB868" s="290" t="s">
        <v>280</v>
      </c>
      <c r="QAC868" s="290" t="s">
        <v>280</v>
      </c>
      <c r="QAD868" s="290" t="s">
        <v>280</v>
      </c>
      <c r="QAE868" s="290" t="s">
        <v>280</v>
      </c>
      <c r="QAF868" s="290" t="s">
        <v>280</v>
      </c>
      <c r="QAG868" s="290" t="s">
        <v>280</v>
      </c>
      <c r="QAH868" s="290" t="s">
        <v>280</v>
      </c>
      <c r="QAI868" s="290" t="s">
        <v>280</v>
      </c>
      <c r="QAJ868" s="290" t="s">
        <v>280</v>
      </c>
      <c r="QAK868" s="290" t="s">
        <v>280</v>
      </c>
      <c r="QAL868" s="290" t="s">
        <v>280</v>
      </c>
      <c r="QAM868" s="290" t="s">
        <v>280</v>
      </c>
      <c r="QAN868" s="290" t="s">
        <v>280</v>
      </c>
      <c r="QAO868" s="290" t="s">
        <v>280</v>
      </c>
      <c r="QAP868" s="290" t="s">
        <v>280</v>
      </c>
      <c r="QAQ868" s="290" t="s">
        <v>280</v>
      </c>
      <c r="QAR868" s="290" t="s">
        <v>280</v>
      </c>
      <c r="QAS868" s="290" t="s">
        <v>280</v>
      </c>
      <c r="QAT868" s="290" t="s">
        <v>280</v>
      </c>
      <c r="QAU868" s="290" t="s">
        <v>280</v>
      </c>
      <c r="QAV868" s="290" t="s">
        <v>280</v>
      </c>
      <c r="QAW868" s="290" t="s">
        <v>280</v>
      </c>
      <c r="QAX868" s="290" t="s">
        <v>280</v>
      </c>
      <c r="QAY868" s="290" t="s">
        <v>280</v>
      </c>
      <c r="QAZ868" s="290" t="s">
        <v>280</v>
      </c>
      <c r="QBA868" s="290" t="s">
        <v>280</v>
      </c>
      <c r="QBB868" s="290" t="s">
        <v>280</v>
      </c>
      <c r="QBC868" s="290" t="s">
        <v>280</v>
      </c>
      <c r="QBD868" s="290" t="s">
        <v>280</v>
      </c>
      <c r="QBE868" s="290" t="s">
        <v>280</v>
      </c>
      <c r="QBF868" s="290" t="s">
        <v>280</v>
      </c>
      <c r="QBG868" s="290" t="s">
        <v>280</v>
      </c>
      <c r="QBH868" s="290" t="s">
        <v>280</v>
      </c>
      <c r="QBI868" s="290" t="s">
        <v>280</v>
      </c>
      <c r="QBJ868" s="290" t="s">
        <v>280</v>
      </c>
      <c r="QBK868" s="290" t="s">
        <v>280</v>
      </c>
      <c r="QBL868" s="290" t="s">
        <v>280</v>
      </c>
      <c r="QBM868" s="290" t="s">
        <v>280</v>
      </c>
      <c r="QBN868" s="290" t="s">
        <v>280</v>
      </c>
      <c r="QBO868" s="290" t="s">
        <v>280</v>
      </c>
      <c r="QBP868" s="290" t="s">
        <v>280</v>
      </c>
      <c r="QBQ868" s="290" t="s">
        <v>280</v>
      </c>
      <c r="QBR868" s="290" t="s">
        <v>280</v>
      </c>
      <c r="QBS868" s="290" t="s">
        <v>280</v>
      </c>
      <c r="QBT868" s="290" t="s">
        <v>280</v>
      </c>
      <c r="QBU868" s="290" t="s">
        <v>280</v>
      </c>
      <c r="QBV868" s="290" t="s">
        <v>280</v>
      </c>
      <c r="QBW868" s="290" t="s">
        <v>280</v>
      </c>
      <c r="QBX868" s="290" t="s">
        <v>280</v>
      </c>
      <c r="QBY868" s="290" t="s">
        <v>280</v>
      </c>
      <c r="QBZ868" s="290" t="s">
        <v>280</v>
      </c>
      <c r="QCA868" s="290" t="s">
        <v>280</v>
      </c>
      <c r="QCB868" s="290" t="s">
        <v>280</v>
      </c>
      <c r="QCC868" s="290" t="s">
        <v>280</v>
      </c>
      <c r="QCD868" s="290" t="s">
        <v>280</v>
      </c>
      <c r="QCE868" s="290" t="s">
        <v>280</v>
      </c>
      <c r="QCF868" s="290" t="s">
        <v>280</v>
      </c>
      <c r="QCG868" s="290" t="s">
        <v>280</v>
      </c>
      <c r="QCH868" s="290" t="s">
        <v>280</v>
      </c>
      <c r="QCI868" s="290" t="s">
        <v>280</v>
      </c>
      <c r="QCJ868" s="290" t="s">
        <v>280</v>
      </c>
      <c r="QCK868" s="290" t="s">
        <v>280</v>
      </c>
      <c r="QCL868" s="290" t="s">
        <v>280</v>
      </c>
      <c r="QCM868" s="290" t="s">
        <v>280</v>
      </c>
      <c r="QCN868" s="290" t="s">
        <v>280</v>
      </c>
      <c r="QCO868" s="290" t="s">
        <v>280</v>
      </c>
      <c r="QCP868" s="290" t="s">
        <v>280</v>
      </c>
      <c r="QCQ868" s="290" t="s">
        <v>280</v>
      </c>
      <c r="QCR868" s="290" t="s">
        <v>280</v>
      </c>
      <c r="QCS868" s="290" t="s">
        <v>280</v>
      </c>
      <c r="QCT868" s="290" t="s">
        <v>280</v>
      </c>
      <c r="QCU868" s="290" t="s">
        <v>280</v>
      </c>
      <c r="QCV868" s="290" t="s">
        <v>280</v>
      </c>
      <c r="QCW868" s="290" t="s">
        <v>280</v>
      </c>
      <c r="QCX868" s="290" t="s">
        <v>280</v>
      </c>
      <c r="QCY868" s="290" t="s">
        <v>280</v>
      </c>
      <c r="QCZ868" s="290" t="s">
        <v>280</v>
      </c>
      <c r="QDA868" s="290" t="s">
        <v>280</v>
      </c>
      <c r="QDB868" s="290" t="s">
        <v>280</v>
      </c>
      <c r="QDC868" s="290" t="s">
        <v>280</v>
      </c>
      <c r="QDD868" s="290" t="s">
        <v>280</v>
      </c>
      <c r="QDE868" s="290" t="s">
        <v>280</v>
      </c>
      <c r="QDF868" s="290" t="s">
        <v>280</v>
      </c>
      <c r="QDG868" s="290" t="s">
        <v>280</v>
      </c>
      <c r="QDH868" s="290" t="s">
        <v>280</v>
      </c>
      <c r="QDI868" s="290" t="s">
        <v>280</v>
      </c>
      <c r="QDJ868" s="290" t="s">
        <v>280</v>
      </c>
      <c r="QDK868" s="290" t="s">
        <v>280</v>
      </c>
      <c r="QDL868" s="290" t="s">
        <v>280</v>
      </c>
      <c r="QDM868" s="290" t="s">
        <v>280</v>
      </c>
      <c r="QDN868" s="290" t="s">
        <v>280</v>
      </c>
      <c r="QDO868" s="290" t="s">
        <v>280</v>
      </c>
      <c r="QDP868" s="290" t="s">
        <v>280</v>
      </c>
      <c r="QDQ868" s="290" t="s">
        <v>280</v>
      </c>
      <c r="QDR868" s="290" t="s">
        <v>280</v>
      </c>
      <c r="QDS868" s="290" t="s">
        <v>280</v>
      </c>
      <c r="QDT868" s="290" t="s">
        <v>280</v>
      </c>
      <c r="QDU868" s="290" t="s">
        <v>280</v>
      </c>
      <c r="QDV868" s="290" t="s">
        <v>280</v>
      </c>
      <c r="QDW868" s="290" t="s">
        <v>280</v>
      </c>
      <c r="QDX868" s="290" t="s">
        <v>280</v>
      </c>
      <c r="QDY868" s="290" t="s">
        <v>280</v>
      </c>
      <c r="QDZ868" s="290" t="s">
        <v>280</v>
      </c>
      <c r="QEA868" s="290" t="s">
        <v>280</v>
      </c>
      <c r="QEB868" s="290" t="s">
        <v>280</v>
      </c>
      <c r="QEC868" s="290" t="s">
        <v>280</v>
      </c>
      <c r="QED868" s="290" t="s">
        <v>280</v>
      </c>
      <c r="QEE868" s="290" t="s">
        <v>280</v>
      </c>
      <c r="QEF868" s="290" t="s">
        <v>280</v>
      </c>
      <c r="QEG868" s="290" t="s">
        <v>280</v>
      </c>
      <c r="QEH868" s="290" t="s">
        <v>280</v>
      </c>
      <c r="QEI868" s="290" t="s">
        <v>280</v>
      </c>
      <c r="QEJ868" s="290" t="s">
        <v>280</v>
      </c>
      <c r="QEK868" s="290" t="s">
        <v>280</v>
      </c>
      <c r="QEL868" s="290" t="s">
        <v>280</v>
      </c>
      <c r="QEM868" s="290" t="s">
        <v>280</v>
      </c>
      <c r="QEN868" s="290" t="s">
        <v>280</v>
      </c>
      <c r="QEO868" s="290" t="s">
        <v>280</v>
      </c>
      <c r="QEP868" s="290" t="s">
        <v>280</v>
      </c>
      <c r="QEQ868" s="290" t="s">
        <v>280</v>
      </c>
      <c r="QER868" s="290" t="s">
        <v>280</v>
      </c>
      <c r="QES868" s="290" t="s">
        <v>280</v>
      </c>
      <c r="QET868" s="290" t="s">
        <v>280</v>
      </c>
      <c r="QEU868" s="290" t="s">
        <v>280</v>
      </c>
      <c r="QEV868" s="290" t="s">
        <v>280</v>
      </c>
      <c r="QEW868" s="290" t="s">
        <v>280</v>
      </c>
      <c r="QEX868" s="290" t="s">
        <v>280</v>
      </c>
      <c r="QEY868" s="290" t="s">
        <v>280</v>
      </c>
      <c r="QEZ868" s="290" t="s">
        <v>280</v>
      </c>
      <c r="QFA868" s="290" t="s">
        <v>280</v>
      </c>
      <c r="QFB868" s="290" t="s">
        <v>280</v>
      </c>
      <c r="QFC868" s="290" t="s">
        <v>280</v>
      </c>
      <c r="QFD868" s="290" t="s">
        <v>280</v>
      </c>
      <c r="QFE868" s="290" t="s">
        <v>280</v>
      </c>
      <c r="QFF868" s="290" t="s">
        <v>280</v>
      </c>
      <c r="QFG868" s="290" t="s">
        <v>280</v>
      </c>
      <c r="QFH868" s="290" t="s">
        <v>280</v>
      </c>
      <c r="QFI868" s="290" t="s">
        <v>280</v>
      </c>
      <c r="QFJ868" s="290" t="s">
        <v>280</v>
      </c>
      <c r="QFK868" s="290" t="s">
        <v>280</v>
      </c>
      <c r="QFL868" s="290" t="s">
        <v>280</v>
      </c>
      <c r="QFM868" s="290" t="s">
        <v>280</v>
      </c>
      <c r="QFN868" s="290" t="s">
        <v>280</v>
      </c>
      <c r="QFO868" s="290" t="s">
        <v>280</v>
      </c>
      <c r="QFP868" s="290" t="s">
        <v>280</v>
      </c>
      <c r="QFQ868" s="290" t="s">
        <v>280</v>
      </c>
      <c r="QFR868" s="290" t="s">
        <v>280</v>
      </c>
      <c r="QFS868" s="290" t="s">
        <v>280</v>
      </c>
      <c r="QFT868" s="290" t="s">
        <v>280</v>
      </c>
      <c r="QFU868" s="290" t="s">
        <v>280</v>
      </c>
      <c r="QFV868" s="290" t="s">
        <v>280</v>
      </c>
      <c r="QFW868" s="290" t="s">
        <v>280</v>
      </c>
      <c r="QFX868" s="290" t="s">
        <v>280</v>
      </c>
      <c r="QFY868" s="290" t="s">
        <v>280</v>
      </c>
      <c r="QFZ868" s="290" t="s">
        <v>280</v>
      </c>
      <c r="QGA868" s="290" t="s">
        <v>280</v>
      </c>
      <c r="QGB868" s="290" t="s">
        <v>280</v>
      </c>
      <c r="QGC868" s="290" t="s">
        <v>280</v>
      </c>
      <c r="QGD868" s="290" t="s">
        <v>280</v>
      </c>
      <c r="QGE868" s="290" t="s">
        <v>280</v>
      </c>
      <c r="QGF868" s="290" t="s">
        <v>280</v>
      </c>
      <c r="QGG868" s="290" t="s">
        <v>280</v>
      </c>
      <c r="QGH868" s="290" t="s">
        <v>280</v>
      </c>
      <c r="QGI868" s="290" t="s">
        <v>280</v>
      </c>
      <c r="QGJ868" s="290" t="s">
        <v>280</v>
      </c>
      <c r="QGK868" s="290" t="s">
        <v>280</v>
      </c>
      <c r="QGL868" s="290" t="s">
        <v>280</v>
      </c>
      <c r="QGM868" s="290" t="s">
        <v>280</v>
      </c>
      <c r="QGN868" s="290" t="s">
        <v>280</v>
      </c>
      <c r="QGO868" s="290" t="s">
        <v>280</v>
      </c>
      <c r="QGP868" s="290" t="s">
        <v>280</v>
      </c>
      <c r="QGQ868" s="290" t="s">
        <v>280</v>
      </c>
      <c r="QGR868" s="290" t="s">
        <v>280</v>
      </c>
      <c r="QGS868" s="290" t="s">
        <v>280</v>
      </c>
      <c r="QGT868" s="290" t="s">
        <v>280</v>
      </c>
      <c r="QGU868" s="290" t="s">
        <v>280</v>
      </c>
      <c r="QGV868" s="290" t="s">
        <v>280</v>
      </c>
      <c r="QGW868" s="290" t="s">
        <v>280</v>
      </c>
      <c r="QGX868" s="290" t="s">
        <v>280</v>
      </c>
      <c r="QGY868" s="290" t="s">
        <v>280</v>
      </c>
      <c r="QGZ868" s="290" t="s">
        <v>280</v>
      </c>
      <c r="QHA868" s="290" t="s">
        <v>280</v>
      </c>
      <c r="QHB868" s="290" t="s">
        <v>280</v>
      </c>
      <c r="QHC868" s="290" t="s">
        <v>280</v>
      </c>
      <c r="QHD868" s="290" t="s">
        <v>280</v>
      </c>
      <c r="QHE868" s="290" t="s">
        <v>280</v>
      </c>
      <c r="QHF868" s="290" t="s">
        <v>280</v>
      </c>
      <c r="QHG868" s="290" t="s">
        <v>280</v>
      </c>
      <c r="QHH868" s="290" t="s">
        <v>280</v>
      </c>
      <c r="QHI868" s="290" t="s">
        <v>280</v>
      </c>
      <c r="QHJ868" s="290" t="s">
        <v>280</v>
      </c>
      <c r="QHK868" s="290" t="s">
        <v>280</v>
      </c>
      <c r="QHL868" s="290" t="s">
        <v>280</v>
      </c>
      <c r="QHM868" s="290" t="s">
        <v>280</v>
      </c>
      <c r="QHN868" s="290" t="s">
        <v>280</v>
      </c>
      <c r="QHO868" s="290" t="s">
        <v>280</v>
      </c>
      <c r="QHP868" s="290" t="s">
        <v>280</v>
      </c>
      <c r="QHQ868" s="290" t="s">
        <v>280</v>
      </c>
      <c r="QHR868" s="290" t="s">
        <v>280</v>
      </c>
      <c r="QHS868" s="290" t="s">
        <v>280</v>
      </c>
      <c r="QHT868" s="290" t="s">
        <v>280</v>
      </c>
      <c r="QHU868" s="290" t="s">
        <v>280</v>
      </c>
      <c r="QHV868" s="290" t="s">
        <v>280</v>
      </c>
      <c r="QHW868" s="290" t="s">
        <v>280</v>
      </c>
      <c r="QHX868" s="290" t="s">
        <v>280</v>
      </c>
      <c r="QHY868" s="290" t="s">
        <v>280</v>
      </c>
      <c r="QHZ868" s="290" t="s">
        <v>280</v>
      </c>
      <c r="QIA868" s="290" t="s">
        <v>280</v>
      </c>
      <c r="QIB868" s="290" t="s">
        <v>280</v>
      </c>
      <c r="QIC868" s="290" t="s">
        <v>280</v>
      </c>
      <c r="QID868" s="290" t="s">
        <v>280</v>
      </c>
      <c r="QIE868" s="290" t="s">
        <v>280</v>
      </c>
      <c r="QIF868" s="290" t="s">
        <v>280</v>
      </c>
      <c r="QIG868" s="290" t="s">
        <v>280</v>
      </c>
      <c r="QIH868" s="290" t="s">
        <v>280</v>
      </c>
      <c r="QII868" s="290" t="s">
        <v>280</v>
      </c>
      <c r="QIJ868" s="290" t="s">
        <v>280</v>
      </c>
      <c r="QIK868" s="290" t="s">
        <v>280</v>
      </c>
      <c r="QIL868" s="290" t="s">
        <v>280</v>
      </c>
      <c r="QIM868" s="290" t="s">
        <v>280</v>
      </c>
      <c r="QIN868" s="290" t="s">
        <v>280</v>
      </c>
      <c r="QIO868" s="290" t="s">
        <v>280</v>
      </c>
      <c r="QIP868" s="290" t="s">
        <v>280</v>
      </c>
      <c r="QIQ868" s="290" t="s">
        <v>280</v>
      </c>
      <c r="QIR868" s="290" t="s">
        <v>280</v>
      </c>
      <c r="QIS868" s="290" t="s">
        <v>280</v>
      </c>
      <c r="QIT868" s="290" t="s">
        <v>280</v>
      </c>
      <c r="QIU868" s="290" t="s">
        <v>280</v>
      </c>
      <c r="QIV868" s="290" t="s">
        <v>280</v>
      </c>
      <c r="QIW868" s="290" t="s">
        <v>280</v>
      </c>
      <c r="QIX868" s="290" t="s">
        <v>280</v>
      </c>
      <c r="QIY868" s="290" t="s">
        <v>280</v>
      </c>
      <c r="QIZ868" s="290" t="s">
        <v>280</v>
      </c>
      <c r="QJA868" s="290" t="s">
        <v>280</v>
      </c>
      <c r="QJB868" s="290" t="s">
        <v>280</v>
      </c>
      <c r="QJC868" s="290" t="s">
        <v>280</v>
      </c>
      <c r="QJD868" s="290" t="s">
        <v>280</v>
      </c>
      <c r="QJE868" s="290" t="s">
        <v>280</v>
      </c>
      <c r="QJF868" s="290" t="s">
        <v>280</v>
      </c>
      <c r="QJG868" s="290" t="s">
        <v>280</v>
      </c>
      <c r="QJH868" s="290" t="s">
        <v>280</v>
      </c>
      <c r="QJI868" s="290" t="s">
        <v>280</v>
      </c>
      <c r="QJJ868" s="290" t="s">
        <v>280</v>
      </c>
      <c r="QJK868" s="290" t="s">
        <v>280</v>
      </c>
      <c r="QJL868" s="290" t="s">
        <v>280</v>
      </c>
      <c r="QJM868" s="290" t="s">
        <v>280</v>
      </c>
      <c r="QJN868" s="290" t="s">
        <v>280</v>
      </c>
      <c r="QJO868" s="290" t="s">
        <v>280</v>
      </c>
      <c r="QJP868" s="290" t="s">
        <v>280</v>
      </c>
      <c r="QJQ868" s="290" t="s">
        <v>280</v>
      </c>
      <c r="QJR868" s="290" t="s">
        <v>280</v>
      </c>
      <c r="QJS868" s="290" t="s">
        <v>280</v>
      </c>
      <c r="QJT868" s="290" t="s">
        <v>280</v>
      </c>
      <c r="QJU868" s="290" t="s">
        <v>280</v>
      </c>
      <c r="QJV868" s="290" t="s">
        <v>280</v>
      </c>
      <c r="QJW868" s="290" t="s">
        <v>280</v>
      </c>
      <c r="QJX868" s="290" t="s">
        <v>280</v>
      </c>
      <c r="QJY868" s="290" t="s">
        <v>280</v>
      </c>
      <c r="QJZ868" s="290" t="s">
        <v>280</v>
      </c>
      <c r="QKA868" s="290" t="s">
        <v>280</v>
      </c>
      <c r="QKB868" s="290" t="s">
        <v>280</v>
      </c>
      <c r="QKC868" s="290" t="s">
        <v>280</v>
      </c>
      <c r="QKD868" s="290" t="s">
        <v>280</v>
      </c>
      <c r="QKE868" s="290" t="s">
        <v>280</v>
      </c>
      <c r="QKF868" s="290" t="s">
        <v>280</v>
      </c>
      <c r="QKG868" s="290" t="s">
        <v>280</v>
      </c>
      <c r="QKH868" s="290" t="s">
        <v>280</v>
      </c>
      <c r="QKI868" s="290" t="s">
        <v>280</v>
      </c>
      <c r="QKJ868" s="290" t="s">
        <v>280</v>
      </c>
      <c r="QKK868" s="290" t="s">
        <v>280</v>
      </c>
      <c r="QKL868" s="290" t="s">
        <v>280</v>
      </c>
      <c r="QKM868" s="290" t="s">
        <v>280</v>
      </c>
      <c r="QKN868" s="290" t="s">
        <v>280</v>
      </c>
      <c r="QKO868" s="290" t="s">
        <v>280</v>
      </c>
      <c r="QKP868" s="290" t="s">
        <v>280</v>
      </c>
      <c r="QKQ868" s="290" t="s">
        <v>280</v>
      </c>
      <c r="QKR868" s="290" t="s">
        <v>280</v>
      </c>
      <c r="QKS868" s="290" t="s">
        <v>280</v>
      </c>
      <c r="QKT868" s="290" t="s">
        <v>280</v>
      </c>
      <c r="QKU868" s="290" t="s">
        <v>280</v>
      </c>
      <c r="QKV868" s="290" t="s">
        <v>280</v>
      </c>
      <c r="QKW868" s="290" t="s">
        <v>280</v>
      </c>
      <c r="QKX868" s="290" t="s">
        <v>280</v>
      </c>
      <c r="QKY868" s="290" t="s">
        <v>280</v>
      </c>
      <c r="QKZ868" s="290" t="s">
        <v>280</v>
      </c>
      <c r="QLA868" s="290" t="s">
        <v>280</v>
      </c>
      <c r="QLB868" s="290" t="s">
        <v>280</v>
      </c>
      <c r="QLC868" s="290" t="s">
        <v>280</v>
      </c>
      <c r="QLD868" s="290" t="s">
        <v>280</v>
      </c>
      <c r="QLE868" s="290" t="s">
        <v>280</v>
      </c>
      <c r="QLF868" s="290" t="s">
        <v>280</v>
      </c>
      <c r="QLG868" s="290" t="s">
        <v>280</v>
      </c>
      <c r="QLH868" s="290" t="s">
        <v>280</v>
      </c>
      <c r="QLI868" s="290" t="s">
        <v>280</v>
      </c>
      <c r="QLJ868" s="290" t="s">
        <v>280</v>
      </c>
      <c r="QLK868" s="290" t="s">
        <v>280</v>
      </c>
      <c r="QLL868" s="290" t="s">
        <v>280</v>
      </c>
      <c r="QLM868" s="290" t="s">
        <v>280</v>
      </c>
      <c r="QLN868" s="290" t="s">
        <v>280</v>
      </c>
      <c r="QLO868" s="290" t="s">
        <v>280</v>
      </c>
      <c r="QLP868" s="290" t="s">
        <v>280</v>
      </c>
      <c r="QLQ868" s="290" t="s">
        <v>280</v>
      </c>
      <c r="QLR868" s="290" t="s">
        <v>280</v>
      </c>
      <c r="QLS868" s="290" t="s">
        <v>280</v>
      </c>
      <c r="QLT868" s="290" t="s">
        <v>280</v>
      </c>
      <c r="QLU868" s="290" t="s">
        <v>280</v>
      </c>
      <c r="QLV868" s="290" t="s">
        <v>280</v>
      </c>
      <c r="QLW868" s="290" t="s">
        <v>280</v>
      </c>
      <c r="QLX868" s="290" t="s">
        <v>280</v>
      </c>
      <c r="QLY868" s="290" t="s">
        <v>280</v>
      </c>
      <c r="QLZ868" s="290" t="s">
        <v>280</v>
      </c>
      <c r="QMA868" s="290" t="s">
        <v>280</v>
      </c>
      <c r="QMB868" s="290" t="s">
        <v>280</v>
      </c>
      <c r="QMC868" s="290" t="s">
        <v>280</v>
      </c>
      <c r="QMD868" s="290" t="s">
        <v>280</v>
      </c>
      <c r="QME868" s="290" t="s">
        <v>280</v>
      </c>
      <c r="QMF868" s="290" t="s">
        <v>280</v>
      </c>
      <c r="QMG868" s="290" t="s">
        <v>280</v>
      </c>
      <c r="QMH868" s="290" t="s">
        <v>280</v>
      </c>
      <c r="QMI868" s="290" t="s">
        <v>280</v>
      </c>
      <c r="QMJ868" s="290" t="s">
        <v>280</v>
      </c>
      <c r="QMK868" s="290" t="s">
        <v>280</v>
      </c>
      <c r="QML868" s="290" t="s">
        <v>280</v>
      </c>
      <c r="QMM868" s="290" t="s">
        <v>280</v>
      </c>
      <c r="QMN868" s="290" t="s">
        <v>280</v>
      </c>
      <c r="QMO868" s="290" t="s">
        <v>280</v>
      </c>
      <c r="QMP868" s="290" t="s">
        <v>280</v>
      </c>
      <c r="QMQ868" s="290" t="s">
        <v>280</v>
      </c>
      <c r="QMR868" s="290" t="s">
        <v>280</v>
      </c>
      <c r="QMS868" s="290" t="s">
        <v>280</v>
      </c>
      <c r="QMT868" s="290" t="s">
        <v>280</v>
      </c>
      <c r="QMU868" s="290" t="s">
        <v>280</v>
      </c>
      <c r="QMV868" s="290" t="s">
        <v>280</v>
      </c>
      <c r="QMW868" s="290" t="s">
        <v>280</v>
      </c>
      <c r="QMX868" s="290" t="s">
        <v>280</v>
      </c>
      <c r="QMY868" s="290" t="s">
        <v>280</v>
      </c>
      <c r="QMZ868" s="290" t="s">
        <v>280</v>
      </c>
      <c r="QNA868" s="290" t="s">
        <v>280</v>
      </c>
      <c r="QNB868" s="290" t="s">
        <v>280</v>
      </c>
      <c r="QNC868" s="290" t="s">
        <v>280</v>
      </c>
      <c r="QND868" s="290" t="s">
        <v>280</v>
      </c>
      <c r="QNE868" s="290" t="s">
        <v>280</v>
      </c>
      <c r="QNF868" s="290" t="s">
        <v>280</v>
      </c>
      <c r="QNG868" s="290" t="s">
        <v>280</v>
      </c>
      <c r="QNH868" s="290" t="s">
        <v>280</v>
      </c>
      <c r="QNI868" s="290" t="s">
        <v>280</v>
      </c>
      <c r="QNJ868" s="290" t="s">
        <v>280</v>
      </c>
      <c r="QNK868" s="290" t="s">
        <v>280</v>
      </c>
      <c r="QNL868" s="290" t="s">
        <v>280</v>
      </c>
      <c r="QNM868" s="290" t="s">
        <v>280</v>
      </c>
      <c r="QNN868" s="290" t="s">
        <v>280</v>
      </c>
      <c r="QNO868" s="290" t="s">
        <v>280</v>
      </c>
      <c r="QNP868" s="290" t="s">
        <v>280</v>
      </c>
      <c r="QNQ868" s="290" t="s">
        <v>280</v>
      </c>
      <c r="QNR868" s="290" t="s">
        <v>280</v>
      </c>
      <c r="QNS868" s="290" t="s">
        <v>280</v>
      </c>
      <c r="QNT868" s="290" t="s">
        <v>280</v>
      </c>
      <c r="QNU868" s="290" t="s">
        <v>280</v>
      </c>
      <c r="QNV868" s="290" t="s">
        <v>280</v>
      </c>
      <c r="QNW868" s="290" t="s">
        <v>280</v>
      </c>
      <c r="QNX868" s="290" t="s">
        <v>280</v>
      </c>
      <c r="QNY868" s="290" t="s">
        <v>280</v>
      </c>
      <c r="QNZ868" s="290" t="s">
        <v>280</v>
      </c>
      <c r="QOA868" s="290" t="s">
        <v>280</v>
      </c>
      <c r="QOB868" s="290" t="s">
        <v>280</v>
      </c>
      <c r="QOC868" s="290" t="s">
        <v>280</v>
      </c>
      <c r="QOD868" s="290" t="s">
        <v>280</v>
      </c>
      <c r="QOE868" s="290" t="s">
        <v>280</v>
      </c>
      <c r="QOF868" s="290" t="s">
        <v>280</v>
      </c>
      <c r="QOG868" s="290" t="s">
        <v>280</v>
      </c>
      <c r="QOH868" s="290" t="s">
        <v>280</v>
      </c>
      <c r="QOI868" s="290" t="s">
        <v>280</v>
      </c>
      <c r="QOJ868" s="290" t="s">
        <v>280</v>
      </c>
      <c r="QOK868" s="290" t="s">
        <v>280</v>
      </c>
      <c r="QOL868" s="290" t="s">
        <v>280</v>
      </c>
      <c r="QOM868" s="290" t="s">
        <v>280</v>
      </c>
      <c r="QON868" s="290" t="s">
        <v>280</v>
      </c>
      <c r="QOO868" s="290" t="s">
        <v>280</v>
      </c>
      <c r="QOP868" s="290" t="s">
        <v>280</v>
      </c>
      <c r="QOQ868" s="290" t="s">
        <v>280</v>
      </c>
      <c r="QOR868" s="290" t="s">
        <v>280</v>
      </c>
      <c r="QOS868" s="290" t="s">
        <v>280</v>
      </c>
      <c r="QOT868" s="290" t="s">
        <v>280</v>
      </c>
      <c r="QOU868" s="290" t="s">
        <v>280</v>
      </c>
      <c r="QOV868" s="290" t="s">
        <v>280</v>
      </c>
      <c r="QOW868" s="290" t="s">
        <v>280</v>
      </c>
      <c r="QOX868" s="290" t="s">
        <v>280</v>
      </c>
      <c r="QOY868" s="290" t="s">
        <v>280</v>
      </c>
      <c r="QOZ868" s="290" t="s">
        <v>280</v>
      </c>
      <c r="QPA868" s="290" t="s">
        <v>280</v>
      </c>
      <c r="QPB868" s="290" t="s">
        <v>280</v>
      </c>
      <c r="QPC868" s="290" t="s">
        <v>280</v>
      </c>
      <c r="QPD868" s="290" t="s">
        <v>280</v>
      </c>
      <c r="QPE868" s="290" t="s">
        <v>280</v>
      </c>
      <c r="QPF868" s="290" t="s">
        <v>280</v>
      </c>
      <c r="QPG868" s="290" t="s">
        <v>280</v>
      </c>
      <c r="QPH868" s="290" t="s">
        <v>280</v>
      </c>
      <c r="QPI868" s="290" t="s">
        <v>280</v>
      </c>
      <c r="QPJ868" s="290" t="s">
        <v>280</v>
      </c>
      <c r="QPK868" s="290" t="s">
        <v>280</v>
      </c>
      <c r="QPL868" s="290" t="s">
        <v>280</v>
      </c>
      <c r="QPM868" s="290" t="s">
        <v>280</v>
      </c>
      <c r="QPN868" s="290" t="s">
        <v>280</v>
      </c>
      <c r="QPO868" s="290" t="s">
        <v>280</v>
      </c>
      <c r="QPP868" s="290" t="s">
        <v>280</v>
      </c>
      <c r="QPQ868" s="290" t="s">
        <v>280</v>
      </c>
      <c r="QPR868" s="290" t="s">
        <v>280</v>
      </c>
      <c r="QPS868" s="290" t="s">
        <v>280</v>
      </c>
      <c r="QPT868" s="290" t="s">
        <v>280</v>
      </c>
      <c r="QPU868" s="290" t="s">
        <v>280</v>
      </c>
      <c r="QPV868" s="290" t="s">
        <v>280</v>
      </c>
      <c r="QPW868" s="290" t="s">
        <v>280</v>
      </c>
      <c r="QPX868" s="290" t="s">
        <v>280</v>
      </c>
      <c r="QPY868" s="290" t="s">
        <v>280</v>
      </c>
      <c r="QPZ868" s="290" t="s">
        <v>280</v>
      </c>
      <c r="QQA868" s="290" t="s">
        <v>280</v>
      </c>
      <c r="QQB868" s="290" t="s">
        <v>280</v>
      </c>
      <c r="QQC868" s="290" t="s">
        <v>280</v>
      </c>
      <c r="QQD868" s="290" t="s">
        <v>280</v>
      </c>
      <c r="QQE868" s="290" t="s">
        <v>280</v>
      </c>
      <c r="QQF868" s="290" t="s">
        <v>280</v>
      </c>
      <c r="QQG868" s="290" t="s">
        <v>280</v>
      </c>
      <c r="QQH868" s="290" t="s">
        <v>280</v>
      </c>
      <c r="QQI868" s="290" t="s">
        <v>280</v>
      </c>
      <c r="QQJ868" s="290" t="s">
        <v>280</v>
      </c>
      <c r="QQK868" s="290" t="s">
        <v>280</v>
      </c>
      <c r="QQL868" s="290" t="s">
        <v>280</v>
      </c>
      <c r="QQM868" s="290" t="s">
        <v>280</v>
      </c>
      <c r="QQN868" s="290" t="s">
        <v>280</v>
      </c>
      <c r="QQO868" s="290" t="s">
        <v>280</v>
      </c>
      <c r="QQP868" s="290" t="s">
        <v>280</v>
      </c>
      <c r="QQQ868" s="290" t="s">
        <v>280</v>
      </c>
      <c r="QQR868" s="290" t="s">
        <v>280</v>
      </c>
      <c r="QQS868" s="290" t="s">
        <v>280</v>
      </c>
      <c r="QQT868" s="290" t="s">
        <v>280</v>
      </c>
      <c r="QQU868" s="290" t="s">
        <v>280</v>
      </c>
      <c r="QQV868" s="290" t="s">
        <v>280</v>
      </c>
      <c r="QQW868" s="290" t="s">
        <v>280</v>
      </c>
      <c r="QQX868" s="290" t="s">
        <v>280</v>
      </c>
      <c r="QQY868" s="290" t="s">
        <v>280</v>
      </c>
      <c r="QQZ868" s="290" t="s">
        <v>280</v>
      </c>
      <c r="QRA868" s="290" t="s">
        <v>280</v>
      </c>
      <c r="QRB868" s="290" t="s">
        <v>280</v>
      </c>
      <c r="QRC868" s="290" t="s">
        <v>280</v>
      </c>
      <c r="QRD868" s="290" t="s">
        <v>280</v>
      </c>
      <c r="QRE868" s="290" t="s">
        <v>280</v>
      </c>
      <c r="QRF868" s="290" t="s">
        <v>280</v>
      </c>
      <c r="QRG868" s="290" t="s">
        <v>280</v>
      </c>
      <c r="QRH868" s="290" t="s">
        <v>280</v>
      </c>
      <c r="QRI868" s="290" t="s">
        <v>280</v>
      </c>
      <c r="QRJ868" s="290" t="s">
        <v>280</v>
      </c>
      <c r="QRK868" s="290" t="s">
        <v>280</v>
      </c>
      <c r="QRL868" s="290" t="s">
        <v>280</v>
      </c>
      <c r="QRM868" s="290" t="s">
        <v>280</v>
      </c>
      <c r="QRN868" s="290" t="s">
        <v>280</v>
      </c>
      <c r="QRO868" s="290" t="s">
        <v>280</v>
      </c>
      <c r="QRP868" s="290" t="s">
        <v>280</v>
      </c>
      <c r="QRQ868" s="290" t="s">
        <v>280</v>
      </c>
      <c r="QRR868" s="290" t="s">
        <v>280</v>
      </c>
      <c r="QRS868" s="290" t="s">
        <v>280</v>
      </c>
      <c r="QRT868" s="290" t="s">
        <v>280</v>
      </c>
      <c r="QRU868" s="290" t="s">
        <v>280</v>
      </c>
      <c r="QRV868" s="290" t="s">
        <v>280</v>
      </c>
      <c r="QRW868" s="290" t="s">
        <v>280</v>
      </c>
      <c r="QRX868" s="290" t="s">
        <v>280</v>
      </c>
      <c r="QRY868" s="290" t="s">
        <v>280</v>
      </c>
      <c r="QRZ868" s="290" t="s">
        <v>280</v>
      </c>
      <c r="QSA868" s="290" t="s">
        <v>280</v>
      </c>
      <c r="QSB868" s="290" t="s">
        <v>280</v>
      </c>
      <c r="QSC868" s="290" t="s">
        <v>280</v>
      </c>
      <c r="QSD868" s="290" t="s">
        <v>280</v>
      </c>
      <c r="QSE868" s="290" t="s">
        <v>280</v>
      </c>
      <c r="QSF868" s="290" t="s">
        <v>280</v>
      </c>
      <c r="QSG868" s="290" t="s">
        <v>280</v>
      </c>
      <c r="QSH868" s="290" t="s">
        <v>280</v>
      </c>
      <c r="QSI868" s="290" t="s">
        <v>280</v>
      </c>
      <c r="QSJ868" s="290" t="s">
        <v>280</v>
      </c>
      <c r="QSK868" s="290" t="s">
        <v>280</v>
      </c>
      <c r="QSL868" s="290" t="s">
        <v>280</v>
      </c>
      <c r="QSM868" s="290" t="s">
        <v>280</v>
      </c>
      <c r="QSN868" s="290" t="s">
        <v>280</v>
      </c>
      <c r="QSO868" s="290" t="s">
        <v>280</v>
      </c>
      <c r="QSP868" s="290" t="s">
        <v>280</v>
      </c>
      <c r="QSQ868" s="290" t="s">
        <v>280</v>
      </c>
      <c r="QSR868" s="290" t="s">
        <v>280</v>
      </c>
      <c r="QSS868" s="290" t="s">
        <v>280</v>
      </c>
      <c r="QST868" s="290" t="s">
        <v>280</v>
      </c>
      <c r="QSU868" s="290" t="s">
        <v>280</v>
      </c>
      <c r="QSV868" s="290" t="s">
        <v>280</v>
      </c>
      <c r="QSW868" s="290" t="s">
        <v>280</v>
      </c>
      <c r="QSX868" s="290" t="s">
        <v>280</v>
      </c>
      <c r="QSY868" s="290" t="s">
        <v>280</v>
      </c>
      <c r="QSZ868" s="290" t="s">
        <v>280</v>
      </c>
      <c r="QTA868" s="290" t="s">
        <v>280</v>
      </c>
      <c r="QTB868" s="290" t="s">
        <v>280</v>
      </c>
      <c r="QTC868" s="290" t="s">
        <v>280</v>
      </c>
      <c r="QTD868" s="290" t="s">
        <v>280</v>
      </c>
      <c r="QTE868" s="290" t="s">
        <v>280</v>
      </c>
      <c r="QTF868" s="290" t="s">
        <v>280</v>
      </c>
      <c r="QTG868" s="290" t="s">
        <v>280</v>
      </c>
      <c r="QTH868" s="290" t="s">
        <v>280</v>
      </c>
      <c r="QTI868" s="290" t="s">
        <v>280</v>
      </c>
      <c r="QTJ868" s="290" t="s">
        <v>280</v>
      </c>
      <c r="QTK868" s="290" t="s">
        <v>280</v>
      </c>
      <c r="QTL868" s="290" t="s">
        <v>280</v>
      </c>
      <c r="QTM868" s="290" t="s">
        <v>280</v>
      </c>
      <c r="QTN868" s="290" t="s">
        <v>280</v>
      </c>
      <c r="QTO868" s="290" t="s">
        <v>280</v>
      </c>
      <c r="QTP868" s="290" t="s">
        <v>280</v>
      </c>
      <c r="QTQ868" s="290" t="s">
        <v>280</v>
      </c>
      <c r="QTR868" s="290" t="s">
        <v>280</v>
      </c>
      <c r="QTS868" s="290" t="s">
        <v>280</v>
      </c>
      <c r="QTT868" s="290" t="s">
        <v>280</v>
      </c>
      <c r="QTU868" s="290" t="s">
        <v>280</v>
      </c>
      <c r="QTV868" s="290" t="s">
        <v>280</v>
      </c>
      <c r="QTW868" s="290" t="s">
        <v>280</v>
      </c>
      <c r="QTX868" s="290" t="s">
        <v>280</v>
      </c>
      <c r="QTY868" s="290" t="s">
        <v>280</v>
      </c>
      <c r="QTZ868" s="290" t="s">
        <v>280</v>
      </c>
      <c r="QUA868" s="290" t="s">
        <v>280</v>
      </c>
      <c r="QUB868" s="290" t="s">
        <v>280</v>
      </c>
      <c r="QUC868" s="290" t="s">
        <v>280</v>
      </c>
      <c r="QUD868" s="290" t="s">
        <v>280</v>
      </c>
      <c r="QUE868" s="290" t="s">
        <v>280</v>
      </c>
      <c r="QUF868" s="290" t="s">
        <v>280</v>
      </c>
      <c r="QUG868" s="290" t="s">
        <v>280</v>
      </c>
      <c r="QUH868" s="290" t="s">
        <v>280</v>
      </c>
      <c r="QUI868" s="290" t="s">
        <v>280</v>
      </c>
      <c r="QUJ868" s="290" t="s">
        <v>280</v>
      </c>
      <c r="QUK868" s="290" t="s">
        <v>280</v>
      </c>
      <c r="QUL868" s="290" t="s">
        <v>280</v>
      </c>
      <c r="QUM868" s="290" t="s">
        <v>280</v>
      </c>
      <c r="QUN868" s="290" t="s">
        <v>280</v>
      </c>
      <c r="QUO868" s="290" t="s">
        <v>280</v>
      </c>
      <c r="QUP868" s="290" t="s">
        <v>280</v>
      </c>
      <c r="QUQ868" s="290" t="s">
        <v>280</v>
      </c>
      <c r="QUR868" s="290" t="s">
        <v>280</v>
      </c>
      <c r="QUS868" s="290" t="s">
        <v>280</v>
      </c>
      <c r="QUT868" s="290" t="s">
        <v>280</v>
      </c>
      <c r="QUU868" s="290" t="s">
        <v>280</v>
      </c>
      <c r="QUV868" s="290" t="s">
        <v>280</v>
      </c>
      <c r="QUW868" s="290" t="s">
        <v>280</v>
      </c>
      <c r="QUX868" s="290" t="s">
        <v>280</v>
      </c>
      <c r="QUY868" s="290" t="s">
        <v>280</v>
      </c>
      <c r="QUZ868" s="290" t="s">
        <v>280</v>
      </c>
      <c r="QVA868" s="290" t="s">
        <v>280</v>
      </c>
      <c r="QVB868" s="290" t="s">
        <v>280</v>
      </c>
      <c r="QVC868" s="290" t="s">
        <v>280</v>
      </c>
      <c r="QVD868" s="290" t="s">
        <v>280</v>
      </c>
      <c r="QVE868" s="290" t="s">
        <v>280</v>
      </c>
      <c r="QVF868" s="290" t="s">
        <v>280</v>
      </c>
      <c r="QVG868" s="290" t="s">
        <v>280</v>
      </c>
      <c r="QVH868" s="290" t="s">
        <v>280</v>
      </c>
      <c r="QVI868" s="290" t="s">
        <v>280</v>
      </c>
      <c r="QVJ868" s="290" t="s">
        <v>280</v>
      </c>
      <c r="QVK868" s="290" t="s">
        <v>280</v>
      </c>
      <c r="QVL868" s="290" t="s">
        <v>280</v>
      </c>
      <c r="QVM868" s="290" t="s">
        <v>280</v>
      </c>
      <c r="QVN868" s="290" t="s">
        <v>280</v>
      </c>
      <c r="QVO868" s="290" t="s">
        <v>280</v>
      </c>
      <c r="QVP868" s="290" t="s">
        <v>280</v>
      </c>
      <c r="QVQ868" s="290" t="s">
        <v>280</v>
      </c>
      <c r="QVR868" s="290" t="s">
        <v>280</v>
      </c>
      <c r="QVS868" s="290" t="s">
        <v>280</v>
      </c>
      <c r="QVT868" s="290" t="s">
        <v>280</v>
      </c>
      <c r="QVU868" s="290" t="s">
        <v>280</v>
      </c>
      <c r="QVV868" s="290" t="s">
        <v>280</v>
      </c>
      <c r="QVW868" s="290" t="s">
        <v>280</v>
      </c>
      <c r="QVX868" s="290" t="s">
        <v>280</v>
      </c>
      <c r="QVY868" s="290" t="s">
        <v>280</v>
      </c>
      <c r="QVZ868" s="290" t="s">
        <v>280</v>
      </c>
      <c r="QWA868" s="290" t="s">
        <v>280</v>
      </c>
      <c r="QWB868" s="290" t="s">
        <v>280</v>
      </c>
      <c r="QWC868" s="290" t="s">
        <v>280</v>
      </c>
      <c r="QWD868" s="290" t="s">
        <v>280</v>
      </c>
      <c r="QWE868" s="290" t="s">
        <v>280</v>
      </c>
      <c r="QWF868" s="290" t="s">
        <v>280</v>
      </c>
      <c r="QWG868" s="290" t="s">
        <v>280</v>
      </c>
      <c r="QWH868" s="290" t="s">
        <v>280</v>
      </c>
      <c r="QWI868" s="290" t="s">
        <v>280</v>
      </c>
      <c r="QWJ868" s="290" t="s">
        <v>280</v>
      </c>
      <c r="QWK868" s="290" t="s">
        <v>280</v>
      </c>
      <c r="QWL868" s="290" t="s">
        <v>280</v>
      </c>
      <c r="QWM868" s="290" t="s">
        <v>280</v>
      </c>
      <c r="QWN868" s="290" t="s">
        <v>280</v>
      </c>
      <c r="QWO868" s="290" t="s">
        <v>280</v>
      </c>
      <c r="QWP868" s="290" t="s">
        <v>280</v>
      </c>
      <c r="QWQ868" s="290" t="s">
        <v>280</v>
      </c>
      <c r="QWR868" s="290" t="s">
        <v>280</v>
      </c>
      <c r="QWS868" s="290" t="s">
        <v>280</v>
      </c>
      <c r="QWT868" s="290" t="s">
        <v>280</v>
      </c>
      <c r="QWU868" s="290" t="s">
        <v>280</v>
      </c>
      <c r="QWV868" s="290" t="s">
        <v>280</v>
      </c>
      <c r="QWW868" s="290" t="s">
        <v>280</v>
      </c>
      <c r="QWX868" s="290" t="s">
        <v>280</v>
      </c>
      <c r="QWY868" s="290" t="s">
        <v>280</v>
      </c>
      <c r="QWZ868" s="290" t="s">
        <v>280</v>
      </c>
      <c r="QXA868" s="290" t="s">
        <v>280</v>
      </c>
      <c r="QXB868" s="290" t="s">
        <v>280</v>
      </c>
      <c r="QXC868" s="290" t="s">
        <v>280</v>
      </c>
      <c r="QXD868" s="290" t="s">
        <v>280</v>
      </c>
      <c r="QXE868" s="290" t="s">
        <v>280</v>
      </c>
      <c r="QXF868" s="290" t="s">
        <v>280</v>
      </c>
      <c r="QXG868" s="290" t="s">
        <v>280</v>
      </c>
      <c r="QXH868" s="290" t="s">
        <v>280</v>
      </c>
      <c r="QXI868" s="290" t="s">
        <v>280</v>
      </c>
      <c r="QXJ868" s="290" t="s">
        <v>280</v>
      </c>
      <c r="QXK868" s="290" t="s">
        <v>280</v>
      </c>
      <c r="QXL868" s="290" t="s">
        <v>280</v>
      </c>
      <c r="QXM868" s="290" t="s">
        <v>280</v>
      </c>
      <c r="QXN868" s="290" t="s">
        <v>280</v>
      </c>
      <c r="QXO868" s="290" t="s">
        <v>280</v>
      </c>
      <c r="QXP868" s="290" t="s">
        <v>280</v>
      </c>
      <c r="QXQ868" s="290" t="s">
        <v>280</v>
      </c>
      <c r="QXR868" s="290" t="s">
        <v>280</v>
      </c>
      <c r="QXS868" s="290" t="s">
        <v>280</v>
      </c>
      <c r="QXT868" s="290" t="s">
        <v>280</v>
      </c>
      <c r="QXU868" s="290" t="s">
        <v>280</v>
      </c>
      <c r="QXV868" s="290" t="s">
        <v>280</v>
      </c>
      <c r="QXW868" s="290" t="s">
        <v>280</v>
      </c>
      <c r="QXX868" s="290" t="s">
        <v>280</v>
      </c>
      <c r="QXY868" s="290" t="s">
        <v>280</v>
      </c>
      <c r="QXZ868" s="290" t="s">
        <v>280</v>
      </c>
      <c r="QYA868" s="290" t="s">
        <v>280</v>
      </c>
      <c r="QYB868" s="290" t="s">
        <v>280</v>
      </c>
      <c r="QYC868" s="290" t="s">
        <v>280</v>
      </c>
      <c r="QYD868" s="290" t="s">
        <v>280</v>
      </c>
      <c r="QYE868" s="290" t="s">
        <v>280</v>
      </c>
      <c r="QYF868" s="290" t="s">
        <v>280</v>
      </c>
      <c r="QYG868" s="290" t="s">
        <v>280</v>
      </c>
      <c r="QYH868" s="290" t="s">
        <v>280</v>
      </c>
      <c r="QYI868" s="290" t="s">
        <v>280</v>
      </c>
      <c r="QYJ868" s="290" t="s">
        <v>280</v>
      </c>
      <c r="QYK868" s="290" t="s">
        <v>280</v>
      </c>
      <c r="QYL868" s="290" t="s">
        <v>280</v>
      </c>
      <c r="QYM868" s="290" t="s">
        <v>280</v>
      </c>
      <c r="QYN868" s="290" t="s">
        <v>280</v>
      </c>
      <c r="QYO868" s="290" t="s">
        <v>280</v>
      </c>
      <c r="QYP868" s="290" t="s">
        <v>280</v>
      </c>
      <c r="QYQ868" s="290" t="s">
        <v>280</v>
      </c>
      <c r="QYR868" s="290" t="s">
        <v>280</v>
      </c>
      <c r="QYS868" s="290" t="s">
        <v>280</v>
      </c>
      <c r="QYT868" s="290" t="s">
        <v>280</v>
      </c>
      <c r="QYU868" s="290" t="s">
        <v>280</v>
      </c>
      <c r="QYV868" s="290" t="s">
        <v>280</v>
      </c>
      <c r="QYW868" s="290" t="s">
        <v>280</v>
      </c>
      <c r="QYX868" s="290" t="s">
        <v>280</v>
      </c>
      <c r="QYY868" s="290" t="s">
        <v>280</v>
      </c>
      <c r="QYZ868" s="290" t="s">
        <v>280</v>
      </c>
      <c r="QZA868" s="290" t="s">
        <v>280</v>
      </c>
      <c r="QZB868" s="290" t="s">
        <v>280</v>
      </c>
      <c r="QZC868" s="290" t="s">
        <v>280</v>
      </c>
      <c r="QZD868" s="290" t="s">
        <v>280</v>
      </c>
      <c r="QZE868" s="290" t="s">
        <v>280</v>
      </c>
      <c r="QZF868" s="290" t="s">
        <v>280</v>
      </c>
      <c r="QZG868" s="290" t="s">
        <v>280</v>
      </c>
      <c r="QZH868" s="290" t="s">
        <v>280</v>
      </c>
      <c r="QZI868" s="290" t="s">
        <v>280</v>
      </c>
      <c r="QZJ868" s="290" t="s">
        <v>280</v>
      </c>
      <c r="QZK868" s="290" t="s">
        <v>280</v>
      </c>
      <c r="QZL868" s="290" t="s">
        <v>280</v>
      </c>
      <c r="QZM868" s="290" t="s">
        <v>280</v>
      </c>
      <c r="QZN868" s="290" t="s">
        <v>280</v>
      </c>
      <c r="QZO868" s="290" t="s">
        <v>280</v>
      </c>
      <c r="QZP868" s="290" t="s">
        <v>280</v>
      </c>
      <c r="QZQ868" s="290" t="s">
        <v>280</v>
      </c>
      <c r="QZR868" s="290" t="s">
        <v>280</v>
      </c>
      <c r="QZS868" s="290" t="s">
        <v>280</v>
      </c>
      <c r="QZT868" s="290" t="s">
        <v>280</v>
      </c>
      <c r="QZU868" s="290" t="s">
        <v>280</v>
      </c>
      <c r="QZV868" s="290" t="s">
        <v>280</v>
      </c>
      <c r="QZW868" s="290" t="s">
        <v>280</v>
      </c>
      <c r="QZX868" s="290" t="s">
        <v>280</v>
      </c>
      <c r="QZY868" s="290" t="s">
        <v>280</v>
      </c>
      <c r="QZZ868" s="290" t="s">
        <v>280</v>
      </c>
      <c r="RAA868" s="290" t="s">
        <v>280</v>
      </c>
      <c r="RAB868" s="290" t="s">
        <v>280</v>
      </c>
      <c r="RAC868" s="290" t="s">
        <v>280</v>
      </c>
      <c r="RAD868" s="290" t="s">
        <v>280</v>
      </c>
      <c r="RAE868" s="290" t="s">
        <v>280</v>
      </c>
      <c r="RAF868" s="290" t="s">
        <v>280</v>
      </c>
      <c r="RAG868" s="290" t="s">
        <v>280</v>
      </c>
      <c r="RAH868" s="290" t="s">
        <v>280</v>
      </c>
      <c r="RAI868" s="290" t="s">
        <v>280</v>
      </c>
      <c r="RAJ868" s="290" t="s">
        <v>280</v>
      </c>
      <c r="RAK868" s="290" t="s">
        <v>280</v>
      </c>
      <c r="RAL868" s="290" t="s">
        <v>280</v>
      </c>
      <c r="RAM868" s="290" t="s">
        <v>280</v>
      </c>
      <c r="RAN868" s="290" t="s">
        <v>280</v>
      </c>
      <c r="RAO868" s="290" t="s">
        <v>280</v>
      </c>
      <c r="RAP868" s="290" t="s">
        <v>280</v>
      </c>
      <c r="RAQ868" s="290" t="s">
        <v>280</v>
      </c>
      <c r="RAR868" s="290" t="s">
        <v>280</v>
      </c>
      <c r="RAS868" s="290" t="s">
        <v>280</v>
      </c>
      <c r="RAT868" s="290" t="s">
        <v>280</v>
      </c>
      <c r="RAU868" s="290" t="s">
        <v>280</v>
      </c>
      <c r="RAV868" s="290" t="s">
        <v>280</v>
      </c>
      <c r="RAW868" s="290" t="s">
        <v>280</v>
      </c>
      <c r="RAX868" s="290" t="s">
        <v>280</v>
      </c>
      <c r="RAY868" s="290" t="s">
        <v>280</v>
      </c>
      <c r="RAZ868" s="290" t="s">
        <v>280</v>
      </c>
      <c r="RBA868" s="290" t="s">
        <v>280</v>
      </c>
      <c r="RBB868" s="290" t="s">
        <v>280</v>
      </c>
      <c r="RBC868" s="290" t="s">
        <v>280</v>
      </c>
      <c r="RBD868" s="290" t="s">
        <v>280</v>
      </c>
      <c r="RBE868" s="290" t="s">
        <v>280</v>
      </c>
      <c r="RBF868" s="290" t="s">
        <v>280</v>
      </c>
      <c r="RBG868" s="290" t="s">
        <v>280</v>
      </c>
      <c r="RBH868" s="290" t="s">
        <v>280</v>
      </c>
      <c r="RBI868" s="290" t="s">
        <v>280</v>
      </c>
      <c r="RBJ868" s="290" t="s">
        <v>280</v>
      </c>
      <c r="RBK868" s="290" t="s">
        <v>280</v>
      </c>
      <c r="RBL868" s="290" t="s">
        <v>280</v>
      </c>
      <c r="RBM868" s="290" t="s">
        <v>280</v>
      </c>
      <c r="RBN868" s="290" t="s">
        <v>280</v>
      </c>
      <c r="RBO868" s="290" t="s">
        <v>280</v>
      </c>
      <c r="RBP868" s="290" t="s">
        <v>280</v>
      </c>
      <c r="RBQ868" s="290" t="s">
        <v>280</v>
      </c>
      <c r="RBR868" s="290" t="s">
        <v>280</v>
      </c>
      <c r="RBS868" s="290" t="s">
        <v>280</v>
      </c>
      <c r="RBT868" s="290" t="s">
        <v>280</v>
      </c>
      <c r="RBU868" s="290" t="s">
        <v>280</v>
      </c>
      <c r="RBV868" s="290" t="s">
        <v>280</v>
      </c>
      <c r="RBW868" s="290" t="s">
        <v>280</v>
      </c>
      <c r="RBX868" s="290" t="s">
        <v>280</v>
      </c>
      <c r="RBY868" s="290" t="s">
        <v>280</v>
      </c>
      <c r="RBZ868" s="290" t="s">
        <v>280</v>
      </c>
      <c r="RCA868" s="290" t="s">
        <v>280</v>
      </c>
      <c r="RCB868" s="290" t="s">
        <v>280</v>
      </c>
      <c r="RCC868" s="290" t="s">
        <v>280</v>
      </c>
      <c r="RCD868" s="290" t="s">
        <v>280</v>
      </c>
      <c r="RCE868" s="290" t="s">
        <v>280</v>
      </c>
      <c r="RCF868" s="290" t="s">
        <v>280</v>
      </c>
      <c r="RCG868" s="290" t="s">
        <v>280</v>
      </c>
      <c r="RCH868" s="290" t="s">
        <v>280</v>
      </c>
      <c r="RCI868" s="290" t="s">
        <v>280</v>
      </c>
      <c r="RCJ868" s="290" t="s">
        <v>280</v>
      </c>
      <c r="RCK868" s="290" t="s">
        <v>280</v>
      </c>
      <c r="RCL868" s="290" t="s">
        <v>280</v>
      </c>
      <c r="RCM868" s="290" t="s">
        <v>280</v>
      </c>
      <c r="RCN868" s="290" t="s">
        <v>280</v>
      </c>
      <c r="RCO868" s="290" t="s">
        <v>280</v>
      </c>
      <c r="RCP868" s="290" t="s">
        <v>280</v>
      </c>
      <c r="RCQ868" s="290" t="s">
        <v>280</v>
      </c>
      <c r="RCR868" s="290" t="s">
        <v>280</v>
      </c>
      <c r="RCS868" s="290" t="s">
        <v>280</v>
      </c>
      <c r="RCT868" s="290" t="s">
        <v>280</v>
      </c>
      <c r="RCU868" s="290" t="s">
        <v>280</v>
      </c>
      <c r="RCV868" s="290" t="s">
        <v>280</v>
      </c>
      <c r="RCW868" s="290" t="s">
        <v>280</v>
      </c>
      <c r="RCX868" s="290" t="s">
        <v>280</v>
      </c>
      <c r="RCY868" s="290" t="s">
        <v>280</v>
      </c>
      <c r="RCZ868" s="290" t="s">
        <v>280</v>
      </c>
      <c r="RDA868" s="290" t="s">
        <v>280</v>
      </c>
      <c r="RDB868" s="290" t="s">
        <v>280</v>
      </c>
      <c r="RDC868" s="290" t="s">
        <v>280</v>
      </c>
      <c r="RDD868" s="290" t="s">
        <v>280</v>
      </c>
      <c r="RDE868" s="290" t="s">
        <v>280</v>
      </c>
      <c r="RDF868" s="290" t="s">
        <v>280</v>
      </c>
      <c r="RDG868" s="290" t="s">
        <v>280</v>
      </c>
      <c r="RDH868" s="290" t="s">
        <v>280</v>
      </c>
      <c r="RDI868" s="290" t="s">
        <v>280</v>
      </c>
      <c r="RDJ868" s="290" t="s">
        <v>280</v>
      </c>
      <c r="RDK868" s="290" t="s">
        <v>280</v>
      </c>
      <c r="RDL868" s="290" t="s">
        <v>280</v>
      </c>
      <c r="RDM868" s="290" t="s">
        <v>280</v>
      </c>
      <c r="RDN868" s="290" t="s">
        <v>280</v>
      </c>
      <c r="RDO868" s="290" t="s">
        <v>280</v>
      </c>
      <c r="RDP868" s="290" t="s">
        <v>280</v>
      </c>
      <c r="RDQ868" s="290" t="s">
        <v>280</v>
      </c>
      <c r="RDR868" s="290" t="s">
        <v>280</v>
      </c>
      <c r="RDS868" s="290" t="s">
        <v>280</v>
      </c>
      <c r="RDT868" s="290" t="s">
        <v>280</v>
      </c>
      <c r="RDU868" s="290" t="s">
        <v>280</v>
      </c>
      <c r="RDV868" s="290" t="s">
        <v>280</v>
      </c>
      <c r="RDW868" s="290" t="s">
        <v>280</v>
      </c>
      <c r="RDX868" s="290" t="s">
        <v>280</v>
      </c>
      <c r="RDY868" s="290" t="s">
        <v>280</v>
      </c>
      <c r="RDZ868" s="290" t="s">
        <v>280</v>
      </c>
      <c r="REA868" s="290" t="s">
        <v>280</v>
      </c>
      <c r="REB868" s="290" t="s">
        <v>280</v>
      </c>
      <c r="REC868" s="290" t="s">
        <v>280</v>
      </c>
      <c r="RED868" s="290" t="s">
        <v>280</v>
      </c>
      <c r="REE868" s="290" t="s">
        <v>280</v>
      </c>
      <c r="REF868" s="290" t="s">
        <v>280</v>
      </c>
      <c r="REG868" s="290" t="s">
        <v>280</v>
      </c>
      <c r="REH868" s="290" t="s">
        <v>280</v>
      </c>
      <c r="REI868" s="290" t="s">
        <v>280</v>
      </c>
      <c r="REJ868" s="290" t="s">
        <v>280</v>
      </c>
      <c r="REK868" s="290" t="s">
        <v>280</v>
      </c>
      <c r="REL868" s="290" t="s">
        <v>280</v>
      </c>
      <c r="REM868" s="290" t="s">
        <v>280</v>
      </c>
      <c r="REN868" s="290" t="s">
        <v>280</v>
      </c>
      <c r="REO868" s="290" t="s">
        <v>280</v>
      </c>
      <c r="REP868" s="290" t="s">
        <v>280</v>
      </c>
      <c r="REQ868" s="290" t="s">
        <v>280</v>
      </c>
      <c r="RER868" s="290" t="s">
        <v>280</v>
      </c>
      <c r="RES868" s="290" t="s">
        <v>280</v>
      </c>
      <c r="RET868" s="290" t="s">
        <v>280</v>
      </c>
      <c r="REU868" s="290" t="s">
        <v>280</v>
      </c>
      <c r="REV868" s="290" t="s">
        <v>280</v>
      </c>
      <c r="REW868" s="290" t="s">
        <v>280</v>
      </c>
      <c r="REX868" s="290" t="s">
        <v>280</v>
      </c>
      <c r="REY868" s="290" t="s">
        <v>280</v>
      </c>
      <c r="REZ868" s="290" t="s">
        <v>280</v>
      </c>
      <c r="RFA868" s="290" t="s">
        <v>280</v>
      </c>
      <c r="RFB868" s="290" t="s">
        <v>280</v>
      </c>
      <c r="RFC868" s="290" t="s">
        <v>280</v>
      </c>
      <c r="RFD868" s="290" t="s">
        <v>280</v>
      </c>
      <c r="RFE868" s="290" t="s">
        <v>280</v>
      </c>
      <c r="RFF868" s="290" t="s">
        <v>280</v>
      </c>
      <c r="RFG868" s="290" t="s">
        <v>280</v>
      </c>
      <c r="RFH868" s="290" t="s">
        <v>280</v>
      </c>
      <c r="RFI868" s="290" t="s">
        <v>280</v>
      </c>
      <c r="RFJ868" s="290" t="s">
        <v>280</v>
      </c>
      <c r="RFK868" s="290" t="s">
        <v>280</v>
      </c>
      <c r="RFL868" s="290" t="s">
        <v>280</v>
      </c>
      <c r="RFM868" s="290" t="s">
        <v>280</v>
      </c>
      <c r="RFN868" s="290" t="s">
        <v>280</v>
      </c>
      <c r="RFO868" s="290" t="s">
        <v>280</v>
      </c>
      <c r="RFP868" s="290" t="s">
        <v>280</v>
      </c>
      <c r="RFQ868" s="290" t="s">
        <v>280</v>
      </c>
      <c r="RFR868" s="290" t="s">
        <v>280</v>
      </c>
      <c r="RFS868" s="290" t="s">
        <v>280</v>
      </c>
      <c r="RFT868" s="290" t="s">
        <v>280</v>
      </c>
      <c r="RFU868" s="290" t="s">
        <v>280</v>
      </c>
      <c r="RFV868" s="290" t="s">
        <v>280</v>
      </c>
      <c r="RFW868" s="290" t="s">
        <v>280</v>
      </c>
      <c r="RFX868" s="290" t="s">
        <v>280</v>
      </c>
      <c r="RFY868" s="290" t="s">
        <v>280</v>
      </c>
      <c r="RFZ868" s="290" t="s">
        <v>280</v>
      </c>
      <c r="RGA868" s="290" t="s">
        <v>280</v>
      </c>
      <c r="RGB868" s="290" t="s">
        <v>280</v>
      </c>
      <c r="RGC868" s="290" t="s">
        <v>280</v>
      </c>
      <c r="RGD868" s="290" t="s">
        <v>280</v>
      </c>
      <c r="RGE868" s="290" t="s">
        <v>280</v>
      </c>
      <c r="RGF868" s="290" t="s">
        <v>280</v>
      </c>
      <c r="RGG868" s="290" t="s">
        <v>280</v>
      </c>
      <c r="RGH868" s="290" t="s">
        <v>280</v>
      </c>
      <c r="RGI868" s="290" t="s">
        <v>280</v>
      </c>
      <c r="RGJ868" s="290" t="s">
        <v>280</v>
      </c>
      <c r="RGK868" s="290" t="s">
        <v>280</v>
      </c>
      <c r="RGL868" s="290" t="s">
        <v>280</v>
      </c>
      <c r="RGM868" s="290" t="s">
        <v>280</v>
      </c>
      <c r="RGN868" s="290" t="s">
        <v>280</v>
      </c>
      <c r="RGO868" s="290" t="s">
        <v>280</v>
      </c>
      <c r="RGP868" s="290" t="s">
        <v>280</v>
      </c>
      <c r="RGQ868" s="290" t="s">
        <v>280</v>
      </c>
      <c r="RGR868" s="290" t="s">
        <v>280</v>
      </c>
      <c r="RGS868" s="290" t="s">
        <v>280</v>
      </c>
      <c r="RGT868" s="290" t="s">
        <v>280</v>
      </c>
      <c r="RGU868" s="290" t="s">
        <v>280</v>
      </c>
      <c r="RGV868" s="290" t="s">
        <v>280</v>
      </c>
      <c r="RGW868" s="290" t="s">
        <v>280</v>
      </c>
      <c r="RGX868" s="290" t="s">
        <v>280</v>
      </c>
      <c r="RGY868" s="290" t="s">
        <v>280</v>
      </c>
      <c r="RGZ868" s="290" t="s">
        <v>280</v>
      </c>
      <c r="RHA868" s="290" t="s">
        <v>280</v>
      </c>
      <c r="RHB868" s="290" t="s">
        <v>280</v>
      </c>
      <c r="RHC868" s="290" t="s">
        <v>280</v>
      </c>
      <c r="RHD868" s="290" t="s">
        <v>280</v>
      </c>
      <c r="RHE868" s="290" t="s">
        <v>280</v>
      </c>
      <c r="RHF868" s="290" t="s">
        <v>280</v>
      </c>
      <c r="RHG868" s="290" t="s">
        <v>280</v>
      </c>
      <c r="RHH868" s="290" t="s">
        <v>280</v>
      </c>
      <c r="RHI868" s="290" t="s">
        <v>280</v>
      </c>
      <c r="RHJ868" s="290" t="s">
        <v>280</v>
      </c>
      <c r="RHK868" s="290" t="s">
        <v>280</v>
      </c>
      <c r="RHL868" s="290" t="s">
        <v>280</v>
      </c>
      <c r="RHM868" s="290" t="s">
        <v>280</v>
      </c>
      <c r="RHN868" s="290" t="s">
        <v>280</v>
      </c>
      <c r="RHO868" s="290" t="s">
        <v>280</v>
      </c>
      <c r="RHP868" s="290" t="s">
        <v>280</v>
      </c>
      <c r="RHQ868" s="290" t="s">
        <v>280</v>
      </c>
      <c r="RHR868" s="290" t="s">
        <v>280</v>
      </c>
      <c r="RHS868" s="290" t="s">
        <v>280</v>
      </c>
      <c r="RHT868" s="290" t="s">
        <v>280</v>
      </c>
      <c r="RHU868" s="290" t="s">
        <v>280</v>
      </c>
      <c r="RHV868" s="290" t="s">
        <v>280</v>
      </c>
      <c r="RHW868" s="290" t="s">
        <v>280</v>
      </c>
      <c r="RHX868" s="290" t="s">
        <v>280</v>
      </c>
      <c r="RHY868" s="290" t="s">
        <v>280</v>
      </c>
      <c r="RHZ868" s="290" t="s">
        <v>280</v>
      </c>
      <c r="RIA868" s="290" t="s">
        <v>280</v>
      </c>
      <c r="RIB868" s="290" t="s">
        <v>280</v>
      </c>
      <c r="RIC868" s="290" t="s">
        <v>280</v>
      </c>
      <c r="RID868" s="290" t="s">
        <v>280</v>
      </c>
      <c r="RIE868" s="290" t="s">
        <v>280</v>
      </c>
      <c r="RIF868" s="290" t="s">
        <v>280</v>
      </c>
      <c r="RIG868" s="290" t="s">
        <v>280</v>
      </c>
      <c r="RIH868" s="290" t="s">
        <v>280</v>
      </c>
      <c r="RII868" s="290" t="s">
        <v>280</v>
      </c>
      <c r="RIJ868" s="290" t="s">
        <v>280</v>
      </c>
      <c r="RIK868" s="290" t="s">
        <v>280</v>
      </c>
      <c r="RIL868" s="290" t="s">
        <v>280</v>
      </c>
      <c r="RIM868" s="290" t="s">
        <v>280</v>
      </c>
      <c r="RIN868" s="290" t="s">
        <v>280</v>
      </c>
      <c r="RIO868" s="290" t="s">
        <v>280</v>
      </c>
      <c r="RIP868" s="290" t="s">
        <v>280</v>
      </c>
      <c r="RIQ868" s="290" t="s">
        <v>280</v>
      </c>
      <c r="RIR868" s="290" t="s">
        <v>280</v>
      </c>
      <c r="RIS868" s="290" t="s">
        <v>280</v>
      </c>
      <c r="RIT868" s="290" t="s">
        <v>280</v>
      </c>
      <c r="RIU868" s="290" t="s">
        <v>280</v>
      </c>
      <c r="RIV868" s="290" t="s">
        <v>280</v>
      </c>
      <c r="RIW868" s="290" t="s">
        <v>280</v>
      </c>
      <c r="RIX868" s="290" t="s">
        <v>280</v>
      </c>
      <c r="RIY868" s="290" t="s">
        <v>280</v>
      </c>
      <c r="RIZ868" s="290" t="s">
        <v>280</v>
      </c>
      <c r="RJA868" s="290" t="s">
        <v>280</v>
      </c>
      <c r="RJB868" s="290" t="s">
        <v>280</v>
      </c>
      <c r="RJC868" s="290" t="s">
        <v>280</v>
      </c>
      <c r="RJD868" s="290" t="s">
        <v>280</v>
      </c>
      <c r="RJE868" s="290" t="s">
        <v>280</v>
      </c>
      <c r="RJF868" s="290" t="s">
        <v>280</v>
      </c>
      <c r="RJG868" s="290" t="s">
        <v>280</v>
      </c>
      <c r="RJH868" s="290" t="s">
        <v>280</v>
      </c>
      <c r="RJI868" s="290" t="s">
        <v>280</v>
      </c>
      <c r="RJJ868" s="290" t="s">
        <v>280</v>
      </c>
      <c r="RJK868" s="290" t="s">
        <v>280</v>
      </c>
      <c r="RJL868" s="290" t="s">
        <v>280</v>
      </c>
      <c r="RJM868" s="290" t="s">
        <v>280</v>
      </c>
      <c r="RJN868" s="290" t="s">
        <v>280</v>
      </c>
      <c r="RJO868" s="290" t="s">
        <v>280</v>
      </c>
      <c r="RJP868" s="290" t="s">
        <v>280</v>
      </c>
      <c r="RJQ868" s="290" t="s">
        <v>280</v>
      </c>
      <c r="RJR868" s="290" t="s">
        <v>280</v>
      </c>
      <c r="RJS868" s="290" t="s">
        <v>280</v>
      </c>
      <c r="RJT868" s="290" t="s">
        <v>280</v>
      </c>
      <c r="RJU868" s="290" t="s">
        <v>280</v>
      </c>
      <c r="RJV868" s="290" t="s">
        <v>280</v>
      </c>
      <c r="RJW868" s="290" t="s">
        <v>280</v>
      </c>
      <c r="RJX868" s="290" t="s">
        <v>280</v>
      </c>
      <c r="RJY868" s="290" t="s">
        <v>280</v>
      </c>
      <c r="RJZ868" s="290" t="s">
        <v>280</v>
      </c>
      <c r="RKA868" s="290" t="s">
        <v>280</v>
      </c>
      <c r="RKB868" s="290" t="s">
        <v>280</v>
      </c>
      <c r="RKC868" s="290" t="s">
        <v>280</v>
      </c>
      <c r="RKD868" s="290" t="s">
        <v>280</v>
      </c>
      <c r="RKE868" s="290" t="s">
        <v>280</v>
      </c>
      <c r="RKF868" s="290" t="s">
        <v>280</v>
      </c>
      <c r="RKG868" s="290" t="s">
        <v>280</v>
      </c>
      <c r="RKH868" s="290" t="s">
        <v>280</v>
      </c>
      <c r="RKI868" s="290" t="s">
        <v>280</v>
      </c>
      <c r="RKJ868" s="290" t="s">
        <v>280</v>
      </c>
      <c r="RKK868" s="290" t="s">
        <v>280</v>
      </c>
      <c r="RKL868" s="290" t="s">
        <v>280</v>
      </c>
      <c r="RKM868" s="290" t="s">
        <v>280</v>
      </c>
      <c r="RKN868" s="290" t="s">
        <v>280</v>
      </c>
      <c r="RKO868" s="290" t="s">
        <v>280</v>
      </c>
      <c r="RKP868" s="290" t="s">
        <v>280</v>
      </c>
      <c r="RKQ868" s="290" t="s">
        <v>280</v>
      </c>
      <c r="RKR868" s="290" t="s">
        <v>280</v>
      </c>
      <c r="RKS868" s="290" t="s">
        <v>280</v>
      </c>
      <c r="RKT868" s="290" t="s">
        <v>280</v>
      </c>
      <c r="RKU868" s="290" t="s">
        <v>280</v>
      </c>
      <c r="RKV868" s="290" t="s">
        <v>280</v>
      </c>
      <c r="RKW868" s="290" t="s">
        <v>280</v>
      </c>
      <c r="RKX868" s="290" t="s">
        <v>280</v>
      </c>
      <c r="RKY868" s="290" t="s">
        <v>280</v>
      </c>
      <c r="RKZ868" s="290" t="s">
        <v>280</v>
      </c>
      <c r="RLA868" s="290" t="s">
        <v>280</v>
      </c>
      <c r="RLB868" s="290" t="s">
        <v>280</v>
      </c>
      <c r="RLC868" s="290" t="s">
        <v>280</v>
      </c>
      <c r="RLD868" s="290" t="s">
        <v>280</v>
      </c>
      <c r="RLE868" s="290" t="s">
        <v>280</v>
      </c>
      <c r="RLF868" s="290" t="s">
        <v>280</v>
      </c>
      <c r="RLG868" s="290" t="s">
        <v>280</v>
      </c>
      <c r="RLH868" s="290" t="s">
        <v>280</v>
      </c>
      <c r="RLI868" s="290" t="s">
        <v>280</v>
      </c>
      <c r="RLJ868" s="290" t="s">
        <v>280</v>
      </c>
      <c r="RLK868" s="290" t="s">
        <v>280</v>
      </c>
      <c r="RLL868" s="290" t="s">
        <v>280</v>
      </c>
      <c r="RLM868" s="290" t="s">
        <v>280</v>
      </c>
      <c r="RLN868" s="290" t="s">
        <v>280</v>
      </c>
      <c r="RLO868" s="290" t="s">
        <v>280</v>
      </c>
      <c r="RLP868" s="290" t="s">
        <v>280</v>
      </c>
      <c r="RLQ868" s="290" t="s">
        <v>280</v>
      </c>
      <c r="RLR868" s="290" t="s">
        <v>280</v>
      </c>
      <c r="RLS868" s="290" t="s">
        <v>280</v>
      </c>
      <c r="RLT868" s="290" t="s">
        <v>280</v>
      </c>
      <c r="RLU868" s="290" t="s">
        <v>280</v>
      </c>
      <c r="RLV868" s="290" t="s">
        <v>280</v>
      </c>
      <c r="RLW868" s="290" t="s">
        <v>280</v>
      </c>
      <c r="RLX868" s="290" t="s">
        <v>280</v>
      </c>
      <c r="RLY868" s="290" t="s">
        <v>280</v>
      </c>
      <c r="RLZ868" s="290" t="s">
        <v>280</v>
      </c>
      <c r="RMA868" s="290" t="s">
        <v>280</v>
      </c>
      <c r="RMB868" s="290" t="s">
        <v>280</v>
      </c>
      <c r="RMC868" s="290" t="s">
        <v>280</v>
      </c>
      <c r="RMD868" s="290" t="s">
        <v>280</v>
      </c>
      <c r="RME868" s="290" t="s">
        <v>280</v>
      </c>
      <c r="RMF868" s="290" t="s">
        <v>280</v>
      </c>
      <c r="RMG868" s="290" t="s">
        <v>280</v>
      </c>
      <c r="RMH868" s="290" t="s">
        <v>280</v>
      </c>
      <c r="RMI868" s="290" t="s">
        <v>280</v>
      </c>
      <c r="RMJ868" s="290" t="s">
        <v>280</v>
      </c>
      <c r="RMK868" s="290" t="s">
        <v>280</v>
      </c>
      <c r="RML868" s="290" t="s">
        <v>280</v>
      </c>
      <c r="RMM868" s="290" t="s">
        <v>280</v>
      </c>
      <c r="RMN868" s="290" t="s">
        <v>280</v>
      </c>
      <c r="RMO868" s="290" t="s">
        <v>280</v>
      </c>
      <c r="RMP868" s="290" t="s">
        <v>280</v>
      </c>
      <c r="RMQ868" s="290" t="s">
        <v>280</v>
      </c>
      <c r="RMR868" s="290" t="s">
        <v>280</v>
      </c>
      <c r="RMS868" s="290" t="s">
        <v>280</v>
      </c>
      <c r="RMT868" s="290" t="s">
        <v>280</v>
      </c>
      <c r="RMU868" s="290" t="s">
        <v>280</v>
      </c>
      <c r="RMV868" s="290" t="s">
        <v>280</v>
      </c>
      <c r="RMW868" s="290" t="s">
        <v>280</v>
      </c>
      <c r="RMX868" s="290" t="s">
        <v>280</v>
      </c>
      <c r="RMY868" s="290" t="s">
        <v>280</v>
      </c>
      <c r="RMZ868" s="290" t="s">
        <v>280</v>
      </c>
      <c r="RNA868" s="290" t="s">
        <v>280</v>
      </c>
      <c r="RNB868" s="290" t="s">
        <v>280</v>
      </c>
      <c r="RNC868" s="290" t="s">
        <v>280</v>
      </c>
      <c r="RND868" s="290" t="s">
        <v>280</v>
      </c>
      <c r="RNE868" s="290" t="s">
        <v>280</v>
      </c>
      <c r="RNF868" s="290" t="s">
        <v>280</v>
      </c>
      <c r="RNG868" s="290" t="s">
        <v>280</v>
      </c>
      <c r="RNH868" s="290" t="s">
        <v>280</v>
      </c>
      <c r="RNI868" s="290" t="s">
        <v>280</v>
      </c>
      <c r="RNJ868" s="290" t="s">
        <v>280</v>
      </c>
      <c r="RNK868" s="290" t="s">
        <v>280</v>
      </c>
      <c r="RNL868" s="290" t="s">
        <v>280</v>
      </c>
      <c r="RNM868" s="290" t="s">
        <v>280</v>
      </c>
      <c r="RNN868" s="290" t="s">
        <v>280</v>
      </c>
      <c r="RNO868" s="290" t="s">
        <v>280</v>
      </c>
      <c r="RNP868" s="290" t="s">
        <v>280</v>
      </c>
      <c r="RNQ868" s="290" t="s">
        <v>280</v>
      </c>
      <c r="RNR868" s="290" t="s">
        <v>280</v>
      </c>
      <c r="RNS868" s="290" t="s">
        <v>280</v>
      </c>
      <c r="RNT868" s="290" t="s">
        <v>280</v>
      </c>
      <c r="RNU868" s="290" t="s">
        <v>280</v>
      </c>
      <c r="RNV868" s="290" t="s">
        <v>280</v>
      </c>
      <c r="RNW868" s="290" t="s">
        <v>280</v>
      </c>
      <c r="RNX868" s="290" t="s">
        <v>280</v>
      </c>
      <c r="RNY868" s="290" t="s">
        <v>280</v>
      </c>
      <c r="RNZ868" s="290" t="s">
        <v>280</v>
      </c>
      <c r="ROA868" s="290" t="s">
        <v>280</v>
      </c>
      <c r="ROB868" s="290" t="s">
        <v>280</v>
      </c>
      <c r="ROC868" s="290" t="s">
        <v>280</v>
      </c>
      <c r="ROD868" s="290" t="s">
        <v>280</v>
      </c>
      <c r="ROE868" s="290" t="s">
        <v>280</v>
      </c>
      <c r="ROF868" s="290" t="s">
        <v>280</v>
      </c>
      <c r="ROG868" s="290" t="s">
        <v>280</v>
      </c>
      <c r="ROH868" s="290" t="s">
        <v>280</v>
      </c>
      <c r="ROI868" s="290" t="s">
        <v>280</v>
      </c>
      <c r="ROJ868" s="290" t="s">
        <v>280</v>
      </c>
      <c r="ROK868" s="290" t="s">
        <v>280</v>
      </c>
      <c r="ROL868" s="290" t="s">
        <v>280</v>
      </c>
      <c r="ROM868" s="290" t="s">
        <v>280</v>
      </c>
      <c r="RON868" s="290" t="s">
        <v>280</v>
      </c>
      <c r="ROO868" s="290" t="s">
        <v>280</v>
      </c>
      <c r="ROP868" s="290" t="s">
        <v>280</v>
      </c>
      <c r="ROQ868" s="290" t="s">
        <v>280</v>
      </c>
      <c r="ROR868" s="290" t="s">
        <v>280</v>
      </c>
      <c r="ROS868" s="290" t="s">
        <v>280</v>
      </c>
      <c r="ROT868" s="290" t="s">
        <v>280</v>
      </c>
      <c r="ROU868" s="290" t="s">
        <v>280</v>
      </c>
      <c r="ROV868" s="290" t="s">
        <v>280</v>
      </c>
      <c r="ROW868" s="290" t="s">
        <v>280</v>
      </c>
      <c r="ROX868" s="290" t="s">
        <v>280</v>
      </c>
      <c r="ROY868" s="290" t="s">
        <v>280</v>
      </c>
      <c r="ROZ868" s="290" t="s">
        <v>280</v>
      </c>
      <c r="RPA868" s="290" t="s">
        <v>280</v>
      </c>
      <c r="RPB868" s="290" t="s">
        <v>280</v>
      </c>
      <c r="RPC868" s="290" t="s">
        <v>280</v>
      </c>
      <c r="RPD868" s="290" t="s">
        <v>280</v>
      </c>
      <c r="RPE868" s="290" t="s">
        <v>280</v>
      </c>
      <c r="RPF868" s="290" t="s">
        <v>280</v>
      </c>
      <c r="RPG868" s="290" t="s">
        <v>280</v>
      </c>
      <c r="RPH868" s="290" t="s">
        <v>280</v>
      </c>
      <c r="RPI868" s="290" t="s">
        <v>280</v>
      </c>
      <c r="RPJ868" s="290" t="s">
        <v>280</v>
      </c>
      <c r="RPK868" s="290" t="s">
        <v>280</v>
      </c>
      <c r="RPL868" s="290" t="s">
        <v>280</v>
      </c>
      <c r="RPM868" s="290" t="s">
        <v>280</v>
      </c>
      <c r="RPN868" s="290" t="s">
        <v>280</v>
      </c>
      <c r="RPO868" s="290" t="s">
        <v>280</v>
      </c>
      <c r="RPP868" s="290" t="s">
        <v>280</v>
      </c>
      <c r="RPQ868" s="290" t="s">
        <v>280</v>
      </c>
      <c r="RPR868" s="290" t="s">
        <v>280</v>
      </c>
      <c r="RPS868" s="290" t="s">
        <v>280</v>
      </c>
      <c r="RPT868" s="290" t="s">
        <v>280</v>
      </c>
      <c r="RPU868" s="290" t="s">
        <v>280</v>
      </c>
      <c r="RPV868" s="290" t="s">
        <v>280</v>
      </c>
      <c r="RPW868" s="290" t="s">
        <v>280</v>
      </c>
      <c r="RPX868" s="290" t="s">
        <v>280</v>
      </c>
      <c r="RPY868" s="290" t="s">
        <v>280</v>
      </c>
      <c r="RPZ868" s="290" t="s">
        <v>280</v>
      </c>
      <c r="RQA868" s="290" t="s">
        <v>280</v>
      </c>
      <c r="RQB868" s="290" t="s">
        <v>280</v>
      </c>
      <c r="RQC868" s="290" t="s">
        <v>280</v>
      </c>
      <c r="RQD868" s="290" t="s">
        <v>280</v>
      </c>
      <c r="RQE868" s="290" t="s">
        <v>280</v>
      </c>
      <c r="RQF868" s="290" t="s">
        <v>280</v>
      </c>
      <c r="RQG868" s="290" t="s">
        <v>280</v>
      </c>
      <c r="RQH868" s="290" t="s">
        <v>280</v>
      </c>
      <c r="RQI868" s="290" t="s">
        <v>280</v>
      </c>
      <c r="RQJ868" s="290" t="s">
        <v>280</v>
      </c>
      <c r="RQK868" s="290" t="s">
        <v>280</v>
      </c>
      <c r="RQL868" s="290" t="s">
        <v>280</v>
      </c>
      <c r="RQM868" s="290" t="s">
        <v>280</v>
      </c>
      <c r="RQN868" s="290" t="s">
        <v>280</v>
      </c>
      <c r="RQO868" s="290" t="s">
        <v>280</v>
      </c>
      <c r="RQP868" s="290" t="s">
        <v>280</v>
      </c>
      <c r="RQQ868" s="290" t="s">
        <v>280</v>
      </c>
      <c r="RQR868" s="290" t="s">
        <v>280</v>
      </c>
      <c r="RQS868" s="290" t="s">
        <v>280</v>
      </c>
      <c r="RQT868" s="290" t="s">
        <v>280</v>
      </c>
      <c r="RQU868" s="290" t="s">
        <v>280</v>
      </c>
      <c r="RQV868" s="290" t="s">
        <v>280</v>
      </c>
      <c r="RQW868" s="290" t="s">
        <v>280</v>
      </c>
      <c r="RQX868" s="290" t="s">
        <v>280</v>
      </c>
      <c r="RQY868" s="290" t="s">
        <v>280</v>
      </c>
      <c r="RQZ868" s="290" t="s">
        <v>280</v>
      </c>
      <c r="RRA868" s="290" t="s">
        <v>280</v>
      </c>
      <c r="RRB868" s="290" t="s">
        <v>280</v>
      </c>
      <c r="RRC868" s="290" t="s">
        <v>280</v>
      </c>
      <c r="RRD868" s="290" t="s">
        <v>280</v>
      </c>
      <c r="RRE868" s="290" t="s">
        <v>280</v>
      </c>
      <c r="RRF868" s="290" t="s">
        <v>280</v>
      </c>
      <c r="RRG868" s="290" t="s">
        <v>280</v>
      </c>
      <c r="RRH868" s="290" t="s">
        <v>280</v>
      </c>
      <c r="RRI868" s="290" t="s">
        <v>280</v>
      </c>
      <c r="RRJ868" s="290" t="s">
        <v>280</v>
      </c>
      <c r="RRK868" s="290" t="s">
        <v>280</v>
      </c>
      <c r="RRL868" s="290" t="s">
        <v>280</v>
      </c>
      <c r="RRM868" s="290" t="s">
        <v>280</v>
      </c>
      <c r="RRN868" s="290" t="s">
        <v>280</v>
      </c>
      <c r="RRO868" s="290" t="s">
        <v>280</v>
      </c>
      <c r="RRP868" s="290" t="s">
        <v>280</v>
      </c>
      <c r="RRQ868" s="290" t="s">
        <v>280</v>
      </c>
      <c r="RRR868" s="290" t="s">
        <v>280</v>
      </c>
      <c r="RRS868" s="290" t="s">
        <v>280</v>
      </c>
      <c r="RRT868" s="290" t="s">
        <v>280</v>
      </c>
      <c r="RRU868" s="290" t="s">
        <v>280</v>
      </c>
      <c r="RRV868" s="290" t="s">
        <v>280</v>
      </c>
      <c r="RRW868" s="290" t="s">
        <v>280</v>
      </c>
      <c r="RRX868" s="290" t="s">
        <v>280</v>
      </c>
      <c r="RRY868" s="290" t="s">
        <v>280</v>
      </c>
      <c r="RRZ868" s="290" t="s">
        <v>280</v>
      </c>
      <c r="RSA868" s="290" t="s">
        <v>280</v>
      </c>
      <c r="RSB868" s="290" t="s">
        <v>280</v>
      </c>
      <c r="RSC868" s="290" t="s">
        <v>280</v>
      </c>
      <c r="RSD868" s="290" t="s">
        <v>280</v>
      </c>
      <c r="RSE868" s="290" t="s">
        <v>280</v>
      </c>
      <c r="RSF868" s="290" t="s">
        <v>280</v>
      </c>
      <c r="RSG868" s="290" t="s">
        <v>280</v>
      </c>
      <c r="RSH868" s="290" t="s">
        <v>280</v>
      </c>
      <c r="RSI868" s="290" t="s">
        <v>280</v>
      </c>
      <c r="RSJ868" s="290" t="s">
        <v>280</v>
      </c>
      <c r="RSK868" s="290" t="s">
        <v>280</v>
      </c>
      <c r="RSL868" s="290" t="s">
        <v>280</v>
      </c>
      <c r="RSM868" s="290" t="s">
        <v>280</v>
      </c>
      <c r="RSN868" s="290" t="s">
        <v>280</v>
      </c>
      <c r="RSO868" s="290" t="s">
        <v>280</v>
      </c>
      <c r="RSP868" s="290" t="s">
        <v>280</v>
      </c>
      <c r="RSQ868" s="290" t="s">
        <v>280</v>
      </c>
      <c r="RSR868" s="290" t="s">
        <v>280</v>
      </c>
      <c r="RSS868" s="290" t="s">
        <v>280</v>
      </c>
      <c r="RST868" s="290" t="s">
        <v>280</v>
      </c>
      <c r="RSU868" s="290" t="s">
        <v>280</v>
      </c>
      <c r="RSV868" s="290" t="s">
        <v>280</v>
      </c>
      <c r="RSW868" s="290" t="s">
        <v>280</v>
      </c>
      <c r="RSX868" s="290" t="s">
        <v>280</v>
      </c>
      <c r="RSY868" s="290" t="s">
        <v>280</v>
      </c>
      <c r="RSZ868" s="290" t="s">
        <v>280</v>
      </c>
      <c r="RTA868" s="290" t="s">
        <v>280</v>
      </c>
      <c r="RTB868" s="290" t="s">
        <v>280</v>
      </c>
      <c r="RTC868" s="290" t="s">
        <v>280</v>
      </c>
      <c r="RTD868" s="290" t="s">
        <v>280</v>
      </c>
      <c r="RTE868" s="290" t="s">
        <v>280</v>
      </c>
      <c r="RTF868" s="290" t="s">
        <v>280</v>
      </c>
      <c r="RTG868" s="290" t="s">
        <v>280</v>
      </c>
      <c r="RTH868" s="290" t="s">
        <v>280</v>
      </c>
      <c r="RTI868" s="290" t="s">
        <v>280</v>
      </c>
      <c r="RTJ868" s="290" t="s">
        <v>280</v>
      </c>
      <c r="RTK868" s="290" t="s">
        <v>280</v>
      </c>
      <c r="RTL868" s="290" t="s">
        <v>280</v>
      </c>
      <c r="RTM868" s="290" t="s">
        <v>280</v>
      </c>
      <c r="RTN868" s="290" t="s">
        <v>280</v>
      </c>
      <c r="RTO868" s="290" t="s">
        <v>280</v>
      </c>
      <c r="RTP868" s="290" t="s">
        <v>280</v>
      </c>
      <c r="RTQ868" s="290" t="s">
        <v>280</v>
      </c>
      <c r="RTR868" s="290" t="s">
        <v>280</v>
      </c>
      <c r="RTS868" s="290" t="s">
        <v>280</v>
      </c>
      <c r="RTT868" s="290" t="s">
        <v>280</v>
      </c>
      <c r="RTU868" s="290" t="s">
        <v>280</v>
      </c>
      <c r="RTV868" s="290" t="s">
        <v>280</v>
      </c>
      <c r="RTW868" s="290" t="s">
        <v>280</v>
      </c>
      <c r="RTX868" s="290" t="s">
        <v>280</v>
      </c>
      <c r="RTY868" s="290" t="s">
        <v>280</v>
      </c>
      <c r="RTZ868" s="290" t="s">
        <v>280</v>
      </c>
      <c r="RUA868" s="290" t="s">
        <v>280</v>
      </c>
      <c r="RUB868" s="290" t="s">
        <v>280</v>
      </c>
      <c r="RUC868" s="290" t="s">
        <v>280</v>
      </c>
      <c r="RUD868" s="290" t="s">
        <v>280</v>
      </c>
      <c r="RUE868" s="290" t="s">
        <v>280</v>
      </c>
      <c r="RUF868" s="290" t="s">
        <v>280</v>
      </c>
      <c r="RUG868" s="290" t="s">
        <v>280</v>
      </c>
      <c r="RUH868" s="290" t="s">
        <v>280</v>
      </c>
      <c r="RUI868" s="290" t="s">
        <v>280</v>
      </c>
      <c r="RUJ868" s="290" t="s">
        <v>280</v>
      </c>
      <c r="RUK868" s="290" t="s">
        <v>280</v>
      </c>
      <c r="RUL868" s="290" t="s">
        <v>280</v>
      </c>
      <c r="RUM868" s="290" t="s">
        <v>280</v>
      </c>
      <c r="RUN868" s="290" t="s">
        <v>280</v>
      </c>
      <c r="RUO868" s="290" t="s">
        <v>280</v>
      </c>
      <c r="RUP868" s="290" t="s">
        <v>280</v>
      </c>
      <c r="RUQ868" s="290" t="s">
        <v>280</v>
      </c>
      <c r="RUR868" s="290" t="s">
        <v>280</v>
      </c>
      <c r="RUS868" s="290" t="s">
        <v>280</v>
      </c>
      <c r="RUT868" s="290" t="s">
        <v>280</v>
      </c>
      <c r="RUU868" s="290" t="s">
        <v>280</v>
      </c>
      <c r="RUV868" s="290" t="s">
        <v>280</v>
      </c>
      <c r="RUW868" s="290" t="s">
        <v>280</v>
      </c>
      <c r="RUX868" s="290" t="s">
        <v>280</v>
      </c>
      <c r="RUY868" s="290" t="s">
        <v>280</v>
      </c>
      <c r="RUZ868" s="290" t="s">
        <v>280</v>
      </c>
      <c r="RVA868" s="290" t="s">
        <v>280</v>
      </c>
      <c r="RVB868" s="290" t="s">
        <v>280</v>
      </c>
      <c r="RVC868" s="290" t="s">
        <v>280</v>
      </c>
      <c r="RVD868" s="290" t="s">
        <v>280</v>
      </c>
      <c r="RVE868" s="290" t="s">
        <v>280</v>
      </c>
      <c r="RVF868" s="290" t="s">
        <v>280</v>
      </c>
      <c r="RVG868" s="290" t="s">
        <v>280</v>
      </c>
      <c r="RVH868" s="290" t="s">
        <v>280</v>
      </c>
      <c r="RVI868" s="290" t="s">
        <v>280</v>
      </c>
      <c r="RVJ868" s="290" t="s">
        <v>280</v>
      </c>
      <c r="RVK868" s="290" t="s">
        <v>280</v>
      </c>
      <c r="RVL868" s="290" t="s">
        <v>280</v>
      </c>
      <c r="RVM868" s="290" t="s">
        <v>280</v>
      </c>
      <c r="RVN868" s="290" t="s">
        <v>280</v>
      </c>
      <c r="RVO868" s="290" t="s">
        <v>280</v>
      </c>
      <c r="RVP868" s="290" t="s">
        <v>280</v>
      </c>
      <c r="RVQ868" s="290" t="s">
        <v>280</v>
      </c>
      <c r="RVR868" s="290" t="s">
        <v>280</v>
      </c>
      <c r="RVS868" s="290" t="s">
        <v>280</v>
      </c>
      <c r="RVT868" s="290" t="s">
        <v>280</v>
      </c>
      <c r="RVU868" s="290" t="s">
        <v>280</v>
      </c>
      <c r="RVV868" s="290" t="s">
        <v>280</v>
      </c>
      <c r="RVW868" s="290" t="s">
        <v>280</v>
      </c>
      <c r="RVX868" s="290" t="s">
        <v>280</v>
      </c>
      <c r="RVY868" s="290" t="s">
        <v>280</v>
      </c>
      <c r="RVZ868" s="290" t="s">
        <v>280</v>
      </c>
      <c r="RWA868" s="290" t="s">
        <v>280</v>
      </c>
      <c r="RWB868" s="290" t="s">
        <v>280</v>
      </c>
      <c r="RWC868" s="290" t="s">
        <v>280</v>
      </c>
      <c r="RWD868" s="290" t="s">
        <v>280</v>
      </c>
      <c r="RWE868" s="290" t="s">
        <v>280</v>
      </c>
      <c r="RWF868" s="290" t="s">
        <v>280</v>
      </c>
      <c r="RWG868" s="290" t="s">
        <v>280</v>
      </c>
      <c r="RWH868" s="290" t="s">
        <v>280</v>
      </c>
      <c r="RWI868" s="290" t="s">
        <v>280</v>
      </c>
      <c r="RWJ868" s="290" t="s">
        <v>280</v>
      </c>
      <c r="RWK868" s="290" t="s">
        <v>280</v>
      </c>
      <c r="RWL868" s="290" t="s">
        <v>280</v>
      </c>
      <c r="RWM868" s="290" t="s">
        <v>280</v>
      </c>
      <c r="RWN868" s="290" t="s">
        <v>280</v>
      </c>
      <c r="RWO868" s="290" t="s">
        <v>280</v>
      </c>
      <c r="RWP868" s="290" t="s">
        <v>280</v>
      </c>
      <c r="RWQ868" s="290" t="s">
        <v>280</v>
      </c>
      <c r="RWR868" s="290" t="s">
        <v>280</v>
      </c>
      <c r="RWS868" s="290" t="s">
        <v>280</v>
      </c>
      <c r="RWT868" s="290" t="s">
        <v>280</v>
      </c>
      <c r="RWU868" s="290" t="s">
        <v>280</v>
      </c>
      <c r="RWV868" s="290" t="s">
        <v>280</v>
      </c>
      <c r="RWW868" s="290" t="s">
        <v>280</v>
      </c>
      <c r="RWX868" s="290" t="s">
        <v>280</v>
      </c>
      <c r="RWY868" s="290" t="s">
        <v>280</v>
      </c>
      <c r="RWZ868" s="290" t="s">
        <v>280</v>
      </c>
      <c r="RXA868" s="290" t="s">
        <v>280</v>
      </c>
      <c r="RXB868" s="290" t="s">
        <v>280</v>
      </c>
      <c r="RXC868" s="290" t="s">
        <v>280</v>
      </c>
      <c r="RXD868" s="290" t="s">
        <v>280</v>
      </c>
      <c r="RXE868" s="290" t="s">
        <v>280</v>
      </c>
      <c r="RXF868" s="290" t="s">
        <v>280</v>
      </c>
      <c r="RXG868" s="290" t="s">
        <v>280</v>
      </c>
      <c r="RXH868" s="290" t="s">
        <v>280</v>
      </c>
      <c r="RXI868" s="290" t="s">
        <v>280</v>
      </c>
      <c r="RXJ868" s="290" t="s">
        <v>280</v>
      </c>
      <c r="RXK868" s="290" t="s">
        <v>280</v>
      </c>
      <c r="RXL868" s="290" t="s">
        <v>280</v>
      </c>
      <c r="RXM868" s="290" t="s">
        <v>280</v>
      </c>
      <c r="RXN868" s="290" t="s">
        <v>280</v>
      </c>
      <c r="RXO868" s="290" t="s">
        <v>280</v>
      </c>
      <c r="RXP868" s="290" t="s">
        <v>280</v>
      </c>
      <c r="RXQ868" s="290" t="s">
        <v>280</v>
      </c>
      <c r="RXR868" s="290" t="s">
        <v>280</v>
      </c>
      <c r="RXS868" s="290" t="s">
        <v>280</v>
      </c>
      <c r="RXT868" s="290" t="s">
        <v>280</v>
      </c>
      <c r="RXU868" s="290" t="s">
        <v>280</v>
      </c>
      <c r="RXV868" s="290" t="s">
        <v>280</v>
      </c>
      <c r="RXW868" s="290" t="s">
        <v>280</v>
      </c>
      <c r="RXX868" s="290" t="s">
        <v>280</v>
      </c>
      <c r="RXY868" s="290" t="s">
        <v>280</v>
      </c>
      <c r="RXZ868" s="290" t="s">
        <v>280</v>
      </c>
      <c r="RYA868" s="290" t="s">
        <v>280</v>
      </c>
      <c r="RYB868" s="290" t="s">
        <v>280</v>
      </c>
      <c r="RYC868" s="290" t="s">
        <v>280</v>
      </c>
      <c r="RYD868" s="290" t="s">
        <v>280</v>
      </c>
      <c r="RYE868" s="290" t="s">
        <v>280</v>
      </c>
      <c r="RYF868" s="290" t="s">
        <v>280</v>
      </c>
      <c r="RYG868" s="290" t="s">
        <v>280</v>
      </c>
      <c r="RYH868" s="290" t="s">
        <v>280</v>
      </c>
      <c r="RYI868" s="290" t="s">
        <v>280</v>
      </c>
      <c r="RYJ868" s="290" t="s">
        <v>280</v>
      </c>
      <c r="RYK868" s="290" t="s">
        <v>280</v>
      </c>
      <c r="RYL868" s="290" t="s">
        <v>280</v>
      </c>
      <c r="RYM868" s="290" t="s">
        <v>280</v>
      </c>
      <c r="RYN868" s="290" t="s">
        <v>280</v>
      </c>
      <c r="RYO868" s="290" t="s">
        <v>280</v>
      </c>
      <c r="RYP868" s="290" t="s">
        <v>280</v>
      </c>
      <c r="RYQ868" s="290" t="s">
        <v>280</v>
      </c>
      <c r="RYR868" s="290" t="s">
        <v>280</v>
      </c>
      <c r="RYS868" s="290" t="s">
        <v>280</v>
      </c>
      <c r="RYT868" s="290" t="s">
        <v>280</v>
      </c>
      <c r="RYU868" s="290" t="s">
        <v>280</v>
      </c>
      <c r="RYV868" s="290" t="s">
        <v>280</v>
      </c>
      <c r="RYW868" s="290" t="s">
        <v>280</v>
      </c>
      <c r="RYX868" s="290" t="s">
        <v>280</v>
      </c>
      <c r="RYY868" s="290" t="s">
        <v>280</v>
      </c>
      <c r="RYZ868" s="290" t="s">
        <v>280</v>
      </c>
      <c r="RZA868" s="290" t="s">
        <v>280</v>
      </c>
      <c r="RZB868" s="290" t="s">
        <v>280</v>
      </c>
      <c r="RZC868" s="290" t="s">
        <v>280</v>
      </c>
      <c r="RZD868" s="290" t="s">
        <v>280</v>
      </c>
      <c r="RZE868" s="290" t="s">
        <v>280</v>
      </c>
      <c r="RZF868" s="290" t="s">
        <v>280</v>
      </c>
      <c r="RZG868" s="290" t="s">
        <v>280</v>
      </c>
      <c r="RZH868" s="290" t="s">
        <v>280</v>
      </c>
      <c r="RZI868" s="290" t="s">
        <v>280</v>
      </c>
      <c r="RZJ868" s="290" t="s">
        <v>280</v>
      </c>
      <c r="RZK868" s="290" t="s">
        <v>280</v>
      </c>
      <c r="RZL868" s="290" t="s">
        <v>280</v>
      </c>
      <c r="RZM868" s="290" t="s">
        <v>280</v>
      </c>
      <c r="RZN868" s="290" t="s">
        <v>280</v>
      </c>
      <c r="RZO868" s="290" t="s">
        <v>280</v>
      </c>
      <c r="RZP868" s="290" t="s">
        <v>280</v>
      </c>
      <c r="RZQ868" s="290" t="s">
        <v>280</v>
      </c>
      <c r="RZR868" s="290" t="s">
        <v>280</v>
      </c>
      <c r="RZS868" s="290" t="s">
        <v>280</v>
      </c>
      <c r="RZT868" s="290" t="s">
        <v>280</v>
      </c>
      <c r="RZU868" s="290" t="s">
        <v>280</v>
      </c>
      <c r="RZV868" s="290" t="s">
        <v>280</v>
      </c>
      <c r="RZW868" s="290" t="s">
        <v>280</v>
      </c>
      <c r="RZX868" s="290" t="s">
        <v>280</v>
      </c>
      <c r="RZY868" s="290" t="s">
        <v>280</v>
      </c>
      <c r="RZZ868" s="290" t="s">
        <v>280</v>
      </c>
      <c r="SAA868" s="290" t="s">
        <v>280</v>
      </c>
      <c r="SAB868" s="290" t="s">
        <v>280</v>
      </c>
      <c r="SAC868" s="290" t="s">
        <v>280</v>
      </c>
      <c r="SAD868" s="290" t="s">
        <v>280</v>
      </c>
      <c r="SAE868" s="290" t="s">
        <v>280</v>
      </c>
      <c r="SAF868" s="290" t="s">
        <v>280</v>
      </c>
      <c r="SAG868" s="290" t="s">
        <v>280</v>
      </c>
      <c r="SAH868" s="290" t="s">
        <v>280</v>
      </c>
      <c r="SAI868" s="290" t="s">
        <v>280</v>
      </c>
      <c r="SAJ868" s="290" t="s">
        <v>280</v>
      </c>
      <c r="SAK868" s="290" t="s">
        <v>280</v>
      </c>
      <c r="SAL868" s="290" t="s">
        <v>280</v>
      </c>
      <c r="SAM868" s="290" t="s">
        <v>280</v>
      </c>
      <c r="SAN868" s="290" t="s">
        <v>280</v>
      </c>
      <c r="SAO868" s="290" t="s">
        <v>280</v>
      </c>
      <c r="SAP868" s="290" t="s">
        <v>280</v>
      </c>
      <c r="SAQ868" s="290" t="s">
        <v>280</v>
      </c>
      <c r="SAR868" s="290" t="s">
        <v>280</v>
      </c>
      <c r="SAS868" s="290" t="s">
        <v>280</v>
      </c>
      <c r="SAT868" s="290" t="s">
        <v>280</v>
      </c>
      <c r="SAU868" s="290" t="s">
        <v>280</v>
      </c>
      <c r="SAV868" s="290" t="s">
        <v>280</v>
      </c>
      <c r="SAW868" s="290" t="s">
        <v>280</v>
      </c>
      <c r="SAX868" s="290" t="s">
        <v>280</v>
      </c>
      <c r="SAY868" s="290" t="s">
        <v>280</v>
      </c>
      <c r="SAZ868" s="290" t="s">
        <v>280</v>
      </c>
      <c r="SBA868" s="290" t="s">
        <v>280</v>
      </c>
      <c r="SBB868" s="290" t="s">
        <v>280</v>
      </c>
      <c r="SBC868" s="290" t="s">
        <v>280</v>
      </c>
      <c r="SBD868" s="290" t="s">
        <v>280</v>
      </c>
      <c r="SBE868" s="290" t="s">
        <v>280</v>
      </c>
      <c r="SBF868" s="290" t="s">
        <v>280</v>
      </c>
      <c r="SBG868" s="290" t="s">
        <v>280</v>
      </c>
      <c r="SBH868" s="290" t="s">
        <v>280</v>
      </c>
      <c r="SBI868" s="290" t="s">
        <v>280</v>
      </c>
      <c r="SBJ868" s="290" t="s">
        <v>280</v>
      </c>
      <c r="SBK868" s="290" t="s">
        <v>280</v>
      </c>
      <c r="SBL868" s="290" t="s">
        <v>280</v>
      </c>
      <c r="SBM868" s="290" t="s">
        <v>280</v>
      </c>
      <c r="SBN868" s="290" t="s">
        <v>280</v>
      </c>
      <c r="SBO868" s="290" t="s">
        <v>280</v>
      </c>
      <c r="SBP868" s="290" t="s">
        <v>280</v>
      </c>
      <c r="SBQ868" s="290" t="s">
        <v>280</v>
      </c>
      <c r="SBR868" s="290" t="s">
        <v>280</v>
      </c>
      <c r="SBS868" s="290" t="s">
        <v>280</v>
      </c>
      <c r="SBT868" s="290" t="s">
        <v>280</v>
      </c>
      <c r="SBU868" s="290" t="s">
        <v>280</v>
      </c>
      <c r="SBV868" s="290" t="s">
        <v>280</v>
      </c>
      <c r="SBW868" s="290" t="s">
        <v>280</v>
      </c>
      <c r="SBX868" s="290" t="s">
        <v>280</v>
      </c>
      <c r="SBY868" s="290" t="s">
        <v>280</v>
      </c>
      <c r="SBZ868" s="290" t="s">
        <v>280</v>
      </c>
      <c r="SCA868" s="290" t="s">
        <v>280</v>
      </c>
      <c r="SCB868" s="290" t="s">
        <v>280</v>
      </c>
      <c r="SCC868" s="290" t="s">
        <v>280</v>
      </c>
      <c r="SCD868" s="290" t="s">
        <v>280</v>
      </c>
      <c r="SCE868" s="290" t="s">
        <v>280</v>
      </c>
      <c r="SCF868" s="290" t="s">
        <v>280</v>
      </c>
      <c r="SCG868" s="290" t="s">
        <v>280</v>
      </c>
      <c r="SCH868" s="290" t="s">
        <v>280</v>
      </c>
      <c r="SCI868" s="290" t="s">
        <v>280</v>
      </c>
      <c r="SCJ868" s="290" t="s">
        <v>280</v>
      </c>
      <c r="SCK868" s="290" t="s">
        <v>280</v>
      </c>
      <c r="SCL868" s="290" t="s">
        <v>280</v>
      </c>
      <c r="SCM868" s="290" t="s">
        <v>280</v>
      </c>
      <c r="SCN868" s="290" t="s">
        <v>280</v>
      </c>
      <c r="SCO868" s="290" t="s">
        <v>280</v>
      </c>
      <c r="SCP868" s="290" t="s">
        <v>280</v>
      </c>
      <c r="SCQ868" s="290" t="s">
        <v>280</v>
      </c>
      <c r="SCR868" s="290" t="s">
        <v>280</v>
      </c>
      <c r="SCS868" s="290" t="s">
        <v>280</v>
      </c>
      <c r="SCT868" s="290" t="s">
        <v>280</v>
      </c>
      <c r="SCU868" s="290" t="s">
        <v>280</v>
      </c>
      <c r="SCV868" s="290" t="s">
        <v>280</v>
      </c>
      <c r="SCW868" s="290" t="s">
        <v>280</v>
      </c>
      <c r="SCX868" s="290" t="s">
        <v>280</v>
      </c>
      <c r="SCY868" s="290" t="s">
        <v>280</v>
      </c>
      <c r="SCZ868" s="290" t="s">
        <v>280</v>
      </c>
      <c r="SDA868" s="290" t="s">
        <v>280</v>
      </c>
      <c r="SDB868" s="290" t="s">
        <v>280</v>
      </c>
      <c r="SDC868" s="290" t="s">
        <v>280</v>
      </c>
      <c r="SDD868" s="290" t="s">
        <v>280</v>
      </c>
      <c r="SDE868" s="290" t="s">
        <v>280</v>
      </c>
      <c r="SDF868" s="290" t="s">
        <v>280</v>
      </c>
      <c r="SDG868" s="290" t="s">
        <v>280</v>
      </c>
      <c r="SDH868" s="290" t="s">
        <v>280</v>
      </c>
      <c r="SDI868" s="290" t="s">
        <v>280</v>
      </c>
      <c r="SDJ868" s="290" t="s">
        <v>280</v>
      </c>
      <c r="SDK868" s="290" t="s">
        <v>280</v>
      </c>
      <c r="SDL868" s="290" t="s">
        <v>280</v>
      </c>
      <c r="SDM868" s="290" t="s">
        <v>280</v>
      </c>
      <c r="SDN868" s="290" t="s">
        <v>280</v>
      </c>
      <c r="SDO868" s="290" t="s">
        <v>280</v>
      </c>
      <c r="SDP868" s="290" t="s">
        <v>280</v>
      </c>
      <c r="SDQ868" s="290" t="s">
        <v>280</v>
      </c>
      <c r="SDR868" s="290" t="s">
        <v>280</v>
      </c>
      <c r="SDS868" s="290" t="s">
        <v>280</v>
      </c>
      <c r="SDT868" s="290" t="s">
        <v>280</v>
      </c>
      <c r="SDU868" s="290" t="s">
        <v>280</v>
      </c>
      <c r="SDV868" s="290" t="s">
        <v>280</v>
      </c>
      <c r="SDW868" s="290" t="s">
        <v>280</v>
      </c>
      <c r="SDX868" s="290" t="s">
        <v>280</v>
      </c>
      <c r="SDY868" s="290" t="s">
        <v>280</v>
      </c>
      <c r="SDZ868" s="290" t="s">
        <v>280</v>
      </c>
      <c r="SEA868" s="290" t="s">
        <v>280</v>
      </c>
      <c r="SEB868" s="290" t="s">
        <v>280</v>
      </c>
      <c r="SEC868" s="290" t="s">
        <v>280</v>
      </c>
      <c r="SED868" s="290" t="s">
        <v>280</v>
      </c>
      <c r="SEE868" s="290" t="s">
        <v>280</v>
      </c>
      <c r="SEF868" s="290" t="s">
        <v>280</v>
      </c>
      <c r="SEG868" s="290" t="s">
        <v>280</v>
      </c>
      <c r="SEH868" s="290" t="s">
        <v>280</v>
      </c>
      <c r="SEI868" s="290" t="s">
        <v>280</v>
      </c>
      <c r="SEJ868" s="290" t="s">
        <v>280</v>
      </c>
      <c r="SEK868" s="290" t="s">
        <v>280</v>
      </c>
      <c r="SEL868" s="290" t="s">
        <v>280</v>
      </c>
      <c r="SEM868" s="290" t="s">
        <v>280</v>
      </c>
      <c r="SEN868" s="290" t="s">
        <v>280</v>
      </c>
      <c r="SEO868" s="290" t="s">
        <v>280</v>
      </c>
      <c r="SEP868" s="290" t="s">
        <v>280</v>
      </c>
      <c r="SEQ868" s="290" t="s">
        <v>280</v>
      </c>
      <c r="SER868" s="290" t="s">
        <v>280</v>
      </c>
      <c r="SES868" s="290" t="s">
        <v>280</v>
      </c>
      <c r="SET868" s="290" t="s">
        <v>280</v>
      </c>
      <c r="SEU868" s="290" t="s">
        <v>280</v>
      </c>
      <c r="SEV868" s="290" t="s">
        <v>280</v>
      </c>
      <c r="SEW868" s="290" t="s">
        <v>280</v>
      </c>
      <c r="SEX868" s="290" t="s">
        <v>280</v>
      </c>
      <c r="SEY868" s="290" t="s">
        <v>280</v>
      </c>
      <c r="SEZ868" s="290" t="s">
        <v>280</v>
      </c>
      <c r="SFA868" s="290" t="s">
        <v>280</v>
      </c>
      <c r="SFB868" s="290" t="s">
        <v>280</v>
      </c>
      <c r="SFC868" s="290" t="s">
        <v>280</v>
      </c>
      <c r="SFD868" s="290" t="s">
        <v>280</v>
      </c>
      <c r="SFE868" s="290" t="s">
        <v>280</v>
      </c>
      <c r="SFF868" s="290" t="s">
        <v>280</v>
      </c>
      <c r="SFG868" s="290" t="s">
        <v>280</v>
      </c>
      <c r="SFH868" s="290" t="s">
        <v>280</v>
      </c>
      <c r="SFI868" s="290" t="s">
        <v>280</v>
      </c>
      <c r="SFJ868" s="290" t="s">
        <v>280</v>
      </c>
      <c r="SFK868" s="290" t="s">
        <v>280</v>
      </c>
      <c r="SFL868" s="290" t="s">
        <v>280</v>
      </c>
      <c r="SFM868" s="290" t="s">
        <v>280</v>
      </c>
      <c r="SFN868" s="290" t="s">
        <v>280</v>
      </c>
      <c r="SFO868" s="290" t="s">
        <v>280</v>
      </c>
      <c r="SFP868" s="290" t="s">
        <v>280</v>
      </c>
      <c r="SFQ868" s="290" t="s">
        <v>280</v>
      </c>
      <c r="SFR868" s="290" t="s">
        <v>280</v>
      </c>
      <c r="SFS868" s="290" t="s">
        <v>280</v>
      </c>
      <c r="SFT868" s="290" t="s">
        <v>280</v>
      </c>
      <c r="SFU868" s="290" t="s">
        <v>280</v>
      </c>
      <c r="SFV868" s="290" t="s">
        <v>280</v>
      </c>
      <c r="SFW868" s="290" t="s">
        <v>280</v>
      </c>
      <c r="SFX868" s="290" t="s">
        <v>280</v>
      </c>
      <c r="SFY868" s="290" t="s">
        <v>280</v>
      </c>
      <c r="SFZ868" s="290" t="s">
        <v>280</v>
      </c>
      <c r="SGA868" s="290" t="s">
        <v>280</v>
      </c>
      <c r="SGB868" s="290" t="s">
        <v>280</v>
      </c>
      <c r="SGC868" s="290" t="s">
        <v>280</v>
      </c>
      <c r="SGD868" s="290" t="s">
        <v>280</v>
      </c>
      <c r="SGE868" s="290" t="s">
        <v>280</v>
      </c>
      <c r="SGF868" s="290" t="s">
        <v>280</v>
      </c>
      <c r="SGG868" s="290" t="s">
        <v>280</v>
      </c>
      <c r="SGH868" s="290" t="s">
        <v>280</v>
      </c>
      <c r="SGI868" s="290" t="s">
        <v>280</v>
      </c>
      <c r="SGJ868" s="290" t="s">
        <v>280</v>
      </c>
      <c r="SGK868" s="290" t="s">
        <v>280</v>
      </c>
      <c r="SGL868" s="290" t="s">
        <v>280</v>
      </c>
      <c r="SGM868" s="290" t="s">
        <v>280</v>
      </c>
      <c r="SGN868" s="290" t="s">
        <v>280</v>
      </c>
      <c r="SGO868" s="290" t="s">
        <v>280</v>
      </c>
      <c r="SGP868" s="290" t="s">
        <v>280</v>
      </c>
      <c r="SGQ868" s="290" t="s">
        <v>280</v>
      </c>
      <c r="SGR868" s="290" t="s">
        <v>280</v>
      </c>
      <c r="SGS868" s="290" t="s">
        <v>280</v>
      </c>
      <c r="SGT868" s="290" t="s">
        <v>280</v>
      </c>
      <c r="SGU868" s="290" t="s">
        <v>280</v>
      </c>
      <c r="SGV868" s="290" t="s">
        <v>280</v>
      </c>
      <c r="SGW868" s="290" t="s">
        <v>280</v>
      </c>
      <c r="SGX868" s="290" t="s">
        <v>280</v>
      </c>
      <c r="SGY868" s="290" t="s">
        <v>280</v>
      </c>
      <c r="SGZ868" s="290" t="s">
        <v>280</v>
      </c>
      <c r="SHA868" s="290" t="s">
        <v>280</v>
      </c>
      <c r="SHB868" s="290" t="s">
        <v>280</v>
      </c>
      <c r="SHC868" s="290" t="s">
        <v>280</v>
      </c>
      <c r="SHD868" s="290" t="s">
        <v>280</v>
      </c>
      <c r="SHE868" s="290" t="s">
        <v>280</v>
      </c>
      <c r="SHF868" s="290" t="s">
        <v>280</v>
      </c>
      <c r="SHG868" s="290" t="s">
        <v>280</v>
      </c>
      <c r="SHH868" s="290" t="s">
        <v>280</v>
      </c>
      <c r="SHI868" s="290" t="s">
        <v>280</v>
      </c>
      <c r="SHJ868" s="290" t="s">
        <v>280</v>
      </c>
      <c r="SHK868" s="290" t="s">
        <v>280</v>
      </c>
      <c r="SHL868" s="290" t="s">
        <v>280</v>
      </c>
      <c r="SHM868" s="290" t="s">
        <v>280</v>
      </c>
      <c r="SHN868" s="290" t="s">
        <v>280</v>
      </c>
      <c r="SHO868" s="290" t="s">
        <v>280</v>
      </c>
      <c r="SHP868" s="290" t="s">
        <v>280</v>
      </c>
      <c r="SHQ868" s="290" t="s">
        <v>280</v>
      </c>
      <c r="SHR868" s="290" t="s">
        <v>280</v>
      </c>
      <c r="SHS868" s="290" t="s">
        <v>280</v>
      </c>
      <c r="SHT868" s="290" t="s">
        <v>280</v>
      </c>
      <c r="SHU868" s="290" t="s">
        <v>280</v>
      </c>
      <c r="SHV868" s="290" t="s">
        <v>280</v>
      </c>
      <c r="SHW868" s="290" t="s">
        <v>280</v>
      </c>
      <c r="SHX868" s="290" t="s">
        <v>280</v>
      </c>
      <c r="SHY868" s="290" t="s">
        <v>280</v>
      </c>
      <c r="SHZ868" s="290" t="s">
        <v>280</v>
      </c>
      <c r="SIA868" s="290" t="s">
        <v>280</v>
      </c>
      <c r="SIB868" s="290" t="s">
        <v>280</v>
      </c>
      <c r="SIC868" s="290" t="s">
        <v>280</v>
      </c>
      <c r="SID868" s="290" t="s">
        <v>280</v>
      </c>
      <c r="SIE868" s="290" t="s">
        <v>280</v>
      </c>
      <c r="SIF868" s="290" t="s">
        <v>280</v>
      </c>
      <c r="SIG868" s="290" t="s">
        <v>280</v>
      </c>
      <c r="SIH868" s="290" t="s">
        <v>280</v>
      </c>
      <c r="SII868" s="290" t="s">
        <v>280</v>
      </c>
      <c r="SIJ868" s="290" t="s">
        <v>280</v>
      </c>
      <c r="SIK868" s="290" t="s">
        <v>280</v>
      </c>
      <c r="SIL868" s="290" t="s">
        <v>280</v>
      </c>
      <c r="SIM868" s="290" t="s">
        <v>280</v>
      </c>
      <c r="SIN868" s="290" t="s">
        <v>280</v>
      </c>
      <c r="SIO868" s="290" t="s">
        <v>280</v>
      </c>
      <c r="SIP868" s="290" t="s">
        <v>280</v>
      </c>
      <c r="SIQ868" s="290" t="s">
        <v>280</v>
      </c>
      <c r="SIR868" s="290" t="s">
        <v>280</v>
      </c>
      <c r="SIS868" s="290" t="s">
        <v>280</v>
      </c>
      <c r="SIT868" s="290" t="s">
        <v>280</v>
      </c>
      <c r="SIU868" s="290" t="s">
        <v>280</v>
      </c>
      <c r="SIV868" s="290" t="s">
        <v>280</v>
      </c>
      <c r="SIW868" s="290" t="s">
        <v>280</v>
      </c>
      <c r="SIX868" s="290" t="s">
        <v>280</v>
      </c>
      <c r="SIY868" s="290" t="s">
        <v>280</v>
      </c>
      <c r="SIZ868" s="290" t="s">
        <v>280</v>
      </c>
      <c r="SJA868" s="290" t="s">
        <v>280</v>
      </c>
      <c r="SJB868" s="290" t="s">
        <v>280</v>
      </c>
      <c r="SJC868" s="290" t="s">
        <v>280</v>
      </c>
      <c r="SJD868" s="290" t="s">
        <v>280</v>
      </c>
      <c r="SJE868" s="290" t="s">
        <v>280</v>
      </c>
      <c r="SJF868" s="290" t="s">
        <v>280</v>
      </c>
      <c r="SJG868" s="290" t="s">
        <v>280</v>
      </c>
      <c r="SJH868" s="290" t="s">
        <v>280</v>
      </c>
      <c r="SJI868" s="290" t="s">
        <v>280</v>
      </c>
      <c r="SJJ868" s="290" t="s">
        <v>280</v>
      </c>
      <c r="SJK868" s="290" t="s">
        <v>280</v>
      </c>
      <c r="SJL868" s="290" t="s">
        <v>280</v>
      </c>
      <c r="SJM868" s="290" t="s">
        <v>280</v>
      </c>
      <c r="SJN868" s="290" t="s">
        <v>280</v>
      </c>
      <c r="SJO868" s="290" t="s">
        <v>280</v>
      </c>
      <c r="SJP868" s="290" t="s">
        <v>280</v>
      </c>
      <c r="SJQ868" s="290" t="s">
        <v>280</v>
      </c>
      <c r="SJR868" s="290" t="s">
        <v>280</v>
      </c>
      <c r="SJS868" s="290" t="s">
        <v>280</v>
      </c>
      <c r="SJT868" s="290" t="s">
        <v>280</v>
      </c>
      <c r="SJU868" s="290" t="s">
        <v>280</v>
      </c>
      <c r="SJV868" s="290" t="s">
        <v>280</v>
      </c>
      <c r="SJW868" s="290" t="s">
        <v>280</v>
      </c>
      <c r="SJX868" s="290" t="s">
        <v>280</v>
      </c>
      <c r="SJY868" s="290" t="s">
        <v>280</v>
      </c>
      <c r="SJZ868" s="290" t="s">
        <v>280</v>
      </c>
      <c r="SKA868" s="290" t="s">
        <v>280</v>
      </c>
      <c r="SKB868" s="290" t="s">
        <v>280</v>
      </c>
      <c r="SKC868" s="290" t="s">
        <v>280</v>
      </c>
      <c r="SKD868" s="290" t="s">
        <v>280</v>
      </c>
      <c r="SKE868" s="290" t="s">
        <v>280</v>
      </c>
      <c r="SKF868" s="290" t="s">
        <v>280</v>
      </c>
      <c r="SKG868" s="290" t="s">
        <v>280</v>
      </c>
      <c r="SKH868" s="290" t="s">
        <v>280</v>
      </c>
      <c r="SKI868" s="290" t="s">
        <v>280</v>
      </c>
      <c r="SKJ868" s="290" t="s">
        <v>280</v>
      </c>
      <c r="SKK868" s="290" t="s">
        <v>280</v>
      </c>
      <c r="SKL868" s="290" t="s">
        <v>280</v>
      </c>
      <c r="SKM868" s="290" t="s">
        <v>280</v>
      </c>
      <c r="SKN868" s="290" t="s">
        <v>280</v>
      </c>
      <c r="SKO868" s="290" t="s">
        <v>280</v>
      </c>
      <c r="SKP868" s="290" t="s">
        <v>280</v>
      </c>
      <c r="SKQ868" s="290" t="s">
        <v>280</v>
      </c>
      <c r="SKR868" s="290" t="s">
        <v>280</v>
      </c>
      <c r="SKS868" s="290" t="s">
        <v>280</v>
      </c>
      <c r="SKT868" s="290" t="s">
        <v>280</v>
      </c>
      <c r="SKU868" s="290" t="s">
        <v>280</v>
      </c>
      <c r="SKV868" s="290" t="s">
        <v>280</v>
      </c>
      <c r="SKW868" s="290" t="s">
        <v>280</v>
      </c>
      <c r="SKX868" s="290" t="s">
        <v>280</v>
      </c>
      <c r="SKY868" s="290" t="s">
        <v>280</v>
      </c>
      <c r="SKZ868" s="290" t="s">
        <v>280</v>
      </c>
      <c r="SLA868" s="290" t="s">
        <v>280</v>
      </c>
      <c r="SLB868" s="290" t="s">
        <v>280</v>
      </c>
      <c r="SLC868" s="290" t="s">
        <v>280</v>
      </c>
      <c r="SLD868" s="290" t="s">
        <v>280</v>
      </c>
      <c r="SLE868" s="290" t="s">
        <v>280</v>
      </c>
      <c r="SLF868" s="290" t="s">
        <v>280</v>
      </c>
      <c r="SLG868" s="290" t="s">
        <v>280</v>
      </c>
      <c r="SLH868" s="290" t="s">
        <v>280</v>
      </c>
      <c r="SLI868" s="290" t="s">
        <v>280</v>
      </c>
      <c r="SLJ868" s="290" t="s">
        <v>280</v>
      </c>
      <c r="SLK868" s="290" t="s">
        <v>280</v>
      </c>
      <c r="SLL868" s="290" t="s">
        <v>280</v>
      </c>
      <c r="SLM868" s="290" t="s">
        <v>280</v>
      </c>
      <c r="SLN868" s="290" t="s">
        <v>280</v>
      </c>
      <c r="SLO868" s="290" t="s">
        <v>280</v>
      </c>
      <c r="SLP868" s="290" t="s">
        <v>280</v>
      </c>
      <c r="SLQ868" s="290" t="s">
        <v>280</v>
      </c>
      <c r="SLR868" s="290" t="s">
        <v>280</v>
      </c>
      <c r="SLS868" s="290" t="s">
        <v>280</v>
      </c>
      <c r="SLT868" s="290" t="s">
        <v>280</v>
      </c>
      <c r="SLU868" s="290" t="s">
        <v>280</v>
      </c>
      <c r="SLV868" s="290" t="s">
        <v>280</v>
      </c>
      <c r="SLW868" s="290" t="s">
        <v>280</v>
      </c>
      <c r="SLX868" s="290" t="s">
        <v>280</v>
      </c>
      <c r="SLY868" s="290" t="s">
        <v>280</v>
      </c>
      <c r="SLZ868" s="290" t="s">
        <v>280</v>
      </c>
      <c r="SMA868" s="290" t="s">
        <v>280</v>
      </c>
      <c r="SMB868" s="290" t="s">
        <v>280</v>
      </c>
      <c r="SMC868" s="290" t="s">
        <v>280</v>
      </c>
      <c r="SMD868" s="290" t="s">
        <v>280</v>
      </c>
      <c r="SME868" s="290" t="s">
        <v>280</v>
      </c>
      <c r="SMF868" s="290" t="s">
        <v>280</v>
      </c>
      <c r="SMG868" s="290" t="s">
        <v>280</v>
      </c>
      <c r="SMH868" s="290" t="s">
        <v>280</v>
      </c>
      <c r="SMI868" s="290" t="s">
        <v>280</v>
      </c>
      <c r="SMJ868" s="290" t="s">
        <v>280</v>
      </c>
      <c r="SMK868" s="290" t="s">
        <v>280</v>
      </c>
      <c r="SML868" s="290" t="s">
        <v>280</v>
      </c>
      <c r="SMM868" s="290" t="s">
        <v>280</v>
      </c>
      <c r="SMN868" s="290" t="s">
        <v>280</v>
      </c>
      <c r="SMO868" s="290" t="s">
        <v>280</v>
      </c>
      <c r="SMP868" s="290" t="s">
        <v>280</v>
      </c>
      <c r="SMQ868" s="290" t="s">
        <v>280</v>
      </c>
      <c r="SMR868" s="290" t="s">
        <v>280</v>
      </c>
      <c r="SMS868" s="290" t="s">
        <v>280</v>
      </c>
      <c r="SMT868" s="290" t="s">
        <v>280</v>
      </c>
      <c r="SMU868" s="290" t="s">
        <v>280</v>
      </c>
      <c r="SMV868" s="290" t="s">
        <v>280</v>
      </c>
      <c r="SMW868" s="290" t="s">
        <v>280</v>
      </c>
      <c r="SMX868" s="290" t="s">
        <v>280</v>
      </c>
      <c r="SMY868" s="290" t="s">
        <v>280</v>
      </c>
      <c r="SMZ868" s="290" t="s">
        <v>280</v>
      </c>
      <c r="SNA868" s="290" t="s">
        <v>280</v>
      </c>
      <c r="SNB868" s="290" t="s">
        <v>280</v>
      </c>
      <c r="SNC868" s="290" t="s">
        <v>280</v>
      </c>
      <c r="SND868" s="290" t="s">
        <v>280</v>
      </c>
      <c r="SNE868" s="290" t="s">
        <v>280</v>
      </c>
      <c r="SNF868" s="290" t="s">
        <v>280</v>
      </c>
      <c r="SNG868" s="290" t="s">
        <v>280</v>
      </c>
      <c r="SNH868" s="290" t="s">
        <v>280</v>
      </c>
      <c r="SNI868" s="290" t="s">
        <v>280</v>
      </c>
      <c r="SNJ868" s="290" t="s">
        <v>280</v>
      </c>
      <c r="SNK868" s="290" t="s">
        <v>280</v>
      </c>
      <c r="SNL868" s="290" t="s">
        <v>280</v>
      </c>
      <c r="SNM868" s="290" t="s">
        <v>280</v>
      </c>
      <c r="SNN868" s="290" t="s">
        <v>280</v>
      </c>
      <c r="SNO868" s="290" t="s">
        <v>280</v>
      </c>
      <c r="SNP868" s="290" t="s">
        <v>280</v>
      </c>
      <c r="SNQ868" s="290" t="s">
        <v>280</v>
      </c>
      <c r="SNR868" s="290" t="s">
        <v>280</v>
      </c>
      <c r="SNS868" s="290" t="s">
        <v>280</v>
      </c>
      <c r="SNT868" s="290" t="s">
        <v>280</v>
      </c>
      <c r="SNU868" s="290" t="s">
        <v>280</v>
      </c>
      <c r="SNV868" s="290" t="s">
        <v>280</v>
      </c>
      <c r="SNW868" s="290" t="s">
        <v>280</v>
      </c>
      <c r="SNX868" s="290" t="s">
        <v>280</v>
      </c>
      <c r="SNY868" s="290" t="s">
        <v>280</v>
      </c>
      <c r="SNZ868" s="290" t="s">
        <v>280</v>
      </c>
      <c r="SOA868" s="290" t="s">
        <v>280</v>
      </c>
      <c r="SOB868" s="290" t="s">
        <v>280</v>
      </c>
      <c r="SOC868" s="290" t="s">
        <v>280</v>
      </c>
      <c r="SOD868" s="290" t="s">
        <v>280</v>
      </c>
      <c r="SOE868" s="290" t="s">
        <v>280</v>
      </c>
      <c r="SOF868" s="290" t="s">
        <v>280</v>
      </c>
      <c r="SOG868" s="290" t="s">
        <v>280</v>
      </c>
      <c r="SOH868" s="290" t="s">
        <v>280</v>
      </c>
      <c r="SOI868" s="290" t="s">
        <v>280</v>
      </c>
      <c r="SOJ868" s="290" t="s">
        <v>280</v>
      </c>
      <c r="SOK868" s="290" t="s">
        <v>280</v>
      </c>
      <c r="SOL868" s="290" t="s">
        <v>280</v>
      </c>
      <c r="SOM868" s="290" t="s">
        <v>280</v>
      </c>
      <c r="SON868" s="290" t="s">
        <v>280</v>
      </c>
      <c r="SOO868" s="290" t="s">
        <v>280</v>
      </c>
      <c r="SOP868" s="290" t="s">
        <v>280</v>
      </c>
      <c r="SOQ868" s="290" t="s">
        <v>280</v>
      </c>
      <c r="SOR868" s="290" t="s">
        <v>280</v>
      </c>
      <c r="SOS868" s="290" t="s">
        <v>280</v>
      </c>
      <c r="SOT868" s="290" t="s">
        <v>280</v>
      </c>
      <c r="SOU868" s="290" t="s">
        <v>280</v>
      </c>
      <c r="SOV868" s="290" t="s">
        <v>280</v>
      </c>
      <c r="SOW868" s="290" t="s">
        <v>280</v>
      </c>
      <c r="SOX868" s="290" t="s">
        <v>280</v>
      </c>
      <c r="SOY868" s="290" t="s">
        <v>280</v>
      </c>
      <c r="SOZ868" s="290" t="s">
        <v>280</v>
      </c>
      <c r="SPA868" s="290" t="s">
        <v>280</v>
      </c>
      <c r="SPB868" s="290" t="s">
        <v>280</v>
      </c>
      <c r="SPC868" s="290" t="s">
        <v>280</v>
      </c>
      <c r="SPD868" s="290" t="s">
        <v>280</v>
      </c>
      <c r="SPE868" s="290" t="s">
        <v>280</v>
      </c>
      <c r="SPF868" s="290" t="s">
        <v>280</v>
      </c>
      <c r="SPG868" s="290" t="s">
        <v>280</v>
      </c>
      <c r="SPH868" s="290" t="s">
        <v>280</v>
      </c>
      <c r="SPI868" s="290" t="s">
        <v>280</v>
      </c>
      <c r="SPJ868" s="290" t="s">
        <v>280</v>
      </c>
      <c r="SPK868" s="290" t="s">
        <v>280</v>
      </c>
      <c r="SPL868" s="290" t="s">
        <v>280</v>
      </c>
      <c r="SPM868" s="290" t="s">
        <v>280</v>
      </c>
      <c r="SPN868" s="290" t="s">
        <v>280</v>
      </c>
      <c r="SPO868" s="290" t="s">
        <v>280</v>
      </c>
      <c r="SPP868" s="290" t="s">
        <v>280</v>
      </c>
      <c r="SPQ868" s="290" t="s">
        <v>280</v>
      </c>
      <c r="SPR868" s="290" t="s">
        <v>280</v>
      </c>
      <c r="SPS868" s="290" t="s">
        <v>280</v>
      </c>
      <c r="SPT868" s="290" t="s">
        <v>280</v>
      </c>
      <c r="SPU868" s="290" t="s">
        <v>280</v>
      </c>
      <c r="SPV868" s="290" t="s">
        <v>280</v>
      </c>
      <c r="SPW868" s="290" t="s">
        <v>280</v>
      </c>
      <c r="SPX868" s="290" t="s">
        <v>280</v>
      </c>
      <c r="SPY868" s="290" t="s">
        <v>280</v>
      </c>
      <c r="SPZ868" s="290" t="s">
        <v>280</v>
      </c>
      <c r="SQA868" s="290" t="s">
        <v>280</v>
      </c>
      <c r="SQB868" s="290" t="s">
        <v>280</v>
      </c>
      <c r="SQC868" s="290" t="s">
        <v>280</v>
      </c>
      <c r="SQD868" s="290" t="s">
        <v>280</v>
      </c>
      <c r="SQE868" s="290" t="s">
        <v>280</v>
      </c>
      <c r="SQF868" s="290" t="s">
        <v>280</v>
      </c>
      <c r="SQG868" s="290" t="s">
        <v>280</v>
      </c>
      <c r="SQH868" s="290" t="s">
        <v>280</v>
      </c>
      <c r="SQI868" s="290" t="s">
        <v>280</v>
      </c>
      <c r="SQJ868" s="290" t="s">
        <v>280</v>
      </c>
      <c r="SQK868" s="290" t="s">
        <v>280</v>
      </c>
      <c r="SQL868" s="290" t="s">
        <v>280</v>
      </c>
      <c r="SQM868" s="290" t="s">
        <v>280</v>
      </c>
      <c r="SQN868" s="290" t="s">
        <v>280</v>
      </c>
      <c r="SQO868" s="290" t="s">
        <v>280</v>
      </c>
      <c r="SQP868" s="290" t="s">
        <v>280</v>
      </c>
      <c r="SQQ868" s="290" t="s">
        <v>280</v>
      </c>
      <c r="SQR868" s="290" t="s">
        <v>280</v>
      </c>
      <c r="SQS868" s="290" t="s">
        <v>280</v>
      </c>
      <c r="SQT868" s="290" t="s">
        <v>280</v>
      </c>
      <c r="SQU868" s="290" t="s">
        <v>280</v>
      </c>
      <c r="SQV868" s="290" t="s">
        <v>280</v>
      </c>
      <c r="SQW868" s="290" t="s">
        <v>280</v>
      </c>
      <c r="SQX868" s="290" t="s">
        <v>280</v>
      </c>
      <c r="SQY868" s="290" t="s">
        <v>280</v>
      </c>
      <c r="SQZ868" s="290" t="s">
        <v>280</v>
      </c>
      <c r="SRA868" s="290" t="s">
        <v>280</v>
      </c>
      <c r="SRB868" s="290" t="s">
        <v>280</v>
      </c>
      <c r="SRC868" s="290" t="s">
        <v>280</v>
      </c>
      <c r="SRD868" s="290" t="s">
        <v>280</v>
      </c>
      <c r="SRE868" s="290" t="s">
        <v>280</v>
      </c>
      <c r="SRF868" s="290" t="s">
        <v>280</v>
      </c>
      <c r="SRG868" s="290" t="s">
        <v>280</v>
      </c>
      <c r="SRH868" s="290" t="s">
        <v>280</v>
      </c>
      <c r="SRI868" s="290" t="s">
        <v>280</v>
      </c>
      <c r="SRJ868" s="290" t="s">
        <v>280</v>
      </c>
      <c r="SRK868" s="290" t="s">
        <v>280</v>
      </c>
      <c r="SRL868" s="290" t="s">
        <v>280</v>
      </c>
      <c r="SRM868" s="290" t="s">
        <v>280</v>
      </c>
      <c r="SRN868" s="290" t="s">
        <v>280</v>
      </c>
      <c r="SRO868" s="290" t="s">
        <v>280</v>
      </c>
      <c r="SRP868" s="290" t="s">
        <v>280</v>
      </c>
      <c r="SRQ868" s="290" t="s">
        <v>280</v>
      </c>
      <c r="SRR868" s="290" t="s">
        <v>280</v>
      </c>
      <c r="SRS868" s="290" t="s">
        <v>280</v>
      </c>
      <c r="SRT868" s="290" t="s">
        <v>280</v>
      </c>
      <c r="SRU868" s="290" t="s">
        <v>280</v>
      </c>
      <c r="SRV868" s="290" t="s">
        <v>280</v>
      </c>
      <c r="SRW868" s="290" t="s">
        <v>280</v>
      </c>
      <c r="SRX868" s="290" t="s">
        <v>280</v>
      </c>
      <c r="SRY868" s="290" t="s">
        <v>280</v>
      </c>
      <c r="SRZ868" s="290" t="s">
        <v>280</v>
      </c>
      <c r="SSA868" s="290" t="s">
        <v>280</v>
      </c>
      <c r="SSB868" s="290" t="s">
        <v>280</v>
      </c>
      <c r="SSC868" s="290" t="s">
        <v>280</v>
      </c>
      <c r="SSD868" s="290" t="s">
        <v>280</v>
      </c>
      <c r="SSE868" s="290" t="s">
        <v>280</v>
      </c>
      <c r="SSF868" s="290" t="s">
        <v>280</v>
      </c>
      <c r="SSG868" s="290" t="s">
        <v>280</v>
      </c>
      <c r="SSH868" s="290" t="s">
        <v>280</v>
      </c>
      <c r="SSI868" s="290" t="s">
        <v>280</v>
      </c>
      <c r="SSJ868" s="290" t="s">
        <v>280</v>
      </c>
      <c r="SSK868" s="290" t="s">
        <v>280</v>
      </c>
      <c r="SSL868" s="290" t="s">
        <v>280</v>
      </c>
      <c r="SSM868" s="290" t="s">
        <v>280</v>
      </c>
      <c r="SSN868" s="290" t="s">
        <v>280</v>
      </c>
      <c r="SSO868" s="290" t="s">
        <v>280</v>
      </c>
      <c r="SSP868" s="290" t="s">
        <v>280</v>
      </c>
      <c r="SSQ868" s="290" t="s">
        <v>280</v>
      </c>
      <c r="SSR868" s="290" t="s">
        <v>280</v>
      </c>
      <c r="SSS868" s="290" t="s">
        <v>280</v>
      </c>
      <c r="SST868" s="290" t="s">
        <v>280</v>
      </c>
      <c r="SSU868" s="290" t="s">
        <v>280</v>
      </c>
      <c r="SSV868" s="290" t="s">
        <v>280</v>
      </c>
      <c r="SSW868" s="290" t="s">
        <v>280</v>
      </c>
      <c r="SSX868" s="290" t="s">
        <v>280</v>
      </c>
      <c r="SSY868" s="290" t="s">
        <v>280</v>
      </c>
      <c r="SSZ868" s="290" t="s">
        <v>280</v>
      </c>
      <c r="STA868" s="290" t="s">
        <v>280</v>
      </c>
      <c r="STB868" s="290" t="s">
        <v>280</v>
      </c>
      <c r="STC868" s="290" t="s">
        <v>280</v>
      </c>
      <c r="STD868" s="290" t="s">
        <v>280</v>
      </c>
      <c r="STE868" s="290" t="s">
        <v>280</v>
      </c>
      <c r="STF868" s="290" t="s">
        <v>280</v>
      </c>
      <c r="STG868" s="290" t="s">
        <v>280</v>
      </c>
      <c r="STH868" s="290" t="s">
        <v>280</v>
      </c>
      <c r="STI868" s="290" t="s">
        <v>280</v>
      </c>
      <c r="STJ868" s="290" t="s">
        <v>280</v>
      </c>
      <c r="STK868" s="290" t="s">
        <v>280</v>
      </c>
      <c r="STL868" s="290" t="s">
        <v>280</v>
      </c>
      <c r="STM868" s="290" t="s">
        <v>280</v>
      </c>
      <c r="STN868" s="290" t="s">
        <v>280</v>
      </c>
      <c r="STO868" s="290" t="s">
        <v>280</v>
      </c>
      <c r="STP868" s="290" t="s">
        <v>280</v>
      </c>
      <c r="STQ868" s="290" t="s">
        <v>280</v>
      </c>
      <c r="STR868" s="290" t="s">
        <v>280</v>
      </c>
      <c r="STS868" s="290" t="s">
        <v>280</v>
      </c>
      <c r="STT868" s="290" t="s">
        <v>280</v>
      </c>
      <c r="STU868" s="290" t="s">
        <v>280</v>
      </c>
      <c r="STV868" s="290" t="s">
        <v>280</v>
      </c>
      <c r="STW868" s="290" t="s">
        <v>280</v>
      </c>
      <c r="STX868" s="290" t="s">
        <v>280</v>
      </c>
      <c r="STY868" s="290" t="s">
        <v>280</v>
      </c>
      <c r="STZ868" s="290" t="s">
        <v>280</v>
      </c>
      <c r="SUA868" s="290" t="s">
        <v>280</v>
      </c>
      <c r="SUB868" s="290" t="s">
        <v>280</v>
      </c>
      <c r="SUC868" s="290" t="s">
        <v>280</v>
      </c>
      <c r="SUD868" s="290" t="s">
        <v>280</v>
      </c>
      <c r="SUE868" s="290" t="s">
        <v>280</v>
      </c>
      <c r="SUF868" s="290" t="s">
        <v>280</v>
      </c>
      <c r="SUG868" s="290" t="s">
        <v>280</v>
      </c>
      <c r="SUH868" s="290" t="s">
        <v>280</v>
      </c>
      <c r="SUI868" s="290" t="s">
        <v>280</v>
      </c>
      <c r="SUJ868" s="290" t="s">
        <v>280</v>
      </c>
      <c r="SUK868" s="290" t="s">
        <v>280</v>
      </c>
      <c r="SUL868" s="290" t="s">
        <v>280</v>
      </c>
      <c r="SUM868" s="290" t="s">
        <v>280</v>
      </c>
      <c r="SUN868" s="290" t="s">
        <v>280</v>
      </c>
      <c r="SUO868" s="290" t="s">
        <v>280</v>
      </c>
      <c r="SUP868" s="290" t="s">
        <v>280</v>
      </c>
      <c r="SUQ868" s="290" t="s">
        <v>280</v>
      </c>
      <c r="SUR868" s="290" t="s">
        <v>280</v>
      </c>
      <c r="SUS868" s="290" t="s">
        <v>280</v>
      </c>
      <c r="SUT868" s="290" t="s">
        <v>280</v>
      </c>
      <c r="SUU868" s="290" t="s">
        <v>280</v>
      </c>
      <c r="SUV868" s="290" t="s">
        <v>280</v>
      </c>
      <c r="SUW868" s="290" t="s">
        <v>280</v>
      </c>
      <c r="SUX868" s="290" t="s">
        <v>280</v>
      </c>
      <c r="SUY868" s="290" t="s">
        <v>280</v>
      </c>
      <c r="SUZ868" s="290" t="s">
        <v>280</v>
      </c>
      <c r="SVA868" s="290" t="s">
        <v>280</v>
      </c>
      <c r="SVB868" s="290" t="s">
        <v>280</v>
      </c>
      <c r="SVC868" s="290" t="s">
        <v>280</v>
      </c>
      <c r="SVD868" s="290" t="s">
        <v>280</v>
      </c>
      <c r="SVE868" s="290" t="s">
        <v>280</v>
      </c>
      <c r="SVF868" s="290" t="s">
        <v>280</v>
      </c>
      <c r="SVG868" s="290" t="s">
        <v>280</v>
      </c>
      <c r="SVH868" s="290" t="s">
        <v>280</v>
      </c>
      <c r="SVI868" s="290" t="s">
        <v>280</v>
      </c>
      <c r="SVJ868" s="290" t="s">
        <v>280</v>
      </c>
      <c r="SVK868" s="290" t="s">
        <v>280</v>
      </c>
      <c r="SVL868" s="290" t="s">
        <v>280</v>
      </c>
      <c r="SVM868" s="290" t="s">
        <v>280</v>
      </c>
      <c r="SVN868" s="290" t="s">
        <v>280</v>
      </c>
      <c r="SVO868" s="290" t="s">
        <v>280</v>
      </c>
      <c r="SVP868" s="290" t="s">
        <v>280</v>
      </c>
      <c r="SVQ868" s="290" t="s">
        <v>280</v>
      </c>
      <c r="SVR868" s="290" t="s">
        <v>280</v>
      </c>
      <c r="SVS868" s="290" t="s">
        <v>280</v>
      </c>
      <c r="SVT868" s="290" t="s">
        <v>280</v>
      </c>
      <c r="SVU868" s="290" t="s">
        <v>280</v>
      </c>
      <c r="SVV868" s="290" t="s">
        <v>280</v>
      </c>
      <c r="SVW868" s="290" t="s">
        <v>280</v>
      </c>
      <c r="SVX868" s="290" t="s">
        <v>280</v>
      </c>
      <c r="SVY868" s="290" t="s">
        <v>280</v>
      </c>
      <c r="SVZ868" s="290" t="s">
        <v>280</v>
      </c>
      <c r="SWA868" s="290" t="s">
        <v>280</v>
      </c>
      <c r="SWB868" s="290" t="s">
        <v>280</v>
      </c>
      <c r="SWC868" s="290" t="s">
        <v>280</v>
      </c>
      <c r="SWD868" s="290" t="s">
        <v>280</v>
      </c>
      <c r="SWE868" s="290" t="s">
        <v>280</v>
      </c>
      <c r="SWF868" s="290" t="s">
        <v>280</v>
      </c>
      <c r="SWG868" s="290" t="s">
        <v>280</v>
      </c>
      <c r="SWH868" s="290" t="s">
        <v>280</v>
      </c>
      <c r="SWI868" s="290" t="s">
        <v>280</v>
      </c>
      <c r="SWJ868" s="290" t="s">
        <v>280</v>
      </c>
      <c r="SWK868" s="290" t="s">
        <v>280</v>
      </c>
      <c r="SWL868" s="290" t="s">
        <v>280</v>
      </c>
      <c r="SWM868" s="290" t="s">
        <v>280</v>
      </c>
      <c r="SWN868" s="290" t="s">
        <v>280</v>
      </c>
      <c r="SWO868" s="290" t="s">
        <v>280</v>
      </c>
      <c r="SWP868" s="290" t="s">
        <v>280</v>
      </c>
      <c r="SWQ868" s="290" t="s">
        <v>280</v>
      </c>
      <c r="SWR868" s="290" t="s">
        <v>280</v>
      </c>
      <c r="SWS868" s="290" t="s">
        <v>280</v>
      </c>
      <c r="SWT868" s="290" t="s">
        <v>280</v>
      </c>
      <c r="SWU868" s="290" t="s">
        <v>280</v>
      </c>
      <c r="SWV868" s="290" t="s">
        <v>280</v>
      </c>
      <c r="SWW868" s="290" t="s">
        <v>280</v>
      </c>
      <c r="SWX868" s="290" t="s">
        <v>280</v>
      </c>
      <c r="SWY868" s="290" t="s">
        <v>280</v>
      </c>
      <c r="SWZ868" s="290" t="s">
        <v>280</v>
      </c>
      <c r="SXA868" s="290" t="s">
        <v>280</v>
      </c>
      <c r="SXB868" s="290" t="s">
        <v>280</v>
      </c>
      <c r="SXC868" s="290" t="s">
        <v>280</v>
      </c>
      <c r="SXD868" s="290" t="s">
        <v>280</v>
      </c>
      <c r="SXE868" s="290" t="s">
        <v>280</v>
      </c>
      <c r="SXF868" s="290" t="s">
        <v>280</v>
      </c>
      <c r="SXG868" s="290" t="s">
        <v>280</v>
      </c>
      <c r="SXH868" s="290" t="s">
        <v>280</v>
      </c>
      <c r="SXI868" s="290" t="s">
        <v>280</v>
      </c>
      <c r="SXJ868" s="290" t="s">
        <v>280</v>
      </c>
      <c r="SXK868" s="290" t="s">
        <v>280</v>
      </c>
      <c r="SXL868" s="290" t="s">
        <v>280</v>
      </c>
      <c r="SXM868" s="290" t="s">
        <v>280</v>
      </c>
      <c r="SXN868" s="290" t="s">
        <v>280</v>
      </c>
      <c r="SXO868" s="290" t="s">
        <v>280</v>
      </c>
      <c r="SXP868" s="290" t="s">
        <v>280</v>
      </c>
      <c r="SXQ868" s="290" t="s">
        <v>280</v>
      </c>
      <c r="SXR868" s="290" t="s">
        <v>280</v>
      </c>
      <c r="SXS868" s="290" t="s">
        <v>280</v>
      </c>
      <c r="SXT868" s="290" t="s">
        <v>280</v>
      </c>
      <c r="SXU868" s="290" t="s">
        <v>280</v>
      </c>
      <c r="SXV868" s="290" t="s">
        <v>280</v>
      </c>
      <c r="SXW868" s="290" t="s">
        <v>280</v>
      </c>
      <c r="SXX868" s="290" t="s">
        <v>280</v>
      </c>
      <c r="SXY868" s="290" t="s">
        <v>280</v>
      </c>
      <c r="SXZ868" s="290" t="s">
        <v>280</v>
      </c>
      <c r="SYA868" s="290" t="s">
        <v>280</v>
      </c>
      <c r="SYB868" s="290" t="s">
        <v>280</v>
      </c>
      <c r="SYC868" s="290" t="s">
        <v>280</v>
      </c>
      <c r="SYD868" s="290" t="s">
        <v>280</v>
      </c>
      <c r="SYE868" s="290" t="s">
        <v>280</v>
      </c>
      <c r="SYF868" s="290" t="s">
        <v>280</v>
      </c>
      <c r="SYG868" s="290" t="s">
        <v>280</v>
      </c>
      <c r="SYH868" s="290" t="s">
        <v>280</v>
      </c>
      <c r="SYI868" s="290" t="s">
        <v>280</v>
      </c>
      <c r="SYJ868" s="290" t="s">
        <v>280</v>
      </c>
      <c r="SYK868" s="290" t="s">
        <v>280</v>
      </c>
      <c r="SYL868" s="290" t="s">
        <v>280</v>
      </c>
      <c r="SYM868" s="290" t="s">
        <v>280</v>
      </c>
      <c r="SYN868" s="290" t="s">
        <v>280</v>
      </c>
      <c r="SYO868" s="290" t="s">
        <v>280</v>
      </c>
      <c r="SYP868" s="290" t="s">
        <v>280</v>
      </c>
      <c r="SYQ868" s="290" t="s">
        <v>280</v>
      </c>
      <c r="SYR868" s="290" t="s">
        <v>280</v>
      </c>
      <c r="SYS868" s="290" t="s">
        <v>280</v>
      </c>
      <c r="SYT868" s="290" t="s">
        <v>280</v>
      </c>
      <c r="SYU868" s="290" t="s">
        <v>280</v>
      </c>
      <c r="SYV868" s="290" t="s">
        <v>280</v>
      </c>
      <c r="SYW868" s="290" t="s">
        <v>280</v>
      </c>
      <c r="SYX868" s="290" t="s">
        <v>280</v>
      </c>
      <c r="SYY868" s="290" t="s">
        <v>280</v>
      </c>
      <c r="SYZ868" s="290" t="s">
        <v>280</v>
      </c>
      <c r="SZA868" s="290" t="s">
        <v>280</v>
      </c>
      <c r="SZB868" s="290" t="s">
        <v>280</v>
      </c>
      <c r="SZC868" s="290" t="s">
        <v>280</v>
      </c>
      <c r="SZD868" s="290" t="s">
        <v>280</v>
      </c>
      <c r="SZE868" s="290" t="s">
        <v>280</v>
      </c>
      <c r="SZF868" s="290" t="s">
        <v>280</v>
      </c>
      <c r="SZG868" s="290" t="s">
        <v>280</v>
      </c>
      <c r="SZH868" s="290" t="s">
        <v>280</v>
      </c>
      <c r="SZI868" s="290" t="s">
        <v>280</v>
      </c>
      <c r="SZJ868" s="290" t="s">
        <v>280</v>
      </c>
      <c r="SZK868" s="290" t="s">
        <v>280</v>
      </c>
      <c r="SZL868" s="290" t="s">
        <v>280</v>
      </c>
      <c r="SZM868" s="290" t="s">
        <v>280</v>
      </c>
      <c r="SZN868" s="290" t="s">
        <v>280</v>
      </c>
      <c r="SZO868" s="290" t="s">
        <v>280</v>
      </c>
      <c r="SZP868" s="290" t="s">
        <v>280</v>
      </c>
      <c r="SZQ868" s="290" t="s">
        <v>280</v>
      </c>
      <c r="SZR868" s="290" t="s">
        <v>280</v>
      </c>
      <c r="SZS868" s="290" t="s">
        <v>280</v>
      </c>
      <c r="SZT868" s="290" t="s">
        <v>280</v>
      </c>
      <c r="SZU868" s="290" t="s">
        <v>280</v>
      </c>
      <c r="SZV868" s="290" t="s">
        <v>280</v>
      </c>
      <c r="SZW868" s="290" t="s">
        <v>280</v>
      </c>
      <c r="SZX868" s="290" t="s">
        <v>280</v>
      </c>
      <c r="SZY868" s="290" t="s">
        <v>280</v>
      </c>
      <c r="SZZ868" s="290" t="s">
        <v>280</v>
      </c>
      <c r="TAA868" s="290" t="s">
        <v>280</v>
      </c>
      <c r="TAB868" s="290" t="s">
        <v>280</v>
      </c>
      <c r="TAC868" s="290" t="s">
        <v>280</v>
      </c>
      <c r="TAD868" s="290" t="s">
        <v>280</v>
      </c>
      <c r="TAE868" s="290" t="s">
        <v>280</v>
      </c>
      <c r="TAF868" s="290" t="s">
        <v>280</v>
      </c>
      <c r="TAG868" s="290" t="s">
        <v>280</v>
      </c>
      <c r="TAH868" s="290" t="s">
        <v>280</v>
      </c>
      <c r="TAI868" s="290" t="s">
        <v>280</v>
      </c>
      <c r="TAJ868" s="290" t="s">
        <v>280</v>
      </c>
      <c r="TAK868" s="290" t="s">
        <v>280</v>
      </c>
      <c r="TAL868" s="290" t="s">
        <v>280</v>
      </c>
      <c r="TAM868" s="290" t="s">
        <v>280</v>
      </c>
      <c r="TAN868" s="290" t="s">
        <v>280</v>
      </c>
      <c r="TAO868" s="290" t="s">
        <v>280</v>
      </c>
      <c r="TAP868" s="290" t="s">
        <v>280</v>
      </c>
      <c r="TAQ868" s="290" t="s">
        <v>280</v>
      </c>
      <c r="TAR868" s="290" t="s">
        <v>280</v>
      </c>
      <c r="TAS868" s="290" t="s">
        <v>280</v>
      </c>
      <c r="TAT868" s="290" t="s">
        <v>280</v>
      </c>
      <c r="TAU868" s="290" t="s">
        <v>280</v>
      </c>
      <c r="TAV868" s="290" t="s">
        <v>280</v>
      </c>
      <c r="TAW868" s="290" t="s">
        <v>280</v>
      </c>
      <c r="TAX868" s="290" t="s">
        <v>280</v>
      </c>
      <c r="TAY868" s="290" t="s">
        <v>280</v>
      </c>
      <c r="TAZ868" s="290" t="s">
        <v>280</v>
      </c>
      <c r="TBA868" s="290" t="s">
        <v>280</v>
      </c>
      <c r="TBB868" s="290" t="s">
        <v>280</v>
      </c>
      <c r="TBC868" s="290" t="s">
        <v>280</v>
      </c>
      <c r="TBD868" s="290" t="s">
        <v>280</v>
      </c>
      <c r="TBE868" s="290" t="s">
        <v>280</v>
      </c>
      <c r="TBF868" s="290" t="s">
        <v>280</v>
      </c>
      <c r="TBG868" s="290" t="s">
        <v>280</v>
      </c>
      <c r="TBH868" s="290" t="s">
        <v>280</v>
      </c>
      <c r="TBI868" s="290" t="s">
        <v>280</v>
      </c>
      <c r="TBJ868" s="290" t="s">
        <v>280</v>
      </c>
      <c r="TBK868" s="290" t="s">
        <v>280</v>
      </c>
      <c r="TBL868" s="290" t="s">
        <v>280</v>
      </c>
      <c r="TBM868" s="290" t="s">
        <v>280</v>
      </c>
      <c r="TBN868" s="290" t="s">
        <v>280</v>
      </c>
      <c r="TBO868" s="290" t="s">
        <v>280</v>
      </c>
      <c r="TBP868" s="290" t="s">
        <v>280</v>
      </c>
      <c r="TBQ868" s="290" t="s">
        <v>280</v>
      </c>
      <c r="TBR868" s="290" t="s">
        <v>280</v>
      </c>
      <c r="TBS868" s="290" t="s">
        <v>280</v>
      </c>
      <c r="TBT868" s="290" t="s">
        <v>280</v>
      </c>
      <c r="TBU868" s="290" t="s">
        <v>280</v>
      </c>
      <c r="TBV868" s="290" t="s">
        <v>280</v>
      </c>
      <c r="TBW868" s="290" t="s">
        <v>280</v>
      </c>
      <c r="TBX868" s="290" t="s">
        <v>280</v>
      </c>
      <c r="TBY868" s="290" t="s">
        <v>280</v>
      </c>
      <c r="TBZ868" s="290" t="s">
        <v>280</v>
      </c>
      <c r="TCA868" s="290" t="s">
        <v>280</v>
      </c>
      <c r="TCB868" s="290" t="s">
        <v>280</v>
      </c>
      <c r="TCC868" s="290" t="s">
        <v>280</v>
      </c>
      <c r="TCD868" s="290" t="s">
        <v>280</v>
      </c>
      <c r="TCE868" s="290" t="s">
        <v>280</v>
      </c>
      <c r="TCF868" s="290" t="s">
        <v>280</v>
      </c>
      <c r="TCG868" s="290" t="s">
        <v>280</v>
      </c>
      <c r="TCH868" s="290" t="s">
        <v>280</v>
      </c>
      <c r="TCI868" s="290" t="s">
        <v>280</v>
      </c>
      <c r="TCJ868" s="290" t="s">
        <v>280</v>
      </c>
      <c r="TCK868" s="290" t="s">
        <v>280</v>
      </c>
      <c r="TCL868" s="290" t="s">
        <v>280</v>
      </c>
      <c r="TCM868" s="290" t="s">
        <v>280</v>
      </c>
      <c r="TCN868" s="290" t="s">
        <v>280</v>
      </c>
      <c r="TCO868" s="290" t="s">
        <v>280</v>
      </c>
      <c r="TCP868" s="290" t="s">
        <v>280</v>
      </c>
      <c r="TCQ868" s="290" t="s">
        <v>280</v>
      </c>
      <c r="TCR868" s="290" t="s">
        <v>280</v>
      </c>
      <c r="TCS868" s="290" t="s">
        <v>280</v>
      </c>
      <c r="TCT868" s="290" t="s">
        <v>280</v>
      </c>
      <c r="TCU868" s="290" t="s">
        <v>280</v>
      </c>
      <c r="TCV868" s="290" t="s">
        <v>280</v>
      </c>
      <c r="TCW868" s="290" t="s">
        <v>280</v>
      </c>
      <c r="TCX868" s="290" t="s">
        <v>280</v>
      </c>
      <c r="TCY868" s="290" t="s">
        <v>280</v>
      </c>
      <c r="TCZ868" s="290" t="s">
        <v>280</v>
      </c>
      <c r="TDA868" s="290" t="s">
        <v>280</v>
      </c>
      <c r="TDB868" s="290" t="s">
        <v>280</v>
      </c>
      <c r="TDC868" s="290" t="s">
        <v>280</v>
      </c>
      <c r="TDD868" s="290" t="s">
        <v>280</v>
      </c>
      <c r="TDE868" s="290" t="s">
        <v>280</v>
      </c>
      <c r="TDF868" s="290" t="s">
        <v>280</v>
      </c>
      <c r="TDG868" s="290" t="s">
        <v>280</v>
      </c>
      <c r="TDH868" s="290" t="s">
        <v>280</v>
      </c>
      <c r="TDI868" s="290" t="s">
        <v>280</v>
      </c>
      <c r="TDJ868" s="290" t="s">
        <v>280</v>
      </c>
      <c r="TDK868" s="290" t="s">
        <v>280</v>
      </c>
      <c r="TDL868" s="290" t="s">
        <v>280</v>
      </c>
      <c r="TDM868" s="290" t="s">
        <v>280</v>
      </c>
      <c r="TDN868" s="290" t="s">
        <v>280</v>
      </c>
      <c r="TDO868" s="290" t="s">
        <v>280</v>
      </c>
      <c r="TDP868" s="290" t="s">
        <v>280</v>
      </c>
      <c r="TDQ868" s="290" t="s">
        <v>280</v>
      </c>
      <c r="TDR868" s="290" t="s">
        <v>280</v>
      </c>
      <c r="TDS868" s="290" t="s">
        <v>280</v>
      </c>
      <c r="TDT868" s="290" t="s">
        <v>280</v>
      </c>
      <c r="TDU868" s="290" t="s">
        <v>280</v>
      </c>
      <c r="TDV868" s="290" t="s">
        <v>280</v>
      </c>
      <c r="TDW868" s="290" t="s">
        <v>280</v>
      </c>
      <c r="TDX868" s="290" t="s">
        <v>280</v>
      </c>
      <c r="TDY868" s="290" t="s">
        <v>280</v>
      </c>
      <c r="TDZ868" s="290" t="s">
        <v>280</v>
      </c>
      <c r="TEA868" s="290" t="s">
        <v>280</v>
      </c>
      <c r="TEB868" s="290" t="s">
        <v>280</v>
      </c>
      <c r="TEC868" s="290" t="s">
        <v>280</v>
      </c>
      <c r="TED868" s="290" t="s">
        <v>280</v>
      </c>
      <c r="TEE868" s="290" t="s">
        <v>280</v>
      </c>
      <c r="TEF868" s="290" t="s">
        <v>280</v>
      </c>
      <c r="TEG868" s="290" t="s">
        <v>280</v>
      </c>
      <c r="TEH868" s="290" t="s">
        <v>280</v>
      </c>
      <c r="TEI868" s="290" t="s">
        <v>280</v>
      </c>
      <c r="TEJ868" s="290" t="s">
        <v>280</v>
      </c>
      <c r="TEK868" s="290" t="s">
        <v>280</v>
      </c>
      <c r="TEL868" s="290" t="s">
        <v>280</v>
      </c>
      <c r="TEM868" s="290" t="s">
        <v>280</v>
      </c>
      <c r="TEN868" s="290" t="s">
        <v>280</v>
      </c>
      <c r="TEO868" s="290" t="s">
        <v>280</v>
      </c>
      <c r="TEP868" s="290" t="s">
        <v>280</v>
      </c>
      <c r="TEQ868" s="290" t="s">
        <v>280</v>
      </c>
      <c r="TER868" s="290" t="s">
        <v>280</v>
      </c>
      <c r="TES868" s="290" t="s">
        <v>280</v>
      </c>
      <c r="TET868" s="290" t="s">
        <v>280</v>
      </c>
      <c r="TEU868" s="290" t="s">
        <v>280</v>
      </c>
      <c r="TEV868" s="290" t="s">
        <v>280</v>
      </c>
      <c r="TEW868" s="290" t="s">
        <v>280</v>
      </c>
      <c r="TEX868" s="290" t="s">
        <v>280</v>
      </c>
      <c r="TEY868" s="290" t="s">
        <v>280</v>
      </c>
      <c r="TEZ868" s="290" t="s">
        <v>280</v>
      </c>
      <c r="TFA868" s="290" t="s">
        <v>280</v>
      </c>
      <c r="TFB868" s="290" t="s">
        <v>280</v>
      </c>
      <c r="TFC868" s="290" t="s">
        <v>280</v>
      </c>
      <c r="TFD868" s="290" t="s">
        <v>280</v>
      </c>
      <c r="TFE868" s="290" t="s">
        <v>280</v>
      </c>
      <c r="TFF868" s="290" t="s">
        <v>280</v>
      </c>
      <c r="TFG868" s="290" t="s">
        <v>280</v>
      </c>
      <c r="TFH868" s="290" t="s">
        <v>280</v>
      </c>
      <c r="TFI868" s="290" t="s">
        <v>280</v>
      </c>
      <c r="TFJ868" s="290" t="s">
        <v>280</v>
      </c>
      <c r="TFK868" s="290" t="s">
        <v>280</v>
      </c>
      <c r="TFL868" s="290" t="s">
        <v>280</v>
      </c>
      <c r="TFM868" s="290" t="s">
        <v>280</v>
      </c>
      <c r="TFN868" s="290" t="s">
        <v>280</v>
      </c>
      <c r="TFO868" s="290" t="s">
        <v>280</v>
      </c>
      <c r="TFP868" s="290" t="s">
        <v>280</v>
      </c>
      <c r="TFQ868" s="290" t="s">
        <v>280</v>
      </c>
      <c r="TFR868" s="290" t="s">
        <v>280</v>
      </c>
      <c r="TFS868" s="290" t="s">
        <v>280</v>
      </c>
      <c r="TFT868" s="290" t="s">
        <v>280</v>
      </c>
      <c r="TFU868" s="290" t="s">
        <v>280</v>
      </c>
      <c r="TFV868" s="290" t="s">
        <v>280</v>
      </c>
      <c r="TFW868" s="290" t="s">
        <v>280</v>
      </c>
      <c r="TFX868" s="290" t="s">
        <v>280</v>
      </c>
      <c r="TFY868" s="290" t="s">
        <v>280</v>
      </c>
      <c r="TFZ868" s="290" t="s">
        <v>280</v>
      </c>
      <c r="TGA868" s="290" t="s">
        <v>280</v>
      </c>
      <c r="TGB868" s="290" t="s">
        <v>280</v>
      </c>
      <c r="TGC868" s="290" t="s">
        <v>280</v>
      </c>
      <c r="TGD868" s="290" t="s">
        <v>280</v>
      </c>
      <c r="TGE868" s="290" t="s">
        <v>280</v>
      </c>
      <c r="TGF868" s="290" t="s">
        <v>280</v>
      </c>
      <c r="TGG868" s="290" t="s">
        <v>280</v>
      </c>
      <c r="TGH868" s="290" t="s">
        <v>280</v>
      </c>
      <c r="TGI868" s="290" t="s">
        <v>280</v>
      </c>
      <c r="TGJ868" s="290" t="s">
        <v>280</v>
      </c>
      <c r="TGK868" s="290" t="s">
        <v>280</v>
      </c>
      <c r="TGL868" s="290" t="s">
        <v>280</v>
      </c>
      <c r="TGM868" s="290" t="s">
        <v>280</v>
      </c>
      <c r="TGN868" s="290" t="s">
        <v>280</v>
      </c>
      <c r="TGO868" s="290" t="s">
        <v>280</v>
      </c>
      <c r="TGP868" s="290" t="s">
        <v>280</v>
      </c>
      <c r="TGQ868" s="290" t="s">
        <v>280</v>
      </c>
      <c r="TGR868" s="290" t="s">
        <v>280</v>
      </c>
      <c r="TGS868" s="290" t="s">
        <v>280</v>
      </c>
      <c r="TGT868" s="290" t="s">
        <v>280</v>
      </c>
      <c r="TGU868" s="290" t="s">
        <v>280</v>
      </c>
      <c r="TGV868" s="290" t="s">
        <v>280</v>
      </c>
      <c r="TGW868" s="290" t="s">
        <v>280</v>
      </c>
      <c r="TGX868" s="290" t="s">
        <v>280</v>
      </c>
      <c r="TGY868" s="290" t="s">
        <v>280</v>
      </c>
      <c r="TGZ868" s="290" t="s">
        <v>280</v>
      </c>
      <c r="THA868" s="290" t="s">
        <v>280</v>
      </c>
      <c r="THB868" s="290" t="s">
        <v>280</v>
      </c>
      <c r="THC868" s="290" t="s">
        <v>280</v>
      </c>
      <c r="THD868" s="290" t="s">
        <v>280</v>
      </c>
      <c r="THE868" s="290" t="s">
        <v>280</v>
      </c>
      <c r="THF868" s="290" t="s">
        <v>280</v>
      </c>
      <c r="THG868" s="290" t="s">
        <v>280</v>
      </c>
      <c r="THH868" s="290" t="s">
        <v>280</v>
      </c>
      <c r="THI868" s="290" t="s">
        <v>280</v>
      </c>
      <c r="THJ868" s="290" t="s">
        <v>280</v>
      </c>
      <c r="THK868" s="290" t="s">
        <v>280</v>
      </c>
      <c r="THL868" s="290" t="s">
        <v>280</v>
      </c>
      <c r="THM868" s="290" t="s">
        <v>280</v>
      </c>
      <c r="THN868" s="290" t="s">
        <v>280</v>
      </c>
      <c r="THO868" s="290" t="s">
        <v>280</v>
      </c>
      <c r="THP868" s="290" t="s">
        <v>280</v>
      </c>
      <c r="THQ868" s="290" t="s">
        <v>280</v>
      </c>
      <c r="THR868" s="290" t="s">
        <v>280</v>
      </c>
      <c r="THS868" s="290" t="s">
        <v>280</v>
      </c>
      <c r="THT868" s="290" t="s">
        <v>280</v>
      </c>
      <c r="THU868" s="290" t="s">
        <v>280</v>
      </c>
      <c r="THV868" s="290" t="s">
        <v>280</v>
      </c>
      <c r="THW868" s="290" t="s">
        <v>280</v>
      </c>
      <c r="THX868" s="290" t="s">
        <v>280</v>
      </c>
      <c r="THY868" s="290" t="s">
        <v>280</v>
      </c>
      <c r="THZ868" s="290" t="s">
        <v>280</v>
      </c>
      <c r="TIA868" s="290" t="s">
        <v>280</v>
      </c>
      <c r="TIB868" s="290" t="s">
        <v>280</v>
      </c>
      <c r="TIC868" s="290" t="s">
        <v>280</v>
      </c>
      <c r="TID868" s="290" t="s">
        <v>280</v>
      </c>
      <c r="TIE868" s="290" t="s">
        <v>280</v>
      </c>
      <c r="TIF868" s="290" t="s">
        <v>280</v>
      </c>
      <c r="TIG868" s="290" t="s">
        <v>280</v>
      </c>
      <c r="TIH868" s="290" t="s">
        <v>280</v>
      </c>
      <c r="TII868" s="290" t="s">
        <v>280</v>
      </c>
      <c r="TIJ868" s="290" t="s">
        <v>280</v>
      </c>
      <c r="TIK868" s="290" t="s">
        <v>280</v>
      </c>
      <c r="TIL868" s="290" t="s">
        <v>280</v>
      </c>
      <c r="TIM868" s="290" t="s">
        <v>280</v>
      </c>
      <c r="TIN868" s="290" t="s">
        <v>280</v>
      </c>
      <c r="TIO868" s="290" t="s">
        <v>280</v>
      </c>
      <c r="TIP868" s="290" t="s">
        <v>280</v>
      </c>
      <c r="TIQ868" s="290" t="s">
        <v>280</v>
      </c>
      <c r="TIR868" s="290" t="s">
        <v>280</v>
      </c>
      <c r="TIS868" s="290" t="s">
        <v>280</v>
      </c>
      <c r="TIT868" s="290" t="s">
        <v>280</v>
      </c>
      <c r="TIU868" s="290" t="s">
        <v>280</v>
      </c>
      <c r="TIV868" s="290" t="s">
        <v>280</v>
      </c>
      <c r="TIW868" s="290" t="s">
        <v>280</v>
      </c>
      <c r="TIX868" s="290" t="s">
        <v>280</v>
      </c>
      <c r="TIY868" s="290" t="s">
        <v>280</v>
      </c>
      <c r="TIZ868" s="290" t="s">
        <v>280</v>
      </c>
      <c r="TJA868" s="290" t="s">
        <v>280</v>
      </c>
      <c r="TJB868" s="290" t="s">
        <v>280</v>
      </c>
      <c r="TJC868" s="290" t="s">
        <v>280</v>
      </c>
      <c r="TJD868" s="290" t="s">
        <v>280</v>
      </c>
      <c r="TJE868" s="290" t="s">
        <v>280</v>
      </c>
      <c r="TJF868" s="290" t="s">
        <v>280</v>
      </c>
      <c r="TJG868" s="290" t="s">
        <v>280</v>
      </c>
      <c r="TJH868" s="290" t="s">
        <v>280</v>
      </c>
      <c r="TJI868" s="290" t="s">
        <v>280</v>
      </c>
      <c r="TJJ868" s="290" t="s">
        <v>280</v>
      </c>
      <c r="TJK868" s="290" t="s">
        <v>280</v>
      </c>
      <c r="TJL868" s="290" t="s">
        <v>280</v>
      </c>
      <c r="TJM868" s="290" t="s">
        <v>280</v>
      </c>
      <c r="TJN868" s="290" t="s">
        <v>280</v>
      </c>
      <c r="TJO868" s="290" t="s">
        <v>280</v>
      </c>
      <c r="TJP868" s="290" t="s">
        <v>280</v>
      </c>
      <c r="TJQ868" s="290" t="s">
        <v>280</v>
      </c>
      <c r="TJR868" s="290" t="s">
        <v>280</v>
      </c>
      <c r="TJS868" s="290" t="s">
        <v>280</v>
      </c>
      <c r="TJT868" s="290" t="s">
        <v>280</v>
      </c>
      <c r="TJU868" s="290" t="s">
        <v>280</v>
      </c>
      <c r="TJV868" s="290" t="s">
        <v>280</v>
      </c>
      <c r="TJW868" s="290" t="s">
        <v>280</v>
      </c>
      <c r="TJX868" s="290" t="s">
        <v>280</v>
      </c>
      <c r="TJY868" s="290" t="s">
        <v>280</v>
      </c>
      <c r="TJZ868" s="290" t="s">
        <v>280</v>
      </c>
      <c r="TKA868" s="290" t="s">
        <v>280</v>
      </c>
      <c r="TKB868" s="290" t="s">
        <v>280</v>
      </c>
      <c r="TKC868" s="290" t="s">
        <v>280</v>
      </c>
      <c r="TKD868" s="290" t="s">
        <v>280</v>
      </c>
      <c r="TKE868" s="290" t="s">
        <v>280</v>
      </c>
      <c r="TKF868" s="290" t="s">
        <v>280</v>
      </c>
      <c r="TKG868" s="290" t="s">
        <v>280</v>
      </c>
      <c r="TKH868" s="290" t="s">
        <v>280</v>
      </c>
      <c r="TKI868" s="290" t="s">
        <v>280</v>
      </c>
      <c r="TKJ868" s="290" t="s">
        <v>280</v>
      </c>
      <c r="TKK868" s="290" t="s">
        <v>280</v>
      </c>
      <c r="TKL868" s="290" t="s">
        <v>280</v>
      </c>
      <c r="TKM868" s="290" t="s">
        <v>280</v>
      </c>
      <c r="TKN868" s="290" t="s">
        <v>280</v>
      </c>
      <c r="TKO868" s="290" t="s">
        <v>280</v>
      </c>
      <c r="TKP868" s="290" t="s">
        <v>280</v>
      </c>
      <c r="TKQ868" s="290" t="s">
        <v>280</v>
      </c>
      <c r="TKR868" s="290" t="s">
        <v>280</v>
      </c>
      <c r="TKS868" s="290" t="s">
        <v>280</v>
      </c>
      <c r="TKT868" s="290" t="s">
        <v>280</v>
      </c>
      <c r="TKU868" s="290" t="s">
        <v>280</v>
      </c>
      <c r="TKV868" s="290" t="s">
        <v>280</v>
      </c>
      <c r="TKW868" s="290" t="s">
        <v>280</v>
      </c>
      <c r="TKX868" s="290" t="s">
        <v>280</v>
      </c>
      <c r="TKY868" s="290" t="s">
        <v>280</v>
      </c>
      <c r="TKZ868" s="290" t="s">
        <v>280</v>
      </c>
      <c r="TLA868" s="290" t="s">
        <v>280</v>
      </c>
      <c r="TLB868" s="290" t="s">
        <v>280</v>
      </c>
      <c r="TLC868" s="290" t="s">
        <v>280</v>
      </c>
      <c r="TLD868" s="290" t="s">
        <v>280</v>
      </c>
      <c r="TLE868" s="290" t="s">
        <v>280</v>
      </c>
      <c r="TLF868" s="290" t="s">
        <v>280</v>
      </c>
      <c r="TLG868" s="290" t="s">
        <v>280</v>
      </c>
      <c r="TLH868" s="290" t="s">
        <v>280</v>
      </c>
      <c r="TLI868" s="290" t="s">
        <v>280</v>
      </c>
      <c r="TLJ868" s="290" t="s">
        <v>280</v>
      </c>
      <c r="TLK868" s="290" t="s">
        <v>280</v>
      </c>
      <c r="TLL868" s="290" t="s">
        <v>280</v>
      </c>
      <c r="TLM868" s="290" t="s">
        <v>280</v>
      </c>
      <c r="TLN868" s="290" t="s">
        <v>280</v>
      </c>
      <c r="TLO868" s="290" t="s">
        <v>280</v>
      </c>
      <c r="TLP868" s="290" t="s">
        <v>280</v>
      </c>
      <c r="TLQ868" s="290" t="s">
        <v>280</v>
      </c>
      <c r="TLR868" s="290" t="s">
        <v>280</v>
      </c>
      <c r="TLS868" s="290" t="s">
        <v>280</v>
      </c>
      <c r="TLT868" s="290" t="s">
        <v>280</v>
      </c>
      <c r="TLU868" s="290" t="s">
        <v>280</v>
      </c>
      <c r="TLV868" s="290" t="s">
        <v>280</v>
      </c>
      <c r="TLW868" s="290" t="s">
        <v>280</v>
      </c>
      <c r="TLX868" s="290" t="s">
        <v>280</v>
      </c>
      <c r="TLY868" s="290" t="s">
        <v>280</v>
      </c>
      <c r="TLZ868" s="290" t="s">
        <v>280</v>
      </c>
      <c r="TMA868" s="290" t="s">
        <v>280</v>
      </c>
      <c r="TMB868" s="290" t="s">
        <v>280</v>
      </c>
      <c r="TMC868" s="290" t="s">
        <v>280</v>
      </c>
      <c r="TMD868" s="290" t="s">
        <v>280</v>
      </c>
      <c r="TME868" s="290" t="s">
        <v>280</v>
      </c>
      <c r="TMF868" s="290" t="s">
        <v>280</v>
      </c>
      <c r="TMG868" s="290" t="s">
        <v>280</v>
      </c>
      <c r="TMH868" s="290" t="s">
        <v>280</v>
      </c>
      <c r="TMI868" s="290" t="s">
        <v>280</v>
      </c>
      <c r="TMJ868" s="290" t="s">
        <v>280</v>
      </c>
      <c r="TMK868" s="290" t="s">
        <v>280</v>
      </c>
      <c r="TML868" s="290" t="s">
        <v>280</v>
      </c>
      <c r="TMM868" s="290" t="s">
        <v>280</v>
      </c>
      <c r="TMN868" s="290" t="s">
        <v>280</v>
      </c>
      <c r="TMO868" s="290" t="s">
        <v>280</v>
      </c>
      <c r="TMP868" s="290" t="s">
        <v>280</v>
      </c>
      <c r="TMQ868" s="290" t="s">
        <v>280</v>
      </c>
      <c r="TMR868" s="290" t="s">
        <v>280</v>
      </c>
      <c r="TMS868" s="290" t="s">
        <v>280</v>
      </c>
      <c r="TMT868" s="290" t="s">
        <v>280</v>
      </c>
      <c r="TMU868" s="290" t="s">
        <v>280</v>
      </c>
      <c r="TMV868" s="290" t="s">
        <v>280</v>
      </c>
      <c r="TMW868" s="290" t="s">
        <v>280</v>
      </c>
      <c r="TMX868" s="290" t="s">
        <v>280</v>
      </c>
      <c r="TMY868" s="290" t="s">
        <v>280</v>
      </c>
      <c r="TMZ868" s="290" t="s">
        <v>280</v>
      </c>
      <c r="TNA868" s="290" t="s">
        <v>280</v>
      </c>
      <c r="TNB868" s="290" t="s">
        <v>280</v>
      </c>
      <c r="TNC868" s="290" t="s">
        <v>280</v>
      </c>
      <c r="TND868" s="290" t="s">
        <v>280</v>
      </c>
      <c r="TNE868" s="290" t="s">
        <v>280</v>
      </c>
      <c r="TNF868" s="290" t="s">
        <v>280</v>
      </c>
      <c r="TNG868" s="290" t="s">
        <v>280</v>
      </c>
      <c r="TNH868" s="290" t="s">
        <v>280</v>
      </c>
      <c r="TNI868" s="290" t="s">
        <v>280</v>
      </c>
      <c r="TNJ868" s="290" t="s">
        <v>280</v>
      </c>
      <c r="TNK868" s="290" t="s">
        <v>280</v>
      </c>
      <c r="TNL868" s="290" t="s">
        <v>280</v>
      </c>
      <c r="TNM868" s="290" t="s">
        <v>280</v>
      </c>
      <c r="TNN868" s="290" t="s">
        <v>280</v>
      </c>
      <c r="TNO868" s="290" t="s">
        <v>280</v>
      </c>
      <c r="TNP868" s="290" t="s">
        <v>280</v>
      </c>
      <c r="TNQ868" s="290" t="s">
        <v>280</v>
      </c>
      <c r="TNR868" s="290" t="s">
        <v>280</v>
      </c>
      <c r="TNS868" s="290" t="s">
        <v>280</v>
      </c>
      <c r="TNT868" s="290" t="s">
        <v>280</v>
      </c>
      <c r="TNU868" s="290" t="s">
        <v>280</v>
      </c>
      <c r="TNV868" s="290" t="s">
        <v>280</v>
      </c>
      <c r="TNW868" s="290" t="s">
        <v>280</v>
      </c>
      <c r="TNX868" s="290" t="s">
        <v>280</v>
      </c>
      <c r="TNY868" s="290" t="s">
        <v>280</v>
      </c>
      <c r="TNZ868" s="290" t="s">
        <v>280</v>
      </c>
      <c r="TOA868" s="290" t="s">
        <v>280</v>
      </c>
      <c r="TOB868" s="290" t="s">
        <v>280</v>
      </c>
      <c r="TOC868" s="290" t="s">
        <v>280</v>
      </c>
      <c r="TOD868" s="290" t="s">
        <v>280</v>
      </c>
      <c r="TOE868" s="290" t="s">
        <v>280</v>
      </c>
      <c r="TOF868" s="290" t="s">
        <v>280</v>
      </c>
      <c r="TOG868" s="290" t="s">
        <v>280</v>
      </c>
      <c r="TOH868" s="290" t="s">
        <v>280</v>
      </c>
      <c r="TOI868" s="290" t="s">
        <v>280</v>
      </c>
      <c r="TOJ868" s="290" t="s">
        <v>280</v>
      </c>
      <c r="TOK868" s="290" t="s">
        <v>280</v>
      </c>
      <c r="TOL868" s="290" t="s">
        <v>280</v>
      </c>
      <c r="TOM868" s="290" t="s">
        <v>280</v>
      </c>
      <c r="TON868" s="290" t="s">
        <v>280</v>
      </c>
      <c r="TOO868" s="290" t="s">
        <v>280</v>
      </c>
      <c r="TOP868" s="290" t="s">
        <v>280</v>
      </c>
      <c r="TOQ868" s="290" t="s">
        <v>280</v>
      </c>
      <c r="TOR868" s="290" t="s">
        <v>280</v>
      </c>
      <c r="TOS868" s="290" t="s">
        <v>280</v>
      </c>
      <c r="TOT868" s="290" t="s">
        <v>280</v>
      </c>
      <c r="TOU868" s="290" t="s">
        <v>280</v>
      </c>
      <c r="TOV868" s="290" t="s">
        <v>280</v>
      </c>
      <c r="TOW868" s="290" t="s">
        <v>280</v>
      </c>
      <c r="TOX868" s="290" t="s">
        <v>280</v>
      </c>
      <c r="TOY868" s="290" t="s">
        <v>280</v>
      </c>
      <c r="TOZ868" s="290" t="s">
        <v>280</v>
      </c>
      <c r="TPA868" s="290" t="s">
        <v>280</v>
      </c>
      <c r="TPB868" s="290" t="s">
        <v>280</v>
      </c>
      <c r="TPC868" s="290" t="s">
        <v>280</v>
      </c>
      <c r="TPD868" s="290" t="s">
        <v>280</v>
      </c>
      <c r="TPE868" s="290" t="s">
        <v>280</v>
      </c>
      <c r="TPF868" s="290" t="s">
        <v>280</v>
      </c>
      <c r="TPG868" s="290" t="s">
        <v>280</v>
      </c>
      <c r="TPH868" s="290" t="s">
        <v>280</v>
      </c>
      <c r="TPI868" s="290" t="s">
        <v>280</v>
      </c>
      <c r="TPJ868" s="290" t="s">
        <v>280</v>
      </c>
      <c r="TPK868" s="290" t="s">
        <v>280</v>
      </c>
      <c r="TPL868" s="290" t="s">
        <v>280</v>
      </c>
      <c r="TPM868" s="290" t="s">
        <v>280</v>
      </c>
      <c r="TPN868" s="290" t="s">
        <v>280</v>
      </c>
      <c r="TPO868" s="290" t="s">
        <v>280</v>
      </c>
      <c r="TPP868" s="290" t="s">
        <v>280</v>
      </c>
      <c r="TPQ868" s="290" t="s">
        <v>280</v>
      </c>
      <c r="TPR868" s="290" t="s">
        <v>280</v>
      </c>
      <c r="TPS868" s="290" t="s">
        <v>280</v>
      </c>
      <c r="TPT868" s="290" t="s">
        <v>280</v>
      </c>
      <c r="TPU868" s="290" t="s">
        <v>280</v>
      </c>
      <c r="TPV868" s="290" t="s">
        <v>280</v>
      </c>
      <c r="TPW868" s="290" t="s">
        <v>280</v>
      </c>
      <c r="TPX868" s="290" t="s">
        <v>280</v>
      </c>
      <c r="TPY868" s="290" t="s">
        <v>280</v>
      </c>
      <c r="TPZ868" s="290" t="s">
        <v>280</v>
      </c>
      <c r="TQA868" s="290" t="s">
        <v>280</v>
      </c>
      <c r="TQB868" s="290" t="s">
        <v>280</v>
      </c>
      <c r="TQC868" s="290" t="s">
        <v>280</v>
      </c>
      <c r="TQD868" s="290" t="s">
        <v>280</v>
      </c>
      <c r="TQE868" s="290" t="s">
        <v>280</v>
      </c>
      <c r="TQF868" s="290" t="s">
        <v>280</v>
      </c>
      <c r="TQG868" s="290" t="s">
        <v>280</v>
      </c>
      <c r="TQH868" s="290" t="s">
        <v>280</v>
      </c>
      <c r="TQI868" s="290" t="s">
        <v>280</v>
      </c>
      <c r="TQJ868" s="290" t="s">
        <v>280</v>
      </c>
      <c r="TQK868" s="290" t="s">
        <v>280</v>
      </c>
      <c r="TQL868" s="290" t="s">
        <v>280</v>
      </c>
      <c r="TQM868" s="290" t="s">
        <v>280</v>
      </c>
      <c r="TQN868" s="290" t="s">
        <v>280</v>
      </c>
      <c r="TQO868" s="290" t="s">
        <v>280</v>
      </c>
      <c r="TQP868" s="290" t="s">
        <v>280</v>
      </c>
      <c r="TQQ868" s="290" t="s">
        <v>280</v>
      </c>
      <c r="TQR868" s="290" t="s">
        <v>280</v>
      </c>
      <c r="TQS868" s="290" t="s">
        <v>280</v>
      </c>
      <c r="TQT868" s="290" t="s">
        <v>280</v>
      </c>
      <c r="TQU868" s="290" t="s">
        <v>280</v>
      </c>
      <c r="TQV868" s="290" t="s">
        <v>280</v>
      </c>
      <c r="TQW868" s="290" t="s">
        <v>280</v>
      </c>
      <c r="TQX868" s="290" t="s">
        <v>280</v>
      </c>
      <c r="TQY868" s="290" t="s">
        <v>280</v>
      </c>
      <c r="TQZ868" s="290" t="s">
        <v>280</v>
      </c>
      <c r="TRA868" s="290" t="s">
        <v>280</v>
      </c>
      <c r="TRB868" s="290" t="s">
        <v>280</v>
      </c>
      <c r="TRC868" s="290" t="s">
        <v>280</v>
      </c>
      <c r="TRD868" s="290" t="s">
        <v>280</v>
      </c>
      <c r="TRE868" s="290" t="s">
        <v>280</v>
      </c>
      <c r="TRF868" s="290" t="s">
        <v>280</v>
      </c>
      <c r="TRG868" s="290" t="s">
        <v>280</v>
      </c>
      <c r="TRH868" s="290" t="s">
        <v>280</v>
      </c>
      <c r="TRI868" s="290" t="s">
        <v>280</v>
      </c>
      <c r="TRJ868" s="290" t="s">
        <v>280</v>
      </c>
      <c r="TRK868" s="290" t="s">
        <v>280</v>
      </c>
      <c r="TRL868" s="290" t="s">
        <v>280</v>
      </c>
      <c r="TRM868" s="290" t="s">
        <v>280</v>
      </c>
      <c r="TRN868" s="290" t="s">
        <v>280</v>
      </c>
      <c r="TRO868" s="290" t="s">
        <v>280</v>
      </c>
      <c r="TRP868" s="290" t="s">
        <v>280</v>
      </c>
      <c r="TRQ868" s="290" t="s">
        <v>280</v>
      </c>
      <c r="TRR868" s="290" t="s">
        <v>280</v>
      </c>
      <c r="TRS868" s="290" t="s">
        <v>280</v>
      </c>
      <c r="TRT868" s="290" t="s">
        <v>280</v>
      </c>
      <c r="TRU868" s="290" t="s">
        <v>280</v>
      </c>
      <c r="TRV868" s="290" t="s">
        <v>280</v>
      </c>
      <c r="TRW868" s="290" t="s">
        <v>280</v>
      </c>
      <c r="TRX868" s="290" t="s">
        <v>280</v>
      </c>
      <c r="TRY868" s="290" t="s">
        <v>280</v>
      </c>
      <c r="TRZ868" s="290" t="s">
        <v>280</v>
      </c>
      <c r="TSA868" s="290" t="s">
        <v>280</v>
      </c>
      <c r="TSB868" s="290" t="s">
        <v>280</v>
      </c>
      <c r="TSC868" s="290" t="s">
        <v>280</v>
      </c>
      <c r="TSD868" s="290" t="s">
        <v>280</v>
      </c>
      <c r="TSE868" s="290" t="s">
        <v>280</v>
      </c>
      <c r="TSF868" s="290" t="s">
        <v>280</v>
      </c>
      <c r="TSG868" s="290" t="s">
        <v>280</v>
      </c>
      <c r="TSH868" s="290" t="s">
        <v>280</v>
      </c>
      <c r="TSI868" s="290" t="s">
        <v>280</v>
      </c>
      <c r="TSJ868" s="290" t="s">
        <v>280</v>
      </c>
      <c r="TSK868" s="290" t="s">
        <v>280</v>
      </c>
      <c r="TSL868" s="290" t="s">
        <v>280</v>
      </c>
      <c r="TSM868" s="290" t="s">
        <v>280</v>
      </c>
      <c r="TSN868" s="290" t="s">
        <v>280</v>
      </c>
      <c r="TSO868" s="290" t="s">
        <v>280</v>
      </c>
      <c r="TSP868" s="290" t="s">
        <v>280</v>
      </c>
      <c r="TSQ868" s="290" t="s">
        <v>280</v>
      </c>
      <c r="TSR868" s="290" t="s">
        <v>280</v>
      </c>
      <c r="TSS868" s="290" t="s">
        <v>280</v>
      </c>
      <c r="TST868" s="290" t="s">
        <v>280</v>
      </c>
      <c r="TSU868" s="290" t="s">
        <v>280</v>
      </c>
      <c r="TSV868" s="290" t="s">
        <v>280</v>
      </c>
      <c r="TSW868" s="290" t="s">
        <v>280</v>
      </c>
      <c r="TSX868" s="290" t="s">
        <v>280</v>
      </c>
      <c r="TSY868" s="290" t="s">
        <v>280</v>
      </c>
      <c r="TSZ868" s="290" t="s">
        <v>280</v>
      </c>
      <c r="TTA868" s="290" t="s">
        <v>280</v>
      </c>
      <c r="TTB868" s="290" t="s">
        <v>280</v>
      </c>
      <c r="TTC868" s="290" t="s">
        <v>280</v>
      </c>
      <c r="TTD868" s="290" t="s">
        <v>280</v>
      </c>
      <c r="TTE868" s="290" t="s">
        <v>280</v>
      </c>
      <c r="TTF868" s="290" t="s">
        <v>280</v>
      </c>
      <c r="TTG868" s="290" t="s">
        <v>280</v>
      </c>
      <c r="TTH868" s="290" t="s">
        <v>280</v>
      </c>
      <c r="TTI868" s="290" t="s">
        <v>280</v>
      </c>
      <c r="TTJ868" s="290" t="s">
        <v>280</v>
      </c>
      <c r="TTK868" s="290" t="s">
        <v>280</v>
      </c>
      <c r="TTL868" s="290" t="s">
        <v>280</v>
      </c>
      <c r="TTM868" s="290" t="s">
        <v>280</v>
      </c>
      <c r="TTN868" s="290" t="s">
        <v>280</v>
      </c>
      <c r="TTO868" s="290" t="s">
        <v>280</v>
      </c>
      <c r="TTP868" s="290" t="s">
        <v>280</v>
      </c>
      <c r="TTQ868" s="290" t="s">
        <v>280</v>
      </c>
      <c r="TTR868" s="290" t="s">
        <v>280</v>
      </c>
      <c r="TTS868" s="290" t="s">
        <v>280</v>
      </c>
      <c r="TTT868" s="290" t="s">
        <v>280</v>
      </c>
      <c r="TTU868" s="290" t="s">
        <v>280</v>
      </c>
      <c r="TTV868" s="290" t="s">
        <v>280</v>
      </c>
      <c r="TTW868" s="290" t="s">
        <v>280</v>
      </c>
      <c r="TTX868" s="290" t="s">
        <v>280</v>
      </c>
      <c r="TTY868" s="290" t="s">
        <v>280</v>
      </c>
      <c r="TTZ868" s="290" t="s">
        <v>280</v>
      </c>
      <c r="TUA868" s="290" t="s">
        <v>280</v>
      </c>
      <c r="TUB868" s="290" t="s">
        <v>280</v>
      </c>
      <c r="TUC868" s="290" t="s">
        <v>280</v>
      </c>
      <c r="TUD868" s="290" t="s">
        <v>280</v>
      </c>
      <c r="TUE868" s="290" t="s">
        <v>280</v>
      </c>
      <c r="TUF868" s="290" t="s">
        <v>280</v>
      </c>
      <c r="TUG868" s="290" t="s">
        <v>280</v>
      </c>
      <c r="TUH868" s="290" t="s">
        <v>280</v>
      </c>
      <c r="TUI868" s="290" t="s">
        <v>280</v>
      </c>
      <c r="TUJ868" s="290" t="s">
        <v>280</v>
      </c>
      <c r="TUK868" s="290" t="s">
        <v>280</v>
      </c>
      <c r="TUL868" s="290" t="s">
        <v>280</v>
      </c>
      <c r="TUM868" s="290" t="s">
        <v>280</v>
      </c>
      <c r="TUN868" s="290" t="s">
        <v>280</v>
      </c>
      <c r="TUO868" s="290" t="s">
        <v>280</v>
      </c>
      <c r="TUP868" s="290" t="s">
        <v>280</v>
      </c>
      <c r="TUQ868" s="290" t="s">
        <v>280</v>
      </c>
      <c r="TUR868" s="290" t="s">
        <v>280</v>
      </c>
      <c r="TUS868" s="290" t="s">
        <v>280</v>
      </c>
      <c r="TUT868" s="290" t="s">
        <v>280</v>
      </c>
      <c r="TUU868" s="290" t="s">
        <v>280</v>
      </c>
      <c r="TUV868" s="290" t="s">
        <v>280</v>
      </c>
      <c r="TUW868" s="290" t="s">
        <v>280</v>
      </c>
      <c r="TUX868" s="290" t="s">
        <v>280</v>
      </c>
      <c r="TUY868" s="290" t="s">
        <v>280</v>
      </c>
      <c r="TUZ868" s="290" t="s">
        <v>280</v>
      </c>
      <c r="TVA868" s="290" t="s">
        <v>280</v>
      </c>
      <c r="TVB868" s="290" t="s">
        <v>280</v>
      </c>
      <c r="TVC868" s="290" t="s">
        <v>280</v>
      </c>
      <c r="TVD868" s="290" t="s">
        <v>280</v>
      </c>
      <c r="TVE868" s="290" t="s">
        <v>280</v>
      </c>
      <c r="TVF868" s="290" t="s">
        <v>280</v>
      </c>
      <c r="TVG868" s="290" t="s">
        <v>280</v>
      </c>
      <c r="TVH868" s="290" t="s">
        <v>280</v>
      </c>
      <c r="TVI868" s="290" t="s">
        <v>280</v>
      </c>
      <c r="TVJ868" s="290" t="s">
        <v>280</v>
      </c>
      <c r="TVK868" s="290" t="s">
        <v>280</v>
      </c>
      <c r="TVL868" s="290" t="s">
        <v>280</v>
      </c>
      <c r="TVM868" s="290" t="s">
        <v>280</v>
      </c>
      <c r="TVN868" s="290" t="s">
        <v>280</v>
      </c>
      <c r="TVO868" s="290" t="s">
        <v>280</v>
      </c>
      <c r="TVP868" s="290" t="s">
        <v>280</v>
      </c>
      <c r="TVQ868" s="290" t="s">
        <v>280</v>
      </c>
      <c r="TVR868" s="290" t="s">
        <v>280</v>
      </c>
      <c r="TVS868" s="290" t="s">
        <v>280</v>
      </c>
      <c r="TVT868" s="290" t="s">
        <v>280</v>
      </c>
      <c r="TVU868" s="290" t="s">
        <v>280</v>
      </c>
      <c r="TVV868" s="290" t="s">
        <v>280</v>
      </c>
      <c r="TVW868" s="290" t="s">
        <v>280</v>
      </c>
      <c r="TVX868" s="290" t="s">
        <v>280</v>
      </c>
      <c r="TVY868" s="290" t="s">
        <v>280</v>
      </c>
      <c r="TVZ868" s="290" t="s">
        <v>280</v>
      </c>
      <c r="TWA868" s="290" t="s">
        <v>280</v>
      </c>
      <c r="TWB868" s="290" t="s">
        <v>280</v>
      </c>
      <c r="TWC868" s="290" t="s">
        <v>280</v>
      </c>
      <c r="TWD868" s="290" t="s">
        <v>280</v>
      </c>
      <c r="TWE868" s="290" t="s">
        <v>280</v>
      </c>
      <c r="TWF868" s="290" t="s">
        <v>280</v>
      </c>
      <c r="TWG868" s="290" t="s">
        <v>280</v>
      </c>
      <c r="TWH868" s="290" t="s">
        <v>280</v>
      </c>
      <c r="TWI868" s="290" t="s">
        <v>280</v>
      </c>
      <c r="TWJ868" s="290" t="s">
        <v>280</v>
      </c>
      <c r="TWK868" s="290" t="s">
        <v>280</v>
      </c>
      <c r="TWL868" s="290" t="s">
        <v>280</v>
      </c>
      <c r="TWM868" s="290" t="s">
        <v>280</v>
      </c>
      <c r="TWN868" s="290" t="s">
        <v>280</v>
      </c>
      <c r="TWO868" s="290" t="s">
        <v>280</v>
      </c>
      <c r="TWP868" s="290" t="s">
        <v>280</v>
      </c>
      <c r="TWQ868" s="290" t="s">
        <v>280</v>
      </c>
      <c r="TWR868" s="290" t="s">
        <v>280</v>
      </c>
      <c r="TWS868" s="290" t="s">
        <v>280</v>
      </c>
      <c r="TWT868" s="290" t="s">
        <v>280</v>
      </c>
      <c r="TWU868" s="290" t="s">
        <v>280</v>
      </c>
      <c r="TWV868" s="290" t="s">
        <v>280</v>
      </c>
      <c r="TWW868" s="290" t="s">
        <v>280</v>
      </c>
      <c r="TWX868" s="290" t="s">
        <v>280</v>
      </c>
      <c r="TWY868" s="290" t="s">
        <v>280</v>
      </c>
      <c r="TWZ868" s="290" t="s">
        <v>280</v>
      </c>
      <c r="TXA868" s="290" t="s">
        <v>280</v>
      </c>
      <c r="TXB868" s="290" t="s">
        <v>280</v>
      </c>
      <c r="TXC868" s="290" t="s">
        <v>280</v>
      </c>
      <c r="TXD868" s="290" t="s">
        <v>280</v>
      </c>
      <c r="TXE868" s="290" t="s">
        <v>280</v>
      </c>
      <c r="TXF868" s="290" t="s">
        <v>280</v>
      </c>
      <c r="TXG868" s="290" t="s">
        <v>280</v>
      </c>
      <c r="TXH868" s="290" t="s">
        <v>280</v>
      </c>
      <c r="TXI868" s="290" t="s">
        <v>280</v>
      </c>
      <c r="TXJ868" s="290" t="s">
        <v>280</v>
      </c>
      <c r="TXK868" s="290" t="s">
        <v>280</v>
      </c>
      <c r="TXL868" s="290" t="s">
        <v>280</v>
      </c>
      <c r="TXM868" s="290" t="s">
        <v>280</v>
      </c>
      <c r="TXN868" s="290" t="s">
        <v>280</v>
      </c>
      <c r="TXO868" s="290" t="s">
        <v>280</v>
      </c>
      <c r="TXP868" s="290" t="s">
        <v>280</v>
      </c>
      <c r="TXQ868" s="290" t="s">
        <v>280</v>
      </c>
      <c r="TXR868" s="290" t="s">
        <v>280</v>
      </c>
      <c r="TXS868" s="290" t="s">
        <v>280</v>
      </c>
      <c r="TXT868" s="290" t="s">
        <v>280</v>
      </c>
      <c r="TXU868" s="290" t="s">
        <v>280</v>
      </c>
      <c r="TXV868" s="290" t="s">
        <v>280</v>
      </c>
      <c r="TXW868" s="290" t="s">
        <v>280</v>
      </c>
      <c r="TXX868" s="290" t="s">
        <v>280</v>
      </c>
      <c r="TXY868" s="290" t="s">
        <v>280</v>
      </c>
      <c r="TXZ868" s="290" t="s">
        <v>280</v>
      </c>
      <c r="TYA868" s="290" t="s">
        <v>280</v>
      </c>
      <c r="TYB868" s="290" t="s">
        <v>280</v>
      </c>
      <c r="TYC868" s="290" t="s">
        <v>280</v>
      </c>
      <c r="TYD868" s="290" t="s">
        <v>280</v>
      </c>
      <c r="TYE868" s="290" t="s">
        <v>280</v>
      </c>
      <c r="TYF868" s="290" t="s">
        <v>280</v>
      </c>
      <c r="TYG868" s="290" t="s">
        <v>280</v>
      </c>
      <c r="TYH868" s="290" t="s">
        <v>280</v>
      </c>
      <c r="TYI868" s="290" t="s">
        <v>280</v>
      </c>
      <c r="TYJ868" s="290" t="s">
        <v>280</v>
      </c>
      <c r="TYK868" s="290" t="s">
        <v>280</v>
      </c>
      <c r="TYL868" s="290" t="s">
        <v>280</v>
      </c>
      <c r="TYM868" s="290" t="s">
        <v>280</v>
      </c>
      <c r="TYN868" s="290" t="s">
        <v>280</v>
      </c>
      <c r="TYO868" s="290" t="s">
        <v>280</v>
      </c>
      <c r="TYP868" s="290" t="s">
        <v>280</v>
      </c>
      <c r="TYQ868" s="290" t="s">
        <v>280</v>
      </c>
      <c r="TYR868" s="290" t="s">
        <v>280</v>
      </c>
      <c r="TYS868" s="290" t="s">
        <v>280</v>
      </c>
      <c r="TYT868" s="290" t="s">
        <v>280</v>
      </c>
      <c r="TYU868" s="290" t="s">
        <v>280</v>
      </c>
      <c r="TYV868" s="290" t="s">
        <v>280</v>
      </c>
      <c r="TYW868" s="290" t="s">
        <v>280</v>
      </c>
      <c r="TYX868" s="290" t="s">
        <v>280</v>
      </c>
      <c r="TYY868" s="290" t="s">
        <v>280</v>
      </c>
      <c r="TYZ868" s="290" t="s">
        <v>280</v>
      </c>
      <c r="TZA868" s="290" t="s">
        <v>280</v>
      </c>
      <c r="TZB868" s="290" t="s">
        <v>280</v>
      </c>
      <c r="TZC868" s="290" t="s">
        <v>280</v>
      </c>
      <c r="TZD868" s="290" t="s">
        <v>280</v>
      </c>
      <c r="TZE868" s="290" t="s">
        <v>280</v>
      </c>
      <c r="TZF868" s="290" t="s">
        <v>280</v>
      </c>
      <c r="TZG868" s="290" t="s">
        <v>280</v>
      </c>
      <c r="TZH868" s="290" t="s">
        <v>280</v>
      </c>
      <c r="TZI868" s="290" t="s">
        <v>280</v>
      </c>
      <c r="TZJ868" s="290" t="s">
        <v>280</v>
      </c>
      <c r="TZK868" s="290" t="s">
        <v>280</v>
      </c>
      <c r="TZL868" s="290" t="s">
        <v>280</v>
      </c>
      <c r="TZM868" s="290" t="s">
        <v>280</v>
      </c>
      <c r="TZN868" s="290" t="s">
        <v>280</v>
      </c>
      <c r="TZO868" s="290" t="s">
        <v>280</v>
      </c>
      <c r="TZP868" s="290" t="s">
        <v>280</v>
      </c>
      <c r="TZQ868" s="290" t="s">
        <v>280</v>
      </c>
      <c r="TZR868" s="290" t="s">
        <v>280</v>
      </c>
      <c r="TZS868" s="290" t="s">
        <v>280</v>
      </c>
      <c r="TZT868" s="290" t="s">
        <v>280</v>
      </c>
      <c r="TZU868" s="290" t="s">
        <v>280</v>
      </c>
      <c r="TZV868" s="290" t="s">
        <v>280</v>
      </c>
      <c r="TZW868" s="290" t="s">
        <v>280</v>
      </c>
      <c r="TZX868" s="290" t="s">
        <v>280</v>
      </c>
      <c r="TZY868" s="290" t="s">
        <v>280</v>
      </c>
      <c r="TZZ868" s="290" t="s">
        <v>280</v>
      </c>
      <c r="UAA868" s="290" t="s">
        <v>280</v>
      </c>
      <c r="UAB868" s="290" t="s">
        <v>280</v>
      </c>
      <c r="UAC868" s="290" t="s">
        <v>280</v>
      </c>
      <c r="UAD868" s="290" t="s">
        <v>280</v>
      </c>
      <c r="UAE868" s="290" t="s">
        <v>280</v>
      </c>
      <c r="UAF868" s="290" t="s">
        <v>280</v>
      </c>
      <c r="UAG868" s="290" t="s">
        <v>280</v>
      </c>
      <c r="UAH868" s="290" t="s">
        <v>280</v>
      </c>
      <c r="UAI868" s="290" t="s">
        <v>280</v>
      </c>
      <c r="UAJ868" s="290" t="s">
        <v>280</v>
      </c>
      <c r="UAK868" s="290" t="s">
        <v>280</v>
      </c>
      <c r="UAL868" s="290" t="s">
        <v>280</v>
      </c>
      <c r="UAM868" s="290" t="s">
        <v>280</v>
      </c>
      <c r="UAN868" s="290" t="s">
        <v>280</v>
      </c>
      <c r="UAO868" s="290" t="s">
        <v>280</v>
      </c>
      <c r="UAP868" s="290" t="s">
        <v>280</v>
      </c>
      <c r="UAQ868" s="290" t="s">
        <v>280</v>
      </c>
      <c r="UAR868" s="290" t="s">
        <v>280</v>
      </c>
      <c r="UAS868" s="290" t="s">
        <v>280</v>
      </c>
      <c r="UAT868" s="290" t="s">
        <v>280</v>
      </c>
      <c r="UAU868" s="290" t="s">
        <v>280</v>
      </c>
      <c r="UAV868" s="290" t="s">
        <v>280</v>
      </c>
      <c r="UAW868" s="290" t="s">
        <v>280</v>
      </c>
      <c r="UAX868" s="290" t="s">
        <v>280</v>
      </c>
      <c r="UAY868" s="290" t="s">
        <v>280</v>
      </c>
      <c r="UAZ868" s="290" t="s">
        <v>280</v>
      </c>
      <c r="UBA868" s="290" t="s">
        <v>280</v>
      </c>
      <c r="UBB868" s="290" t="s">
        <v>280</v>
      </c>
      <c r="UBC868" s="290" t="s">
        <v>280</v>
      </c>
      <c r="UBD868" s="290" t="s">
        <v>280</v>
      </c>
      <c r="UBE868" s="290" t="s">
        <v>280</v>
      </c>
      <c r="UBF868" s="290" t="s">
        <v>280</v>
      </c>
      <c r="UBG868" s="290" t="s">
        <v>280</v>
      </c>
      <c r="UBH868" s="290" t="s">
        <v>280</v>
      </c>
      <c r="UBI868" s="290" t="s">
        <v>280</v>
      </c>
      <c r="UBJ868" s="290" t="s">
        <v>280</v>
      </c>
      <c r="UBK868" s="290" t="s">
        <v>280</v>
      </c>
      <c r="UBL868" s="290" t="s">
        <v>280</v>
      </c>
      <c r="UBM868" s="290" t="s">
        <v>280</v>
      </c>
      <c r="UBN868" s="290" t="s">
        <v>280</v>
      </c>
      <c r="UBO868" s="290" t="s">
        <v>280</v>
      </c>
      <c r="UBP868" s="290" t="s">
        <v>280</v>
      </c>
      <c r="UBQ868" s="290" t="s">
        <v>280</v>
      </c>
      <c r="UBR868" s="290" t="s">
        <v>280</v>
      </c>
      <c r="UBS868" s="290" t="s">
        <v>280</v>
      </c>
      <c r="UBT868" s="290" t="s">
        <v>280</v>
      </c>
      <c r="UBU868" s="290" t="s">
        <v>280</v>
      </c>
      <c r="UBV868" s="290" t="s">
        <v>280</v>
      </c>
      <c r="UBW868" s="290" t="s">
        <v>280</v>
      </c>
      <c r="UBX868" s="290" t="s">
        <v>280</v>
      </c>
      <c r="UBY868" s="290" t="s">
        <v>280</v>
      </c>
      <c r="UBZ868" s="290" t="s">
        <v>280</v>
      </c>
      <c r="UCA868" s="290" t="s">
        <v>280</v>
      </c>
      <c r="UCB868" s="290" t="s">
        <v>280</v>
      </c>
      <c r="UCC868" s="290" t="s">
        <v>280</v>
      </c>
      <c r="UCD868" s="290" t="s">
        <v>280</v>
      </c>
      <c r="UCE868" s="290" t="s">
        <v>280</v>
      </c>
      <c r="UCF868" s="290" t="s">
        <v>280</v>
      </c>
      <c r="UCG868" s="290" t="s">
        <v>280</v>
      </c>
      <c r="UCH868" s="290" t="s">
        <v>280</v>
      </c>
      <c r="UCI868" s="290" t="s">
        <v>280</v>
      </c>
      <c r="UCJ868" s="290" t="s">
        <v>280</v>
      </c>
      <c r="UCK868" s="290" t="s">
        <v>280</v>
      </c>
      <c r="UCL868" s="290" t="s">
        <v>280</v>
      </c>
      <c r="UCM868" s="290" t="s">
        <v>280</v>
      </c>
      <c r="UCN868" s="290" t="s">
        <v>280</v>
      </c>
      <c r="UCO868" s="290" t="s">
        <v>280</v>
      </c>
      <c r="UCP868" s="290" t="s">
        <v>280</v>
      </c>
      <c r="UCQ868" s="290" t="s">
        <v>280</v>
      </c>
      <c r="UCR868" s="290" t="s">
        <v>280</v>
      </c>
      <c r="UCS868" s="290" t="s">
        <v>280</v>
      </c>
      <c r="UCT868" s="290" t="s">
        <v>280</v>
      </c>
      <c r="UCU868" s="290" t="s">
        <v>280</v>
      </c>
      <c r="UCV868" s="290" t="s">
        <v>280</v>
      </c>
      <c r="UCW868" s="290" t="s">
        <v>280</v>
      </c>
      <c r="UCX868" s="290" t="s">
        <v>280</v>
      </c>
      <c r="UCY868" s="290" t="s">
        <v>280</v>
      </c>
      <c r="UCZ868" s="290" t="s">
        <v>280</v>
      </c>
      <c r="UDA868" s="290" t="s">
        <v>280</v>
      </c>
      <c r="UDB868" s="290" t="s">
        <v>280</v>
      </c>
      <c r="UDC868" s="290" t="s">
        <v>280</v>
      </c>
      <c r="UDD868" s="290" t="s">
        <v>280</v>
      </c>
      <c r="UDE868" s="290" t="s">
        <v>280</v>
      </c>
      <c r="UDF868" s="290" t="s">
        <v>280</v>
      </c>
      <c r="UDG868" s="290" t="s">
        <v>280</v>
      </c>
      <c r="UDH868" s="290" t="s">
        <v>280</v>
      </c>
      <c r="UDI868" s="290" t="s">
        <v>280</v>
      </c>
      <c r="UDJ868" s="290" t="s">
        <v>280</v>
      </c>
      <c r="UDK868" s="290" t="s">
        <v>280</v>
      </c>
      <c r="UDL868" s="290" t="s">
        <v>280</v>
      </c>
      <c r="UDM868" s="290" t="s">
        <v>280</v>
      </c>
      <c r="UDN868" s="290" t="s">
        <v>280</v>
      </c>
      <c r="UDO868" s="290" t="s">
        <v>280</v>
      </c>
      <c r="UDP868" s="290" t="s">
        <v>280</v>
      </c>
      <c r="UDQ868" s="290" t="s">
        <v>280</v>
      </c>
      <c r="UDR868" s="290" t="s">
        <v>280</v>
      </c>
      <c r="UDS868" s="290" t="s">
        <v>280</v>
      </c>
      <c r="UDT868" s="290" t="s">
        <v>280</v>
      </c>
      <c r="UDU868" s="290" t="s">
        <v>280</v>
      </c>
      <c r="UDV868" s="290" t="s">
        <v>280</v>
      </c>
      <c r="UDW868" s="290" t="s">
        <v>280</v>
      </c>
      <c r="UDX868" s="290" t="s">
        <v>280</v>
      </c>
      <c r="UDY868" s="290" t="s">
        <v>280</v>
      </c>
      <c r="UDZ868" s="290" t="s">
        <v>280</v>
      </c>
      <c r="UEA868" s="290" t="s">
        <v>280</v>
      </c>
      <c r="UEB868" s="290" t="s">
        <v>280</v>
      </c>
      <c r="UEC868" s="290" t="s">
        <v>280</v>
      </c>
      <c r="UED868" s="290" t="s">
        <v>280</v>
      </c>
      <c r="UEE868" s="290" t="s">
        <v>280</v>
      </c>
      <c r="UEF868" s="290" t="s">
        <v>280</v>
      </c>
      <c r="UEG868" s="290" t="s">
        <v>280</v>
      </c>
      <c r="UEH868" s="290" t="s">
        <v>280</v>
      </c>
      <c r="UEI868" s="290" t="s">
        <v>280</v>
      </c>
      <c r="UEJ868" s="290" t="s">
        <v>280</v>
      </c>
      <c r="UEK868" s="290" t="s">
        <v>280</v>
      </c>
      <c r="UEL868" s="290" t="s">
        <v>280</v>
      </c>
      <c r="UEM868" s="290" t="s">
        <v>280</v>
      </c>
      <c r="UEN868" s="290" t="s">
        <v>280</v>
      </c>
      <c r="UEO868" s="290" t="s">
        <v>280</v>
      </c>
      <c r="UEP868" s="290" t="s">
        <v>280</v>
      </c>
      <c r="UEQ868" s="290" t="s">
        <v>280</v>
      </c>
      <c r="UER868" s="290" t="s">
        <v>280</v>
      </c>
      <c r="UES868" s="290" t="s">
        <v>280</v>
      </c>
      <c r="UET868" s="290" t="s">
        <v>280</v>
      </c>
      <c r="UEU868" s="290" t="s">
        <v>280</v>
      </c>
      <c r="UEV868" s="290" t="s">
        <v>280</v>
      </c>
      <c r="UEW868" s="290" t="s">
        <v>280</v>
      </c>
      <c r="UEX868" s="290" t="s">
        <v>280</v>
      </c>
      <c r="UEY868" s="290" t="s">
        <v>280</v>
      </c>
      <c r="UEZ868" s="290" t="s">
        <v>280</v>
      </c>
      <c r="UFA868" s="290" t="s">
        <v>280</v>
      </c>
      <c r="UFB868" s="290" t="s">
        <v>280</v>
      </c>
      <c r="UFC868" s="290" t="s">
        <v>280</v>
      </c>
      <c r="UFD868" s="290" t="s">
        <v>280</v>
      </c>
      <c r="UFE868" s="290" t="s">
        <v>280</v>
      </c>
      <c r="UFF868" s="290" t="s">
        <v>280</v>
      </c>
      <c r="UFG868" s="290" t="s">
        <v>280</v>
      </c>
      <c r="UFH868" s="290" t="s">
        <v>280</v>
      </c>
      <c r="UFI868" s="290" t="s">
        <v>280</v>
      </c>
      <c r="UFJ868" s="290" t="s">
        <v>280</v>
      </c>
      <c r="UFK868" s="290" t="s">
        <v>280</v>
      </c>
      <c r="UFL868" s="290" t="s">
        <v>280</v>
      </c>
      <c r="UFM868" s="290" t="s">
        <v>280</v>
      </c>
      <c r="UFN868" s="290" t="s">
        <v>280</v>
      </c>
      <c r="UFO868" s="290" t="s">
        <v>280</v>
      </c>
      <c r="UFP868" s="290" t="s">
        <v>280</v>
      </c>
      <c r="UFQ868" s="290" t="s">
        <v>280</v>
      </c>
      <c r="UFR868" s="290" t="s">
        <v>280</v>
      </c>
      <c r="UFS868" s="290" t="s">
        <v>280</v>
      </c>
      <c r="UFT868" s="290" t="s">
        <v>280</v>
      </c>
      <c r="UFU868" s="290" t="s">
        <v>280</v>
      </c>
      <c r="UFV868" s="290" t="s">
        <v>280</v>
      </c>
      <c r="UFW868" s="290" t="s">
        <v>280</v>
      </c>
      <c r="UFX868" s="290" t="s">
        <v>280</v>
      </c>
      <c r="UFY868" s="290" t="s">
        <v>280</v>
      </c>
      <c r="UFZ868" s="290" t="s">
        <v>280</v>
      </c>
      <c r="UGA868" s="290" t="s">
        <v>280</v>
      </c>
      <c r="UGB868" s="290" t="s">
        <v>280</v>
      </c>
      <c r="UGC868" s="290" t="s">
        <v>280</v>
      </c>
      <c r="UGD868" s="290" t="s">
        <v>280</v>
      </c>
      <c r="UGE868" s="290" t="s">
        <v>280</v>
      </c>
      <c r="UGF868" s="290" t="s">
        <v>280</v>
      </c>
      <c r="UGG868" s="290" t="s">
        <v>280</v>
      </c>
      <c r="UGH868" s="290" t="s">
        <v>280</v>
      </c>
      <c r="UGI868" s="290" t="s">
        <v>280</v>
      </c>
      <c r="UGJ868" s="290" t="s">
        <v>280</v>
      </c>
      <c r="UGK868" s="290" t="s">
        <v>280</v>
      </c>
      <c r="UGL868" s="290" t="s">
        <v>280</v>
      </c>
      <c r="UGM868" s="290" t="s">
        <v>280</v>
      </c>
      <c r="UGN868" s="290" t="s">
        <v>280</v>
      </c>
      <c r="UGO868" s="290" t="s">
        <v>280</v>
      </c>
      <c r="UGP868" s="290" t="s">
        <v>280</v>
      </c>
      <c r="UGQ868" s="290" t="s">
        <v>280</v>
      </c>
      <c r="UGR868" s="290" t="s">
        <v>280</v>
      </c>
      <c r="UGS868" s="290" t="s">
        <v>280</v>
      </c>
      <c r="UGT868" s="290" t="s">
        <v>280</v>
      </c>
      <c r="UGU868" s="290" t="s">
        <v>280</v>
      </c>
      <c r="UGV868" s="290" t="s">
        <v>280</v>
      </c>
      <c r="UGW868" s="290" t="s">
        <v>280</v>
      </c>
      <c r="UGX868" s="290" t="s">
        <v>280</v>
      </c>
      <c r="UGY868" s="290" t="s">
        <v>280</v>
      </c>
      <c r="UGZ868" s="290" t="s">
        <v>280</v>
      </c>
      <c r="UHA868" s="290" t="s">
        <v>280</v>
      </c>
      <c r="UHB868" s="290" t="s">
        <v>280</v>
      </c>
      <c r="UHC868" s="290" t="s">
        <v>280</v>
      </c>
      <c r="UHD868" s="290" t="s">
        <v>280</v>
      </c>
      <c r="UHE868" s="290" t="s">
        <v>280</v>
      </c>
      <c r="UHF868" s="290" t="s">
        <v>280</v>
      </c>
      <c r="UHG868" s="290" t="s">
        <v>280</v>
      </c>
      <c r="UHH868" s="290" t="s">
        <v>280</v>
      </c>
      <c r="UHI868" s="290" t="s">
        <v>280</v>
      </c>
      <c r="UHJ868" s="290" t="s">
        <v>280</v>
      </c>
      <c r="UHK868" s="290" t="s">
        <v>280</v>
      </c>
      <c r="UHL868" s="290" t="s">
        <v>280</v>
      </c>
      <c r="UHM868" s="290" t="s">
        <v>280</v>
      </c>
      <c r="UHN868" s="290" t="s">
        <v>280</v>
      </c>
      <c r="UHO868" s="290" t="s">
        <v>280</v>
      </c>
      <c r="UHP868" s="290" t="s">
        <v>280</v>
      </c>
      <c r="UHQ868" s="290" t="s">
        <v>280</v>
      </c>
      <c r="UHR868" s="290" t="s">
        <v>280</v>
      </c>
      <c r="UHS868" s="290" t="s">
        <v>280</v>
      </c>
      <c r="UHT868" s="290" t="s">
        <v>280</v>
      </c>
      <c r="UHU868" s="290" t="s">
        <v>280</v>
      </c>
      <c r="UHV868" s="290" t="s">
        <v>280</v>
      </c>
      <c r="UHW868" s="290" t="s">
        <v>280</v>
      </c>
      <c r="UHX868" s="290" t="s">
        <v>280</v>
      </c>
      <c r="UHY868" s="290" t="s">
        <v>280</v>
      </c>
      <c r="UHZ868" s="290" t="s">
        <v>280</v>
      </c>
      <c r="UIA868" s="290" t="s">
        <v>280</v>
      </c>
      <c r="UIB868" s="290" t="s">
        <v>280</v>
      </c>
      <c r="UIC868" s="290" t="s">
        <v>280</v>
      </c>
      <c r="UID868" s="290" t="s">
        <v>280</v>
      </c>
      <c r="UIE868" s="290" t="s">
        <v>280</v>
      </c>
      <c r="UIF868" s="290" t="s">
        <v>280</v>
      </c>
      <c r="UIG868" s="290" t="s">
        <v>280</v>
      </c>
      <c r="UIH868" s="290" t="s">
        <v>280</v>
      </c>
      <c r="UII868" s="290" t="s">
        <v>280</v>
      </c>
      <c r="UIJ868" s="290" t="s">
        <v>280</v>
      </c>
      <c r="UIK868" s="290" t="s">
        <v>280</v>
      </c>
      <c r="UIL868" s="290" t="s">
        <v>280</v>
      </c>
      <c r="UIM868" s="290" t="s">
        <v>280</v>
      </c>
      <c r="UIN868" s="290" t="s">
        <v>280</v>
      </c>
      <c r="UIO868" s="290" t="s">
        <v>280</v>
      </c>
      <c r="UIP868" s="290" t="s">
        <v>280</v>
      </c>
      <c r="UIQ868" s="290" t="s">
        <v>280</v>
      </c>
      <c r="UIR868" s="290" t="s">
        <v>280</v>
      </c>
      <c r="UIS868" s="290" t="s">
        <v>280</v>
      </c>
      <c r="UIT868" s="290" t="s">
        <v>280</v>
      </c>
      <c r="UIU868" s="290" t="s">
        <v>280</v>
      </c>
      <c r="UIV868" s="290" t="s">
        <v>280</v>
      </c>
      <c r="UIW868" s="290" t="s">
        <v>280</v>
      </c>
      <c r="UIX868" s="290" t="s">
        <v>280</v>
      </c>
      <c r="UIY868" s="290" t="s">
        <v>280</v>
      </c>
      <c r="UIZ868" s="290" t="s">
        <v>280</v>
      </c>
      <c r="UJA868" s="290" t="s">
        <v>280</v>
      </c>
      <c r="UJB868" s="290" t="s">
        <v>280</v>
      </c>
      <c r="UJC868" s="290" t="s">
        <v>280</v>
      </c>
      <c r="UJD868" s="290" t="s">
        <v>280</v>
      </c>
      <c r="UJE868" s="290" t="s">
        <v>280</v>
      </c>
      <c r="UJF868" s="290" t="s">
        <v>280</v>
      </c>
      <c r="UJG868" s="290" t="s">
        <v>280</v>
      </c>
      <c r="UJH868" s="290" t="s">
        <v>280</v>
      </c>
      <c r="UJI868" s="290" t="s">
        <v>280</v>
      </c>
      <c r="UJJ868" s="290" t="s">
        <v>280</v>
      </c>
      <c r="UJK868" s="290" t="s">
        <v>280</v>
      </c>
      <c r="UJL868" s="290" t="s">
        <v>280</v>
      </c>
      <c r="UJM868" s="290" t="s">
        <v>280</v>
      </c>
      <c r="UJN868" s="290" t="s">
        <v>280</v>
      </c>
      <c r="UJO868" s="290" t="s">
        <v>280</v>
      </c>
      <c r="UJP868" s="290" t="s">
        <v>280</v>
      </c>
      <c r="UJQ868" s="290" t="s">
        <v>280</v>
      </c>
      <c r="UJR868" s="290" t="s">
        <v>280</v>
      </c>
      <c r="UJS868" s="290" t="s">
        <v>280</v>
      </c>
      <c r="UJT868" s="290" t="s">
        <v>280</v>
      </c>
      <c r="UJU868" s="290" t="s">
        <v>280</v>
      </c>
      <c r="UJV868" s="290" t="s">
        <v>280</v>
      </c>
      <c r="UJW868" s="290" t="s">
        <v>280</v>
      </c>
      <c r="UJX868" s="290" t="s">
        <v>280</v>
      </c>
      <c r="UJY868" s="290" t="s">
        <v>280</v>
      </c>
      <c r="UJZ868" s="290" t="s">
        <v>280</v>
      </c>
      <c r="UKA868" s="290" t="s">
        <v>280</v>
      </c>
      <c r="UKB868" s="290" t="s">
        <v>280</v>
      </c>
      <c r="UKC868" s="290" t="s">
        <v>280</v>
      </c>
      <c r="UKD868" s="290" t="s">
        <v>280</v>
      </c>
      <c r="UKE868" s="290" t="s">
        <v>280</v>
      </c>
      <c r="UKF868" s="290" t="s">
        <v>280</v>
      </c>
      <c r="UKG868" s="290" t="s">
        <v>280</v>
      </c>
      <c r="UKH868" s="290" t="s">
        <v>280</v>
      </c>
      <c r="UKI868" s="290" t="s">
        <v>280</v>
      </c>
      <c r="UKJ868" s="290" t="s">
        <v>280</v>
      </c>
      <c r="UKK868" s="290" t="s">
        <v>280</v>
      </c>
      <c r="UKL868" s="290" t="s">
        <v>280</v>
      </c>
      <c r="UKM868" s="290" t="s">
        <v>280</v>
      </c>
      <c r="UKN868" s="290" t="s">
        <v>280</v>
      </c>
      <c r="UKO868" s="290" t="s">
        <v>280</v>
      </c>
      <c r="UKP868" s="290" t="s">
        <v>280</v>
      </c>
      <c r="UKQ868" s="290" t="s">
        <v>280</v>
      </c>
      <c r="UKR868" s="290" t="s">
        <v>280</v>
      </c>
      <c r="UKS868" s="290" t="s">
        <v>280</v>
      </c>
      <c r="UKT868" s="290" t="s">
        <v>280</v>
      </c>
      <c r="UKU868" s="290" t="s">
        <v>280</v>
      </c>
      <c r="UKV868" s="290" t="s">
        <v>280</v>
      </c>
      <c r="UKW868" s="290" t="s">
        <v>280</v>
      </c>
      <c r="UKX868" s="290" t="s">
        <v>280</v>
      </c>
      <c r="UKY868" s="290" t="s">
        <v>280</v>
      </c>
      <c r="UKZ868" s="290" t="s">
        <v>280</v>
      </c>
      <c r="ULA868" s="290" t="s">
        <v>280</v>
      </c>
      <c r="ULB868" s="290" t="s">
        <v>280</v>
      </c>
      <c r="ULC868" s="290" t="s">
        <v>280</v>
      </c>
      <c r="ULD868" s="290" t="s">
        <v>280</v>
      </c>
      <c r="ULE868" s="290" t="s">
        <v>280</v>
      </c>
      <c r="ULF868" s="290" t="s">
        <v>280</v>
      </c>
      <c r="ULG868" s="290" t="s">
        <v>280</v>
      </c>
      <c r="ULH868" s="290" t="s">
        <v>280</v>
      </c>
      <c r="ULI868" s="290" t="s">
        <v>280</v>
      </c>
      <c r="ULJ868" s="290" t="s">
        <v>280</v>
      </c>
      <c r="ULK868" s="290" t="s">
        <v>280</v>
      </c>
      <c r="ULL868" s="290" t="s">
        <v>280</v>
      </c>
      <c r="ULM868" s="290" t="s">
        <v>280</v>
      </c>
      <c r="ULN868" s="290" t="s">
        <v>280</v>
      </c>
      <c r="ULO868" s="290" t="s">
        <v>280</v>
      </c>
      <c r="ULP868" s="290" t="s">
        <v>280</v>
      </c>
      <c r="ULQ868" s="290" t="s">
        <v>280</v>
      </c>
      <c r="ULR868" s="290" t="s">
        <v>280</v>
      </c>
      <c r="ULS868" s="290" t="s">
        <v>280</v>
      </c>
      <c r="ULT868" s="290" t="s">
        <v>280</v>
      </c>
      <c r="ULU868" s="290" t="s">
        <v>280</v>
      </c>
      <c r="ULV868" s="290" t="s">
        <v>280</v>
      </c>
      <c r="ULW868" s="290" t="s">
        <v>280</v>
      </c>
      <c r="ULX868" s="290" t="s">
        <v>280</v>
      </c>
      <c r="ULY868" s="290" t="s">
        <v>280</v>
      </c>
      <c r="ULZ868" s="290" t="s">
        <v>280</v>
      </c>
      <c r="UMA868" s="290" t="s">
        <v>280</v>
      </c>
      <c r="UMB868" s="290" t="s">
        <v>280</v>
      </c>
      <c r="UMC868" s="290" t="s">
        <v>280</v>
      </c>
      <c r="UMD868" s="290" t="s">
        <v>280</v>
      </c>
      <c r="UME868" s="290" t="s">
        <v>280</v>
      </c>
      <c r="UMF868" s="290" t="s">
        <v>280</v>
      </c>
      <c r="UMG868" s="290" t="s">
        <v>280</v>
      </c>
      <c r="UMH868" s="290" t="s">
        <v>280</v>
      </c>
      <c r="UMI868" s="290" t="s">
        <v>280</v>
      </c>
      <c r="UMJ868" s="290" t="s">
        <v>280</v>
      </c>
      <c r="UMK868" s="290" t="s">
        <v>280</v>
      </c>
      <c r="UML868" s="290" t="s">
        <v>280</v>
      </c>
      <c r="UMM868" s="290" t="s">
        <v>280</v>
      </c>
      <c r="UMN868" s="290" t="s">
        <v>280</v>
      </c>
      <c r="UMO868" s="290" t="s">
        <v>280</v>
      </c>
      <c r="UMP868" s="290" t="s">
        <v>280</v>
      </c>
      <c r="UMQ868" s="290" t="s">
        <v>280</v>
      </c>
      <c r="UMR868" s="290" t="s">
        <v>280</v>
      </c>
      <c r="UMS868" s="290" t="s">
        <v>280</v>
      </c>
      <c r="UMT868" s="290" t="s">
        <v>280</v>
      </c>
      <c r="UMU868" s="290" t="s">
        <v>280</v>
      </c>
      <c r="UMV868" s="290" t="s">
        <v>280</v>
      </c>
      <c r="UMW868" s="290" t="s">
        <v>280</v>
      </c>
      <c r="UMX868" s="290" t="s">
        <v>280</v>
      </c>
      <c r="UMY868" s="290" t="s">
        <v>280</v>
      </c>
      <c r="UMZ868" s="290" t="s">
        <v>280</v>
      </c>
      <c r="UNA868" s="290" t="s">
        <v>280</v>
      </c>
      <c r="UNB868" s="290" t="s">
        <v>280</v>
      </c>
      <c r="UNC868" s="290" t="s">
        <v>280</v>
      </c>
      <c r="UND868" s="290" t="s">
        <v>280</v>
      </c>
      <c r="UNE868" s="290" t="s">
        <v>280</v>
      </c>
      <c r="UNF868" s="290" t="s">
        <v>280</v>
      </c>
      <c r="UNG868" s="290" t="s">
        <v>280</v>
      </c>
      <c r="UNH868" s="290" t="s">
        <v>280</v>
      </c>
      <c r="UNI868" s="290" t="s">
        <v>280</v>
      </c>
      <c r="UNJ868" s="290" t="s">
        <v>280</v>
      </c>
      <c r="UNK868" s="290" t="s">
        <v>280</v>
      </c>
      <c r="UNL868" s="290" t="s">
        <v>280</v>
      </c>
      <c r="UNM868" s="290" t="s">
        <v>280</v>
      </c>
      <c r="UNN868" s="290" t="s">
        <v>280</v>
      </c>
      <c r="UNO868" s="290" t="s">
        <v>280</v>
      </c>
      <c r="UNP868" s="290" t="s">
        <v>280</v>
      </c>
      <c r="UNQ868" s="290" t="s">
        <v>280</v>
      </c>
      <c r="UNR868" s="290" t="s">
        <v>280</v>
      </c>
      <c r="UNS868" s="290" t="s">
        <v>280</v>
      </c>
      <c r="UNT868" s="290" t="s">
        <v>280</v>
      </c>
      <c r="UNU868" s="290" t="s">
        <v>280</v>
      </c>
      <c r="UNV868" s="290" t="s">
        <v>280</v>
      </c>
      <c r="UNW868" s="290" t="s">
        <v>280</v>
      </c>
      <c r="UNX868" s="290" t="s">
        <v>280</v>
      </c>
      <c r="UNY868" s="290" t="s">
        <v>280</v>
      </c>
      <c r="UNZ868" s="290" t="s">
        <v>280</v>
      </c>
      <c r="UOA868" s="290" t="s">
        <v>280</v>
      </c>
      <c r="UOB868" s="290" t="s">
        <v>280</v>
      </c>
      <c r="UOC868" s="290" t="s">
        <v>280</v>
      </c>
      <c r="UOD868" s="290" t="s">
        <v>280</v>
      </c>
      <c r="UOE868" s="290" t="s">
        <v>280</v>
      </c>
      <c r="UOF868" s="290" t="s">
        <v>280</v>
      </c>
      <c r="UOG868" s="290" t="s">
        <v>280</v>
      </c>
      <c r="UOH868" s="290" t="s">
        <v>280</v>
      </c>
      <c r="UOI868" s="290" t="s">
        <v>280</v>
      </c>
      <c r="UOJ868" s="290" t="s">
        <v>280</v>
      </c>
      <c r="UOK868" s="290" t="s">
        <v>280</v>
      </c>
      <c r="UOL868" s="290" t="s">
        <v>280</v>
      </c>
      <c r="UOM868" s="290" t="s">
        <v>280</v>
      </c>
      <c r="UON868" s="290" t="s">
        <v>280</v>
      </c>
      <c r="UOO868" s="290" t="s">
        <v>280</v>
      </c>
      <c r="UOP868" s="290" t="s">
        <v>280</v>
      </c>
      <c r="UOQ868" s="290" t="s">
        <v>280</v>
      </c>
      <c r="UOR868" s="290" t="s">
        <v>280</v>
      </c>
      <c r="UOS868" s="290" t="s">
        <v>280</v>
      </c>
      <c r="UOT868" s="290" t="s">
        <v>280</v>
      </c>
      <c r="UOU868" s="290" t="s">
        <v>280</v>
      </c>
      <c r="UOV868" s="290" t="s">
        <v>280</v>
      </c>
      <c r="UOW868" s="290" t="s">
        <v>280</v>
      </c>
      <c r="UOX868" s="290" t="s">
        <v>280</v>
      </c>
      <c r="UOY868" s="290" t="s">
        <v>280</v>
      </c>
      <c r="UOZ868" s="290" t="s">
        <v>280</v>
      </c>
      <c r="UPA868" s="290" t="s">
        <v>280</v>
      </c>
      <c r="UPB868" s="290" t="s">
        <v>280</v>
      </c>
      <c r="UPC868" s="290" t="s">
        <v>280</v>
      </c>
      <c r="UPD868" s="290" t="s">
        <v>280</v>
      </c>
      <c r="UPE868" s="290" t="s">
        <v>280</v>
      </c>
      <c r="UPF868" s="290" t="s">
        <v>280</v>
      </c>
      <c r="UPG868" s="290" t="s">
        <v>280</v>
      </c>
      <c r="UPH868" s="290" t="s">
        <v>280</v>
      </c>
      <c r="UPI868" s="290" t="s">
        <v>280</v>
      </c>
      <c r="UPJ868" s="290" t="s">
        <v>280</v>
      </c>
      <c r="UPK868" s="290" t="s">
        <v>280</v>
      </c>
      <c r="UPL868" s="290" t="s">
        <v>280</v>
      </c>
      <c r="UPM868" s="290" t="s">
        <v>280</v>
      </c>
      <c r="UPN868" s="290" t="s">
        <v>280</v>
      </c>
      <c r="UPO868" s="290" t="s">
        <v>280</v>
      </c>
      <c r="UPP868" s="290" t="s">
        <v>280</v>
      </c>
      <c r="UPQ868" s="290" t="s">
        <v>280</v>
      </c>
      <c r="UPR868" s="290" t="s">
        <v>280</v>
      </c>
      <c r="UPS868" s="290" t="s">
        <v>280</v>
      </c>
      <c r="UPT868" s="290" t="s">
        <v>280</v>
      </c>
      <c r="UPU868" s="290" t="s">
        <v>280</v>
      </c>
      <c r="UPV868" s="290" t="s">
        <v>280</v>
      </c>
      <c r="UPW868" s="290" t="s">
        <v>280</v>
      </c>
      <c r="UPX868" s="290" t="s">
        <v>280</v>
      </c>
      <c r="UPY868" s="290" t="s">
        <v>280</v>
      </c>
      <c r="UPZ868" s="290" t="s">
        <v>280</v>
      </c>
      <c r="UQA868" s="290" t="s">
        <v>280</v>
      </c>
      <c r="UQB868" s="290" t="s">
        <v>280</v>
      </c>
      <c r="UQC868" s="290" t="s">
        <v>280</v>
      </c>
      <c r="UQD868" s="290" t="s">
        <v>280</v>
      </c>
      <c r="UQE868" s="290" t="s">
        <v>280</v>
      </c>
      <c r="UQF868" s="290" t="s">
        <v>280</v>
      </c>
      <c r="UQG868" s="290" t="s">
        <v>280</v>
      </c>
      <c r="UQH868" s="290" t="s">
        <v>280</v>
      </c>
      <c r="UQI868" s="290" t="s">
        <v>280</v>
      </c>
      <c r="UQJ868" s="290" t="s">
        <v>280</v>
      </c>
      <c r="UQK868" s="290" t="s">
        <v>280</v>
      </c>
      <c r="UQL868" s="290" t="s">
        <v>280</v>
      </c>
      <c r="UQM868" s="290" t="s">
        <v>280</v>
      </c>
      <c r="UQN868" s="290" t="s">
        <v>280</v>
      </c>
      <c r="UQO868" s="290" t="s">
        <v>280</v>
      </c>
      <c r="UQP868" s="290" t="s">
        <v>280</v>
      </c>
      <c r="UQQ868" s="290" t="s">
        <v>280</v>
      </c>
      <c r="UQR868" s="290" t="s">
        <v>280</v>
      </c>
      <c r="UQS868" s="290" t="s">
        <v>280</v>
      </c>
      <c r="UQT868" s="290" t="s">
        <v>280</v>
      </c>
      <c r="UQU868" s="290" t="s">
        <v>280</v>
      </c>
      <c r="UQV868" s="290" t="s">
        <v>280</v>
      </c>
      <c r="UQW868" s="290" t="s">
        <v>280</v>
      </c>
      <c r="UQX868" s="290" t="s">
        <v>280</v>
      </c>
      <c r="UQY868" s="290" t="s">
        <v>280</v>
      </c>
      <c r="UQZ868" s="290" t="s">
        <v>280</v>
      </c>
      <c r="URA868" s="290" t="s">
        <v>280</v>
      </c>
      <c r="URB868" s="290" t="s">
        <v>280</v>
      </c>
      <c r="URC868" s="290" t="s">
        <v>280</v>
      </c>
      <c r="URD868" s="290" t="s">
        <v>280</v>
      </c>
      <c r="URE868" s="290" t="s">
        <v>280</v>
      </c>
      <c r="URF868" s="290" t="s">
        <v>280</v>
      </c>
      <c r="URG868" s="290" t="s">
        <v>280</v>
      </c>
      <c r="URH868" s="290" t="s">
        <v>280</v>
      </c>
      <c r="URI868" s="290" t="s">
        <v>280</v>
      </c>
      <c r="URJ868" s="290" t="s">
        <v>280</v>
      </c>
      <c r="URK868" s="290" t="s">
        <v>280</v>
      </c>
      <c r="URL868" s="290" t="s">
        <v>280</v>
      </c>
      <c r="URM868" s="290" t="s">
        <v>280</v>
      </c>
      <c r="URN868" s="290" t="s">
        <v>280</v>
      </c>
      <c r="URO868" s="290" t="s">
        <v>280</v>
      </c>
      <c r="URP868" s="290" t="s">
        <v>280</v>
      </c>
      <c r="URQ868" s="290" t="s">
        <v>280</v>
      </c>
      <c r="URR868" s="290" t="s">
        <v>280</v>
      </c>
      <c r="URS868" s="290" t="s">
        <v>280</v>
      </c>
      <c r="URT868" s="290" t="s">
        <v>280</v>
      </c>
      <c r="URU868" s="290" t="s">
        <v>280</v>
      </c>
      <c r="URV868" s="290" t="s">
        <v>280</v>
      </c>
      <c r="URW868" s="290" t="s">
        <v>280</v>
      </c>
      <c r="URX868" s="290" t="s">
        <v>280</v>
      </c>
      <c r="URY868" s="290" t="s">
        <v>280</v>
      </c>
      <c r="URZ868" s="290" t="s">
        <v>280</v>
      </c>
      <c r="USA868" s="290" t="s">
        <v>280</v>
      </c>
      <c r="USB868" s="290" t="s">
        <v>280</v>
      </c>
      <c r="USC868" s="290" t="s">
        <v>280</v>
      </c>
      <c r="USD868" s="290" t="s">
        <v>280</v>
      </c>
      <c r="USE868" s="290" t="s">
        <v>280</v>
      </c>
      <c r="USF868" s="290" t="s">
        <v>280</v>
      </c>
      <c r="USG868" s="290" t="s">
        <v>280</v>
      </c>
      <c r="USH868" s="290" t="s">
        <v>280</v>
      </c>
      <c r="USI868" s="290" t="s">
        <v>280</v>
      </c>
      <c r="USJ868" s="290" t="s">
        <v>280</v>
      </c>
      <c r="USK868" s="290" t="s">
        <v>280</v>
      </c>
      <c r="USL868" s="290" t="s">
        <v>280</v>
      </c>
      <c r="USM868" s="290" t="s">
        <v>280</v>
      </c>
      <c r="USN868" s="290" t="s">
        <v>280</v>
      </c>
      <c r="USO868" s="290" t="s">
        <v>280</v>
      </c>
      <c r="USP868" s="290" t="s">
        <v>280</v>
      </c>
      <c r="USQ868" s="290" t="s">
        <v>280</v>
      </c>
      <c r="USR868" s="290" t="s">
        <v>280</v>
      </c>
      <c r="USS868" s="290" t="s">
        <v>280</v>
      </c>
      <c r="UST868" s="290" t="s">
        <v>280</v>
      </c>
      <c r="USU868" s="290" t="s">
        <v>280</v>
      </c>
      <c r="USV868" s="290" t="s">
        <v>280</v>
      </c>
      <c r="USW868" s="290" t="s">
        <v>280</v>
      </c>
      <c r="USX868" s="290" t="s">
        <v>280</v>
      </c>
      <c r="USY868" s="290" t="s">
        <v>280</v>
      </c>
      <c r="USZ868" s="290" t="s">
        <v>280</v>
      </c>
      <c r="UTA868" s="290" t="s">
        <v>280</v>
      </c>
      <c r="UTB868" s="290" t="s">
        <v>280</v>
      </c>
      <c r="UTC868" s="290" t="s">
        <v>280</v>
      </c>
      <c r="UTD868" s="290" t="s">
        <v>280</v>
      </c>
      <c r="UTE868" s="290" t="s">
        <v>280</v>
      </c>
      <c r="UTF868" s="290" t="s">
        <v>280</v>
      </c>
      <c r="UTG868" s="290" t="s">
        <v>280</v>
      </c>
      <c r="UTH868" s="290" t="s">
        <v>280</v>
      </c>
      <c r="UTI868" s="290" t="s">
        <v>280</v>
      </c>
      <c r="UTJ868" s="290" t="s">
        <v>280</v>
      </c>
      <c r="UTK868" s="290" t="s">
        <v>280</v>
      </c>
      <c r="UTL868" s="290" t="s">
        <v>280</v>
      </c>
      <c r="UTM868" s="290" t="s">
        <v>280</v>
      </c>
      <c r="UTN868" s="290" t="s">
        <v>280</v>
      </c>
      <c r="UTO868" s="290" t="s">
        <v>280</v>
      </c>
      <c r="UTP868" s="290" t="s">
        <v>280</v>
      </c>
      <c r="UTQ868" s="290" t="s">
        <v>280</v>
      </c>
      <c r="UTR868" s="290" t="s">
        <v>280</v>
      </c>
      <c r="UTS868" s="290" t="s">
        <v>280</v>
      </c>
      <c r="UTT868" s="290" t="s">
        <v>280</v>
      </c>
      <c r="UTU868" s="290" t="s">
        <v>280</v>
      </c>
      <c r="UTV868" s="290" t="s">
        <v>280</v>
      </c>
      <c r="UTW868" s="290" t="s">
        <v>280</v>
      </c>
      <c r="UTX868" s="290" t="s">
        <v>280</v>
      </c>
      <c r="UTY868" s="290" t="s">
        <v>280</v>
      </c>
      <c r="UTZ868" s="290" t="s">
        <v>280</v>
      </c>
      <c r="UUA868" s="290" t="s">
        <v>280</v>
      </c>
      <c r="UUB868" s="290" t="s">
        <v>280</v>
      </c>
      <c r="UUC868" s="290" t="s">
        <v>280</v>
      </c>
      <c r="UUD868" s="290" t="s">
        <v>280</v>
      </c>
      <c r="UUE868" s="290" t="s">
        <v>280</v>
      </c>
      <c r="UUF868" s="290" t="s">
        <v>280</v>
      </c>
      <c r="UUG868" s="290" t="s">
        <v>280</v>
      </c>
      <c r="UUH868" s="290" t="s">
        <v>280</v>
      </c>
      <c r="UUI868" s="290" t="s">
        <v>280</v>
      </c>
      <c r="UUJ868" s="290" t="s">
        <v>280</v>
      </c>
      <c r="UUK868" s="290" t="s">
        <v>280</v>
      </c>
      <c r="UUL868" s="290" t="s">
        <v>280</v>
      </c>
      <c r="UUM868" s="290" t="s">
        <v>280</v>
      </c>
      <c r="UUN868" s="290" t="s">
        <v>280</v>
      </c>
      <c r="UUO868" s="290" t="s">
        <v>280</v>
      </c>
      <c r="UUP868" s="290" t="s">
        <v>280</v>
      </c>
      <c r="UUQ868" s="290" t="s">
        <v>280</v>
      </c>
      <c r="UUR868" s="290" t="s">
        <v>280</v>
      </c>
      <c r="UUS868" s="290" t="s">
        <v>280</v>
      </c>
      <c r="UUT868" s="290" t="s">
        <v>280</v>
      </c>
      <c r="UUU868" s="290" t="s">
        <v>280</v>
      </c>
      <c r="UUV868" s="290" t="s">
        <v>280</v>
      </c>
      <c r="UUW868" s="290" t="s">
        <v>280</v>
      </c>
      <c r="UUX868" s="290" t="s">
        <v>280</v>
      </c>
      <c r="UUY868" s="290" t="s">
        <v>280</v>
      </c>
      <c r="UUZ868" s="290" t="s">
        <v>280</v>
      </c>
      <c r="UVA868" s="290" t="s">
        <v>280</v>
      </c>
      <c r="UVB868" s="290" t="s">
        <v>280</v>
      </c>
      <c r="UVC868" s="290" t="s">
        <v>280</v>
      </c>
      <c r="UVD868" s="290" t="s">
        <v>280</v>
      </c>
      <c r="UVE868" s="290" t="s">
        <v>280</v>
      </c>
      <c r="UVF868" s="290" t="s">
        <v>280</v>
      </c>
      <c r="UVG868" s="290" t="s">
        <v>280</v>
      </c>
      <c r="UVH868" s="290" t="s">
        <v>280</v>
      </c>
      <c r="UVI868" s="290" t="s">
        <v>280</v>
      </c>
      <c r="UVJ868" s="290" t="s">
        <v>280</v>
      </c>
      <c r="UVK868" s="290" t="s">
        <v>280</v>
      </c>
      <c r="UVL868" s="290" t="s">
        <v>280</v>
      </c>
      <c r="UVM868" s="290" t="s">
        <v>280</v>
      </c>
      <c r="UVN868" s="290" t="s">
        <v>280</v>
      </c>
      <c r="UVO868" s="290" t="s">
        <v>280</v>
      </c>
      <c r="UVP868" s="290" t="s">
        <v>280</v>
      </c>
      <c r="UVQ868" s="290" t="s">
        <v>280</v>
      </c>
      <c r="UVR868" s="290" t="s">
        <v>280</v>
      </c>
      <c r="UVS868" s="290" t="s">
        <v>280</v>
      </c>
      <c r="UVT868" s="290" t="s">
        <v>280</v>
      </c>
      <c r="UVU868" s="290" t="s">
        <v>280</v>
      </c>
      <c r="UVV868" s="290" t="s">
        <v>280</v>
      </c>
      <c r="UVW868" s="290" t="s">
        <v>280</v>
      </c>
      <c r="UVX868" s="290" t="s">
        <v>280</v>
      </c>
      <c r="UVY868" s="290" t="s">
        <v>280</v>
      </c>
      <c r="UVZ868" s="290" t="s">
        <v>280</v>
      </c>
      <c r="UWA868" s="290" t="s">
        <v>280</v>
      </c>
      <c r="UWB868" s="290" t="s">
        <v>280</v>
      </c>
      <c r="UWC868" s="290" t="s">
        <v>280</v>
      </c>
      <c r="UWD868" s="290" t="s">
        <v>280</v>
      </c>
      <c r="UWE868" s="290" t="s">
        <v>280</v>
      </c>
      <c r="UWF868" s="290" t="s">
        <v>280</v>
      </c>
      <c r="UWG868" s="290" t="s">
        <v>280</v>
      </c>
      <c r="UWH868" s="290" t="s">
        <v>280</v>
      </c>
      <c r="UWI868" s="290" t="s">
        <v>280</v>
      </c>
      <c r="UWJ868" s="290" t="s">
        <v>280</v>
      </c>
      <c r="UWK868" s="290" t="s">
        <v>280</v>
      </c>
      <c r="UWL868" s="290" t="s">
        <v>280</v>
      </c>
      <c r="UWM868" s="290" t="s">
        <v>280</v>
      </c>
      <c r="UWN868" s="290" t="s">
        <v>280</v>
      </c>
      <c r="UWO868" s="290" t="s">
        <v>280</v>
      </c>
      <c r="UWP868" s="290" t="s">
        <v>280</v>
      </c>
      <c r="UWQ868" s="290" t="s">
        <v>280</v>
      </c>
      <c r="UWR868" s="290" t="s">
        <v>280</v>
      </c>
      <c r="UWS868" s="290" t="s">
        <v>280</v>
      </c>
      <c r="UWT868" s="290" t="s">
        <v>280</v>
      </c>
      <c r="UWU868" s="290" t="s">
        <v>280</v>
      </c>
      <c r="UWV868" s="290" t="s">
        <v>280</v>
      </c>
      <c r="UWW868" s="290" t="s">
        <v>280</v>
      </c>
      <c r="UWX868" s="290" t="s">
        <v>280</v>
      </c>
      <c r="UWY868" s="290" t="s">
        <v>280</v>
      </c>
      <c r="UWZ868" s="290" t="s">
        <v>280</v>
      </c>
      <c r="UXA868" s="290" t="s">
        <v>280</v>
      </c>
      <c r="UXB868" s="290" t="s">
        <v>280</v>
      </c>
      <c r="UXC868" s="290" t="s">
        <v>280</v>
      </c>
      <c r="UXD868" s="290" t="s">
        <v>280</v>
      </c>
      <c r="UXE868" s="290" t="s">
        <v>280</v>
      </c>
      <c r="UXF868" s="290" t="s">
        <v>280</v>
      </c>
      <c r="UXG868" s="290" t="s">
        <v>280</v>
      </c>
      <c r="UXH868" s="290" t="s">
        <v>280</v>
      </c>
      <c r="UXI868" s="290" t="s">
        <v>280</v>
      </c>
      <c r="UXJ868" s="290" t="s">
        <v>280</v>
      </c>
      <c r="UXK868" s="290" t="s">
        <v>280</v>
      </c>
      <c r="UXL868" s="290" t="s">
        <v>280</v>
      </c>
      <c r="UXM868" s="290" t="s">
        <v>280</v>
      </c>
      <c r="UXN868" s="290" t="s">
        <v>280</v>
      </c>
      <c r="UXO868" s="290" t="s">
        <v>280</v>
      </c>
      <c r="UXP868" s="290" t="s">
        <v>280</v>
      </c>
      <c r="UXQ868" s="290" t="s">
        <v>280</v>
      </c>
      <c r="UXR868" s="290" t="s">
        <v>280</v>
      </c>
      <c r="UXS868" s="290" t="s">
        <v>280</v>
      </c>
      <c r="UXT868" s="290" t="s">
        <v>280</v>
      </c>
      <c r="UXU868" s="290" t="s">
        <v>280</v>
      </c>
      <c r="UXV868" s="290" t="s">
        <v>280</v>
      </c>
      <c r="UXW868" s="290" t="s">
        <v>280</v>
      </c>
      <c r="UXX868" s="290" t="s">
        <v>280</v>
      </c>
      <c r="UXY868" s="290" t="s">
        <v>280</v>
      </c>
      <c r="UXZ868" s="290" t="s">
        <v>280</v>
      </c>
      <c r="UYA868" s="290" t="s">
        <v>280</v>
      </c>
      <c r="UYB868" s="290" t="s">
        <v>280</v>
      </c>
      <c r="UYC868" s="290" t="s">
        <v>280</v>
      </c>
      <c r="UYD868" s="290" t="s">
        <v>280</v>
      </c>
      <c r="UYE868" s="290" t="s">
        <v>280</v>
      </c>
      <c r="UYF868" s="290" t="s">
        <v>280</v>
      </c>
      <c r="UYG868" s="290" t="s">
        <v>280</v>
      </c>
      <c r="UYH868" s="290" t="s">
        <v>280</v>
      </c>
      <c r="UYI868" s="290" t="s">
        <v>280</v>
      </c>
      <c r="UYJ868" s="290" t="s">
        <v>280</v>
      </c>
      <c r="UYK868" s="290" t="s">
        <v>280</v>
      </c>
      <c r="UYL868" s="290" t="s">
        <v>280</v>
      </c>
      <c r="UYM868" s="290" t="s">
        <v>280</v>
      </c>
      <c r="UYN868" s="290" t="s">
        <v>280</v>
      </c>
      <c r="UYO868" s="290" t="s">
        <v>280</v>
      </c>
      <c r="UYP868" s="290" t="s">
        <v>280</v>
      </c>
      <c r="UYQ868" s="290" t="s">
        <v>280</v>
      </c>
      <c r="UYR868" s="290" t="s">
        <v>280</v>
      </c>
      <c r="UYS868" s="290" t="s">
        <v>280</v>
      </c>
      <c r="UYT868" s="290" t="s">
        <v>280</v>
      </c>
      <c r="UYU868" s="290" t="s">
        <v>280</v>
      </c>
      <c r="UYV868" s="290" t="s">
        <v>280</v>
      </c>
      <c r="UYW868" s="290" t="s">
        <v>280</v>
      </c>
      <c r="UYX868" s="290" t="s">
        <v>280</v>
      </c>
      <c r="UYY868" s="290" t="s">
        <v>280</v>
      </c>
      <c r="UYZ868" s="290" t="s">
        <v>280</v>
      </c>
      <c r="UZA868" s="290" t="s">
        <v>280</v>
      </c>
      <c r="UZB868" s="290" t="s">
        <v>280</v>
      </c>
      <c r="UZC868" s="290" t="s">
        <v>280</v>
      </c>
      <c r="UZD868" s="290" t="s">
        <v>280</v>
      </c>
      <c r="UZE868" s="290" t="s">
        <v>280</v>
      </c>
      <c r="UZF868" s="290" t="s">
        <v>280</v>
      </c>
      <c r="UZG868" s="290" t="s">
        <v>280</v>
      </c>
      <c r="UZH868" s="290" t="s">
        <v>280</v>
      </c>
      <c r="UZI868" s="290" t="s">
        <v>280</v>
      </c>
      <c r="UZJ868" s="290" t="s">
        <v>280</v>
      </c>
      <c r="UZK868" s="290" t="s">
        <v>280</v>
      </c>
      <c r="UZL868" s="290" t="s">
        <v>280</v>
      </c>
      <c r="UZM868" s="290" t="s">
        <v>280</v>
      </c>
      <c r="UZN868" s="290" t="s">
        <v>280</v>
      </c>
      <c r="UZO868" s="290" t="s">
        <v>280</v>
      </c>
      <c r="UZP868" s="290" t="s">
        <v>280</v>
      </c>
      <c r="UZQ868" s="290" t="s">
        <v>280</v>
      </c>
      <c r="UZR868" s="290" t="s">
        <v>280</v>
      </c>
      <c r="UZS868" s="290" t="s">
        <v>280</v>
      </c>
      <c r="UZT868" s="290" t="s">
        <v>280</v>
      </c>
      <c r="UZU868" s="290" t="s">
        <v>280</v>
      </c>
      <c r="UZV868" s="290" t="s">
        <v>280</v>
      </c>
      <c r="UZW868" s="290" t="s">
        <v>280</v>
      </c>
      <c r="UZX868" s="290" t="s">
        <v>280</v>
      </c>
      <c r="UZY868" s="290" t="s">
        <v>280</v>
      </c>
      <c r="UZZ868" s="290" t="s">
        <v>280</v>
      </c>
      <c r="VAA868" s="290" t="s">
        <v>280</v>
      </c>
      <c r="VAB868" s="290" t="s">
        <v>280</v>
      </c>
      <c r="VAC868" s="290" t="s">
        <v>280</v>
      </c>
      <c r="VAD868" s="290" t="s">
        <v>280</v>
      </c>
      <c r="VAE868" s="290" t="s">
        <v>280</v>
      </c>
      <c r="VAF868" s="290" t="s">
        <v>280</v>
      </c>
      <c r="VAG868" s="290" t="s">
        <v>280</v>
      </c>
      <c r="VAH868" s="290" t="s">
        <v>280</v>
      </c>
      <c r="VAI868" s="290" t="s">
        <v>280</v>
      </c>
      <c r="VAJ868" s="290" t="s">
        <v>280</v>
      </c>
      <c r="VAK868" s="290" t="s">
        <v>280</v>
      </c>
      <c r="VAL868" s="290" t="s">
        <v>280</v>
      </c>
      <c r="VAM868" s="290" t="s">
        <v>280</v>
      </c>
      <c r="VAN868" s="290" t="s">
        <v>280</v>
      </c>
      <c r="VAO868" s="290" t="s">
        <v>280</v>
      </c>
      <c r="VAP868" s="290" t="s">
        <v>280</v>
      </c>
      <c r="VAQ868" s="290" t="s">
        <v>280</v>
      </c>
      <c r="VAR868" s="290" t="s">
        <v>280</v>
      </c>
      <c r="VAS868" s="290" t="s">
        <v>280</v>
      </c>
      <c r="VAT868" s="290" t="s">
        <v>280</v>
      </c>
      <c r="VAU868" s="290" t="s">
        <v>280</v>
      </c>
      <c r="VAV868" s="290" t="s">
        <v>280</v>
      </c>
      <c r="VAW868" s="290" t="s">
        <v>280</v>
      </c>
      <c r="VAX868" s="290" t="s">
        <v>280</v>
      </c>
      <c r="VAY868" s="290" t="s">
        <v>280</v>
      </c>
      <c r="VAZ868" s="290" t="s">
        <v>280</v>
      </c>
      <c r="VBA868" s="290" t="s">
        <v>280</v>
      </c>
      <c r="VBB868" s="290" t="s">
        <v>280</v>
      </c>
      <c r="VBC868" s="290" t="s">
        <v>280</v>
      </c>
      <c r="VBD868" s="290" t="s">
        <v>280</v>
      </c>
      <c r="VBE868" s="290" t="s">
        <v>280</v>
      </c>
      <c r="VBF868" s="290" t="s">
        <v>280</v>
      </c>
      <c r="VBG868" s="290" t="s">
        <v>280</v>
      </c>
      <c r="VBH868" s="290" t="s">
        <v>280</v>
      </c>
      <c r="VBI868" s="290" t="s">
        <v>280</v>
      </c>
      <c r="VBJ868" s="290" t="s">
        <v>280</v>
      </c>
      <c r="VBK868" s="290" t="s">
        <v>280</v>
      </c>
      <c r="VBL868" s="290" t="s">
        <v>280</v>
      </c>
      <c r="VBM868" s="290" t="s">
        <v>280</v>
      </c>
      <c r="VBN868" s="290" t="s">
        <v>280</v>
      </c>
      <c r="VBO868" s="290" t="s">
        <v>280</v>
      </c>
      <c r="VBP868" s="290" t="s">
        <v>280</v>
      </c>
      <c r="VBQ868" s="290" t="s">
        <v>280</v>
      </c>
      <c r="VBR868" s="290" t="s">
        <v>280</v>
      </c>
      <c r="VBS868" s="290" t="s">
        <v>280</v>
      </c>
      <c r="VBT868" s="290" t="s">
        <v>280</v>
      </c>
      <c r="VBU868" s="290" t="s">
        <v>280</v>
      </c>
      <c r="VBV868" s="290" t="s">
        <v>280</v>
      </c>
      <c r="VBW868" s="290" t="s">
        <v>280</v>
      </c>
      <c r="VBX868" s="290" t="s">
        <v>280</v>
      </c>
      <c r="VBY868" s="290" t="s">
        <v>280</v>
      </c>
      <c r="VBZ868" s="290" t="s">
        <v>280</v>
      </c>
      <c r="VCA868" s="290" t="s">
        <v>280</v>
      </c>
      <c r="VCB868" s="290" t="s">
        <v>280</v>
      </c>
      <c r="VCC868" s="290" t="s">
        <v>280</v>
      </c>
      <c r="VCD868" s="290" t="s">
        <v>280</v>
      </c>
      <c r="VCE868" s="290" t="s">
        <v>280</v>
      </c>
      <c r="VCF868" s="290" t="s">
        <v>280</v>
      </c>
      <c r="VCG868" s="290" t="s">
        <v>280</v>
      </c>
      <c r="VCH868" s="290" t="s">
        <v>280</v>
      </c>
      <c r="VCI868" s="290" t="s">
        <v>280</v>
      </c>
      <c r="VCJ868" s="290" t="s">
        <v>280</v>
      </c>
      <c r="VCK868" s="290" t="s">
        <v>280</v>
      </c>
      <c r="VCL868" s="290" t="s">
        <v>280</v>
      </c>
      <c r="VCM868" s="290" t="s">
        <v>280</v>
      </c>
      <c r="VCN868" s="290" t="s">
        <v>280</v>
      </c>
      <c r="VCO868" s="290" t="s">
        <v>280</v>
      </c>
      <c r="VCP868" s="290" t="s">
        <v>280</v>
      </c>
      <c r="VCQ868" s="290" t="s">
        <v>280</v>
      </c>
      <c r="VCR868" s="290" t="s">
        <v>280</v>
      </c>
      <c r="VCS868" s="290" t="s">
        <v>280</v>
      </c>
      <c r="VCT868" s="290" t="s">
        <v>280</v>
      </c>
      <c r="VCU868" s="290" t="s">
        <v>280</v>
      </c>
      <c r="VCV868" s="290" t="s">
        <v>280</v>
      </c>
      <c r="VCW868" s="290" t="s">
        <v>280</v>
      </c>
      <c r="VCX868" s="290" t="s">
        <v>280</v>
      </c>
      <c r="VCY868" s="290" t="s">
        <v>280</v>
      </c>
      <c r="VCZ868" s="290" t="s">
        <v>280</v>
      </c>
      <c r="VDA868" s="290" t="s">
        <v>280</v>
      </c>
      <c r="VDB868" s="290" t="s">
        <v>280</v>
      </c>
      <c r="VDC868" s="290" t="s">
        <v>280</v>
      </c>
      <c r="VDD868" s="290" t="s">
        <v>280</v>
      </c>
      <c r="VDE868" s="290" t="s">
        <v>280</v>
      </c>
      <c r="VDF868" s="290" t="s">
        <v>280</v>
      </c>
      <c r="VDG868" s="290" t="s">
        <v>280</v>
      </c>
      <c r="VDH868" s="290" t="s">
        <v>280</v>
      </c>
      <c r="VDI868" s="290" t="s">
        <v>280</v>
      </c>
      <c r="VDJ868" s="290" t="s">
        <v>280</v>
      </c>
      <c r="VDK868" s="290" t="s">
        <v>280</v>
      </c>
      <c r="VDL868" s="290" t="s">
        <v>280</v>
      </c>
      <c r="VDM868" s="290" t="s">
        <v>280</v>
      </c>
      <c r="VDN868" s="290" t="s">
        <v>280</v>
      </c>
      <c r="VDO868" s="290" t="s">
        <v>280</v>
      </c>
      <c r="VDP868" s="290" t="s">
        <v>280</v>
      </c>
      <c r="VDQ868" s="290" t="s">
        <v>280</v>
      </c>
      <c r="VDR868" s="290" t="s">
        <v>280</v>
      </c>
      <c r="VDS868" s="290" t="s">
        <v>280</v>
      </c>
      <c r="VDT868" s="290" t="s">
        <v>280</v>
      </c>
      <c r="VDU868" s="290" t="s">
        <v>280</v>
      </c>
      <c r="VDV868" s="290" t="s">
        <v>280</v>
      </c>
      <c r="VDW868" s="290" t="s">
        <v>280</v>
      </c>
      <c r="VDX868" s="290" t="s">
        <v>280</v>
      </c>
      <c r="VDY868" s="290" t="s">
        <v>280</v>
      </c>
      <c r="VDZ868" s="290" t="s">
        <v>280</v>
      </c>
      <c r="VEA868" s="290" t="s">
        <v>280</v>
      </c>
      <c r="VEB868" s="290" t="s">
        <v>280</v>
      </c>
      <c r="VEC868" s="290" t="s">
        <v>280</v>
      </c>
      <c r="VED868" s="290" t="s">
        <v>280</v>
      </c>
      <c r="VEE868" s="290" t="s">
        <v>280</v>
      </c>
      <c r="VEF868" s="290" t="s">
        <v>280</v>
      </c>
      <c r="VEG868" s="290" t="s">
        <v>280</v>
      </c>
      <c r="VEH868" s="290" t="s">
        <v>280</v>
      </c>
      <c r="VEI868" s="290" t="s">
        <v>280</v>
      </c>
      <c r="VEJ868" s="290" t="s">
        <v>280</v>
      </c>
      <c r="VEK868" s="290" t="s">
        <v>280</v>
      </c>
      <c r="VEL868" s="290" t="s">
        <v>280</v>
      </c>
      <c r="VEM868" s="290" t="s">
        <v>280</v>
      </c>
      <c r="VEN868" s="290" t="s">
        <v>280</v>
      </c>
      <c r="VEO868" s="290" t="s">
        <v>280</v>
      </c>
      <c r="VEP868" s="290" t="s">
        <v>280</v>
      </c>
      <c r="VEQ868" s="290" t="s">
        <v>280</v>
      </c>
      <c r="VER868" s="290" t="s">
        <v>280</v>
      </c>
      <c r="VES868" s="290" t="s">
        <v>280</v>
      </c>
      <c r="VET868" s="290" t="s">
        <v>280</v>
      </c>
      <c r="VEU868" s="290" t="s">
        <v>280</v>
      </c>
      <c r="VEV868" s="290" t="s">
        <v>280</v>
      </c>
      <c r="VEW868" s="290" t="s">
        <v>280</v>
      </c>
      <c r="VEX868" s="290" t="s">
        <v>280</v>
      </c>
      <c r="VEY868" s="290" t="s">
        <v>280</v>
      </c>
      <c r="VEZ868" s="290" t="s">
        <v>280</v>
      </c>
      <c r="VFA868" s="290" t="s">
        <v>280</v>
      </c>
      <c r="VFB868" s="290" t="s">
        <v>280</v>
      </c>
      <c r="VFC868" s="290" t="s">
        <v>280</v>
      </c>
      <c r="VFD868" s="290" t="s">
        <v>280</v>
      </c>
      <c r="VFE868" s="290" t="s">
        <v>280</v>
      </c>
      <c r="VFF868" s="290" t="s">
        <v>280</v>
      </c>
      <c r="VFG868" s="290" t="s">
        <v>280</v>
      </c>
      <c r="VFH868" s="290" t="s">
        <v>280</v>
      </c>
      <c r="VFI868" s="290" t="s">
        <v>280</v>
      </c>
      <c r="VFJ868" s="290" t="s">
        <v>280</v>
      </c>
      <c r="VFK868" s="290" t="s">
        <v>280</v>
      </c>
      <c r="VFL868" s="290" t="s">
        <v>280</v>
      </c>
      <c r="VFM868" s="290" t="s">
        <v>280</v>
      </c>
      <c r="VFN868" s="290" t="s">
        <v>280</v>
      </c>
      <c r="VFO868" s="290" t="s">
        <v>280</v>
      </c>
      <c r="VFP868" s="290" t="s">
        <v>280</v>
      </c>
      <c r="VFQ868" s="290" t="s">
        <v>280</v>
      </c>
      <c r="VFR868" s="290" t="s">
        <v>280</v>
      </c>
      <c r="VFS868" s="290" t="s">
        <v>280</v>
      </c>
      <c r="VFT868" s="290" t="s">
        <v>280</v>
      </c>
      <c r="VFU868" s="290" t="s">
        <v>280</v>
      </c>
      <c r="VFV868" s="290" t="s">
        <v>280</v>
      </c>
      <c r="VFW868" s="290" t="s">
        <v>280</v>
      </c>
      <c r="VFX868" s="290" t="s">
        <v>280</v>
      </c>
      <c r="VFY868" s="290" t="s">
        <v>280</v>
      </c>
      <c r="VFZ868" s="290" t="s">
        <v>280</v>
      </c>
      <c r="VGA868" s="290" t="s">
        <v>280</v>
      </c>
      <c r="VGB868" s="290" t="s">
        <v>280</v>
      </c>
      <c r="VGC868" s="290" t="s">
        <v>280</v>
      </c>
      <c r="VGD868" s="290" t="s">
        <v>280</v>
      </c>
      <c r="VGE868" s="290" t="s">
        <v>280</v>
      </c>
      <c r="VGF868" s="290" t="s">
        <v>280</v>
      </c>
      <c r="VGG868" s="290" t="s">
        <v>280</v>
      </c>
      <c r="VGH868" s="290" t="s">
        <v>280</v>
      </c>
      <c r="VGI868" s="290" t="s">
        <v>280</v>
      </c>
      <c r="VGJ868" s="290" t="s">
        <v>280</v>
      </c>
      <c r="VGK868" s="290" t="s">
        <v>280</v>
      </c>
      <c r="VGL868" s="290" t="s">
        <v>280</v>
      </c>
      <c r="VGM868" s="290" t="s">
        <v>280</v>
      </c>
      <c r="VGN868" s="290" t="s">
        <v>280</v>
      </c>
      <c r="VGO868" s="290" t="s">
        <v>280</v>
      </c>
      <c r="VGP868" s="290" t="s">
        <v>280</v>
      </c>
      <c r="VGQ868" s="290" t="s">
        <v>280</v>
      </c>
      <c r="VGR868" s="290" t="s">
        <v>280</v>
      </c>
      <c r="VGS868" s="290" t="s">
        <v>280</v>
      </c>
      <c r="VGT868" s="290" t="s">
        <v>280</v>
      </c>
      <c r="VGU868" s="290" t="s">
        <v>280</v>
      </c>
      <c r="VGV868" s="290" t="s">
        <v>280</v>
      </c>
      <c r="VGW868" s="290" t="s">
        <v>280</v>
      </c>
      <c r="VGX868" s="290" t="s">
        <v>280</v>
      </c>
      <c r="VGY868" s="290" t="s">
        <v>280</v>
      </c>
      <c r="VGZ868" s="290" t="s">
        <v>280</v>
      </c>
      <c r="VHA868" s="290" t="s">
        <v>280</v>
      </c>
      <c r="VHB868" s="290" t="s">
        <v>280</v>
      </c>
      <c r="VHC868" s="290" t="s">
        <v>280</v>
      </c>
      <c r="VHD868" s="290" t="s">
        <v>280</v>
      </c>
      <c r="VHE868" s="290" t="s">
        <v>280</v>
      </c>
      <c r="VHF868" s="290" t="s">
        <v>280</v>
      </c>
      <c r="VHG868" s="290" t="s">
        <v>280</v>
      </c>
      <c r="VHH868" s="290" t="s">
        <v>280</v>
      </c>
      <c r="VHI868" s="290" t="s">
        <v>280</v>
      </c>
      <c r="VHJ868" s="290" t="s">
        <v>280</v>
      </c>
      <c r="VHK868" s="290" t="s">
        <v>280</v>
      </c>
      <c r="VHL868" s="290" t="s">
        <v>280</v>
      </c>
      <c r="VHM868" s="290" t="s">
        <v>280</v>
      </c>
      <c r="VHN868" s="290" t="s">
        <v>280</v>
      </c>
      <c r="VHO868" s="290" t="s">
        <v>280</v>
      </c>
      <c r="VHP868" s="290" t="s">
        <v>280</v>
      </c>
      <c r="VHQ868" s="290" t="s">
        <v>280</v>
      </c>
      <c r="VHR868" s="290" t="s">
        <v>280</v>
      </c>
      <c r="VHS868" s="290" t="s">
        <v>280</v>
      </c>
      <c r="VHT868" s="290" t="s">
        <v>280</v>
      </c>
      <c r="VHU868" s="290" t="s">
        <v>280</v>
      </c>
      <c r="VHV868" s="290" t="s">
        <v>280</v>
      </c>
      <c r="VHW868" s="290" t="s">
        <v>280</v>
      </c>
      <c r="VHX868" s="290" t="s">
        <v>280</v>
      </c>
      <c r="VHY868" s="290" t="s">
        <v>280</v>
      </c>
      <c r="VHZ868" s="290" t="s">
        <v>280</v>
      </c>
      <c r="VIA868" s="290" t="s">
        <v>280</v>
      </c>
      <c r="VIB868" s="290" t="s">
        <v>280</v>
      </c>
      <c r="VIC868" s="290" t="s">
        <v>280</v>
      </c>
      <c r="VID868" s="290" t="s">
        <v>280</v>
      </c>
      <c r="VIE868" s="290" t="s">
        <v>280</v>
      </c>
      <c r="VIF868" s="290" t="s">
        <v>280</v>
      </c>
      <c r="VIG868" s="290" t="s">
        <v>280</v>
      </c>
      <c r="VIH868" s="290" t="s">
        <v>280</v>
      </c>
      <c r="VII868" s="290" t="s">
        <v>280</v>
      </c>
      <c r="VIJ868" s="290" t="s">
        <v>280</v>
      </c>
      <c r="VIK868" s="290" t="s">
        <v>280</v>
      </c>
      <c r="VIL868" s="290" t="s">
        <v>280</v>
      </c>
      <c r="VIM868" s="290" t="s">
        <v>280</v>
      </c>
      <c r="VIN868" s="290" t="s">
        <v>280</v>
      </c>
      <c r="VIO868" s="290" t="s">
        <v>280</v>
      </c>
      <c r="VIP868" s="290" t="s">
        <v>280</v>
      </c>
      <c r="VIQ868" s="290" t="s">
        <v>280</v>
      </c>
      <c r="VIR868" s="290" t="s">
        <v>280</v>
      </c>
      <c r="VIS868" s="290" t="s">
        <v>280</v>
      </c>
      <c r="VIT868" s="290" t="s">
        <v>280</v>
      </c>
      <c r="VIU868" s="290" t="s">
        <v>280</v>
      </c>
      <c r="VIV868" s="290" t="s">
        <v>280</v>
      </c>
      <c r="VIW868" s="290" t="s">
        <v>280</v>
      </c>
      <c r="VIX868" s="290" t="s">
        <v>280</v>
      </c>
      <c r="VIY868" s="290" t="s">
        <v>280</v>
      </c>
      <c r="VIZ868" s="290" t="s">
        <v>280</v>
      </c>
      <c r="VJA868" s="290" t="s">
        <v>280</v>
      </c>
      <c r="VJB868" s="290" t="s">
        <v>280</v>
      </c>
      <c r="VJC868" s="290" t="s">
        <v>280</v>
      </c>
      <c r="VJD868" s="290" t="s">
        <v>280</v>
      </c>
      <c r="VJE868" s="290" t="s">
        <v>280</v>
      </c>
      <c r="VJF868" s="290" t="s">
        <v>280</v>
      </c>
      <c r="VJG868" s="290" t="s">
        <v>280</v>
      </c>
      <c r="VJH868" s="290" t="s">
        <v>280</v>
      </c>
      <c r="VJI868" s="290" t="s">
        <v>280</v>
      </c>
      <c r="VJJ868" s="290" t="s">
        <v>280</v>
      </c>
      <c r="VJK868" s="290" t="s">
        <v>280</v>
      </c>
      <c r="VJL868" s="290" t="s">
        <v>280</v>
      </c>
      <c r="VJM868" s="290" t="s">
        <v>280</v>
      </c>
      <c r="VJN868" s="290" t="s">
        <v>280</v>
      </c>
      <c r="VJO868" s="290" t="s">
        <v>280</v>
      </c>
      <c r="VJP868" s="290" t="s">
        <v>280</v>
      </c>
      <c r="VJQ868" s="290" t="s">
        <v>280</v>
      </c>
      <c r="VJR868" s="290" t="s">
        <v>280</v>
      </c>
      <c r="VJS868" s="290" t="s">
        <v>280</v>
      </c>
      <c r="VJT868" s="290" t="s">
        <v>280</v>
      </c>
      <c r="VJU868" s="290" t="s">
        <v>280</v>
      </c>
      <c r="VJV868" s="290" t="s">
        <v>280</v>
      </c>
      <c r="VJW868" s="290" t="s">
        <v>280</v>
      </c>
      <c r="VJX868" s="290" t="s">
        <v>280</v>
      </c>
      <c r="VJY868" s="290" t="s">
        <v>280</v>
      </c>
      <c r="VJZ868" s="290" t="s">
        <v>280</v>
      </c>
      <c r="VKA868" s="290" t="s">
        <v>280</v>
      </c>
      <c r="VKB868" s="290" t="s">
        <v>280</v>
      </c>
      <c r="VKC868" s="290" t="s">
        <v>280</v>
      </c>
      <c r="VKD868" s="290" t="s">
        <v>280</v>
      </c>
      <c r="VKE868" s="290" t="s">
        <v>280</v>
      </c>
      <c r="VKF868" s="290" t="s">
        <v>280</v>
      </c>
      <c r="VKG868" s="290" t="s">
        <v>280</v>
      </c>
      <c r="VKH868" s="290" t="s">
        <v>280</v>
      </c>
      <c r="VKI868" s="290" t="s">
        <v>280</v>
      </c>
      <c r="VKJ868" s="290" t="s">
        <v>280</v>
      </c>
      <c r="VKK868" s="290" t="s">
        <v>280</v>
      </c>
      <c r="VKL868" s="290" t="s">
        <v>280</v>
      </c>
      <c r="VKM868" s="290" t="s">
        <v>280</v>
      </c>
      <c r="VKN868" s="290" t="s">
        <v>280</v>
      </c>
      <c r="VKO868" s="290" t="s">
        <v>280</v>
      </c>
      <c r="VKP868" s="290" t="s">
        <v>280</v>
      </c>
      <c r="VKQ868" s="290" t="s">
        <v>280</v>
      </c>
      <c r="VKR868" s="290" t="s">
        <v>280</v>
      </c>
      <c r="VKS868" s="290" t="s">
        <v>280</v>
      </c>
      <c r="VKT868" s="290" t="s">
        <v>280</v>
      </c>
      <c r="VKU868" s="290" t="s">
        <v>280</v>
      </c>
      <c r="VKV868" s="290" t="s">
        <v>280</v>
      </c>
      <c r="VKW868" s="290" t="s">
        <v>280</v>
      </c>
      <c r="VKX868" s="290" t="s">
        <v>280</v>
      </c>
      <c r="VKY868" s="290" t="s">
        <v>280</v>
      </c>
      <c r="VKZ868" s="290" t="s">
        <v>280</v>
      </c>
      <c r="VLA868" s="290" t="s">
        <v>280</v>
      </c>
      <c r="VLB868" s="290" t="s">
        <v>280</v>
      </c>
      <c r="VLC868" s="290" t="s">
        <v>280</v>
      </c>
      <c r="VLD868" s="290" t="s">
        <v>280</v>
      </c>
      <c r="VLE868" s="290" t="s">
        <v>280</v>
      </c>
      <c r="VLF868" s="290" t="s">
        <v>280</v>
      </c>
      <c r="VLG868" s="290" t="s">
        <v>280</v>
      </c>
      <c r="VLH868" s="290" t="s">
        <v>280</v>
      </c>
      <c r="VLI868" s="290" t="s">
        <v>280</v>
      </c>
      <c r="VLJ868" s="290" t="s">
        <v>280</v>
      </c>
      <c r="VLK868" s="290" t="s">
        <v>280</v>
      </c>
      <c r="VLL868" s="290" t="s">
        <v>280</v>
      </c>
      <c r="VLM868" s="290" t="s">
        <v>280</v>
      </c>
      <c r="VLN868" s="290" t="s">
        <v>280</v>
      </c>
      <c r="VLO868" s="290" t="s">
        <v>280</v>
      </c>
      <c r="VLP868" s="290" t="s">
        <v>280</v>
      </c>
      <c r="VLQ868" s="290" t="s">
        <v>280</v>
      </c>
      <c r="VLR868" s="290" t="s">
        <v>280</v>
      </c>
      <c r="VLS868" s="290" t="s">
        <v>280</v>
      </c>
      <c r="VLT868" s="290" t="s">
        <v>280</v>
      </c>
      <c r="VLU868" s="290" t="s">
        <v>280</v>
      </c>
      <c r="VLV868" s="290" t="s">
        <v>280</v>
      </c>
      <c r="VLW868" s="290" t="s">
        <v>280</v>
      </c>
      <c r="VLX868" s="290" t="s">
        <v>280</v>
      </c>
      <c r="VLY868" s="290" t="s">
        <v>280</v>
      </c>
      <c r="VLZ868" s="290" t="s">
        <v>280</v>
      </c>
      <c r="VMA868" s="290" t="s">
        <v>280</v>
      </c>
      <c r="VMB868" s="290" t="s">
        <v>280</v>
      </c>
      <c r="VMC868" s="290" t="s">
        <v>280</v>
      </c>
      <c r="VMD868" s="290" t="s">
        <v>280</v>
      </c>
      <c r="VME868" s="290" t="s">
        <v>280</v>
      </c>
      <c r="VMF868" s="290" t="s">
        <v>280</v>
      </c>
      <c r="VMG868" s="290" t="s">
        <v>280</v>
      </c>
      <c r="VMH868" s="290" t="s">
        <v>280</v>
      </c>
      <c r="VMI868" s="290" t="s">
        <v>280</v>
      </c>
      <c r="VMJ868" s="290" t="s">
        <v>280</v>
      </c>
      <c r="VMK868" s="290" t="s">
        <v>280</v>
      </c>
      <c r="VML868" s="290" t="s">
        <v>280</v>
      </c>
      <c r="VMM868" s="290" t="s">
        <v>280</v>
      </c>
      <c r="VMN868" s="290" t="s">
        <v>280</v>
      </c>
      <c r="VMO868" s="290" t="s">
        <v>280</v>
      </c>
      <c r="VMP868" s="290" t="s">
        <v>280</v>
      </c>
      <c r="VMQ868" s="290" t="s">
        <v>280</v>
      </c>
      <c r="VMR868" s="290" t="s">
        <v>280</v>
      </c>
      <c r="VMS868" s="290" t="s">
        <v>280</v>
      </c>
      <c r="VMT868" s="290" t="s">
        <v>280</v>
      </c>
      <c r="VMU868" s="290" t="s">
        <v>280</v>
      </c>
      <c r="VMV868" s="290" t="s">
        <v>280</v>
      </c>
      <c r="VMW868" s="290" t="s">
        <v>280</v>
      </c>
      <c r="VMX868" s="290" t="s">
        <v>280</v>
      </c>
      <c r="VMY868" s="290" t="s">
        <v>280</v>
      </c>
      <c r="VMZ868" s="290" t="s">
        <v>280</v>
      </c>
      <c r="VNA868" s="290" t="s">
        <v>280</v>
      </c>
      <c r="VNB868" s="290" t="s">
        <v>280</v>
      </c>
      <c r="VNC868" s="290" t="s">
        <v>280</v>
      </c>
      <c r="VND868" s="290" t="s">
        <v>280</v>
      </c>
      <c r="VNE868" s="290" t="s">
        <v>280</v>
      </c>
      <c r="VNF868" s="290" t="s">
        <v>280</v>
      </c>
      <c r="VNG868" s="290" t="s">
        <v>280</v>
      </c>
      <c r="VNH868" s="290" t="s">
        <v>280</v>
      </c>
      <c r="VNI868" s="290" t="s">
        <v>280</v>
      </c>
      <c r="VNJ868" s="290" t="s">
        <v>280</v>
      </c>
      <c r="VNK868" s="290" t="s">
        <v>280</v>
      </c>
      <c r="VNL868" s="290" t="s">
        <v>280</v>
      </c>
      <c r="VNM868" s="290" t="s">
        <v>280</v>
      </c>
      <c r="VNN868" s="290" t="s">
        <v>280</v>
      </c>
      <c r="VNO868" s="290" t="s">
        <v>280</v>
      </c>
      <c r="VNP868" s="290" t="s">
        <v>280</v>
      </c>
      <c r="VNQ868" s="290" t="s">
        <v>280</v>
      </c>
      <c r="VNR868" s="290" t="s">
        <v>280</v>
      </c>
      <c r="VNS868" s="290" t="s">
        <v>280</v>
      </c>
      <c r="VNT868" s="290" t="s">
        <v>280</v>
      </c>
      <c r="VNU868" s="290" t="s">
        <v>280</v>
      </c>
      <c r="VNV868" s="290" t="s">
        <v>280</v>
      </c>
      <c r="VNW868" s="290" t="s">
        <v>280</v>
      </c>
      <c r="VNX868" s="290" t="s">
        <v>280</v>
      </c>
      <c r="VNY868" s="290" t="s">
        <v>280</v>
      </c>
      <c r="VNZ868" s="290" t="s">
        <v>280</v>
      </c>
      <c r="VOA868" s="290" t="s">
        <v>280</v>
      </c>
      <c r="VOB868" s="290" t="s">
        <v>280</v>
      </c>
      <c r="VOC868" s="290" t="s">
        <v>280</v>
      </c>
      <c r="VOD868" s="290" t="s">
        <v>280</v>
      </c>
      <c r="VOE868" s="290" t="s">
        <v>280</v>
      </c>
      <c r="VOF868" s="290" t="s">
        <v>280</v>
      </c>
      <c r="VOG868" s="290" t="s">
        <v>280</v>
      </c>
      <c r="VOH868" s="290" t="s">
        <v>280</v>
      </c>
      <c r="VOI868" s="290" t="s">
        <v>280</v>
      </c>
      <c r="VOJ868" s="290" t="s">
        <v>280</v>
      </c>
      <c r="VOK868" s="290" t="s">
        <v>280</v>
      </c>
      <c r="VOL868" s="290" t="s">
        <v>280</v>
      </c>
      <c r="VOM868" s="290" t="s">
        <v>280</v>
      </c>
      <c r="VON868" s="290" t="s">
        <v>280</v>
      </c>
      <c r="VOO868" s="290" t="s">
        <v>280</v>
      </c>
      <c r="VOP868" s="290" t="s">
        <v>280</v>
      </c>
      <c r="VOQ868" s="290" t="s">
        <v>280</v>
      </c>
      <c r="VOR868" s="290" t="s">
        <v>280</v>
      </c>
      <c r="VOS868" s="290" t="s">
        <v>280</v>
      </c>
      <c r="VOT868" s="290" t="s">
        <v>280</v>
      </c>
      <c r="VOU868" s="290" t="s">
        <v>280</v>
      </c>
      <c r="VOV868" s="290" t="s">
        <v>280</v>
      </c>
      <c r="VOW868" s="290" t="s">
        <v>280</v>
      </c>
      <c r="VOX868" s="290" t="s">
        <v>280</v>
      </c>
      <c r="VOY868" s="290" t="s">
        <v>280</v>
      </c>
      <c r="VOZ868" s="290" t="s">
        <v>280</v>
      </c>
      <c r="VPA868" s="290" t="s">
        <v>280</v>
      </c>
      <c r="VPB868" s="290" t="s">
        <v>280</v>
      </c>
      <c r="VPC868" s="290" t="s">
        <v>280</v>
      </c>
      <c r="VPD868" s="290" t="s">
        <v>280</v>
      </c>
      <c r="VPE868" s="290" t="s">
        <v>280</v>
      </c>
      <c r="VPF868" s="290" t="s">
        <v>280</v>
      </c>
      <c r="VPG868" s="290" t="s">
        <v>280</v>
      </c>
      <c r="VPH868" s="290" t="s">
        <v>280</v>
      </c>
      <c r="VPI868" s="290" t="s">
        <v>280</v>
      </c>
      <c r="VPJ868" s="290" t="s">
        <v>280</v>
      </c>
      <c r="VPK868" s="290" t="s">
        <v>280</v>
      </c>
      <c r="VPL868" s="290" t="s">
        <v>280</v>
      </c>
      <c r="VPM868" s="290" t="s">
        <v>280</v>
      </c>
      <c r="VPN868" s="290" t="s">
        <v>280</v>
      </c>
      <c r="VPO868" s="290" t="s">
        <v>280</v>
      </c>
      <c r="VPP868" s="290" t="s">
        <v>280</v>
      </c>
      <c r="VPQ868" s="290" t="s">
        <v>280</v>
      </c>
      <c r="VPR868" s="290" t="s">
        <v>280</v>
      </c>
      <c r="VPS868" s="290" t="s">
        <v>280</v>
      </c>
      <c r="VPT868" s="290" t="s">
        <v>280</v>
      </c>
      <c r="VPU868" s="290" t="s">
        <v>280</v>
      </c>
      <c r="VPV868" s="290" t="s">
        <v>280</v>
      </c>
      <c r="VPW868" s="290" t="s">
        <v>280</v>
      </c>
      <c r="VPX868" s="290" t="s">
        <v>280</v>
      </c>
      <c r="VPY868" s="290" t="s">
        <v>280</v>
      </c>
      <c r="VPZ868" s="290" t="s">
        <v>280</v>
      </c>
      <c r="VQA868" s="290" t="s">
        <v>280</v>
      </c>
      <c r="VQB868" s="290" t="s">
        <v>280</v>
      </c>
      <c r="VQC868" s="290" t="s">
        <v>280</v>
      </c>
      <c r="VQD868" s="290" t="s">
        <v>280</v>
      </c>
      <c r="VQE868" s="290" t="s">
        <v>280</v>
      </c>
      <c r="VQF868" s="290" t="s">
        <v>280</v>
      </c>
      <c r="VQG868" s="290" t="s">
        <v>280</v>
      </c>
      <c r="VQH868" s="290" t="s">
        <v>280</v>
      </c>
      <c r="VQI868" s="290" t="s">
        <v>280</v>
      </c>
      <c r="VQJ868" s="290" t="s">
        <v>280</v>
      </c>
      <c r="VQK868" s="290" t="s">
        <v>280</v>
      </c>
      <c r="VQL868" s="290" t="s">
        <v>280</v>
      </c>
      <c r="VQM868" s="290" t="s">
        <v>280</v>
      </c>
      <c r="VQN868" s="290" t="s">
        <v>280</v>
      </c>
      <c r="VQO868" s="290" t="s">
        <v>280</v>
      </c>
      <c r="VQP868" s="290" t="s">
        <v>280</v>
      </c>
      <c r="VQQ868" s="290" t="s">
        <v>280</v>
      </c>
      <c r="VQR868" s="290" t="s">
        <v>280</v>
      </c>
      <c r="VQS868" s="290" t="s">
        <v>280</v>
      </c>
      <c r="VQT868" s="290" t="s">
        <v>280</v>
      </c>
      <c r="VQU868" s="290" t="s">
        <v>280</v>
      </c>
      <c r="VQV868" s="290" t="s">
        <v>280</v>
      </c>
      <c r="VQW868" s="290" t="s">
        <v>280</v>
      </c>
      <c r="VQX868" s="290" t="s">
        <v>280</v>
      </c>
      <c r="VQY868" s="290" t="s">
        <v>280</v>
      </c>
      <c r="VQZ868" s="290" t="s">
        <v>280</v>
      </c>
      <c r="VRA868" s="290" t="s">
        <v>280</v>
      </c>
      <c r="VRB868" s="290" t="s">
        <v>280</v>
      </c>
      <c r="VRC868" s="290" t="s">
        <v>280</v>
      </c>
      <c r="VRD868" s="290" t="s">
        <v>280</v>
      </c>
      <c r="VRE868" s="290" t="s">
        <v>280</v>
      </c>
      <c r="VRF868" s="290" t="s">
        <v>280</v>
      </c>
      <c r="VRG868" s="290" t="s">
        <v>280</v>
      </c>
      <c r="VRH868" s="290" t="s">
        <v>280</v>
      </c>
      <c r="VRI868" s="290" t="s">
        <v>280</v>
      </c>
      <c r="VRJ868" s="290" t="s">
        <v>280</v>
      </c>
      <c r="VRK868" s="290" t="s">
        <v>280</v>
      </c>
      <c r="VRL868" s="290" t="s">
        <v>280</v>
      </c>
      <c r="VRM868" s="290" t="s">
        <v>280</v>
      </c>
      <c r="VRN868" s="290" t="s">
        <v>280</v>
      </c>
      <c r="VRO868" s="290" t="s">
        <v>280</v>
      </c>
      <c r="VRP868" s="290" t="s">
        <v>280</v>
      </c>
      <c r="VRQ868" s="290" t="s">
        <v>280</v>
      </c>
      <c r="VRR868" s="290" t="s">
        <v>280</v>
      </c>
      <c r="VRS868" s="290" t="s">
        <v>280</v>
      </c>
      <c r="VRT868" s="290" t="s">
        <v>280</v>
      </c>
      <c r="VRU868" s="290" t="s">
        <v>280</v>
      </c>
      <c r="VRV868" s="290" t="s">
        <v>280</v>
      </c>
      <c r="VRW868" s="290" t="s">
        <v>280</v>
      </c>
      <c r="VRX868" s="290" t="s">
        <v>280</v>
      </c>
      <c r="VRY868" s="290" t="s">
        <v>280</v>
      </c>
      <c r="VRZ868" s="290" t="s">
        <v>280</v>
      </c>
      <c r="VSA868" s="290" t="s">
        <v>280</v>
      </c>
      <c r="VSB868" s="290" t="s">
        <v>280</v>
      </c>
      <c r="VSC868" s="290" t="s">
        <v>280</v>
      </c>
      <c r="VSD868" s="290" t="s">
        <v>280</v>
      </c>
      <c r="VSE868" s="290" t="s">
        <v>280</v>
      </c>
      <c r="VSF868" s="290" t="s">
        <v>280</v>
      </c>
      <c r="VSG868" s="290" t="s">
        <v>280</v>
      </c>
      <c r="VSH868" s="290" t="s">
        <v>280</v>
      </c>
      <c r="VSI868" s="290" t="s">
        <v>280</v>
      </c>
      <c r="VSJ868" s="290" t="s">
        <v>280</v>
      </c>
      <c r="VSK868" s="290" t="s">
        <v>280</v>
      </c>
      <c r="VSL868" s="290" t="s">
        <v>280</v>
      </c>
      <c r="VSM868" s="290" t="s">
        <v>280</v>
      </c>
      <c r="VSN868" s="290" t="s">
        <v>280</v>
      </c>
      <c r="VSO868" s="290" t="s">
        <v>280</v>
      </c>
      <c r="VSP868" s="290" t="s">
        <v>280</v>
      </c>
      <c r="VSQ868" s="290" t="s">
        <v>280</v>
      </c>
      <c r="VSR868" s="290" t="s">
        <v>280</v>
      </c>
      <c r="VSS868" s="290" t="s">
        <v>280</v>
      </c>
      <c r="VST868" s="290" t="s">
        <v>280</v>
      </c>
      <c r="VSU868" s="290" t="s">
        <v>280</v>
      </c>
      <c r="VSV868" s="290" t="s">
        <v>280</v>
      </c>
      <c r="VSW868" s="290" t="s">
        <v>280</v>
      </c>
      <c r="VSX868" s="290" t="s">
        <v>280</v>
      </c>
      <c r="VSY868" s="290" t="s">
        <v>280</v>
      </c>
      <c r="VSZ868" s="290" t="s">
        <v>280</v>
      </c>
      <c r="VTA868" s="290" t="s">
        <v>280</v>
      </c>
      <c r="VTB868" s="290" t="s">
        <v>280</v>
      </c>
      <c r="VTC868" s="290" t="s">
        <v>280</v>
      </c>
      <c r="VTD868" s="290" t="s">
        <v>280</v>
      </c>
      <c r="VTE868" s="290" t="s">
        <v>280</v>
      </c>
      <c r="VTF868" s="290" t="s">
        <v>280</v>
      </c>
      <c r="VTG868" s="290" t="s">
        <v>280</v>
      </c>
      <c r="VTH868" s="290" t="s">
        <v>280</v>
      </c>
      <c r="VTI868" s="290" t="s">
        <v>280</v>
      </c>
      <c r="VTJ868" s="290" t="s">
        <v>280</v>
      </c>
      <c r="VTK868" s="290" t="s">
        <v>280</v>
      </c>
      <c r="VTL868" s="290" t="s">
        <v>280</v>
      </c>
      <c r="VTM868" s="290" t="s">
        <v>280</v>
      </c>
      <c r="VTN868" s="290" t="s">
        <v>280</v>
      </c>
      <c r="VTO868" s="290" t="s">
        <v>280</v>
      </c>
      <c r="VTP868" s="290" t="s">
        <v>280</v>
      </c>
      <c r="VTQ868" s="290" t="s">
        <v>280</v>
      </c>
      <c r="VTR868" s="290" t="s">
        <v>280</v>
      </c>
      <c r="VTS868" s="290" t="s">
        <v>280</v>
      </c>
      <c r="VTT868" s="290" t="s">
        <v>280</v>
      </c>
      <c r="VTU868" s="290" t="s">
        <v>280</v>
      </c>
      <c r="VTV868" s="290" t="s">
        <v>280</v>
      </c>
      <c r="VTW868" s="290" t="s">
        <v>280</v>
      </c>
      <c r="VTX868" s="290" t="s">
        <v>280</v>
      </c>
      <c r="VTY868" s="290" t="s">
        <v>280</v>
      </c>
      <c r="VTZ868" s="290" t="s">
        <v>280</v>
      </c>
      <c r="VUA868" s="290" t="s">
        <v>280</v>
      </c>
      <c r="VUB868" s="290" t="s">
        <v>280</v>
      </c>
      <c r="VUC868" s="290" t="s">
        <v>280</v>
      </c>
      <c r="VUD868" s="290" t="s">
        <v>280</v>
      </c>
      <c r="VUE868" s="290" t="s">
        <v>280</v>
      </c>
      <c r="VUF868" s="290" t="s">
        <v>280</v>
      </c>
      <c r="VUG868" s="290" t="s">
        <v>280</v>
      </c>
      <c r="VUH868" s="290" t="s">
        <v>280</v>
      </c>
      <c r="VUI868" s="290" t="s">
        <v>280</v>
      </c>
      <c r="VUJ868" s="290" t="s">
        <v>280</v>
      </c>
      <c r="VUK868" s="290" t="s">
        <v>280</v>
      </c>
      <c r="VUL868" s="290" t="s">
        <v>280</v>
      </c>
      <c r="VUM868" s="290" t="s">
        <v>280</v>
      </c>
      <c r="VUN868" s="290" t="s">
        <v>280</v>
      </c>
      <c r="VUO868" s="290" t="s">
        <v>280</v>
      </c>
      <c r="VUP868" s="290" t="s">
        <v>280</v>
      </c>
      <c r="VUQ868" s="290" t="s">
        <v>280</v>
      </c>
      <c r="VUR868" s="290" t="s">
        <v>280</v>
      </c>
      <c r="VUS868" s="290" t="s">
        <v>280</v>
      </c>
      <c r="VUT868" s="290" t="s">
        <v>280</v>
      </c>
      <c r="VUU868" s="290" t="s">
        <v>280</v>
      </c>
      <c r="VUV868" s="290" t="s">
        <v>280</v>
      </c>
      <c r="VUW868" s="290" t="s">
        <v>280</v>
      </c>
      <c r="VUX868" s="290" t="s">
        <v>280</v>
      </c>
      <c r="VUY868" s="290" t="s">
        <v>280</v>
      </c>
      <c r="VUZ868" s="290" t="s">
        <v>280</v>
      </c>
      <c r="VVA868" s="290" t="s">
        <v>280</v>
      </c>
      <c r="VVB868" s="290" t="s">
        <v>280</v>
      </c>
      <c r="VVC868" s="290" t="s">
        <v>280</v>
      </c>
      <c r="VVD868" s="290" t="s">
        <v>280</v>
      </c>
      <c r="VVE868" s="290" t="s">
        <v>280</v>
      </c>
      <c r="VVF868" s="290" t="s">
        <v>280</v>
      </c>
      <c r="VVG868" s="290" t="s">
        <v>280</v>
      </c>
      <c r="VVH868" s="290" t="s">
        <v>280</v>
      </c>
      <c r="VVI868" s="290" t="s">
        <v>280</v>
      </c>
      <c r="VVJ868" s="290" t="s">
        <v>280</v>
      </c>
      <c r="VVK868" s="290" t="s">
        <v>280</v>
      </c>
      <c r="VVL868" s="290" t="s">
        <v>280</v>
      </c>
      <c r="VVM868" s="290" t="s">
        <v>280</v>
      </c>
      <c r="VVN868" s="290" t="s">
        <v>280</v>
      </c>
      <c r="VVO868" s="290" t="s">
        <v>280</v>
      </c>
      <c r="VVP868" s="290" t="s">
        <v>280</v>
      </c>
      <c r="VVQ868" s="290" t="s">
        <v>280</v>
      </c>
      <c r="VVR868" s="290" t="s">
        <v>280</v>
      </c>
      <c r="VVS868" s="290" t="s">
        <v>280</v>
      </c>
      <c r="VVT868" s="290" t="s">
        <v>280</v>
      </c>
      <c r="VVU868" s="290" t="s">
        <v>280</v>
      </c>
      <c r="VVV868" s="290" t="s">
        <v>280</v>
      </c>
      <c r="VVW868" s="290" t="s">
        <v>280</v>
      </c>
      <c r="VVX868" s="290" t="s">
        <v>280</v>
      </c>
      <c r="VVY868" s="290" t="s">
        <v>280</v>
      </c>
      <c r="VVZ868" s="290" t="s">
        <v>280</v>
      </c>
      <c r="VWA868" s="290" t="s">
        <v>280</v>
      </c>
      <c r="VWB868" s="290" t="s">
        <v>280</v>
      </c>
      <c r="VWC868" s="290" t="s">
        <v>280</v>
      </c>
      <c r="VWD868" s="290" t="s">
        <v>280</v>
      </c>
      <c r="VWE868" s="290" t="s">
        <v>280</v>
      </c>
      <c r="VWF868" s="290" t="s">
        <v>280</v>
      </c>
      <c r="VWG868" s="290" t="s">
        <v>280</v>
      </c>
      <c r="VWH868" s="290" t="s">
        <v>280</v>
      </c>
      <c r="VWI868" s="290" t="s">
        <v>280</v>
      </c>
      <c r="VWJ868" s="290" t="s">
        <v>280</v>
      </c>
      <c r="VWK868" s="290" t="s">
        <v>280</v>
      </c>
      <c r="VWL868" s="290" t="s">
        <v>280</v>
      </c>
      <c r="VWM868" s="290" t="s">
        <v>280</v>
      </c>
      <c r="VWN868" s="290" t="s">
        <v>280</v>
      </c>
      <c r="VWO868" s="290" t="s">
        <v>280</v>
      </c>
      <c r="VWP868" s="290" t="s">
        <v>280</v>
      </c>
      <c r="VWQ868" s="290" t="s">
        <v>280</v>
      </c>
      <c r="VWR868" s="290" t="s">
        <v>280</v>
      </c>
      <c r="VWS868" s="290" t="s">
        <v>280</v>
      </c>
      <c r="VWT868" s="290" t="s">
        <v>280</v>
      </c>
      <c r="VWU868" s="290" t="s">
        <v>280</v>
      </c>
      <c r="VWV868" s="290" t="s">
        <v>280</v>
      </c>
      <c r="VWW868" s="290" t="s">
        <v>280</v>
      </c>
      <c r="VWX868" s="290" t="s">
        <v>280</v>
      </c>
      <c r="VWY868" s="290" t="s">
        <v>280</v>
      </c>
      <c r="VWZ868" s="290" t="s">
        <v>280</v>
      </c>
      <c r="VXA868" s="290" t="s">
        <v>280</v>
      </c>
      <c r="VXB868" s="290" t="s">
        <v>280</v>
      </c>
      <c r="VXC868" s="290" t="s">
        <v>280</v>
      </c>
      <c r="VXD868" s="290" t="s">
        <v>280</v>
      </c>
      <c r="VXE868" s="290" t="s">
        <v>280</v>
      </c>
      <c r="VXF868" s="290" t="s">
        <v>280</v>
      </c>
      <c r="VXG868" s="290" t="s">
        <v>280</v>
      </c>
      <c r="VXH868" s="290" t="s">
        <v>280</v>
      </c>
      <c r="VXI868" s="290" t="s">
        <v>280</v>
      </c>
      <c r="VXJ868" s="290" t="s">
        <v>280</v>
      </c>
      <c r="VXK868" s="290" t="s">
        <v>280</v>
      </c>
      <c r="VXL868" s="290" t="s">
        <v>280</v>
      </c>
      <c r="VXM868" s="290" t="s">
        <v>280</v>
      </c>
      <c r="VXN868" s="290" t="s">
        <v>280</v>
      </c>
      <c r="VXO868" s="290" t="s">
        <v>280</v>
      </c>
      <c r="VXP868" s="290" t="s">
        <v>280</v>
      </c>
      <c r="VXQ868" s="290" t="s">
        <v>280</v>
      </c>
      <c r="VXR868" s="290" t="s">
        <v>280</v>
      </c>
      <c r="VXS868" s="290" t="s">
        <v>280</v>
      </c>
      <c r="VXT868" s="290" t="s">
        <v>280</v>
      </c>
      <c r="VXU868" s="290" t="s">
        <v>280</v>
      </c>
      <c r="VXV868" s="290" t="s">
        <v>280</v>
      </c>
      <c r="VXW868" s="290" t="s">
        <v>280</v>
      </c>
      <c r="VXX868" s="290" t="s">
        <v>280</v>
      </c>
      <c r="VXY868" s="290" t="s">
        <v>280</v>
      </c>
      <c r="VXZ868" s="290" t="s">
        <v>280</v>
      </c>
      <c r="VYA868" s="290" t="s">
        <v>280</v>
      </c>
      <c r="VYB868" s="290" t="s">
        <v>280</v>
      </c>
      <c r="VYC868" s="290" t="s">
        <v>280</v>
      </c>
      <c r="VYD868" s="290" t="s">
        <v>280</v>
      </c>
      <c r="VYE868" s="290" t="s">
        <v>280</v>
      </c>
      <c r="VYF868" s="290" t="s">
        <v>280</v>
      </c>
      <c r="VYG868" s="290" t="s">
        <v>280</v>
      </c>
      <c r="VYH868" s="290" t="s">
        <v>280</v>
      </c>
      <c r="VYI868" s="290" t="s">
        <v>280</v>
      </c>
      <c r="VYJ868" s="290" t="s">
        <v>280</v>
      </c>
      <c r="VYK868" s="290" t="s">
        <v>280</v>
      </c>
      <c r="VYL868" s="290" t="s">
        <v>280</v>
      </c>
      <c r="VYM868" s="290" t="s">
        <v>280</v>
      </c>
      <c r="VYN868" s="290" t="s">
        <v>280</v>
      </c>
      <c r="VYO868" s="290" t="s">
        <v>280</v>
      </c>
      <c r="VYP868" s="290" t="s">
        <v>280</v>
      </c>
      <c r="VYQ868" s="290" t="s">
        <v>280</v>
      </c>
      <c r="VYR868" s="290" t="s">
        <v>280</v>
      </c>
      <c r="VYS868" s="290" t="s">
        <v>280</v>
      </c>
      <c r="VYT868" s="290" t="s">
        <v>280</v>
      </c>
      <c r="VYU868" s="290" t="s">
        <v>280</v>
      </c>
      <c r="VYV868" s="290" t="s">
        <v>280</v>
      </c>
      <c r="VYW868" s="290" t="s">
        <v>280</v>
      </c>
      <c r="VYX868" s="290" t="s">
        <v>280</v>
      </c>
      <c r="VYY868" s="290" t="s">
        <v>280</v>
      </c>
      <c r="VYZ868" s="290" t="s">
        <v>280</v>
      </c>
      <c r="VZA868" s="290" t="s">
        <v>280</v>
      </c>
      <c r="VZB868" s="290" t="s">
        <v>280</v>
      </c>
      <c r="VZC868" s="290" t="s">
        <v>280</v>
      </c>
      <c r="VZD868" s="290" t="s">
        <v>280</v>
      </c>
      <c r="VZE868" s="290" t="s">
        <v>280</v>
      </c>
      <c r="VZF868" s="290" t="s">
        <v>280</v>
      </c>
      <c r="VZG868" s="290" t="s">
        <v>280</v>
      </c>
      <c r="VZH868" s="290" t="s">
        <v>280</v>
      </c>
      <c r="VZI868" s="290" t="s">
        <v>280</v>
      </c>
      <c r="VZJ868" s="290" t="s">
        <v>280</v>
      </c>
      <c r="VZK868" s="290" t="s">
        <v>280</v>
      </c>
      <c r="VZL868" s="290" t="s">
        <v>280</v>
      </c>
      <c r="VZM868" s="290" t="s">
        <v>280</v>
      </c>
      <c r="VZN868" s="290" t="s">
        <v>280</v>
      </c>
      <c r="VZO868" s="290" t="s">
        <v>280</v>
      </c>
      <c r="VZP868" s="290" t="s">
        <v>280</v>
      </c>
      <c r="VZQ868" s="290" t="s">
        <v>280</v>
      </c>
      <c r="VZR868" s="290" t="s">
        <v>280</v>
      </c>
      <c r="VZS868" s="290" t="s">
        <v>280</v>
      </c>
      <c r="VZT868" s="290" t="s">
        <v>280</v>
      </c>
      <c r="VZU868" s="290" t="s">
        <v>280</v>
      </c>
      <c r="VZV868" s="290" t="s">
        <v>280</v>
      </c>
      <c r="VZW868" s="290" t="s">
        <v>280</v>
      </c>
      <c r="VZX868" s="290" t="s">
        <v>280</v>
      </c>
      <c r="VZY868" s="290" t="s">
        <v>280</v>
      </c>
      <c r="VZZ868" s="290" t="s">
        <v>280</v>
      </c>
      <c r="WAA868" s="290" t="s">
        <v>280</v>
      </c>
      <c r="WAB868" s="290" t="s">
        <v>280</v>
      </c>
      <c r="WAC868" s="290" t="s">
        <v>280</v>
      </c>
      <c r="WAD868" s="290" t="s">
        <v>280</v>
      </c>
      <c r="WAE868" s="290" t="s">
        <v>280</v>
      </c>
      <c r="WAF868" s="290" t="s">
        <v>280</v>
      </c>
      <c r="WAG868" s="290" t="s">
        <v>280</v>
      </c>
      <c r="WAH868" s="290" t="s">
        <v>280</v>
      </c>
      <c r="WAI868" s="290" t="s">
        <v>280</v>
      </c>
      <c r="WAJ868" s="290" t="s">
        <v>280</v>
      </c>
      <c r="WAK868" s="290" t="s">
        <v>280</v>
      </c>
      <c r="WAL868" s="290" t="s">
        <v>280</v>
      </c>
      <c r="WAM868" s="290" t="s">
        <v>280</v>
      </c>
      <c r="WAN868" s="290" t="s">
        <v>280</v>
      </c>
      <c r="WAO868" s="290" t="s">
        <v>280</v>
      </c>
      <c r="WAP868" s="290" t="s">
        <v>280</v>
      </c>
      <c r="WAQ868" s="290" t="s">
        <v>280</v>
      </c>
      <c r="WAR868" s="290" t="s">
        <v>280</v>
      </c>
      <c r="WAS868" s="290" t="s">
        <v>280</v>
      </c>
      <c r="WAT868" s="290" t="s">
        <v>280</v>
      </c>
      <c r="WAU868" s="290" t="s">
        <v>280</v>
      </c>
      <c r="WAV868" s="290" t="s">
        <v>280</v>
      </c>
      <c r="WAW868" s="290" t="s">
        <v>280</v>
      </c>
      <c r="WAX868" s="290" t="s">
        <v>280</v>
      </c>
      <c r="WAY868" s="290" t="s">
        <v>280</v>
      </c>
      <c r="WAZ868" s="290" t="s">
        <v>280</v>
      </c>
      <c r="WBA868" s="290" t="s">
        <v>280</v>
      </c>
      <c r="WBB868" s="290" t="s">
        <v>280</v>
      </c>
      <c r="WBC868" s="290" t="s">
        <v>280</v>
      </c>
      <c r="WBD868" s="290" t="s">
        <v>280</v>
      </c>
      <c r="WBE868" s="290" t="s">
        <v>280</v>
      </c>
      <c r="WBF868" s="290" t="s">
        <v>280</v>
      </c>
      <c r="WBG868" s="290" t="s">
        <v>280</v>
      </c>
      <c r="WBH868" s="290" t="s">
        <v>280</v>
      </c>
      <c r="WBI868" s="290" t="s">
        <v>280</v>
      </c>
      <c r="WBJ868" s="290" t="s">
        <v>280</v>
      </c>
      <c r="WBK868" s="290" t="s">
        <v>280</v>
      </c>
      <c r="WBL868" s="290" t="s">
        <v>280</v>
      </c>
      <c r="WBM868" s="290" t="s">
        <v>280</v>
      </c>
      <c r="WBN868" s="290" t="s">
        <v>280</v>
      </c>
      <c r="WBO868" s="290" t="s">
        <v>280</v>
      </c>
      <c r="WBP868" s="290" t="s">
        <v>280</v>
      </c>
      <c r="WBQ868" s="290" t="s">
        <v>280</v>
      </c>
      <c r="WBR868" s="290" t="s">
        <v>280</v>
      </c>
      <c r="WBS868" s="290" t="s">
        <v>280</v>
      </c>
      <c r="WBT868" s="290" t="s">
        <v>280</v>
      </c>
      <c r="WBU868" s="290" t="s">
        <v>280</v>
      </c>
      <c r="WBV868" s="290" t="s">
        <v>280</v>
      </c>
      <c r="WBW868" s="290" t="s">
        <v>280</v>
      </c>
      <c r="WBX868" s="290" t="s">
        <v>280</v>
      </c>
      <c r="WBY868" s="290" t="s">
        <v>280</v>
      </c>
      <c r="WBZ868" s="290" t="s">
        <v>280</v>
      </c>
      <c r="WCA868" s="290" t="s">
        <v>280</v>
      </c>
      <c r="WCB868" s="290" t="s">
        <v>280</v>
      </c>
      <c r="WCC868" s="290" t="s">
        <v>280</v>
      </c>
      <c r="WCD868" s="290" t="s">
        <v>280</v>
      </c>
      <c r="WCE868" s="290" t="s">
        <v>280</v>
      </c>
      <c r="WCF868" s="290" t="s">
        <v>280</v>
      </c>
      <c r="WCG868" s="290" t="s">
        <v>280</v>
      </c>
      <c r="WCH868" s="290" t="s">
        <v>280</v>
      </c>
      <c r="WCI868" s="290" t="s">
        <v>280</v>
      </c>
      <c r="WCJ868" s="290" t="s">
        <v>280</v>
      </c>
      <c r="WCK868" s="290" t="s">
        <v>280</v>
      </c>
      <c r="WCL868" s="290" t="s">
        <v>280</v>
      </c>
      <c r="WCM868" s="290" t="s">
        <v>280</v>
      </c>
      <c r="WCN868" s="290" t="s">
        <v>280</v>
      </c>
      <c r="WCO868" s="290" t="s">
        <v>280</v>
      </c>
      <c r="WCP868" s="290" t="s">
        <v>280</v>
      </c>
      <c r="WCQ868" s="290" t="s">
        <v>280</v>
      </c>
      <c r="WCR868" s="290" t="s">
        <v>280</v>
      </c>
      <c r="WCS868" s="290" t="s">
        <v>280</v>
      </c>
      <c r="WCT868" s="290" t="s">
        <v>280</v>
      </c>
      <c r="WCU868" s="290" t="s">
        <v>280</v>
      </c>
      <c r="WCV868" s="290" t="s">
        <v>280</v>
      </c>
      <c r="WCW868" s="290" t="s">
        <v>280</v>
      </c>
      <c r="WCX868" s="290" t="s">
        <v>280</v>
      </c>
      <c r="WCY868" s="290" t="s">
        <v>280</v>
      </c>
      <c r="WCZ868" s="290" t="s">
        <v>280</v>
      </c>
      <c r="WDA868" s="290" t="s">
        <v>280</v>
      </c>
      <c r="WDB868" s="290" t="s">
        <v>280</v>
      </c>
      <c r="WDC868" s="290" t="s">
        <v>280</v>
      </c>
      <c r="WDD868" s="290" t="s">
        <v>280</v>
      </c>
      <c r="WDE868" s="290" t="s">
        <v>280</v>
      </c>
      <c r="WDF868" s="290" t="s">
        <v>280</v>
      </c>
      <c r="WDG868" s="290" t="s">
        <v>280</v>
      </c>
      <c r="WDH868" s="290" t="s">
        <v>280</v>
      </c>
      <c r="WDI868" s="290" t="s">
        <v>280</v>
      </c>
      <c r="WDJ868" s="290" t="s">
        <v>280</v>
      </c>
      <c r="WDK868" s="290" t="s">
        <v>280</v>
      </c>
      <c r="WDL868" s="290" t="s">
        <v>280</v>
      </c>
      <c r="WDM868" s="290" t="s">
        <v>280</v>
      </c>
      <c r="WDN868" s="290" t="s">
        <v>280</v>
      </c>
      <c r="WDO868" s="290" t="s">
        <v>280</v>
      </c>
      <c r="WDP868" s="290" t="s">
        <v>280</v>
      </c>
      <c r="WDQ868" s="290" t="s">
        <v>280</v>
      </c>
      <c r="WDR868" s="290" t="s">
        <v>280</v>
      </c>
      <c r="WDS868" s="290" t="s">
        <v>280</v>
      </c>
      <c r="WDT868" s="290" t="s">
        <v>280</v>
      </c>
      <c r="WDU868" s="290" t="s">
        <v>280</v>
      </c>
      <c r="WDV868" s="290" t="s">
        <v>280</v>
      </c>
      <c r="WDW868" s="290" t="s">
        <v>280</v>
      </c>
      <c r="WDX868" s="290" t="s">
        <v>280</v>
      </c>
      <c r="WDY868" s="290" t="s">
        <v>280</v>
      </c>
      <c r="WDZ868" s="290" t="s">
        <v>280</v>
      </c>
      <c r="WEA868" s="290" t="s">
        <v>280</v>
      </c>
      <c r="WEB868" s="290" t="s">
        <v>280</v>
      </c>
      <c r="WEC868" s="290" t="s">
        <v>280</v>
      </c>
      <c r="WED868" s="290" t="s">
        <v>280</v>
      </c>
      <c r="WEE868" s="290" t="s">
        <v>280</v>
      </c>
      <c r="WEF868" s="290" t="s">
        <v>280</v>
      </c>
      <c r="WEG868" s="290" t="s">
        <v>280</v>
      </c>
      <c r="WEH868" s="290" t="s">
        <v>280</v>
      </c>
      <c r="WEI868" s="290" t="s">
        <v>280</v>
      </c>
      <c r="WEJ868" s="290" t="s">
        <v>280</v>
      </c>
      <c r="WEK868" s="290" t="s">
        <v>280</v>
      </c>
      <c r="WEL868" s="290" t="s">
        <v>280</v>
      </c>
      <c r="WEM868" s="290" t="s">
        <v>280</v>
      </c>
      <c r="WEN868" s="290" t="s">
        <v>280</v>
      </c>
      <c r="WEO868" s="290" t="s">
        <v>280</v>
      </c>
      <c r="WEP868" s="290" t="s">
        <v>280</v>
      </c>
      <c r="WEQ868" s="290" t="s">
        <v>280</v>
      </c>
      <c r="WER868" s="290" t="s">
        <v>280</v>
      </c>
      <c r="WES868" s="290" t="s">
        <v>280</v>
      </c>
      <c r="WET868" s="290" t="s">
        <v>280</v>
      </c>
      <c r="WEU868" s="290" t="s">
        <v>280</v>
      </c>
      <c r="WEV868" s="290" t="s">
        <v>280</v>
      </c>
      <c r="WEW868" s="290" t="s">
        <v>280</v>
      </c>
      <c r="WEX868" s="290" t="s">
        <v>280</v>
      </c>
      <c r="WEY868" s="290" t="s">
        <v>280</v>
      </c>
      <c r="WEZ868" s="290" t="s">
        <v>280</v>
      </c>
      <c r="WFA868" s="290" t="s">
        <v>280</v>
      </c>
      <c r="WFB868" s="290" t="s">
        <v>280</v>
      </c>
      <c r="WFC868" s="290" t="s">
        <v>280</v>
      </c>
      <c r="WFD868" s="290" t="s">
        <v>280</v>
      </c>
      <c r="WFE868" s="290" t="s">
        <v>280</v>
      </c>
      <c r="WFF868" s="290" t="s">
        <v>280</v>
      </c>
      <c r="WFG868" s="290" t="s">
        <v>280</v>
      </c>
      <c r="WFH868" s="290" t="s">
        <v>280</v>
      </c>
      <c r="WFI868" s="290" t="s">
        <v>280</v>
      </c>
      <c r="WFJ868" s="290" t="s">
        <v>280</v>
      </c>
      <c r="WFK868" s="290" t="s">
        <v>280</v>
      </c>
      <c r="WFL868" s="290" t="s">
        <v>280</v>
      </c>
      <c r="WFM868" s="290" t="s">
        <v>280</v>
      </c>
      <c r="WFN868" s="290" t="s">
        <v>280</v>
      </c>
      <c r="WFO868" s="290" t="s">
        <v>280</v>
      </c>
      <c r="WFP868" s="290" t="s">
        <v>280</v>
      </c>
      <c r="WFQ868" s="290" t="s">
        <v>280</v>
      </c>
      <c r="WFR868" s="290" t="s">
        <v>280</v>
      </c>
      <c r="WFS868" s="290" t="s">
        <v>280</v>
      </c>
      <c r="WFT868" s="290" t="s">
        <v>280</v>
      </c>
      <c r="WFU868" s="290" t="s">
        <v>280</v>
      </c>
      <c r="WFV868" s="290" t="s">
        <v>280</v>
      </c>
      <c r="WFW868" s="290" t="s">
        <v>280</v>
      </c>
      <c r="WFX868" s="290" t="s">
        <v>280</v>
      </c>
      <c r="WFY868" s="290" t="s">
        <v>280</v>
      </c>
      <c r="WFZ868" s="290" t="s">
        <v>280</v>
      </c>
      <c r="WGA868" s="290" t="s">
        <v>280</v>
      </c>
      <c r="WGB868" s="290" t="s">
        <v>280</v>
      </c>
      <c r="WGC868" s="290" t="s">
        <v>280</v>
      </c>
      <c r="WGD868" s="290" t="s">
        <v>280</v>
      </c>
      <c r="WGE868" s="290" t="s">
        <v>280</v>
      </c>
      <c r="WGF868" s="290" t="s">
        <v>280</v>
      </c>
      <c r="WGG868" s="290" t="s">
        <v>280</v>
      </c>
      <c r="WGH868" s="290" t="s">
        <v>280</v>
      </c>
      <c r="WGI868" s="290" t="s">
        <v>280</v>
      </c>
      <c r="WGJ868" s="290" t="s">
        <v>280</v>
      </c>
      <c r="WGK868" s="290" t="s">
        <v>280</v>
      </c>
      <c r="WGL868" s="290" t="s">
        <v>280</v>
      </c>
      <c r="WGM868" s="290" t="s">
        <v>280</v>
      </c>
      <c r="WGN868" s="290" t="s">
        <v>280</v>
      </c>
      <c r="WGO868" s="290" t="s">
        <v>280</v>
      </c>
      <c r="WGP868" s="290" t="s">
        <v>280</v>
      </c>
      <c r="WGQ868" s="290" t="s">
        <v>280</v>
      </c>
      <c r="WGR868" s="290" t="s">
        <v>280</v>
      </c>
      <c r="WGS868" s="290" t="s">
        <v>280</v>
      </c>
      <c r="WGT868" s="290" t="s">
        <v>280</v>
      </c>
      <c r="WGU868" s="290" t="s">
        <v>280</v>
      </c>
      <c r="WGV868" s="290" t="s">
        <v>280</v>
      </c>
      <c r="WGW868" s="290" t="s">
        <v>280</v>
      </c>
      <c r="WGX868" s="290" t="s">
        <v>280</v>
      </c>
      <c r="WGY868" s="290" t="s">
        <v>280</v>
      </c>
      <c r="WGZ868" s="290" t="s">
        <v>280</v>
      </c>
      <c r="WHA868" s="290" t="s">
        <v>280</v>
      </c>
      <c r="WHB868" s="290" t="s">
        <v>280</v>
      </c>
      <c r="WHC868" s="290" t="s">
        <v>280</v>
      </c>
      <c r="WHD868" s="290" t="s">
        <v>280</v>
      </c>
      <c r="WHE868" s="290" t="s">
        <v>280</v>
      </c>
      <c r="WHF868" s="290" t="s">
        <v>280</v>
      </c>
      <c r="WHG868" s="290" t="s">
        <v>280</v>
      </c>
      <c r="WHH868" s="290" t="s">
        <v>280</v>
      </c>
      <c r="WHI868" s="290" t="s">
        <v>280</v>
      </c>
      <c r="WHJ868" s="290" t="s">
        <v>280</v>
      </c>
      <c r="WHK868" s="290" t="s">
        <v>280</v>
      </c>
      <c r="WHL868" s="290" t="s">
        <v>280</v>
      </c>
      <c r="WHM868" s="290" t="s">
        <v>280</v>
      </c>
      <c r="WHN868" s="290" t="s">
        <v>280</v>
      </c>
      <c r="WHO868" s="290" t="s">
        <v>280</v>
      </c>
      <c r="WHP868" s="290" t="s">
        <v>280</v>
      </c>
      <c r="WHQ868" s="290" t="s">
        <v>280</v>
      </c>
      <c r="WHR868" s="290" t="s">
        <v>280</v>
      </c>
      <c r="WHS868" s="290" t="s">
        <v>280</v>
      </c>
      <c r="WHT868" s="290" t="s">
        <v>280</v>
      </c>
      <c r="WHU868" s="290" t="s">
        <v>280</v>
      </c>
      <c r="WHV868" s="290" t="s">
        <v>280</v>
      </c>
      <c r="WHW868" s="290" t="s">
        <v>280</v>
      </c>
      <c r="WHX868" s="290" t="s">
        <v>280</v>
      </c>
      <c r="WHY868" s="290" t="s">
        <v>280</v>
      </c>
      <c r="WHZ868" s="290" t="s">
        <v>280</v>
      </c>
      <c r="WIA868" s="290" t="s">
        <v>280</v>
      </c>
      <c r="WIB868" s="290" t="s">
        <v>280</v>
      </c>
      <c r="WIC868" s="290" t="s">
        <v>280</v>
      </c>
      <c r="WID868" s="290" t="s">
        <v>280</v>
      </c>
      <c r="WIE868" s="290" t="s">
        <v>280</v>
      </c>
      <c r="WIF868" s="290" t="s">
        <v>280</v>
      </c>
      <c r="WIG868" s="290" t="s">
        <v>280</v>
      </c>
      <c r="WIH868" s="290" t="s">
        <v>280</v>
      </c>
      <c r="WII868" s="290" t="s">
        <v>280</v>
      </c>
      <c r="WIJ868" s="290" t="s">
        <v>280</v>
      </c>
      <c r="WIK868" s="290" t="s">
        <v>280</v>
      </c>
      <c r="WIL868" s="290" t="s">
        <v>280</v>
      </c>
      <c r="WIM868" s="290" t="s">
        <v>280</v>
      </c>
      <c r="WIN868" s="290" t="s">
        <v>280</v>
      </c>
      <c r="WIO868" s="290" t="s">
        <v>280</v>
      </c>
      <c r="WIP868" s="290" t="s">
        <v>280</v>
      </c>
      <c r="WIQ868" s="290" t="s">
        <v>280</v>
      </c>
      <c r="WIR868" s="290" t="s">
        <v>280</v>
      </c>
      <c r="WIS868" s="290" t="s">
        <v>280</v>
      </c>
      <c r="WIT868" s="290" t="s">
        <v>280</v>
      </c>
      <c r="WIU868" s="290" t="s">
        <v>280</v>
      </c>
      <c r="WIV868" s="290" t="s">
        <v>280</v>
      </c>
      <c r="WIW868" s="290" t="s">
        <v>280</v>
      </c>
      <c r="WIX868" s="290" t="s">
        <v>280</v>
      </c>
      <c r="WIY868" s="290" t="s">
        <v>280</v>
      </c>
      <c r="WIZ868" s="290" t="s">
        <v>280</v>
      </c>
      <c r="WJA868" s="290" t="s">
        <v>280</v>
      </c>
      <c r="WJB868" s="290" t="s">
        <v>280</v>
      </c>
      <c r="WJC868" s="290" t="s">
        <v>280</v>
      </c>
      <c r="WJD868" s="290" t="s">
        <v>280</v>
      </c>
      <c r="WJE868" s="290" t="s">
        <v>280</v>
      </c>
      <c r="WJF868" s="290" t="s">
        <v>280</v>
      </c>
      <c r="WJG868" s="290" t="s">
        <v>280</v>
      </c>
      <c r="WJH868" s="290" t="s">
        <v>280</v>
      </c>
      <c r="WJI868" s="290" t="s">
        <v>280</v>
      </c>
      <c r="WJJ868" s="290" t="s">
        <v>280</v>
      </c>
      <c r="WJK868" s="290" t="s">
        <v>280</v>
      </c>
      <c r="WJL868" s="290" t="s">
        <v>280</v>
      </c>
      <c r="WJM868" s="290" t="s">
        <v>280</v>
      </c>
      <c r="WJN868" s="290" t="s">
        <v>280</v>
      </c>
      <c r="WJO868" s="290" t="s">
        <v>280</v>
      </c>
      <c r="WJP868" s="290" t="s">
        <v>280</v>
      </c>
      <c r="WJQ868" s="290" t="s">
        <v>280</v>
      </c>
      <c r="WJR868" s="290" t="s">
        <v>280</v>
      </c>
      <c r="WJS868" s="290" t="s">
        <v>280</v>
      </c>
      <c r="WJT868" s="290" t="s">
        <v>280</v>
      </c>
      <c r="WJU868" s="290" t="s">
        <v>280</v>
      </c>
      <c r="WJV868" s="290" t="s">
        <v>280</v>
      </c>
      <c r="WJW868" s="290" t="s">
        <v>280</v>
      </c>
      <c r="WJX868" s="290" t="s">
        <v>280</v>
      </c>
      <c r="WJY868" s="290" t="s">
        <v>280</v>
      </c>
      <c r="WJZ868" s="290" t="s">
        <v>280</v>
      </c>
      <c r="WKA868" s="290" t="s">
        <v>280</v>
      </c>
      <c r="WKB868" s="290" t="s">
        <v>280</v>
      </c>
      <c r="WKC868" s="290" t="s">
        <v>280</v>
      </c>
      <c r="WKD868" s="290" t="s">
        <v>280</v>
      </c>
      <c r="WKE868" s="290" t="s">
        <v>280</v>
      </c>
      <c r="WKF868" s="290" t="s">
        <v>280</v>
      </c>
      <c r="WKG868" s="290" t="s">
        <v>280</v>
      </c>
      <c r="WKH868" s="290" t="s">
        <v>280</v>
      </c>
      <c r="WKI868" s="290" t="s">
        <v>280</v>
      </c>
      <c r="WKJ868" s="290" t="s">
        <v>280</v>
      </c>
      <c r="WKK868" s="290" t="s">
        <v>280</v>
      </c>
      <c r="WKL868" s="290" t="s">
        <v>280</v>
      </c>
      <c r="WKM868" s="290" t="s">
        <v>280</v>
      </c>
      <c r="WKN868" s="290" t="s">
        <v>280</v>
      </c>
      <c r="WKO868" s="290" t="s">
        <v>280</v>
      </c>
      <c r="WKP868" s="290" t="s">
        <v>280</v>
      </c>
      <c r="WKQ868" s="290" t="s">
        <v>280</v>
      </c>
      <c r="WKR868" s="290" t="s">
        <v>280</v>
      </c>
      <c r="WKS868" s="290" t="s">
        <v>280</v>
      </c>
      <c r="WKT868" s="290" t="s">
        <v>280</v>
      </c>
      <c r="WKU868" s="290" t="s">
        <v>280</v>
      </c>
      <c r="WKV868" s="290" t="s">
        <v>280</v>
      </c>
      <c r="WKW868" s="290" t="s">
        <v>280</v>
      </c>
      <c r="WKX868" s="290" t="s">
        <v>280</v>
      </c>
      <c r="WKY868" s="290" t="s">
        <v>280</v>
      </c>
      <c r="WKZ868" s="290" t="s">
        <v>280</v>
      </c>
      <c r="WLA868" s="290" t="s">
        <v>280</v>
      </c>
      <c r="WLB868" s="290" t="s">
        <v>280</v>
      </c>
      <c r="WLC868" s="290" t="s">
        <v>280</v>
      </c>
      <c r="WLD868" s="290" t="s">
        <v>280</v>
      </c>
      <c r="WLE868" s="290" t="s">
        <v>280</v>
      </c>
      <c r="WLF868" s="290" t="s">
        <v>280</v>
      </c>
      <c r="WLG868" s="290" t="s">
        <v>280</v>
      </c>
      <c r="WLH868" s="290" t="s">
        <v>280</v>
      </c>
      <c r="WLI868" s="290" t="s">
        <v>280</v>
      </c>
      <c r="WLJ868" s="290" t="s">
        <v>280</v>
      </c>
      <c r="WLK868" s="290" t="s">
        <v>280</v>
      </c>
      <c r="WLL868" s="290" t="s">
        <v>280</v>
      </c>
      <c r="WLM868" s="290" t="s">
        <v>280</v>
      </c>
      <c r="WLN868" s="290" t="s">
        <v>280</v>
      </c>
      <c r="WLO868" s="290" t="s">
        <v>280</v>
      </c>
      <c r="WLP868" s="290" t="s">
        <v>280</v>
      </c>
      <c r="WLQ868" s="290" t="s">
        <v>280</v>
      </c>
      <c r="WLR868" s="290" t="s">
        <v>280</v>
      </c>
      <c r="WLS868" s="290" t="s">
        <v>280</v>
      </c>
      <c r="WLT868" s="290" t="s">
        <v>280</v>
      </c>
      <c r="WLU868" s="290" t="s">
        <v>280</v>
      </c>
      <c r="WLV868" s="290" t="s">
        <v>280</v>
      </c>
      <c r="WLW868" s="290" t="s">
        <v>280</v>
      </c>
      <c r="WLX868" s="290" t="s">
        <v>280</v>
      </c>
      <c r="WLY868" s="290" t="s">
        <v>280</v>
      </c>
      <c r="WLZ868" s="290" t="s">
        <v>280</v>
      </c>
      <c r="WMA868" s="290" t="s">
        <v>280</v>
      </c>
      <c r="WMB868" s="290" t="s">
        <v>280</v>
      </c>
      <c r="WMC868" s="290" t="s">
        <v>280</v>
      </c>
      <c r="WMD868" s="290" t="s">
        <v>280</v>
      </c>
      <c r="WME868" s="290" t="s">
        <v>280</v>
      </c>
      <c r="WMF868" s="290" t="s">
        <v>280</v>
      </c>
      <c r="WMG868" s="290" t="s">
        <v>280</v>
      </c>
      <c r="WMH868" s="290" t="s">
        <v>280</v>
      </c>
      <c r="WMI868" s="290" t="s">
        <v>280</v>
      </c>
      <c r="WMJ868" s="290" t="s">
        <v>280</v>
      </c>
      <c r="WMK868" s="290" t="s">
        <v>280</v>
      </c>
      <c r="WML868" s="290" t="s">
        <v>280</v>
      </c>
      <c r="WMM868" s="290" t="s">
        <v>280</v>
      </c>
      <c r="WMN868" s="290" t="s">
        <v>280</v>
      </c>
      <c r="WMO868" s="290" t="s">
        <v>280</v>
      </c>
      <c r="WMP868" s="290" t="s">
        <v>280</v>
      </c>
      <c r="WMQ868" s="290" t="s">
        <v>280</v>
      </c>
      <c r="WMR868" s="290" t="s">
        <v>280</v>
      </c>
      <c r="WMS868" s="290" t="s">
        <v>280</v>
      </c>
      <c r="WMT868" s="290" t="s">
        <v>280</v>
      </c>
      <c r="WMU868" s="290" t="s">
        <v>280</v>
      </c>
      <c r="WMV868" s="290" t="s">
        <v>280</v>
      </c>
      <c r="WMW868" s="290" t="s">
        <v>280</v>
      </c>
      <c r="WMX868" s="290" t="s">
        <v>280</v>
      </c>
      <c r="WMY868" s="290" t="s">
        <v>280</v>
      </c>
      <c r="WMZ868" s="290" t="s">
        <v>280</v>
      </c>
      <c r="WNA868" s="290" t="s">
        <v>280</v>
      </c>
      <c r="WNB868" s="290" t="s">
        <v>280</v>
      </c>
      <c r="WNC868" s="290" t="s">
        <v>280</v>
      </c>
      <c r="WND868" s="290" t="s">
        <v>280</v>
      </c>
      <c r="WNE868" s="290" t="s">
        <v>280</v>
      </c>
      <c r="WNF868" s="290" t="s">
        <v>280</v>
      </c>
      <c r="WNG868" s="290" t="s">
        <v>280</v>
      </c>
      <c r="WNH868" s="290" t="s">
        <v>280</v>
      </c>
      <c r="WNI868" s="290" t="s">
        <v>280</v>
      </c>
      <c r="WNJ868" s="290" t="s">
        <v>280</v>
      </c>
      <c r="WNK868" s="290" t="s">
        <v>280</v>
      </c>
      <c r="WNL868" s="290" t="s">
        <v>280</v>
      </c>
      <c r="WNM868" s="290" t="s">
        <v>280</v>
      </c>
      <c r="WNN868" s="290" t="s">
        <v>280</v>
      </c>
      <c r="WNO868" s="290" t="s">
        <v>280</v>
      </c>
      <c r="WNP868" s="290" t="s">
        <v>280</v>
      </c>
      <c r="WNQ868" s="290" t="s">
        <v>280</v>
      </c>
      <c r="WNR868" s="290" t="s">
        <v>280</v>
      </c>
      <c r="WNS868" s="290" t="s">
        <v>280</v>
      </c>
      <c r="WNT868" s="290" t="s">
        <v>280</v>
      </c>
      <c r="WNU868" s="290" t="s">
        <v>280</v>
      </c>
      <c r="WNV868" s="290" t="s">
        <v>280</v>
      </c>
      <c r="WNW868" s="290" t="s">
        <v>280</v>
      </c>
      <c r="WNX868" s="290" t="s">
        <v>280</v>
      </c>
      <c r="WNY868" s="290" t="s">
        <v>280</v>
      </c>
      <c r="WNZ868" s="290" t="s">
        <v>280</v>
      </c>
      <c r="WOA868" s="290" t="s">
        <v>280</v>
      </c>
      <c r="WOB868" s="290" t="s">
        <v>280</v>
      </c>
      <c r="WOC868" s="290" t="s">
        <v>280</v>
      </c>
      <c r="WOD868" s="290" t="s">
        <v>280</v>
      </c>
      <c r="WOE868" s="290" t="s">
        <v>280</v>
      </c>
      <c r="WOF868" s="290" t="s">
        <v>280</v>
      </c>
      <c r="WOG868" s="290" t="s">
        <v>280</v>
      </c>
      <c r="WOH868" s="290" t="s">
        <v>280</v>
      </c>
      <c r="WOI868" s="290" t="s">
        <v>280</v>
      </c>
      <c r="WOJ868" s="290" t="s">
        <v>280</v>
      </c>
      <c r="WOK868" s="290" t="s">
        <v>280</v>
      </c>
      <c r="WOL868" s="290" t="s">
        <v>280</v>
      </c>
      <c r="WOM868" s="290" t="s">
        <v>280</v>
      </c>
      <c r="WON868" s="290" t="s">
        <v>280</v>
      </c>
      <c r="WOO868" s="290" t="s">
        <v>280</v>
      </c>
      <c r="WOP868" s="290" t="s">
        <v>280</v>
      </c>
      <c r="WOQ868" s="290" t="s">
        <v>280</v>
      </c>
      <c r="WOR868" s="290" t="s">
        <v>280</v>
      </c>
      <c r="WOS868" s="290" t="s">
        <v>280</v>
      </c>
      <c r="WOT868" s="290" t="s">
        <v>280</v>
      </c>
      <c r="WOU868" s="290" t="s">
        <v>280</v>
      </c>
      <c r="WOV868" s="290" t="s">
        <v>280</v>
      </c>
      <c r="WOW868" s="290" t="s">
        <v>280</v>
      </c>
      <c r="WOX868" s="290" t="s">
        <v>280</v>
      </c>
      <c r="WOY868" s="290" t="s">
        <v>280</v>
      </c>
      <c r="WOZ868" s="290" t="s">
        <v>280</v>
      </c>
      <c r="WPA868" s="290" t="s">
        <v>280</v>
      </c>
      <c r="WPB868" s="290" t="s">
        <v>280</v>
      </c>
      <c r="WPC868" s="290" t="s">
        <v>280</v>
      </c>
      <c r="WPD868" s="290" t="s">
        <v>280</v>
      </c>
      <c r="WPE868" s="290" t="s">
        <v>280</v>
      </c>
      <c r="WPF868" s="290" t="s">
        <v>280</v>
      </c>
      <c r="WPG868" s="290" t="s">
        <v>280</v>
      </c>
      <c r="WPH868" s="290" t="s">
        <v>280</v>
      </c>
      <c r="WPI868" s="290" t="s">
        <v>280</v>
      </c>
      <c r="WPJ868" s="290" t="s">
        <v>280</v>
      </c>
      <c r="WPK868" s="290" t="s">
        <v>280</v>
      </c>
      <c r="WPL868" s="290" t="s">
        <v>280</v>
      </c>
      <c r="WPM868" s="290" t="s">
        <v>280</v>
      </c>
      <c r="WPN868" s="290" t="s">
        <v>280</v>
      </c>
      <c r="WPO868" s="290" t="s">
        <v>280</v>
      </c>
      <c r="WPP868" s="290" t="s">
        <v>280</v>
      </c>
      <c r="WPQ868" s="290" t="s">
        <v>280</v>
      </c>
      <c r="WPR868" s="290" t="s">
        <v>280</v>
      </c>
      <c r="WPS868" s="290" t="s">
        <v>280</v>
      </c>
      <c r="WPT868" s="290" t="s">
        <v>280</v>
      </c>
      <c r="WPU868" s="290" t="s">
        <v>280</v>
      </c>
      <c r="WPV868" s="290" t="s">
        <v>280</v>
      </c>
      <c r="WPW868" s="290" t="s">
        <v>280</v>
      </c>
      <c r="WPX868" s="290" t="s">
        <v>280</v>
      </c>
      <c r="WPY868" s="290" t="s">
        <v>280</v>
      </c>
      <c r="WPZ868" s="290" t="s">
        <v>280</v>
      </c>
      <c r="WQA868" s="290" t="s">
        <v>280</v>
      </c>
      <c r="WQB868" s="290" t="s">
        <v>280</v>
      </c>
      <c r="WQC868" s="290" t="s">
        <v>280</v>
      </c>
      <c r="WQD868" s="290" t="s">
        <v>280</v>
      </c>
      <c r="WQE868" s="290" t="s">
        <v>280</v>
      </c>
      <c r="WQF868" s="290" t="s">
        <v>280</v>
      </c>
      <c r="WQG868" s="290" t="s">
        <v>280</v>
      </c>
      <c r="WQH868" s="290" t="s">
        <v>280</v>
      </c>
      <c r="WQI868" s="290" t="s">
        <v>280</v>
      </c>
      <c r="WQJ868" s="290" t="s">
        <v>280</v>
      </c>
      <c r="WQK868" s="290" t="s">
        <v>280</v>
      </c>
      <c r="WQL868" s="290" t="s">
        <v>280</v>
      </c>
      <c r="WQM868" s="290" t="s">
        <v>280</v>
      </c>
      <c r="WQN868" s="290" t="s">
        <v>280</v>
      </c>
      <c r="WQO868" s="290" t="s">
        <v>280</v>
      </c>
      <c r="WQP868" s="290" t="s">
        <v>280</v>
      </c>
      <c r="WQQ868" s="290" t="s">
        <v>280</v>
      </c>
      <c r="WQR868" s="290" t="s">
        <v>280</v>
      </c>
      <c r="WQS868" s="290" t="s">
        <v>280</v>
      </c>
      <c r="WQT868" s="290" t="s">
        <v>280</v>
      </c>
      <c r="WQU868" s="290" t="s">
        <v>280</v>
      </c>
      <c r="WQV868" s="290" t="s">
        <v>280</v>
      </c>
      <c r="WQW868" s="290" t="s">
        <v>280</v>
      </c>
      <c r="WQX868" s="290" t="s">
        <v>280</v>
      </c>
      <c r="WQY868" s="290" t="s">
        <v>280</v>
      </c>
      <c r="WQZ868" s="290" t="s">
        <v>280</v>
      </c>
      <c r="WRA868" s="290" t="s">
        <v>280</v>
      </c>
      <c r="WRB868" s="290" t="s">
        <v>280</v>
      </c>
      <c r="WRC868" s="290" t="s">
        <v>280</v>
      </c>
      <c r="WRD868" s="290" t="s">
        <v>280</v>
      </c>
      <c r="WRE868" s="290" t="s">
        <v>280</v>
      </c>
      <c r="WRF868" s="290" t="s">
        <v>280</v>
      </c>
      <c r="WRG868" s="290" t="s">
        <v>280</v>
      </c>
      <c r="WRH868" s="290" t="s">
        <v>280</v>
      </c>
      <c r="WRI868" s="290" t="s">
        <v>280</v>
      </c>
      <c r="WRJ868" s="290" t="s">
        <v>280</v>
      </c>
      <c r="WRK868" s="290" t="s">
        <v>280</v>
      </c>
      <c r="WRL868" s="290" t="s">
        <v>280</v>
      </c>
      <c r="WRM868" s="290" t="s">
        <v>280</v>
      </c>
      <c r="WRN868" s="290" t="s">
        <v>280</v>
      </c>
      <c r="WRO868" s="290" t="s">
        <v>280</v>
      </c>
      <c r="WRP868" s="290" t="s">
        <v>280</v>
      </c>
      <c r="WRQ868" s="290" t="s">
        <v>280</v>
      </c>
      <c r="WRR868" s="290" t="s">
        <v>280</v>
      </c>
      <c r="WRS868" s="290" t="s">
        <v>280</v>
      </c>
      <c r="WRT868" s="290" t="s">
        <v>280</v>
      </c>
      <c r="WRU868" s="290" t="s">
        <v>280</v>
      </c>
      <c r="WRV868" s="290" t="s">
        <v>280</v>
      </c>
      <c r="WRW868" s="290" t="s">
        <v>280</v>
      </c>
      <c r="WRX868" s="290" t="s">
        <v>280</v>
      </c>
      <c r="WRY868" s="290" t="s">
        <v>280</v>
      </c>
      <c r="WRZ868" s="290" t="s">
        <v>280</v>
      </c>
      <c r="WSA868" s="290" t="s">
        <v>280</v>
      </c>
      <c r="WSB868" s="290" t="s">
        <v>280</v>
      </c>
      <c r="WSC868" s="290" t="s">
        <v>280</v>
      </c>
      <c r="WSD868" s="290" t="s">
        <v>280</v>
      </c>
      <c r="WSE868" s="290" t="s">
        <v>280</v>
      </c>
      <c r="WSF868" s="290" t="s">
        <v>280</v>
      </c>
      <c r="WSG868" s="290" t="s">
        <v>280</v>
      </c>
      <c r="WSH868" s="290" t="s">
        <v>280</v>
      </c>
      <c r="WSI868" s="290" t="s">
        <v>280</v>
      </c>
      <c r="WSJ868" s="290" t="s">
        <v>280</v>
      </c>
      <c r="WSK868" s="290" t="s">
        <v>280</v>
      </c>
      <c r="WSL868" s="290" t="s">
        <v>280</v>
      </c>
      <c r="WSM868" s="290" t="s">
        <v>280</v>
      </c>
      <c r="WSN868" s="290" t="s">
        <v>280</v>
      </c>
      <c r="WSO868" s="290" t="s">
        <v>280</v>
      </c>
      <c r="WSP868" s="290" t="s">
        <v>280</v>
      </c>
      <c r="WSQ868" s="290" t="s">
        <v>280</v>
      </c>
      <c r="WSR868" s="290" t="s">
        <v>280</v>
      </c>
      <c r="WSS868" s="290" t="s">
        <v>280</v>
      </c>
      <c r="WST868" s="290" t="s">
        <v>280</v>
      </c>
      <c r="WSU868" s="290" t="s">
        <v>280</v>
      </c>
      <c r="WSV868" s="290" t="s">
        <v>280</v>
      </c>
      <c r="WSW868" s="290" t="s">
        <v>280</v>
      </c>
      <c r="WSX868" s="290" t="s">
        <v>280</v>
      </c>
      <c r="WSY868" s="290" t="s">
        <v>280</v>
      </c>
      <c r="WSZ868" s="290" t="s">
        <v>280</v>
      </c>
      <c r="WTA868" s="290" t="s">
        <v>280</v>
      </c>
      <c r="WTB868" s="290" t="s">
        <v>280</v>
      </c>
      <c r="WTC868" s="290" t="s">
        <v>280</v>
      </c>
      <c r="WTD868" s="290" t="s">
        <v>280</v>
      </c>
      <c r="WTE868" s="290" t="s">
        <v>280</v>
      </c>
      <c r="WTF868" s="290" t="s">
        <v>280</v>
      </c>
      <c r="WTG868" s="290" t="s">
        <v>280</v>
      </c>
      <c r="WTH868" s="290" t="s">
        <v>280</v>
      </c>
      <c r="WTI868" s="290" t="s">
        <v>280</v>
      </c>
      <c r="WTJ868" s="290" t="s">
        <v>280</v>
      </c>
      <c r="WTK868" s="290" t="s">
        <v>280</v>
      </c>
      <c r="WTL868" s="290" t="s">
        <v>280</v>
      </c>
      <c r="WTM868" s="290" t="s">
        <v>280</v>
      </c>
      <c r="WTN868" s="290" t="s">
        <v>280</v>
      </c>
      <c r="WTO868" s="290" t="s">
        <v>280</v>
      </c>
      <c r="WTP868" s="290" t="s">
        <v>280</v>
      </c>
      <c r="WTQ868" s="290" t="s">
        <v>280</v>
      </c>
      <c r="WTR868" s="290" t="s">
        <v>280</v>
      </c>
      <c r="WTS868" s="290" t="s">
        <v>280</v>
      </c>
      <c r="WTT868" s="290" t="s">
        <v>280</v>
      </c>
      <c r="WTU868" s="290" t="s">
        <v>280</v>
      </c>
      <c r="WTV868" s="290" t="s">
        <v>280</v>
      </c>
      <c r="WTW868" s="290" t="s">
        <v>280</v>
      </c>
      <c r="WTX868" s="290" t="s">
        <v>280</v>
      </c>
      <c r="WTY868" s="290" t="s">
        <v>280</v>
      </c>
      <c r="WTZ868" s="290" t="s">
        <v>280</v>
      </c>
      <c r="WUA868" s="290" t="s">
        <v>280</v>
      </c>
      <c r="WUB868" s="290" t="s">
        <v>280</v>
      </c>
      <c r="WUC868" s="290" t="s">
        <v>280</v>
      </c>
      <c r="WUD868" s="290" t="s">
        <v>280</v>
      </c>
      <c r="WUE868" s="290" t="s">
        <v>280</v>
      </c>
      <c r="WUF868" s="290" t="s">
        <v>280</v>
      </c>
      <c r="WUG868" s="290" t="s">
        <v>280</v>
      </c>
      <c r="WUH868" s="290" t="s">
        <v>280</v>
      </c>
      <c r="WUI868" s="290" t="s">
        <v>280</v>
      </c>
      <c r="WUJ868" s="290" t="s">
        <v>280</v>
      </c>
      <c r="WUK868" s="290" t="s">
        <v>280</v>
      </c>
      <c r="WUL868" s="290" t="s">
        <v>280</v>
      </c>
      <c r="WUM868" s="290" t="s">
        <v>280</v>
      </c>
      <c r="WUN868" s="290" t="s">
        <v>280</v>
      </c>
      <c r="WUO868" s="290" t="s">
        <v>280</v>
      </c>
      <c r="WUP868" s="290" t="s">
        <v>280</v>
      </c>
      <c r="WUQ868" s="290" t="s">
        <v>280</v>
      </c>
      <c r="WUR868" s="290" t="s">
        <v>280</v>
      </c>
      <c r="WUS868" s="290" t="s">
        <v>280</v>
      </c>
      <c r="WUT868" s="290" t="s">
        <v>280</v>
      </c>
      <c r="WUU868" s="290" t="s">
        <v>280</v>
      </c>
      <c r="WUV868" s="290" t="s">
        <v>280</v>
      </c>
      <c r="WUW868" s="290" t="s">
        <v>280</v>
      </c>
      <c r="WUX868" s="290" t="s">
        <v>280</v>
      </c>
      <c r="WUY868" s="290" t="s">
        <v>280</v>
      </c>
      <c r="WUZ868" s="290" t="s">
        <v>280</v>
      </c>
      <c r="WVA868" s="290" t="s">
        <v>280</v>
      </c>
      <c r="WVB868" s="290" t="s">
        <v>280</v>
      </c>
      <c r="WVC868" s="290" t="s">
        <v>280</v>
      </c>
      <c r="WVD868" s="290" t="s">
        <v>280</v>
      </c>
      <c r="WVE868" s="290" t="s">
        <v>280</v>
      </c>
      <c r="WVF868" s="290" t="s">
        <v>280</v>
      </c>
      <c r="WVG868" s="290" t="s">
        <v>280</v>
      </c>
      <c r="WVH868" s="290" t="s">
        <v>280</v>
      </c>
      <c r="WVI868" s="290" t="s">
        <v>280</v>
      </c>
      <c r="WVJ868" s="290" t="s">
        <v>280</v>
      </c>
      <c r="WVK868" s="290" t="s">
        <v>280</v>
      </c>
      <c r="WVL868" s="290" t="s">
        <v>280</v>
      </c>
      <c r="WVM868" s="290" t="s">
        <v>280</v>
      </c>
      <c r="WVN868" s="290" t="s">
        <v>280</v>
      </c>
      <c r="WVO868" s="290" t="s">
        <v>280</v>
      </c>
      <c r="WVP868" s="290" t="s">
        <v>280</v>
      </c>
      <c r="WVQ868" s="290" t="s">
        <v>280</v>
      </c>
      <c r="WVR868" s="290" t="s">
        <v>280</v>
      </c>
      <c r="WVS868" s="290" t="s">
        <v>280</v>
      </c>
      <c r="WVT868" s="290" t="s">
        <v>280</v>
      </c>
      <c r="WVU868" s="290" t="s">
        <v>280</v>
      </c>
      <c r="WVV868" s="290" t="s">
        <v>280</v>
      </c>
      <c r="WVW868" s="290" t="s">
        <v>280</v>
      </c>
      <c r="WVX868" s="290" t="s">
        <v>280</v>
      </c>
      <c r="WVY868" s="290" t="s">
        <v>280</v>
      </c>
      <c r="WVZ868" s="290" t="s">
        <v>280</v>
      </c>
      <c r="WWA868" s="290" t="s">
        <v>280</v>
      </c>
      <c r="WWB868" s="290" t="s">
        <v>280</v>
      </c>
      <c r="WWC868" s="290" t="s">
        <v>280</v>
      </c>
      <c r="WWD868" s="290" t="s">
        <v>280</v>
      </c>
      <c r="WWE868" s="290" t="s">
        <v>280</v>
      </c>
      <c r="WWF868" s="290" t="s">
        <v>280</v>
      </c>
      <c r="WWG868" s="290" t="s">
        <v>280</v>
      </c>
      <c r="WWH868" s="290" t="s">
        <v>280</v>
      </c>
      <c r="WWI868" s="290" t="s">
        <v>280</v>
      </c>
      <c r="WWJ868" s="290" t="s">
        <v>280</v>
      </c>
      <c r="WWK868" s="290" t="s">
        <v>280</v>
      </c>
      <c r="WWL868" s="290" t="s">
        <v>280</v>
      </c>
      <c r="WWM868" s="290" t="s">
        <v>280</v>
      </c>
      <c r="WWN868" s="290" t="s">
        <v>280</v>
      </c>
      <c r="WWO868" s="290" t="s">
        <v>280</v>
      </c>
      <c r="WWP868" s="290" t="s">
        <v>280</v>
      </c>
      <c r="WWQ868" s="290" t="s">
        <v>280</v>
      </c>
      <c r="WWR868" s="290" t="s">
        <v>280</v>
      </c>
      <c r="WWS868" s="290" t="s">
        <v>280</v>
      </c>
      <c r="WWT868" s="290" t="s">
        <v>280</v>
      </c>
      <c r="WWU868" s="290" t="s">
        <v>280</v>
      </c>
      <c r="WWV868" s="290" t="s">
        <v>280</v>
      </c>
      <c r="WWW868" s="290" t="s">
        <v>280</v>
      </c>
      <c r="WWX868" s="290" t="s">
        <v>280</v>
      </c>
      <c r="WWY868" s="290" t="s">
        <v>280</v>
      </c>
      <c r="WWZ868" s="290" t="s">
        <v>280</v>
      </c>
      <c r="WXA868" s="290" t="s">
        <v>280</v>
      </c>
      <c r="WXB868" s="290" t="s">
        <v>280</v>
      </c>
      <c r="WXC868" s="290" t="s">
        <v>280</v>
      </c>
      <c r="WXD868" s="290" t="s">
        <v>280</v>
      </c>
      <c r="WXE868" s="290" t="s">
        <v>280</v>
      </c>
      <c r="WXF868" s="290" t="s">
        <v>280</v>
      </c>
      <c r="WXG868" s="290" t="s">
        <v>280</v>
      </c>
      <c r="WXH868" s="290" t="s">
        <v>280</v>
      </c>
      <c r="WXI868" s="290" t="s">
        <v>280</v>
      </c>
      <c r="WXJ868" s="290" t="s">
        <v>280</v>
      </c>
      <c r="WXK868" s="290" t="s">
        <v>280</v>
      </c>
      <c r="WXL868" s="290" t="s">
        <v>280</v>
      </c>
      <c r="WXM868" s="290" t="s">
        <v>280</v>
      </c>
      <c r="WXN868" s="290" t="s">
        <v>280</v>
      </c>
      <c r="WXO868" s="290" t="s">
        <v>280</v>
      </c>
      <c r="WXP868" s="290" t="s">
        <v>280</v>
      </c>
      <c r="WXQ868" s="290" t="s">
        <v>280</v>
      </c>
      <c r="WXR868" s="290" t="s">
        <v>280</v>
      </c>
      <c r="WXS868" s="290" t="s">
        <v>280</v>
      </c>
      <c r="WXT868" s="290" t="s">
        <v>280</v>
      </c>
      <c r="WXU868" s="290" t="s">
        <v>280</v>
      </c>
      <c r="WXV868" s="290" t="s">
        <v>280</v>
      </c>
      <c r="WXW868" s="290" t="s">
        <v>280</v>
      </c>
      <c r="WXX868" s="290" t="s">
        <v>280</v>
      </c>
      <c r="WXY868" s="290" t="s">
        <v>280</v>
      </c>
      <c r="WXZ868" s="290" t="s">
        <v>280</v>
      </c>
      <c r="WYA868" s="290" t="s">
        <v>280</v>
      </c>
      <c r="WYB868" s="290" t="s">
        <v>280</v>
      </c>
      <c r="WYC868" s="290" t="s">
        <v>280</v>
      </c>
      <c r="WYD868" s="290" t="s">
        <v>280</v>
      </c>
      <c r="WYE868" s="290" t="s">
        <v>280</v>
      </c>
      <c r="WYF868" s="290" t="s">
        <v>280</v>
      </c>
      <c r="WYG868" s="290" t="s">
        <v>280</v>
      </c>
      <c r="WYH868" s="290" t="s">
        <v>280</v>
      </c>
      <c r="WYI868" s="290" t="s">
        <v>280</v>
      </c>
      <c r="WYJ868" s="290" t="s">
        <v>280</v>
      </c>
      <c r="WYK868" s="290" t="s">
        <v>280</v>
      </c>
      <c r="WYL868" s="290" t="s">
        <v>280</v>
      </c>
      <c r="WYM868" s="290" t="s">
        <v>280</v>
      </c>
      <c r="WYN868" s="290" t="s">
        <v>280</v>
      </c>
      <c r="WYO868" s="290" t="s">
        <v>280</v>
      </c>
      <c r="WYP868" s="290" t="s">
        <v>280</v>
      </c>
      <c r="WYQ868" s="290" t="s">
        <v>280</v>
      </c>
      <c r="WYR868" s="290" t="s">
        <v>280</v>
      </c>
      <c r="WYS868" s="290" t="s">
        <v>280</v>
      </c>
      <c r="WYT868" s="290" t="s">
        <v>280</v>
      </c>
      <c r="WYU868" s="290" t="s">
        <v>280</v>
      </c>
      <c r="WYV868" s="290" t="s">
        <v>280</v>
      </c>
      <c r="WYW868" s="290" t="s">
        <v>280</v>
      </c>
      <c r="WYX868" s="290" t="s">
        <v>280</v>
      </c>
      <c r="WYY868" s="290" t="s">
        <v>280</v>
      </c>
      <c r="WYZ868" s="290" t="s">
        <v>280</v>
      </c>
      <c r="WZA868" s="290" t="s">
        <v>280</v>
      </c>
      <c r="WZB868" s="290" t="s">
        <v>280</v>
      </c>
      <c r="WZC868" s="290" t="s">
        <v>280</v>
      </c>
      <c r="WZD868" s="290" t="s">
        <v>280</v>
      </c>
      <c r="WZE868" s="290" t="s">
        <v>280</v>
      </c>
      <c r="WZF868" s="290" t="s">
        <v>280</v>
      </c>
      <c r="WZG868" s="290" t="s">
        <v>280</v>
      </c>
      <c r="WZH868" s="290" t="s">
        <v>280</v>
      </c>
      <c r="WZI868" s="290" t="s">
        <v>280</v>
      </c>
      <c r="WZJ868" s="290" t="s">
        <v>280</v>
      </c>
      <c r="WZK868" s="290" t="s">
        <v>280</v>
      </c>
      <c r="WZL868" s="290" t="s">
        <v>280</v>
      </c>
      <c r="WZM868" s="290" t="s">
        <v>280</v>
      </c>
      <c r="WZN868" s="290" t="s">
        <v>280</v>
      </c>
      <c r="WZO868" s="290" t="s">
        <v>280</v>
      </c>
      <c r="WZP868" s="290" t="s">
        <v>280</v>
      </c>
      <c r="WZQ868" s="290" t="s">
        <v>280</v>
      </c>
      <c r="WZR868" s="290" t="s">
        <v>280</v>
      </c>
      <c r="WZS868" s="290" t="s">
        <v>280</v>
      </c>
      <c r="WZT868" s="290" t="s">
        <v>280</v>
      </c>
      <c r="WZU868" s="290" t="s">
        <v>280</v>
      </c>
      <c r="WZV868" s="290" t="s">
        <v>280</v>
      </c>
      <c r="WZW868" s="290" t="s">
        <v>280</v>
      </c>
      <c r="WZX868" s="290" t="s">
        <v>280</v>
      </c>
      <c r="WZY868" s="290" t="s">
        <v>280</v>
      </c>
      <c r="WZZ868" s="290" t="s">
        <v>280</v>
      </c>
      <c r="XAA868" s="290" t="s">
        <v>280</v>
      </c>
      <c r="XAB868" s="290" t="s">
        <v>280</v>
      </c>
      <c r="XAC868" s="290" t="s">
        <v>280</v>
      </c>
      <c r="XAD868" s="290" t="s">
        <v>280</v>
      </c>
      <c r="XAE868" s="290" t="s">
        <v>280</v>
      </c>
      <c r="XAF868" s="290" t="s">
        <v>280</v>
      </c>
      <c r="XAG868" s="290" t="s">
        <v>280</v>
      </c>
      <c r="XAH868" s="290" t="s">
        <v>280</v>
      </c>
      <c r="XAI868" s="290" t="s">
        <v>280</v>
      </c>
      <c r="XAJ868" s="290" t="s">
        <v>280</v>
      </c>
      <c r="XAK868" s="290" t="s">
        <v>280</v>
      </c>
      <c r="XAL868" s="290" t="s">
        <v>280</v>
      </c>
      <c r="XAM868" s="290" t="s">
        <v>280</v>
      </c>
      <c r="XAN868" s="290" t="s">
        <v>280</v>
      </c>
      <c r="XAO868" s="290" t="s">
        <v>280</v>
      </c>
      <c r="XAP868" s="290" t="s">
        <v>280</v>
      </c>
      <c r="XAQ868" s="290" t="s">
        <v>280</v>
      </c>
      <c r="XAR868" s="290" t="s">
        <v>280</v>
      </c>
      <c r="XAS868" s="290" t="s">
        <v>280</v>
      </c>
      <c r="XAT868" s="290" t="s">
        <v>280</v>
      </c>
      <c r="XAU868" s="290" t="s">
        <v>280</v>
      </c>
      <c r="XAV868" s="290" t="s">
        <v>280</v>
      </c>
      <c r="XAW868" s="290" t="s">
        <v>280</v>
      </c>
      <c r="XAX868" s="290" t="s">
        <v>280</v>
      </c>
      <c r="XAY868" s="290" t="s">
        <v>280</v>
      </c>
      <c r="XAZ868" s="290" t="s">
        <v>280</v>
      </c>
      <c r="XBA868" s="290" t="s">
        <v>280</v>
      </c>
      <c r="XBB868" s="290" t="s">
        <v>280</v>
      </c>
      <c r="XBC868" s="290" t="s">
        <v>280</v>
      </c>
      <c r="XBD868" s="290" t="s">
        <v>280</v>
      </c>
      <c r="XBE868" s="290" t="s">
        <v>280</v>
      </c>
      <c r="XBF868" s="290" t="s">
        <v>280</v>
      </c>
      <c r="XBG868" s="290" t="s">
        <v>280</v>
      </c>
      <c r="XBH868" s="290" t="s">
        <v>280</v>
      </c>
      <c r="XBI868" s="290" t="s">
        <v>280</v>
      </c>
      <c r="XBJ868" s="290" t="s">
        <v>280</v>
      </c>
      <c r="XBK868" s="290" t="s">
        <v>280</v>
      </c>
      <c r="XBL868" s="290" t="s">
        <v>280</v>
      </c>
      <c r="XBM868" s="290" t="s">
        <v>280</v>
      </c>
      <c r="XBN868" s="290" t="s">
        <v>280</v>
      </c>
      <c r="XBO868" s="290" t="s">
        <v>280</v>
      </c>
      <c r="XBP868" s="290" t="s">
        <v>280</v>
      </c>
      <c r="XBQ868" s="290" t="s">
        <v>280</v>
      </c>
      <c r="XBR868" s="290" t="s">
        <v>280</v>
      </c>
      <c r="XBS868" s="290" t="s">
        <v>280</v>
      </c>
      <c r="XBT868" s="290" t="s">
        <v>280</v>
      </c>
      <c r="XBU868" s="290" t="s">
        <v>280</v>
      </c>
      <c r="XBV868" s="290" t="s">
        <v>280</v>
      </c>
      <c r="XBW868" s="290" t="s">
        <v>280</v>
      </c>
      <c r="XBX868" s="290" t="s">
        <v>280</v>
      </c>
      <c r="XBY868" s="290" t="s">
        <v>280</v>
      </c>
      <c r="XBZ868" s="290" t="s">
        <v>280</v>
      </c>
      <c r="XCA868" s="290" t="s">
        <v>280</v>
      </c>
      <c r="XCB868" s="290" t="s">
        <v>280</v>
      </c>
      <c r="XCC868" s="290" t="s">
        <v>280</v>
      </c>
      <c r="XCD868" s="290" t="s">
        <v>280</v>
      </c>
      <c r="XCE868" s="290" t="s">
        <v>280</v>
      </c>
      <c r="XCF868" s="290" t="s">
        <v>280</v>
      </c>
      <c r="XCG868" s="290" t="s">
        <v>280</v>
      </c>
      <c r="XCH868" s="290" t="s">
        <v>280</v>
      </c>
      <c r="XCI868" s="290" t="s">
        <v>280</v>
      </c>
      <c r="XCJ868" s="290" t="s">
        <v>280</v>
      </c>
      <c r="XCK868" s="290" t="s">
        <v>280</v>
      </c>
      <c r="XCL868" s="290" t="s">
        <v>280</v>
      </c>
      <c r="XCM868" s="290" t="s">
        <v>280</v>
      </c>
      <c r="XCN868" s="290" t="s">
        <v>280</v>
      </c>
      <c r="XCO868" s="290" t="s">
        <v>280</v>
      </c>
      <c r="XCP868" s="290" t="s">
        <v>280</v>
      </c>
      <c r="XCQ868" s="290" t="s">
        <v>280</v>
      </c>
      <c r="XCR868" s="290" t="s">
        <v>280</v>
      </c>
      <c r="XCS868" s="290" t="s">
        <v>280</v>
      </c>
      <c r="XCT868" s="290" t="s">
        <v>280</v>
      </c>
      <c r="XCU868" s="290" t="s">
        <v>280</v>
      </c>
      <c r="XCV868" s="290" t="s">
        <v>280</v>
      </c>
      <c r="XCW868" s="290" t="s">
        <v>280</v>
      </c>
      <c r="XCX868" s="290" t="s">
        <v>280</v>
      </c>
      <c r="XCY868" s="290" t="s">
        <v>280</v>
      </c>
      <c r="XCZ868" s="290" t="s">
        <v>280</v>
      </c>
      <c r="XDA868" s="290" t="s">
        <v>280</v>
      </c>
      <c r="XDB868" s="290" t="s">
        <v>280</v>
      </c>
      <c r="XDC868" s="290" t="s">
        <v>280</v>
      </c>
      <c r="XDD868" s="290" t="s">
        <v>280</v>
      </c>
      <c r="XDE868" s="290" t="s">
        <v>280</v>
      </c>
      <c r="XDF868" s="290" t="s">
        <v>280</v>
      </c>
      <c r="XDG868" s="290" t="s">
        <v>280</v>
      </c>
      <c r="XDH868" s="290" t="s">
        <v>280</v>
      </c>
      <c r="XDI868" s="290" t="s">
        <v>280</v>
      </c>
      <c r="XDJ868" s="290" t="s">
        <v>280</v>
      </c>
      <c r="XDK868" s="290" t="s">
        <v>280</v>
      </c>
      <c r="XDL868" s="290" t="s">
        <v>280</v>
      </c>
      <c r="XDM868" s="290" t="s">
        <v>280</v>
      </c>
      <c r="XDN868" s="290" t="s">
        <v>280</v>
      </c>
      <c r="XDO868" s="290" t="s">
        <v>280</v>
      </c>
      <c r="XDP868" s="290" t="s">
        <v>280</v>
      </c>
      <c r="XDQ868" s="290" t="s">
        <v>280</v>
      </c>
      <c r="XDR868" s="290" t="s">
        <v>280</v>
      </c>
      <c r="XDS868" s="290" t="s">
        <v>280</v>
      </c>
      <c r="XDT868" s="290" t="s">
        <v>280</v>
      </c>
      <c r="XDU868" s="290" t="s">
        <v>280</v>
      </c>
      <c r="XDV868" s="290" t="s">
        <v>280</v>
      </c>
      <c r="XDW868" s="290" t="s">
        <v>280</v>
      </c>
      <c r="XDX868" s="290" t="s">
        <v>280</v>
      </c>
      <c r="XDY868" s="290" t="s">
        <v>280</v>
      </c>
      <c r="XDZ868" s="290" t="s">
        <v>280</v>
      </c>
      <c r="XEA868" s="290" t="s">
        <v>280</v>
      </c>
      <c r="XEB868" s="290" t="s">
        <v>280</v>
      </c>
      <c r="XEC868" s="290" t="s">
        <v>280</v>
      </c>
      <c r="XED868" s="290" t="s">
        <v>280</v>
      </c>
      <c r="XEE868" s="290" t="s">
        <v>280</v>
      </c>
      <c r="XEF868" s="290" t="s">
        <v>280</v>
      </c>
      <c r="XEG868" s="290" t="s">
        <v>280</v>
      </c>
      <c r="XEH868" s="290" t="s">
        <v>280</v>
      </c>
      <c r="XEI868" s="290" t="s">
        <v>280</v>
      </c>
      <c r="XEJ868" s="290" t="s">
        <v>280</v>
      </c>
      <c r="XEK868" s="290" t="s">
        <v>280</v>
      </c>
      <c r="XEL868" s="290" t="s">
        <v>280</v>
      </c>
      <c r="XEM868" s="290" t="s">
        <v>280</v>
      </c>
      <c r="XEN868" s="290" t="s">
        <v>280</v>
      </c>
      <c r="XEO868" s="290" t="s">
        <v>280</v>
      </c>
      <c r="XEP868" s="290" t="s">
        <v>280</v>
      </c>
      <c r="XEQ868" s="290" t="s">
        <v>280</v>
      </c>
    </row>
    <row r="869" ht="45" customHeight="1">
      <c r="G869" s="285"/>
      <c r="H869" s="291"/>
      <c r="I869" s="291"/>
      <c r="J869" s="291"/>
      <c r="K869" s="291"/>
      <c r="L869" s="291"/>
      <c r="M869" s="291"/>
      <c r="N869" s="291"/>
      <c r="O869" s="291"/>
      <c r="P869" s="291"/>
      <c r="Q869" s="291"/>
      <c r="R869" s="291"/>
      <c r="S869" s="291"/>
      <c r="T869" s="291"/>
      <c r="U869" s="291"/>
      <c r="V869" s="269"/>
      <c r="W869" s="269"/>
      <c r="X869" s="269"/>
      <c r="Y869" s="269"/>
      <c r="Z869" s="269"/>
      <c r="AA869" s="269"/>
      <c r="AB869" s="269"/>
      <c r="AC869" s="269"/>
      <c r="AD869" s="269"/>
      <c r="AE869" s="269"/>
      <c r="AF869" s="269"/>
      <c r="AG869" s="269"/>
      <c r="AH869" s="269"/>
      <c r="AI869" s="269"/>
      <c r="AJ869" s="269"/>
      <c r="AK869" s="269"/>
      <c r="AL869" s="269"/>
      <c r="AM869" s="269"/>
      <c r="AN869" s="269"/>
      <c r="AO869" s="269"/>
      <c r="AP869" s="269"/>
      <c r="AQ869" s="269"/>
      <c r="AR869" s="269"/>
      <c r="AS869" s="269"/>
      <c r="AT869" s="269"/>
      <c r="AU869" s="269"/>
      <c r="AV869" s="269"/>
      <c r="AW869" s="269"/>
      <c r="AX869" s="269"/>
      <c r="AY869" s="269"/>
      <c r="AZ869" s="269"/>
      <c r="BA869" s="269"/>
      <c r="BB869" s="269"/>
      <c r="BC869" s="269"/>
      <c r="BD869" s="269"/>
      <c r="BE869" s="269"/>
      <c r="BF869" s="269"/>
      <c r="BG869" s="269"/>
      <c r="BH869" s="269"/>
      <c r="BI869" s="269"/>
      <c r="BJ869" s="269"/>
      <c r="BK869" s="269"/>
      <c r="BL869" s="269"/>
      <c r="BM869" s="269"/>
      <c r="BN869" s="269"/>
      <c r="BO869" s="269"/>
      <c r="BP869" s="269"/>
      <c r="BQ869" s="269"/>
      <c r="BR869" s="269"/>
      <c r="BS869" s="269"/>
      <c r="BT869" s="269"/>
      <c r="BU869" s="269"/>
      <c r="BV869" s="269"/>
      <c r="BW869" s="269"/>
      <c r="BX869" s="269"/>
      <c r="BY869" s="269"/>
      <c r="BZ869" s="269"/>
      <c r="CA869" s="269"/>
      <c r="CB869" s="269"/>
      <c r="CC869" s="269"/>
      <c r="CD869" s="269"/>
      <c r="CE869" s="269"/>
      <c r="CF869" s="269"/>
      <c r="CG869" s="269"/>
      <c r="CH869" s="269"/>
      <c r="CI869" s="269"/>
      <c r="CJ869" s="269"/>
      <c r="CK869" s="269"/>
      <c r="CL869" s="269"/>
      <c r="CM869" s="269"/>
      <c r="CN869" s="269"/>
      <c r="CO869" s="269"/>
      <c r="CP869" s="269"/>
      <c r="CQ869" s="269"/>
      <c r="CR869" s="269"/>
      <c r="CS869" s="269"/>
      <c r="CT869" s="269"/>
      <c r="CU869" s="269"/>
      <c r="CV869" s="269"/>
      <c r="CW869" s="269"/>
      <c r="CX869" s="269"/>
      <c r="CY869" s="269"/>
      <c r="CZ869" s="269"/>
      <c r="DA869" s="269"/>
      <c r="DB869" s="269"/>
      <c r="DC869" s="269"/>
      <c r="DD869" s="269"/>
      <c r="DE869" s="269"/>
      <c r="DF869" s="269"/>
      <c r="DG869" s="269"/>
      <c r="DH869" s="269"/>
      <c r="DI869" s="269"/>
      <c r="DJ869" s="269"/>
      <c r="DK869" s="269"/>
      <c r="DL869" s="269"/>
      <c r="DM869" s="269"/>
      <c r="DN869" s="269"/>
      <c r="DO869" s="269"/>
      <c r="DP869" s="269"/>
      <c r="DQ869" s="269"/>
      <c r="DR869" s="269"/>
      <c r="DS869" s="269"/>
      <c r="DT869" s="269"/>
      <c r="DU869" s="269"/>
      <c r="DV869" s="269"/>
      <c r="DW869" s="269"/>
      <c r="DX869" s="269"/>
      <c r="DY869" s="269"/>
      <c r="DZ869" s="269"/>
      <c r="EA869" s="269"/>
      <c r="EB869" s="269"/>
      <c r="EC869" s="269"/>
      <c r="ED869" s="269"/>
      <c r="EE869" s="269"/>
      <c r="EF869" s="269"/>
      <c r="EG869" s="269"/>
      <c r="EH869" s="269"/>
      <c r="EI869" s="269"/>
      <c r="EJ869" s="269"/>
      <c r="EK869" s="269"/>
      <c r="EL869" s="269"/>
      <c r="EM869" s="269"/>
      <c r="EN869" s="269"/>
      <c r="EO869" s="269"/>
      <c r="EP869" s="269"/>
      <c r="EQ869" s="269"/>
      <c r="ER869" s="269"/>
      <c r="ES869" s="269"/>
      <c r="ET869" s="269"/>
      <c r="EU869" s="269"/>
      <c r="EV869" s="269"/>
      <c r="EW869" s="269"/>
      <c r="EX869" s="269"/>
      <c r="EY869" s="269"/>
      <c r="EZ869" s="269"/>
      <c r="FA869" s="269"/>
      <c r="FB869" s="269"/>
      <c r="FC869" s="269"/>
      <c r="FD869" s="269"/>
      <c r="FE869" s="269"/>
      <c r="FF869" s="269"/>
      <c r="FG869" s="269"/>
    </row>
    <row r="870" ht="45" customHeight="1">
      <c r="G870" s="285"/>
      <c r="H870" s="291"/>
      <c r="I870" s="291"/>
      <c r="J870" s="291"/>
      <c r="K870" s="291"/>
      <c r="L870" s="291"/>
      <c r="M870" s="291"/>
      <c r="N870" s="291"/>
      <c r="O870" s="291"/>
      <c r="P870" s="291"/>
      <c r="Q870" s="291"/>
      <c r="R870" s="291"/>
      <c r="S870" s="291"/>
      <c r="T870" s="291"/>
      <c r="U870" s="291"/>
      <c r="V870" s="269"/>
      <c r="W870" s="269"/>
      <c r="X870" s="269"/>
      <c r="Y870" s="269"/>
      <c r="Z870" s="269"/>
      <c r="AA870" s="269"/>
      <c r="AB870" s="269"/>
      <c r="AC870" s="269"/>
      <c r="AD870" s="269"/>
      <c r="AE870" s="269"/>
      <c r="AF870" s="269"/>
      <c r="AG870" s="269"/>
      <c r="AH870" s="269"/>
      <c r="AI870" s="269"/>
      <c r="AJ870" s="269"/>
      <c r="AK870" s="269"/>
      <c r="AL870" s="269"/>
      <c r="AM870" s="269"/>
      <c r="AN870" s="269"/>
      <c r="AO870" s="269"/>
      <c r="AP870" s="269"/>
      <c r="AQ870" s="269"/>
      <c r="AR870" s="269"/>
      <c r="AS870" s="269"/>
      <c r="AT870" s="269"/>
      <c r="AU870" s="269"/>
      <c r="AV870" s="269"/>
      <c r="AW870" s="269"/>
      <c r="AX870" s="269"/>
      <c r="AY870" s="269"/>
      <c r="AZ870" s="269"/>
      <c r="BA870" s="269"/>
      <c r="BB870" s="269"/>
      <c r="BC870" s="269"/>
      <c r="BD870" s="269"/>
      <c r="BE870" s="269"/>
      <c r="BF870" s="269"/>
      <c r="BG870" s="269"/>
      <c r="BH870" s="269"/>
      <c r="BI870" s="269"/>
      <c r="BJ870" s="269"/>
      <c r="BK870" s="269"/>
      <c r="BL870" s="269"/>
      <c r="BM870" s="269"/>
      <c r="BN870" s="269"/>
      <c r="BO870" s="269"/>
      <c r="BP870" s="269"/>
      <c r="BQ870" s="269"/>
      <c r="BR870" s="269"/>
      <c r="BS870" s="269"/>
      <c r="BT870" s="269"/>
      <c r="BU870" s="269"/>
      <c r="BV870" s="269"/>
      <c r="BW870" s="269"/>
      <c r="BX870" s="269"/>
      <c r="BY870" s="269"/>
      <c r="BZ870" s="269"/>
      <c r="CA870" s="269"/>
      <c r="CB870" s="269"/>
      <c r="CC870" s="269"/>
      <c r="CD870" s="269"/>
      <c r="CE870" s="269"/>
      <c r="CF870" s="269"/>
      <c r="CG870" s="269"/>
      <c r="CH870" s="269"/>
      <c r="CI870" s="269"/>
      <c r="CJ870" s="269"/>
      <c r="CK870" s="269"/>
      <c r="CL870" s="269"/>
      <c r="CM870" s="269"/>
      <c r="CN870" s="269"/>
      <c r="CO870" s="269"/>
      <c r="CP870" s="269"/>
      <c r="CQ870" s="269"/>
      <c r="CR870" s="269"/>
      <c r="CS870" s="269"/>
      <c r="CT870" s="269"/>
      <c r="CU870" s="269"/>
      <c r="CV870" s="269"/>
      <c r="CW870" s="269"/>
      <c r="CX870" s="269"/>
      <c r="CY870" s="269"/>
      <c r="CZ870" s="269"/>
      <c r="DA870" s="269"/>
      <c r="DB870" s="269"/>
      <c r="DC870" s="269"/>
      <c r="DD870" s="269"/>
      <c r="DE870" s="269"/>
      <c r="DF870" s="269"/>
      <c r="DG870" s="269"/>
      <c r="DH870" s="269"/>
      <c r="DI870" s="269"/>
      <c r="DJ870" s="269"/>
      <c r="DK870" s="269"/>
      <c r="DL870" s="269"/>
      <c r="DM870" s="269"/>
      <c r="DN870" s="269"/>
      <c r="DO870" s="269"/>
      <c r="DP870" s="269"/>
      <c r="DQ870" s="269"/>
      <c r="DR870" s="269"/>
      <c r="DS870" s="269"/>
      <c r="DT870" s="269"/>
      <c r="DU870" s="269"/>
      <c r="DV870" s="269"/>
      <c r="DW870" s="269"/>
      <c r="DX870" s="269"/>
      <c r="DY870" s="269"/>
      <c r="DZ870" s="269"/>
      <c r="EA870" s="269"/>
      <c r="EB870" s="269"/>
      <c r="EC870" s="269"/>
      <c r="ED870" s="269"/>
      <c r="EE870" s="269"/>
      <c r="EF870" s="269"/>
      <c r="EG870" s="269"/>
      <c r="EH870" s="269"/>
      <c r="EI870" s="269"/>
      <c r="EJ870" s="269"/>
      <c r="EK870" s="269"/>
      <c r="EL870" s="269"/>
      <c r="EM870" s="269"/>
      <c r="EN870" s="269"/>
      <c r="EO870" s="269"/>
      <c r="EP870" s="269"/>
      <c r="EQ870" s="269"/>
      <c r="ER870" s="269"/>
      <c r="ES870" s="269"/>
      <c r="ET870" s="269"/>
      <c r="EU870" s="269"/>
      <c r="EV870" s="269"/>
      <c r="EW870" s="269"/>
      <c r="EX870" s="269"/>
      <c r="EY870" s="269"/>
      <c r="EZ870" s="269"/>
      <c r="FA870" s="269"/>
      <c r="FB870" s="269"/>
      <c r="FC870" s="269"/>
      <c r="FD870" s="269"/>
      <c r="FE870" s="269"/>
      <c r="FF870" s="269"/>
      <c r="FG870" s="269"/>
    </row>
    <row r="871" ht="45" customHeight="1">
      <c r="G871" s="285"/>
      <c r="H871" s="291"/>
      <c r="I871" s="291"/>
      <c r="J871" s="291"/>
      <c r="K871" s="291"/>
      <c r="L871" s="291"/>
      <c r="M871" s="291"/>
      <c r="N871" s="291"/>
      <c r="O871" s="291"/>
      <c r="P871" s="291"/>
      <c r="Q871" s="291"/>
      <c r="R871" s="291"/>
      <c r="S871" s="291"/>
      <c r="T871" s="291"/>
      <c r="U871" s="291"/>
      <c r="V871" s="269"/>
      <c r="W871" s="269"/>
      <c r="X871" s="269"/>
      <c r="Y871" s="269"/>
      <c r="Z871" s="269"/>
      <c r="AA871" s="269"/>
      <c r="AB871" s="269"/>
      <c r="AC871" s="269"/>
      <c r="AD871" s="269"/>
      <c r="AE871" s="269"/>
      <c r="AF871" s="269"/>
      <c r="AG871" s="269"/>
      <c r="AH871" s="269"/>
      <c r="AI871" s="269"/>
      <c r="AJ871" s="269"/>
      <c r="AK871" s="269"/>
      <c r="AL871" s="269"/>
      <c r="AM871" s="269"/>
      <c r="AN871" s="269"/>
      <c r="AO871" s="269"/>
      <c r="AP871" s="269"/>
      <c r="AQ871" s="269"/>
      <c r="AR871" s="269"/>
      <c r="AS871" s="269"/>
      <c r="AT871" s="269"/>
      <c r="AU871" s="269"/>
      <c r="AV871" s="269"/>
      <c r="AW871" s="269"/>
      <c r="AX871" s="269"/>
      <c r="AY871" s="269"/>
      <c r="AZ871" s="269"/>
      <c r="BA871" s="269"/>
      <c r="BB871" s="269"/>
      <c r="BC871" s="269"/>
      <c r="BD871" s="269"/>
      <c r="BE871" s="269"/>
      <c r="BF871" s="269"/>
      <c r="BG871" s="269"/>
      <c r="BH871" s="269"/>
      <c r="BI871" s="269"/>
      <c r="BJ871" s="269"/>
      <c r="BK871" s="269"/>
      <c r="BL871" s="269"/>
      <c r="BM871" s="269"/>
      <c r="BN871" s="269"/>
      <c r="BO871" s="269"/>
      <c r="BP871" s="269"/>
      <c r="BQ871" s="269"/>
      <c r="BR871" s="269"/>
      <c r="BS871" s="269"/>
      <c r="BT871" s="269"/>
      <c r="BU871" s="269"/>
      <c r="BV871" s="269"/>
      <c r="BW871" s="269"/>
      <c r="BX871" s="269"/>
      <c r="BY871" s="269"/>
      <c r="BZ871" s="269"/>
      <c r="CA871" s="269"/>
      <c r="CB871" s="269"/>
      <c r="CC871" s="269"/>
      <c r="CD871" s="269"/>
      <c r="CE871" s="269"/>
      <c r="CF871" s="269"/>
      <c r="CG871" s="269"/>
      <c r="CH871" s="269"/>
      <c r="CI871" s="269"/>
      <c r="CJ871" s="269"/>
      <c r="CK871" s="269"/>
      <c r="CL871" s="269"/>
      <c r="CM871" s="269"/>
      <c r="CN871" s="269"/>
      <c r="CO871" s="269"/>
      <c r="CP871" s="269"/>
      <c r="CQ871" s="269"/>
      <c r="CR871" s="269"/>
      <c r="CS871" s="269"/>
      <c r="CT871" s="269"/>
      <c r="CU871" s="269"/>
      <c r="CV871" s="269"/>
      <c r="CW871" s="269"/>
      <c r="CX871" s="269"/>
      <c r="CY871" s="269"/>
      <c r="CZ871" s="269"/>
      <c r="DA871" s="269"/>
      <c r="DB871" s="269"/>
      <c r="DC871" s="269"/>
      <c r="DD871" s="269"/>
      <c r="DE871" s="269"/>
      <c r="DF871" s="269"/>
      <c r="DG871" s="269"/>
      <c r="DH871" s="269"/>
      <c r="DI871" s="269"/>
      <c r="DJ871" s="269"/>
      <c r="DK871" s="269"/>
      <c r="DL871" s="269"/>
      <c r="DM871" s="269"/>
      <c r="DN871" s="269"/>
      <c r="DO871" s="269"/>
      <c r="DP871" s="269"/>
      <c r="DQ871" s="269"/>
      <c r="DR871" s="269"/>
      <c r="DS871" s="269"/>
      <c r="DT871" s="269"/>
      <c r="DU871" s="269"/>
      <c r="DV871" s="269"/>
      <c r="DW871" s="269"/>
      <c r="DX871" s="269"/>
      <c r="DY871" s="269"/>
      <c r="DZ871" s="269"/>
      <c r="EA871" s="269"/>
      <c r="EB871" s="269"/>
      <c r="EC871" s="269"/>
      <c r="ED871" s="269"/>
      <c r="EE871" s="269"/>
      <c r="EF871" s="269"/>
      <c r="EG871" s="269"/>
      <c r="EH871" s="269"/>
      <c r="EI871" s="269"/>
      <c r="EJ871" s="269"/>
      <c r="EK871" s="269"/>
      <c r="EL871" s="269"/>
      <c r="EM871" s="269"/>
      <c r="EN871" s="269"/>
      <c r="EO871" s="269"/>
      <c r="EP871" s="269"/>
      <c r="EQ871" s="269"/>
      <c r="ER871" s="269"/>
      <c r="ES871" s="269"/>
      <c r="ET871" s="269"/>
      <c r="EU871" s="269"/>
      <c r="EV871" s="269"/>
      <c r="EW871" s="269"/>
      <c r="EX871" s="269"/>
      <c r="EY871" s="269"/>
      <c r="EZ871" s="269"/>
      <c r="FA871" s="269"/>
      <c r="FB871" s="269"/>
      <c r="FC871" s="269"/>
      <c r="FD871" s="269"/>
      <c r="FE871" s="269"/>
      <c r="FF871" s="269"/>
      <c r="FG871" s="269"/>
    </row>
    <row r="872" ht="45" customHeight="1">
      <c r="H872" s="292"/>
      <c r="I872" s="292"/>
      <c r="J872" s="292"/>
      <c r="K872" s="292"/>
      <c r="L872" s="292"/>
      <c r="M872" s="292"/>
      <c r="N872" s="292"/>
      <c r="O872" s="292"/>
      <c r="P872" s="292"/>
      <c r="Q872" s="292"/>
      <c r="R872" s="292"/>
      <c r="S872" s="292"/>
      <c r="T872" s="292"/>
      <c r="U872" s="292"/>
    </row>
    <row r="984" ht="45" customHeight="1" s="250" customFormat="1">
      <c r="A984" s="283"/>
      <c r="B984" s="251"/>
      <c r="C984" s="270"/>
      <c r="D984" s="278"/>
      <c r="E984" s="278"/>
      <c r="F984" s="278"/>
      <c r="G984" s="293"/>
    </row>
    <row r="985" ht="45" customHeight="1" s="250" customFormat="1">
      <c r="A985" s="283"/>
      <c r="B985" s="251"/>
      <c r="C985" s="270"/>
      <c r="D985" s="278"/>
      <c r="E985" s="278"/>
      <c r="F985" s="278"/>
      <c r="G985" s="293"/>
    </row>
    <row r="986" ht="45" customHeight="1" s="250" customFormat="1">
      <c r="A986" s="283"/>
      <c r="B986" s="251"/>
      <c r="C986" s="270"/>
      <c r="D986" s="278"/>
      <c r="E986" s="278"/>
      <c r="F986" s="278"/>
      <c r="G986" s="293"/>
    </row>
    <row r="1037" ht="45" customHeight="1" s="295" customFormat="1">
      <c r="A1037" s="283"/>
      <c r="B1037" s="251"/>
      <c r="C1037" s="270"/>
      <c r="D1037" s="278"/>
      <c r="E1037" s="278"/>
      <c r="F1037" s="278"/>
      <c r="G1037" s="294"/>
    </row>
    <row r="1194" ht="45" customHeight="1" s="269" customFormat="1">
      <c r="A1194" s="283"/>
      <c r="B1194" s="251"/>
      <c r="C1194" s="270"/>
      <c r="D1194" s="278"/>
      <c r="E1194" s="278"/>
      <c r="F1194" s="278"/>
      <c r="G1194" s="285"/>
    </row>
    <row r="1247" ht="45" customHeight="1" s="297" customFormat="1">
      <c r="A1247" s="283"/>
      <c r="B1247" s="251"/>
      <c r="C1247" s="270"/>
      <c r="D1247" s="278"/>
      <c r="E1247" s="278"/>
      <c r="F1247" s="278"/>
      <c r="G1247" s="296"/>
    </row>
    <row r="1248" ht="45" customHeight="1" s="297" customFormat="1">
      <c r="A1248" s="283"/>
      <c r="B1248" s="251"/>
      <c r="C1248" s="270"/>
      <c r="D1248" s="278"/>
      <c r="E1248" s="278"/>
      <c r="F1248" s="278"/>
      <c r="G1248" s="296"/>
    </row>
    <row r="1249" ht="45" customHeight="1" s="297" customFormat="1">
      <c r="A1249" s="283"/>
      <c r="B1249" s="251"/>
      <c r="C1249" s="270"/>
      <c r="D1249" s="278"/>
      <c r="E1249" s="278"/>
      <c r="F1249" s="278"/>
      <c r="G1249" s="296"/>
    </row>
    <row r="1250" ht="45" customHeight="1" s="297" customFormat="1">
      <c r="A1250" s="283"/>
      <c r="B1250" s="251"/>
      <c r="C1250" s="270"/>
      <c r="D1250" s="278"/>
      <c r="E1250" s="278"/>
      <c r="F1250" s="278"/>
      <c r="G1250" s="296"/>
    </row>
  </sheetData>
  <sheetProtection selectLockedCells="1"/>
  <pageMargins left="0.7" right="0.7" top="0.75" bottom="0.75" header="0.3" footer="0.3"/>
  <pageSetup orientation="landscape" horizontalDpi="4294967295" verticalDpi="4294967295"/>
  <headerFooter/>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pageSetUpPr fitToPage="1"/>
  </sheetPr>
  <dimension ref="A1:AB30"/>
  <sheetViews>
    <sheetView showGridLines="0" view="pageBreakPreview" zoomScale="55" zoomScaleNormal="120" zoomScaleSheetLayoutView="55" workbookViewId="0">
      <pane xSplit="3" ySplit="10" topLeftCell="D23" activePane="bottomRight" state="frozen"/>
      <selection pane="topRight" activeCell="D1" sqref="D1"/>
      <selection pane="bottomLeft" activeCell="A10" sqref="A10"/>
      <selection pane="bottomRight" activeCell="H29" sqref="H29"/>
    </sheetView>
  </sheetViews>
  <sheetFormatPr defaultColWidth="8.81640625" defaultRowHeight="15.5" x14ac:dyDescent="0.35"/>
  <cols>
    <col min="1" max="1" width="8.81640625" customWidth="1" style="39"/>
    <col min="2" max="2" width="8.81640625" customWidth="1" style="4"/>
    <col min="3" max="3" width="101.54296875" customWidth="1" style="9"/>
    <col min="4" max="4" width="18.7265625" customWidth="1" style="39"/>
    <col min="5" max="7" width="15.54296875" customWidth="1" style="39"/>
    <col min="8" max="11" width="15.54296875" customWidth="1" style="4"/>
    <col min="12" max="12" width="21.7265625" customWidth="1" style="4"/>
    <col min="13" max="13" width="15.54296875" customWidth="1" style="4"/>
    <col min="14" max="14" width="1.81640625" customWidth="1" style="4"/>
    <col min="15" max="17" width="15.54296875" customWidth="1" style="4"/>
    <col min="18" max="18" width="18" customWidth="1" style="4"/>
    <col min="19" max="19" width="19.81640625" customWidth="1" style="4"/>
    <col min="20" max="20" width="27.1796875" customWidth="1" style="4"/>
    <col min="21" max="22" width="12" customWidth="1" style="4"/>
    <col min="23" max="23" width="11.453125" customWidth="1" style="4"/>
    <col min="24" max="24" width="16.453125" customWidth="1" style="4"/>
    <col min="25" max="25" width="20.54296875" customWidth="1" style="8"/>
    <col min="26" max="26" width="5.453125" customWidth="1" style="39"/>
    <col min="27" max="27" width="12.1796875" customWidth="1" style="39"/>
    <col min="28" max="16384" width="8.81640625" customWidth="1" style="39"/>
  </cols>
  <sheetData>
    <row r="1" s="6" customFormat="1">
      <c r="B1" s="4"/>
      <c r="C1" s="5"/>
      <c r="H1" s="7"/>
      <c r="I1" s="7"/>
      <c r="J1" s="7"/>
      <c r="K1" s="4"/>
      <c r="L1" s="4"/>
      <c r="M1" s="4"/>
      <c r="N1" s="4"/>
      <c r="O1" s="4"/>
      <c r="P1" s="7"/>
      <c r="Q1" s="7"/>
      <c r="R1" s="7"/>
      <c r="S1" s="7"/>
      <c r="T1" s="7"/>
      <c r="U1" s="7"/>
      <c r="V1" s="7"/>
      <c r="W1" s="7"/>
      <c r="X1" s="7"/>
      <c r="Y1" s="8"/>
    </row>
    <row r="2" ht="16" s="6" customFormat="1">
      <c r="B2" s="4"/>
      <c r="C2" s="9"/>
      <c r="H2" s="7"/>
      <c r="I2" s="7"/>
      <c r="J2" s="7"/>
      <c r="K2" s="4"/>
      <c r="L2" s="4"/>
      <c r="M2" s="4"/>
      <c r="N2" s="4"/>
      <c r="O2" s="4"/>
      <c r="P2" s="7"/>
      <c r="Q2" s="7"/>
      <c r="R2" s="7"/>
      <c r="S2" s="7"/>
      <c r="T2" s="7"/>
      <c r="U2" s="7"/>
      <c r="V2" s="7"/>
      <c r="W2" s="7"/>
      <c r="X2" s="7"/>
      <c r="Y2" s="8"/>
    </row>
    <row r="3" ht="57.65" customHeight="1" s="6" customFormat="1">
      <c r="B3" s="467" t="s">
        <v>0</v>
      </c>
      <c r="C3" s="468"/>
      <c r="D3" s="468"/>
      <c r="E3" s="468"/>
      <c r="F3" s="468"/>
      <c r="G3" s="468"/>
      <c r="H3" s="468"/>
      <c r="I3" s="468"/>
      <c r="J3" s="468"/>
      <c r="K3" s="468"/>
      <c r="L3" s="468"/>
      <c r="M3" s="468"/>
      <c r="N3" s="468"/>
      <c r="O3" s="468"/>
      <c r="P3" s="468"/>
      <c r="Q3" s="468"/>
      <c r="R3" s="468"/>
      <c r="S3" s="468"/>
      <c r="T3" s="468"/>
      <c r="U3" s="468"/>
      <c r="V3" s="468"/>
      <c r="W3" s="468"/>
      <c r="X3" s="468"/>
      <c r="Y3" s="469"/>
      <c r="Z3" s="10"/>
      <c r="AA3" s="11"/>
    </row>
    <row r="4" ht="36.65" customHeight="1" s="6" customFormat="1">
      <c r="B4" s="470" t="s">
        <v>1</v>
      </c>
      <c r="C4" s="471"/>
      <c r="D4" s="472"/>
      <c r="E4" s="473"/>
      <c r="F4" s="473"/>
      <c r="G4" s="473"/>
      <c r="H4" s="473"/>
      <c r="I4" s="473"/>
      <c r="J4" s="473"/>
      <c r="K4" s="474"/>
      <c r="L4" s="12"/>
      <c r="M4" s="441"/>
      <c r="N4" s="442"/>
      <c r="O4" s="442"/>
      <c r="P4" s="443"/>
      <c r="Q4" s="464"/>
      <c r="R4" s="465"/>
      <c r="S4" s="465"/>
      <c r="T4" s="465"/>
      <c r="U4" s="465"/>
      <c r="V4" s="465"/>
      <c r="W4" s="465"/>
      <c r="X4" s="465"/>
      <c r="Y4" s="466"/>
    </row>
    <row r="5" ht="36.65" customHeight="1" s="6" customFormat="1">
      <c r="B5" s="475" t="s">
        <v>2</v>
      </c>
      <c r="C5" s="476"/>
      <c r="D5" s="477"/>
      <c r="E5" s="478"/>
      <c r="F5" s="478"/>
      <c r="G5" s="478"/>
      <c r="H5" s="478"/>
      <c r="I5" s="478"/>
      <c r="J5" s="478"/>
      <c r="K5" s="479"/>
      <c r="L5" s="12"/>
      <c r="M5" s="475" t="s">
        <v>3</v>
      </c>
      <c r="N5" s="480"/>
      <c r="O5" s="480"/>
      <c r="P5" s="476"/>
      <c r="Q5" s="464"/>
      <c r="R5" s="465"/>
      <c r="S5" s="465"/>
      <c r="T5" s="465"/>
      <c r="U5" s="465"/>
      <c r="V5" s="465"/>
      <c r="W5" s="465"/>
      <c r="X5" s="465"/>
      <c r="Y5" s="466"/>
    </row>
    <row r="6" ht="36.65" customHeight="1" s="6" customFormat="1">
      <c r="B6" s="441" t="s">
        <v>4</v>
      </c>
      <c r="C6" s="443"/>
      <c r="D6" s="438"/>
      <c r="E6" s="439"/>
      <c r="F6" s="439"/>
      <c r="G6" s="440"/>
      <c r="H6" s="461" t="s">
        <v>5</v>
      </c>
      <c r="I6" s="462"/>
      <c r="J6" s="462"/>
      <c r="K6" s="463"/>
      <c r="L6" s="12"/>
      <c r="M6" s="441" t="s">
        <v>6</v>
      </c>
      <c r="N6" s="442"/>
      <c r="O6" s="442"/>
      <c r="P6" s="443"/>
      <c r="Q6" s="444"/>
      <c r="R6" s="445"/>
      <c r="S6" s="445"/>
      <c r="T6" s="445"/>
      <c r="U6" s="445"/>
      <c r="V6" s="445"/>
      <c r="W6" s="445"/>
      <c r="X6" s="445"/>
      <c r="Y6" s="446"/>
    </row>
    <row r="7" ht="36.65" customHeight="1" s="6" customFormat="1">
      <c r="B7" s="436" t="s">
        <v>7</v>
      </c>
      <c r="C7" s="437"/>
      <c r="D7" s="438"/>
      <c r="E7" s="439"/>
      <c r="F7" s="439"/>
      <c r="G7" s="439"/>
      <c r="H7" s="439"/>
      <c r="I7" s="439"/>
      <c r="J7" s="439"/>
      <c r="K7" s="440"/>
      <c r="L7" s="12"/>
      <c r="M7" s="441" t="s">
        <v>8</v>
      </c>
      <c r="N7" s="442"/>
      <c r="O7" s="442"/>
      <c r="P7" s="443"/>
      <c r="Q7" s="464"/>
      <c r="R7" s="465"/>
      <c r="S7" s="465"/>
      <c r="T7" s="465"/>
      <c r="U7" s="465"/>
      <c r="V7" s="465"/>
      <c r="W7" s="465"/>
      <c r="X7" s="465"/>
      <c r="Y7" s="466"/>
    </row>
    <row r="8" ht="36.65" customHeight="1" s="6" customFormat="1">
      <c r="B8" s="436" t="s">
        <v>9</v>
      </c>
      <c r="C8" s="437"/>
      <c r="D8" s="438"/>
      <c r="E8" s="439"/>
      <c r="F8" s="439"/>
      <c r="G8" s="439"/>
      <c r="H8" s="439"/>
      <c r="I8" s="439"/>
      <c r="J8" s="439"/>
      <c r="K8" s="440"/>
      <c r="L8" s="13"/>
      <c r="M8" s="441" t="s">
        <v>10</v>
      </c>
      <c r="N8" s="442"/>
      <c r="O8" s="442"/>
      <c r="P8" s="443"/>
      <c r="Q8" s="444"/>
      <c r="R8" s="445"/>
      <c r="S8" s="445"/>
      <c r="T8" s="445"/>
      <c r="U8" s="445"/>
      <c r="V8" s="445"/>
      <c r="W8" s="445"/>
      <c r="X8" s="445"/>
      <c r="Y8" s="446"/>
    </row>
    <row r="9" ht="32.25" customHeight="1" s="6" customFormat="1">
      <c r="B9" s="14"/>
      <c r="C9" s="447" t="s">
        <v>11</v>
      </c>
      <c r="D9" s="449" t="s">
        <v>12</v>
      </c>
      <c r="E9" s="451" t="s">
        <v>13</v>
      </c>
      <c r="F9" s="451"/>
      <c r="G9" s="451"/>
      <c r="H9" s="451"/>
      <c r="I9" s="451"/>
      <c r="J9" s="451"/>
      <c r="K9" s="451"/>
      <c r="L9" s="451"/>
      <c r="M9" s="451"/>
      <c r="N9" s="451"/>
      <c r="O9" s="451"/>
      <c r="P9" s="451"/>
      <c r="Q9" s="451"/>
      <c r="R9" s="452"/>
      <c r="S9" s="453" t="s">
        <v>14</v>
      </c>
      <c r="T9" s="455" t="s">
        <v>15</v>
      </c>
      <c r="U9" s="457" t="s">
        <v>16</v>
      </c>
      <c r="V9" s="457"/>
      <c r="W9" s="457"/>
      <c r="X9" s="457"/>
      <c r="Y9" s="458"/>
    </row>
    <row r="10" ht="120" customHeight="1" s="17" customFormat="1">
      <c r="B10" s="15"/>
      <c r="C10" s="448"/>
      <c r="D10" s="450"/>
      <c r="E10" s="430" t="s">
        <v>17</v>
      </c>
      <c r="F10" s="431"/>
      <c r="G10" s="430" t="s">
        <v>18</v>
      </c>
      <c r="H10" s="431"/>
      <c r="I10" s="430" t="s">
        <v>19</v>
      </c>
      <c r="J10" s="431"/>
      <c r="K10" s="430" t="s">
        <v>20</v>
      </c>
      <c r="L10" s="431"/>
      <c r="M10" s="432" t="s">
        <v>21</v>
      </c>
      <c r="N10" s="433"/>
      <c r="O10" s="434"/>
      <c r="P10" s="432" t="s">
        <v>22</v>
      </c>
      <c r="Q10" s="435"/>
      <c r="R10" s="16" t="s">
        <v>23</v>
      </c>
      <c r="S10" s="454"/>
      <c r="T10" s="456"/>
      <c r="U10" s="459"/>
      <c r="V10" s="459"/>
      <c r="W10" s="459"/>
      <c r="X10" s="459"/>
      <c r="Y10" s="460"/>
    </row>
    <row r="11" ht="87.65" customHeight="1" s="6" customFormat="1">
      <c r="B11" s="18">
        <v>1</v>
      </c>
      <c r="C11" s="19" t="s">
        <v>24</v>
      </c>
      <c r="D11" s="426"/>
      <c r="E11" s="428">
        <v>213</v>
      </c>
      <c r="F11" s="424"/>
      <c r="G11" s="424">
        <v>186</v>
      </c>
      <c r="H11" s="424"/>
      <c r="I11" s="424">
        <v>168</v>
      </c>
      <c r="J11" s="424"/>
      <c r="K11" s="424">
        <v>264</v>
      </c>
      <c r="L11" s="424"/>
      <c r="M11" s="429">
        <v>292</v>
      </c>
      <c r="N11" s="429"/>
      <c r="O11" s="429"/>
      <c r="P11" s="424">
        <v>295</v>
      </c>
      <c r="Q11" s="425"/>
      <c r="R11" s="20">
        <v>1418</v>
      </c>
      <c r="S11" s="21"/>
      <c r="T11" s="22" t="s">
        <v>25</v>
      </c>
      <c r="U11" s="390"/>
      <c r="V11" s="391"/>
      <c r="W11" s="391"/>
      <c r="X11" s="391"/>
      <c r="Y11" s="392"/>
    </row>
    <row r="12" ht="87.65" customHeight="1" s="6" customFormat="1">
      <c r="B12" s="18" t="s">
        <v>26</v>
      </c>
      <c r="C12" s="19" t="s">
        <v>27</v>
      </c>
      <c r="D12" s="427"/>
      <c r="E12" s="420">
        <v>35</v>
      </c>
      <c r="F12" s="421"/>
      <c r="G12" s="421">
        <v>18</v>
      </c>
      <c r="H12" s="421"/>
      <c r="I12" s="421">
        <v>18</v>
      </c>
      <c r="J12" s="421"/>
      <c r="K12" s="421">
        <v>28</v>
      </c>
      <c r="L12" s="421"/>
      <c r="M12" s="422">
        <v>40</v>
      </c>
      <c r="N12" s="422"/>
      <c r="O12" s="422"/>
      <c r="P12" s="421">
        <v>21</v>
      </c>
      <c r="Q12" s="423"/>
      <c r="R12" s="20">
        <v>160</v>
      </c>
      <c r="S12" s="23"/>
      <c r="T12" s="22" t="s">
        <v>25</v>
      </c>
      <c r="U12" s="390"/>
      <c r="V12" s="391"/>
      <c r="W12" s="391"/>
      <c r="X12" s="391"/>
      <c r="Y12" s="392"/>
    </row>
    <row r="13" ht="87.65" customHeight="1" s="6" customFormat="1">
      <c r="B13" s="18">
        <v>2</v>
      </c>
      <c r="C13" s="19" t="s">
        <v>28</v>
      </c>
      <c r="D13" s="24">
        <v>5365</v>
      </c>
      <c r="E13" s="420">
        <v>836</v>
      </c>
      <c r="F13" s="421"/>
      <c r="G13" s="421">
        <v>783</v>
      </c>
      <c r="H13" s="421"/>
      <c r="I13" s="421">
        <v>1394</v>
      </c>
      <c r="J13" s="421"/>
      <c r="K13" s="421">
        <v>667</v>
      </c>
      <c r="L13" s="421"/>
      <c r="M13" s="422">
        <v>827</v>
      </c>
      <c r="N13" s="422"/>
      <c r="O13" s="422"/>
      <c r="P13" s="421">
        <v>827</v>
      </c>
      <c r="Q13" s="423"/>
      <c r="R13" s="20">
        <v>5334</v>
      </c>
      <c r="S13" s="25">
        <v>1.005</v>
      </c>
      <c r="T13" s="22" t="s">
        <v>25</v>
      </c>
      <c r="U13" s="390"/>
      <c r="V13" s="391"/>
      <c r="W13" s="391"/>
      <c r="X13" s="391"/>
      <c r="Y13" s="392"/>
    </row>
    <row r="14" ht="87.65" customHeight="1" s="6" customFormat="1">
      <c r="B14" s="18" t="s">
        <v>29</v>
      </c>
      <c r="C14" s="19" t="s">
        <v>30</v>
      </c>
      <c r="D14" s="24">
        <v>4</v>
      </c>
      <c r="E14" s="420">
        <v>0</v>
      </c>
      <c r="F14" s="421"/>
      <c r="G14" s="421">
        <v>1</v>
      </c>
      <c r="H14" s="421"/>
      <c r="I14" s="421">
        <v>2</v>
      </c>
      <c r="J14" s="421"/>
      <c r="K14" s="421">
        <v>0</v>
      </c>
      <c r="L14" s="421"/>
      <c r="M14" s="422">
        <v>0</v>
      </c>
      <c r="N14" s="422"/>
      <c r="O14" s="422"/>
      <c r="P14" s="421">
        <v>1</v>
      </c>
      <c r="Q14" s="423"/>
      <c r="R14" s="20">
        <v>4</v>
      </c>
      <c r="S14" s="25">
        <v>1</v>
      </c>
      <c r="T14" s="22" t="s">
        <v>25</v>
      </c>
      <c r="U14" s="390"/>
      <c r="V14" s="391"/>
      <c r="W14" s="391"/>
      <c r="X14" s="391"/>
      <c r="Y14" s="392"/>
    </row>
    <row r="15" ht="87.65" customHeight="1" s="6" customFormat="1">
      <c r="B15" s="18" t="s">
        <v>31</v>
      </c>
      <c r="C15" s="19" t="s">
        <v>32</v>
      </c>
      <c r="D15" s="24">
        <v>21</v>
      </c>
      <c r="E15" s="416">
        <v>2</v>
      </c>
      <c r="F15" s="417"/>
      <c r="G15" s="417">
        <v>0</v>
      </c>
      <c r="H15" s="417"/>
      <c r="I15" s="417">
        <v>5</v>
      </c>
      <c r="J15" s="417"/>
      <c r="K15" s="417">
        <v>2</v>
      </c>
      <c r="L15" s="417"/>
      <c r="M15" s="418">
        <v>4</v>
      </c>
      <c r="N15" s="418"/>
      <c r="O15" s="418"/>
      <c r="P15" s="417">
        <v>8</v>
      </c>
      <c r="Q15" s="419"/>
      <c r="R15" s="26">
        <v>21</v>
      </c>
      <c r="S15" s="25">
        <v>1</v>
      </c>
      <c r="T15" s="22" t="s">
        <v>25</v>
      </c>
      <c r="U15" s="390"/>
      <c r="V15" s="391"/>
      <c r="W15" s="391"/>
      <c r="X15" s="391"/>
      <c r="Y15" s="392"/>
    </row>
    <row r="16" ht="87.65" customHeight="1" s="6" customFormat="1">
      <c r="B16" s="18"/>
      <c r="C16" s="27" t="s">
        <v>33</v>
      </c>
      <c r="D16" s="24">
        <v>6836</v>
      </c>
      <c r="E16" s="413">
        <v>1049</v>
      </c>
      <c r="F16" s="414"/>
      <c r="G16" s="413">
        <v>969</v>
      </c>
      <c r="H16" s="414"/>
      <c r="I16" s="413">
        <v>1562</v>
      </c>
      <c r="J16" s="414"/>
      <c r="K16" s="413">
        <v>931</v>
      </c>
      <c r="L16" s="414"/>
      <c r="M16" s="413">
        <v>1119</v>
      </c>
      <c r="N16" s="415"/>
      <c r="O16" s="414"/>
      <c r="P16" s="413">
        <v>1122</v>
      </c>
      <c r="Q16" s="414"/>
      <c r="R16" s="28">
        <v>6752</v>
      </c>
      <c r="S16" s="25">
        <v>1.012</v>
      </c>
      <c r="T16" s="22" t="s">
        <v>25</v>
      </c>
      <c r="U16" s="390"/>
      <c r="V16" s="391"/>
      <c r="W16" s="391"/>
      <c r="X16" s="391"/>
      <c r="Y16" s="392"/>
    </row>
    <row r="17" ht="87.65" customHeight="1" s="6" customFormat="1">
      <c r="B17" s="18"/>
      <c r="C17" s="19" t="s">
        <v>34</v>
      </c>
      <c r="D17" s="24">
        <v>187</v>
      </c>
      <c r="E17" s="413">
        <v>35</v>
      </c>
      <c r="F17" s="414"/>
      <c r="G17" s="413">
        <v>19</v>
      </c>
      <c r="H17" s="414"/>
      <c r="I17" s="413">
        <v>20</v>
      </c>
      <c r="J17" s="414"/>
      <c r="K17" s="413">
        <v>28</v>
      </c>
      <c r="L17" s="414"/>
      <c r="M17" s="413">
        <v>40</v>
      </c>
      <c r="N17" s="415"/>
      <c r="O17" s="414"/>
      <c r="P17" s="413">
        <v>22</v>
      </c>
      <c r="Q17" s="414"/>
      <c r="R17" s="28">
        <v>164</v>
      </c>
      <c r="S17" s="25">
        <v>1.14</v>
      </c>
      <c r="T17" s="22" t="s">
        <v>25</v>
      </c>
      <c r="U17" s="390"/>
      <c r="V17" s="391"/>
      <c r="W17" s="391"/>
      <c r="X17" s="391"/>
      <c r="Y17" s="392"/>
    </row>
    <row r="18" ht="87.65" customHeight="1" s="6" customFormat="1">
      <c r="B18" s="18">
        <v>3</v>
      </c>
      <c r="C18" s="19" t="s">
        <v>35</v>
      </c>
      <c r="D18" s="24">
        <v>25</v>
      </c>
      <c r="E18" s="409">
        <v>2</v>
      </c>
      <c r="F18" s="410"/>
      <c r="G18" s="410">
        <v>1</v>
      </c>
      <c r="H18" s="410"/>
      <c r="I18" s="410">
        <v>7</v>
      </c>
      <c r="J18" s="410"/>
      <c r="K18" s="410">
        <v>2</v>
      </c>
      <c r="L18" s="410"/>
      <c r="M18" s="411">
        <v>4</v>
      </c>
      <c r="N18" s="411"/>
      <c r="O18" s="411"/>
      <c r="P18" s="410">
        <v>9</v>
      </c>
      <c r="Q18" s="412"/>
      <c r="R18" s="29">
        <v>25</v>
      </c>
      <c r="S18" s="25">
        <v>1</v>
      </c>
      <c r="T18" s="22" t="s">
        <v>25</v>
      </c>
      <c r="U18" s="390"/>
      <c r="V18" s="391"/>
      <c r="W18" s="391"/>
      <c r="X18" s="391"/>
      <c r="Y18" s="392"/>
    </row>
    <row r="19" ht="87.65" customHeight="1" s="6" customFormat="1">
      <c r="B19" s="18">
        <v>4</v>
      </c>
      <c r="C19" s="19" t="s">
        <v>36</v>
      </c>
      <c r="D19" s="30">
        <v>104</v>
      </c>
      <c r="E19" s="404">
        <v>24</v>
      </c>
      <c r="F19" s="405"/>
      <c r="G19" s="405">
        <v>10</v>
      </c>
      <c r="H19" s="405"/>
      <c r="I19" s="405">
        <v>4</v>
      </c>
      <c r="J19" s="405"/>
      <c r="K19" s="405">
        <v>19</v>
      </c>
      <c r="L19" s="405"/>
      <c r="M19" s="406">
        <v>21</v>
      </c>
      <c r="N19" s="406"/>
      <c r="O19" s="406"/>
      <c r="P19" s="405">
        <v>26</v>
      </c>
      <c r="Q19" s="407"/>
      <c r="R19" s="20">
        <v>104</v>
      </c>
      <c r="S19" s="25">
        <v>1</v>
      </c>
      <c r="T19" s="22" t="s">
        <v>25</v>
      </c>
      <c r="U19" s="390"/>
      <c r="V19" s="391"/>
      <c r="W19" s="391"/>
      <c r="X19" s="391"/>
      <c r="Y19" s="392"/>
    </row>
    <row r="20" ht="24.75" customHeight="1" s="6" customFormat="1">
      <c r="B20" s="18"/>
      <c r="C20" s="393" t="s">
        <v>37</v>
      </c>
      <c r="D20" s="396" t="s">
        <v>38</v>
      </c>
      <c r="E20" s="397"/>
      <c r="F20" s="397"/>
      <c r="G20" s="397"/>
      <c r="H20" s="397"/>
      <c r="I20" s="397"/>
      <c r="J20" s="397"/>
      <c r="K20" s="397"/>
      <c r="L20" s="397"/>
      <c r="M20" s="398"/>
      <c r="N20" s="399"/>
      <c r="O20" s="401" t="s">
        <v>39</v>
      </c>
      <c r="P20" s="397"/>
      <c r="Q20" s="397"/>
      <c r="R20" s="402"/>
      <c r="S20" s="402"/>
      <c r="T20" s="402"/>
      <c r="U20" s="397"/>
      <c r="V20" s="397"/>
      <c r="W20" s="397"/>
      <c r="X20" s="398"/>
      <c r="Y20" s="31" t="s">
        <v>16</v>
      </c>
      <c r="Z20" s="32"/>
      <c r="AA20" s="33"/>
      <c r="AB20" s="34"/>
    </row>
    <row r="21" ht="111.65" customHeight="1" s="17" customFormat="1">
      <c r="B21" s="35">
        <v>5</v>
      </c>
      <c r="C21" s="394"/>
      <c r="D21" s="403" t="s">
        <v>40</v>
      </c>
      <c r="E21" s="385"/>
      <c r="F21" s="386" t="s">
        <v>41</v>
      </c>
      <c r="G21" s="385"/>
      <c r="H21" s="386" t="s">
        <v>42</v>
      </c>
      <c r="I21" s="387"/>
      <c r="J21" s="384" t="s">
        <v>43</v>
      </c>
      <c r="K21" s="385"/>
      <c r="L21" s="386" t="s">
        <v>44</v>
      </c>
      <c r="M21" s="387"/>
      <c r="N21" s="399"/>
      <c r="O21" s="403" t="s">
        <v>45</v>
      </c>
      <c r="P21" s="385"/>
      <c r="Q21" s="386" t="s">
        <v>46</v>
      </c>
      <c r="R21" s="385"/>
      <c r="S21" s="386" t="s">
        <v>47</v>
      </c>
      <c r="T21" s="387"/>
      <c r="U21" s="384" t="s">
        <v>48</v>
      </c>
      <c r="V21" s="385"/>
      <c r="W21" s="386" t="s">
        <v>49</v>
      </c>
      <c r="X21" s="387"/>
      <c r="Y21" s="388"/>
      <c r="Z21" s="36"/>
      <c r="AA21" s="37"/>
      <c r="AB21" s="37"/>
    </row>
    <row r="22" ht="58.5" customHeight="1" s="6" customFormat="1">
      <c r="B22" s="38"/>
      <c r="C22" s="395"/>
      <c r="D22" s="408">
        <v>87</v>
      </c>
      <c r="E22" s="379"/>
      <c r="F22" s="378">
        <v>87</v>
      </c>
      <c r="G22" s="379"/>
      <c r="H22" s="378">
        <v>87</v>
      </c>
      <c r="I22" s="380"/>
      <c r="J22" s="381">
        <v>1</v>
      </c>
      <c r="K22" s="382"/>
      <c r="L22" s="381">
        <v>1</v>
      </c>
      <c r="M22" s="382"/>
      <c r="N22" s="400"/>
      <c r="O22" s="408">
        <v>109</v>
      </c>
      <c r="P22" s="379"/>
      <c r="Q22" s="378">
        <v>109</v>
      </c>
      <c r="R22" s="379"/>
      <c r="S22" s="378">
        <v>109</v>
      </c>
      <c r="T22" s="380"/>
      <c r="U22" s="381">
        <v>1</v>
      </c>
      <c r="V22" s="382"/>
      <c r="W22" s="381">
        <v>1</v>
      </c>
      <c r="X22" s="382"/>
      <c r="Y22" s="389"/>
      <c r="Z22" s="33"/>
      <c r="AA22" s="34"/>
      <c r="AB22" s="34"/>
    </row>
    <row r="23" ht="10.15" customHeight="1"/>
    <row r="24" ht="60" customHeight="1" s="44" customFormat="1">
      <c r="B24" s="370" t="s">
        <v>50</v>
      </c>
      <c r="C24" s="370"/>
      <c r="D24" s="40" t="s">
        <v>51</v>
      </c>
      <c r="E24" s="371" t="s">
        <v>52</v>
      </c>
      <c r="F24" s="372"/>
      <c r="G24" s="373"/>
      <c r="H24" s="374"/>
      <c r="I24" s="374"/>
      <c r="J24" s="374"/>
      <c r="K24" s="375"/>
      <c r="L24" s="41"/>
      <c r="M24" s="42"/>
      <c r="N24" s="42"/>
      <c r="O24" s="42"/>
      <c r="P24" s="42"/>
      <c r="Q24" s="42"/>
      <c r="R24" s="42"/>
      <c r="S24" s="42"/>
      <c r="T24" s="42"/>
      <c r="U24" s="42"/>
      <c r="V24" s="42"/>
      <c r="W24" s="42"/>
      <c r="X24" s="42"/>
      <c r="Y24" s="43"/>
    </row>
    <row r="25" ht="54" customHeight="1">
      <c r="B25" s="370" t="s">
        <v>53</v>
      </c>
      <c r="C25" s="370"/>
      <c r="D25" s="40" t="s">
        <v>54</v>
      </c>
      <c r="E25" s="45"/>
      <c r="F25" s="45"/>
      <c r="G25" s="45"/>
      <c r="H25" s="46"/>
      <c r="I25" s="46"/>
      <c r="J25" s="46"/>
      <c r="K25" s="46"/>
      <c r="L25" s="46"/>
    </row>
    <row r="26" ht="59.5" customHeight="1">
      <c r="B26" s="376" t="s">
        <v>55</v>
      </c>
      <c r="C26" s="377"/>
      <c r="D26" s="40" t="s">
        <v>51</v>
      </c>
      <c r="E26" s="371" t="s">
        <v>56</v>
      </c>
      <c r="F26" s="372"/>
      <c r="G26" s="373"/>
      <c r="H26" s="374"/>
      <c r="I26" s="374"/>
      <c r="J26" s="374"/>
      <c r="K26" s="375"/>
      <c r="L26" s="46"/>
    </row>
    <row r="27" ht="10.5" customHeight="1">
      <c r="B27" s="47"/>
      <c r="C27" s="47"/>
    </row>
    <row r="28" ht="54.65" customHeight="1" s="44" customFormat="1">
      <c r="B28" s="48"/>
      <c r="C28" s="48" t="s">
        <v>57</v>
      </c>
      <c r="D28" s="383" t="s">
        <v>58</v>
      </c>
      <c r="E28" s="383"/>
      <c r="F28" s="383"/>
      <c r="G28" s="383"/>
      <c r="H28" s="383"/>
      <c r="I28" s="383"/>
      <c r="J28" s="383"/>
      <c r="K28" s="383"/>
      <c r="L28" s="49" t="s">
        <v>59</v>
      </c>
      <c r="M28" s="44" t="s">
        <v>58</v>
      </c>
      <c r="S28" s="50" t="s">
        <v>60</v>
      </c>
      <c r="T28" s="42" t="s">
        <v>61</v>
      </c>
      <c r="U28" s="42"/>
      <c r="V28" s="42"/>
      <c r="W28" s="42"/>
      <c r="X28" s="42"/>
      <c r="Y28" s="42"/>
    </row>
    <row r="29" ht="18" customHeight="1" s="44" customFormat="1">
      <c r="B29" s="48"/>
      <c r="C29" s="48"/>
      <c r="D29" s="42"/>
      <c r="E29" s="42"/>
      <c r="F29" s="42"/>
      <c r="G29" s="42"/>
      <c r="H29" s="42"/>
      <c r="I29" s="42"/>
      <c r="J29" s="42"/>
      <c r="K29" s="42"/>
      <c r="M29" s="42"/>
      <c r="N29" s="42"/>
      <c r="O29" s="42"/>
      <c r="P29" s="42"/>
      <c r="Q29" s="42"/>
      <c r="R29" s="42"/>
      <c r="S29" s="42"/>
      <c r="T29" s="42"/>
      <c r="U29" s="42"/>
      <c r="V29" s="42"/>
      <c r="W29" s="42"/>
      <c r="X29" s="42"/>
      <c r="Y29" s="42"/>
    </row>
    <row r="30" ht="25.5" customHeight="1" s="44" customFormat="1">
      <c r="B30" s="48"/>
      <c r="C30" s="48" t="s">
        <v>62</v>
      </c>
      <c r="D30" s="383" t="s">
        <v>58</v>
      </c>
      <c r="E30" s="383"/>
      <c r="F30" s="383"/>
      <c r="G30" s="383"/>
      <c r="H30" s="383"/>
      <c r="I30" s="383"/>
      <c r="J30" s="383"/>
      <c r="K30" s="383"/>
      <c r="L30" s="49" t="s">
        <v>59</v>
      </c>
      <c r="M30" s="44" t="s">
        <v>58</v>
      </c>
      <c r="S30" s="50" t="s">
        <v>60</v>
      </c>
      <c r="T30" s="42" t="s">
        <v>61</v>
      </c>
      <c r="U30" s="42"/>
      <c r="V30" s="42"/>
      <c r="W30" s="42"/>
      <c r="X30" s="42"/>
      <c r="Y30" s="42"/>
    </row>
  </sheetData>
  <sheetProtection selectLockedCells="1"/>
  <mergeCells>
    <mergeCell ref="B3:Y3"/>
    <mergeCell ref="B4:C4"/>
    <mergeCell ref="D4:K4"/>
    <mergeCell ref="M4:P4"/>
    <mergeCell ref="Q4:Y4"/>
    <mergeCell ref="B5:C5"/>
    <mergeCell ref="D5:K5"/>
    <mergeCell ref="M5:P5"/>
    <mergeCell ref="Q5:Y5"/>
    <mergeCell ref="B6:C6"/>
    <mergeCell ref="D6:G6"/>
    <mergeCell ref="H6:K6"/>
    <mergeCell ref="M6:P6"/>
    <mergeCell ref="Q6:Y6"/>
    <mergeCell ref="B7:C7"/>
    <mergeCell ref="D7:K7"/>
    <mergeCell ref="M7:P7"/>
    <mergeCell ref="Q7:Y7"/>
    <mergeCell ref="P10:Q10"/>
    <mergeCell ref="B8:C8"/>
    <mergeCell ref="D8:K8"/>
    <mergeCell ref="M8:P8"/>
    <mergeCell ref="Q8:Y8"/>
    <mergeCell ref="C9:C10"/>
    <mergeCell ref="D9:D10"/>
    <mergeCell ref="E9:R9"/>
    <mergeCell ref="S9:S10"/>
    <mergeCell ref="T9:T10"/>
    <mergeCell ref="U9:Y10"/>
    <mergeCell ref="D11:D12"/>
    <mergeCell ref="E11:F11"/>
    <mergeCell ref="G11:H11"/>
    <mergeCell ref="I11:J11"/>
    <mergeCell ref="K11:L11"/>
    <mergeCell ref="M11:O11"/>
    <mergeCell ref="E10:F10"/>
    <mergeCell ref="G10:H10"/>
    <mergeCell ref="I10:J10"/>
    <mergeCell ref="K10:L10"/>
    <mergeCell ref="M10:O10"/>
    <mergeCell ref="P11:Q11"/>
    <mergeCell ref="U11:Y11"/>
    <mergeCell ref="E12:F12"/>
    <mergeCell ref="G12:H12"/>
    <mergeCell ref="I12:J12"/>
    <mergeCell ref="K12:L12"/>
    <mergeCell ref="M12:O12"/>
    <mergeCell ref="P12:Q12"/>
    <mergeCell ref="U12:Y12"/>
    <mergeCell ref="U13:Y13"/>
    <mergeCell ref="E14:F14"/>
    <mergeCell ref="G14:H14"/>
    <mergeCell ref="I14:J14"/>
    <mergeCell ref="K14:L14"/>
    <mergeCell ref="M14:O14"/>
    <mergeCell ref="P14:Q14"/>
    <mergeCell ref="U14:Y14"/>
    <mergeCell ref="E13:F13"/>
    <mergeCell ref="G13:H13"/>
    <mergeCell ref="I13:J13"/>
    <mergeCell ref="K13:L13"/>
    <mergeCell ref="M13:O13"/>
    <mergeCell ref="P13:Q13"/>
    <mergeCell ref="U15:Y15"/>
    <mergeCell ref="E16:F16"/>
    <mergeCell ref="G16:H16"/>
    <mergeCell ref="I16:J16"/>
    <mergeCell ref="K16:L16"/>
    <mergeCell ref="M16:O16"/>
    <mergeCell ref="P16:Q16"/>
    <mergeCell ref="U16:Y16"/>
    <mergeCell ref="E15:F15"/>
    <mergeCell ref="G15:H15"/>
    <mergeCell ref="I15:J15"/>
    <mergeCell ref="K15:L15"/>
    <mergeCell ref="M15:O15"/>
    <mergeCell ref="P15:Q15"/>
    <mergeCell ref="U17:Y17"/>
    <mergeCell ref="E18:F18"/>
    <mergeCell ref="G18:H18"/>
    <mergeCell ref="I18:J18"/>
    <mergeCell ref="K18:L18"/>
    <mergeCell ref="M18:O18"/>
    <mergeCell ref="P18:Q18"/>
    <mergeCell ref="U18:Y18"/>
    <mergeCell ref="E17:F17"/>
    <mergeCell ref="G17:H17"/>
    <mergeCell ref="I17:J17"/>
    <mergeCell ref="K17:L17"/>
    <mergeCell ref="M17:O17"/>
    <mergeCell ref="P17:Q17"/>
    <mergeCell ref="U19:Y19"/>
    <mergeCell ref="C20:C22"/>
    <mergeCell ref="D20:M20"/>
    <mergeCell ref="N20:N22"/>
    <mergeCell ref="O20:X20"/>
    <mergeCell ref="D21:E21"/>
    <mergeCell ref="F21:G21"/>
    <mergeCell ref="H21:I21"/>
    <mergeCell ref="J21:K21"/>
    <mergeCell ref="L21:M21"/>
    <mergeCell ref="E19:F19"/>
    <mergeCell ref="G19:H19"/>
    <mergeCell ref="I19:J19"/>
    <mergeCell ref="K19:L19"/>
    <mergeCell ref="M19:O19"/>
    <mergeCell ref="P19:Q19"/>
    <mergeCell ref="D22:E22"/>
    <mergeCell ref="L22:M22"/>
    <mergeCell ref="O22:P22"/>
    <mergeCell ref="O21:P21"/>
    <mergeCell ref="Q21:R21"/>
    <mergeCell ref="S21:T21"/>
    <mergeCell ref="D28:K28"/>
    <mergeCell ref="U21:V21"/>
    <mergeCell ref="W21:X21"/>
    <mergeCell ref="Y21:Y22"/>
    <mergeCell ref="Q22:R22"/>
    <mergeCell ref="S22:T22"/>
    <mergeCell ref="U22:V22"/>
    <mergeCell ref="W22:X22"/>
    <mergeCell ref="D30:K30"/>
    <mergeCell ref="B24:C24"/>
    <mergeCell ref="E24:F24"/>
    <mergeCell ref="G24:K24"/>
    <mergeCell ref="B25:C25"/>
    <mergeCell ref="B26:C26"/>
    <mergeCell ref="E26:F26"/>
    <mergeCell ref="G26:K26"/>
    <mergeCell ref="F22:G22"/>
    <mergeCell ref="H22:I22"/>
    <mergeCell ref="J22:K22"/>
  </mergeCells>
  <conditionalFormatting sqref="A1:XFD2 A12 L5 D5:D7 A3:B3 L28:L29 S29 A21:B22 A20:C20 C12 A19:B19 Z28:XFD30 A10:C10 AA20:XFD20 Z21:XFD22 A9:E9 AA3:XFD3 A11:D11 S9 U9 A28 C28 A29:B29 A30 C30 Z5:XFD7 D19 Z9:XFD19 P10 E10 R10 M10:M11 A13:D15 A17:D18 A16:E16 R18:R19 E18:E19 M16:M19 G18:G19 I18:I19 K18:K19 P18:P19 A27:XFD27 L26:XFD26 A23:XFD23 L24:XFD24 D26:E26 A26:B26 D24 G26 D25:XFD25 A24:B24 A25 A5:B7 T11:T19 A31:XFD1048576">
    <cfRule type="cellIs" dxfId="0" priority="68" operator="equal">
      <formula>"check"</formula>
    </cfRule>
  </conditionalFormatting>
  <conditionalFormatting sqref="D5:D7">
    <cfRule type="containsText" dxfId="6" priority="66" operator="containsText" text="Select from dropdown menu">
      <formula>NOT(ISERROR(SEARCH("Select from dropdown menu",D5)))</formula>
    </cfRule>
    <cfRule type="expression" dxfId="5" priority="67">
      <formula>"Select from dropdown menu"</formula>
    </cfRule>
  </conditionalFormatting>
  <conditionalFormatting sqref="Q5:Q6">
    <cfRule type="cellIs" dxfId="0" priority="65" operator="equal">
      <formula>"check"</formula>
    </cfRule>
  </conditionalFormatting>
  <conditionalFormatting sqref="Q5:Q6">
    <cfRule type="containsText" dxfId="6" priority="63" operator="containsText" text="Select from dropdown menu">
      <formula>NOT(ISERROR(SEARCH("Select from dropdown menu",Q5)))</formula>
    </cfRule>
    <cfRule type="expression" dxfId="5" priority="64">
      <formula>"Select from dropdown menu"</formula>
    </cfRule>
  </conditionalFormatting>
  <conditionalFormatting sqref="Q29:R29">
    <cfRule type="cellIs" dxfId="0" priority="61" operator="equal">
      <formula>"check"</formula>
    </cfRule>
  </conditionalFormatting>
  <conditionalFormatting sqref="L30">
    <cfRule type="cellIs" dxfId="0" priority="62" operator="equal">
      <formula>"check"</formula>
    </cfRule>
  </conditionalFormatting>
  <conditionalFormatting sqref="Z8:XFD8 D8 A8:B8">
    <cfRule type="cellIs" dxfId="0" priority="60" operator="equal">
      <formula>"check"</formula>
    </cfRule>
  </conditionalFormatting>
  <conditionalFormatting sqref="D8">
    <cfRule type="containsText" dxfId="6" priority="58" operator="containsText" text="Select from dropdown menu">
      <formula>NOT(ISERROR(SEARCH("Select from dropdown menu",D8)))</formula>
    </cfRule>
    <cfRule type="expression" dxfId="5" priority="59">
      <formula>"Select from dropdown menu"</formula>
    </cfRule>
  </conditionalFormatting>
  <conditionalFormatting sqref="H6:K6">
    <cfRule type="cellIs" dxfId="56" priority="57" operator="equal">
      <formula>"Select priority attribute"</formula>
    </cfRule>
  </conditionalFormatting>
  <conditionalFormatting sqref="A5:Q6 A7:L8 Z5:XFD8">
    <cfRule type="cellIs" dxfId="2" priority="55" operator="equal">
      <formula>"Select from dropdown menu"</formula>
    </cfRule>
    <cfRule type="cellIs" dxfId="1" priority="56" operator="equal">
      <formula>"Select from dropdown menu"</formula>
    </cfRule>
  </conditionalFormatting>
  <conditionalFormatting sqref="Z20">
    <cfRule type="cellIs" dxfId="0" priority="54" operator="equal">
      <formula>"check"</formula>
    </cfRule>
  </conditionalFormatting>
  <conditionalFormatting sqref="Y21">
    <cfRule type="cellIs" dxfId="0" priority="53" operator="equal">
      <formula>"check"</formula>
    </cfRule>
  </conditionalFormatting>
  <conditionalFormatting sqref="C19">
    <cfRule type="cellIs" dxfId="0" priority="52" operator="equal">
      <formula>"check"</formula>
    </cfRule>
  </conditionalFormatting>
  <conditionalFormatting sqref="H29:K29">
    <cfRule type="cellIs" dxfId="0" priority="50" operator="equal">
      <formula>"check"</formula>
    </cfRule>
  </conditionalFormatting>
  <conditionalFormatting sqref="R11:R15">
    <cfRule type="cellIs" dxfId="0" priority="51" operator="equal">
      <formula>"check"</formula>
    </cfRule>
  </conditionalFormatting>
  <conditionalFormatting sqref="T11:T19">
    <cfRule type="cellIs" dxfId="48" priority="49" operator="equal">
      <formula>"Blank"</formula>
    </cfRule>
  </conditionalFormatting>
  <conditionalFormatting sqref="G10">
    <cfRule type="cellIs" dxfId="0" priority="48" operator="equal">
      <formula>"check"</formula>
    </cfRule>
  </conditionalFormatting>
  <conditionalFormatting sqref="I10">
    <cfRule type="cellIs" dxfId="0" priority="47" operator="equal">
      <formula>"check"</formula>
    </cfRule>
  </conditionalFormatting>
  <conditionalFormatting sqref="K10">
    <cfRule type="cellIs" dxfId="0" priority="46" operator="equal">
      <formula>"check"</formula>
    </cfRule>
  </conditionalFormatting>
  <conditionalFormatting sqref="P11:P15">
    <cfRule type="cellIs" dxfId="0" priority="39" operator="equal">
      <formula>"check"</formula>
    </cfRule>
  </conditionalFormatting>
  <conditionalFormatting sqref="G11">
    <cfRule type="cellIs" dxfId="0" priority="45" operator="equal">
      <formula>"check"</formula>
    </cfRule>
  </conditionalFormatting>
  <conditionalFormatting sqref="G13:G15">
    <cfRule type="cellIs" dxfId="0" priority="43" operator="equal">
      <formula>"check"</formula>
    </cfRule>
  </conditionalFormatting>
  <conditionalFormatting sqref="G12">
    <cfRule type="cellIs" dxfId="0" priority="44" operator="equal">
      <formula>"check"</formula>
    </cfRule>
  </conditionalFormatting>
  <conditionalFormatting sqref="K16">
    <cfRule type="cellIs" dxfId="0" priority="32" operator="equal">
      <formula>"check"</formula>
    </cfRule>
  </conditionalFormatting>
  <conditionalFormatting sqref="K17">
    <cfRule type="cellIs" dxfId="0" priority="31" operator="equal">
      <formula>"check"</formula>
    </cfRule>
  </conditionalFormatting>
  <conditionalFormatting sqref="P16">
    <cfRule type="cellIs" dxfId="0" priority="30" operator="equal">
      <formula>"check"</formula>
    </cfRule>
  </conditionalFormatting>
  <conditionalFormatting sqref="E11:E15">
    <cfRule type="cellIs" dxfId="0" priority="42" operator="equal">
      <formula>"check"</formula>
    </cfRule>
  </conditionalFormatting>
  <conditionalFormatting sqref="I11:I15">
    <cfRule type="cellIs" dxfId="0" priority="41" operator="equal">
      <formula>"check"</formula>
    </cfRule>
  </conditionalFormatting>
  <conditionalFormatting sqref="K11:K15">
    <cfRule type="cellIs" dxfId="0" priority="40" operator="equal">
      <formula>"check"</formula>
    </cfRule>
  </conditionalFormatting>
  <conditionalFormatting sqref="M12:M15">
    <cfRule type="cellIs" dxfId="0" priority="38" operator="equal">
      <formula>"check"</formula>
    </cfRule>
  </conditionalFormatting>
  <conditionalFormatting sqref="G16">
    <cfRule type="cellIs" dxfId="0" priority="37" operator="equal">
      <formula>"check"</formula>
    </cfRule>
  </conditionalFormatting>
  <conditionalFormatting sqref="E17">
    <cfRule type="cellIs" dxfId="0" priority="36" operator="equal">
      <formula>"check"</formula>
    </cfRule>
  </conditionalFormatting>
  <conditionalFormatting sqref="I16">
    <cfRule type="cellIs" dxfId="0" priority="35" operator="equal">
      <formula>"check"</formula>
    </cfRule>
  </conditionalFormatting>
  <conditionalFormatting sqref="G17">
    <cfRule type="cellIs" dxfId="0" priority="34" operator="equal">
      <formula>"check"</formula>
    </cfRule>
  </conditionalFormatting>
  <conditionalFormatting sqref="I17">
    <cfRule type="cellIs" dxfId="0" priority="33" operator="equal">
      <formula>"check"</formula>
    </cfRule>
  </conditionalFormatting>
  <conditionalFormatting sqref="P17">
    <cfRule type="cellIs" dxfId="0" priority="29" operator="equal">
      <formula>"check"</formula>
    </cfRule>
  </conditionalFormatting>
  <conditionalFormatting sqref="M7:P7">
    <cfRule type="cellIs" dxfId="2" priority="27" operator="equal">
      <formula>"Select from dropdown menu"</formula>
    </cfRule>
    <cfRule type="cellIs" dxfId="1" priority="28" operator="equal">
      <formula>"Select from dropdown menu"</formula>
    </cfRule>
  </conditionalFormatting>
  <conditionalFormatting sqref="M8:P8">
    <cfRule type="cellIs" dxfId="2" priority="25" operator="equal">
      <formula>"Select from dropdown menu"</formula>
    </cfRule>
    <cfRule type="cellIs" dxfId="1" priority="26" operator="equal">
      <formula>"Select from dropdown menu"</formula>
    </cfRule>
  </conditionalFormatting>
  <conditionalFormatting sqref="Q7:Q8">
    <cfRule type="cellIs" dxfId="0" priority="24" operator="equal">
      <formula>"check"</formula>
    </cfRule>
  </conditionalFormatting>
  <conditionalFormatting sqref="Q7:Q8">
    <cfRule type="containsText" dxfId="6" priority="22" operator="containsText" text="Select from dropdown menu">
      <formula>NOT(ISERROR(SEARCH("Select from dropdown menu",Q7)))</formula>
    </cfRule>
    <cfRule type="expression" dxfId="5" priority="23">
      <formula>"Select from dropdown menu"</formula>
    </cfRule>
  </conditionalFormatting>
  <conditionalFormatting sqref="Q7:Q8">
    <cfRule type="cellIs" dxfId="2" priority="20" operator="equal">
      <formula>"Select from dropdown menu"</formula>
    </cfRule>
    <cfRule type="cellIs" dxfId="1" priority="21" operator="equal">
      <formula>"Select from dropdown menu"</formula>
    </cfRule>
  </conditionalFormatting>
  <conditionalFormatting sqref="E24 G24">
    <cfRule type="cellIs" dxfId="0" priority="19" operator="equal">
      <formula>"check"</formula>
    </cfRule>
  </conditionalFormatting>
  <conditionalFormatting sqref="B25">
    <cfRule type="cellIs" dxfId="0" priority="18" operator="equal">
      <formula>"check"</formula>
    </cfRule>
  </conditionalFormatting>
  <conditionalFormatting sqref="L4 Z4:XFD4 A4">
    <cfRule type="cellIs" dxfId="0" priority="17" operator="equal">
      <formula>"check"</formula>
    </cfRule>
  </conditionalFormatting>
  <conditionalFormatting sqref="Q4">
    <cfRule type="cellIs" dxfId="0" priority="16" operator="equal">
      <formula>"check"</formula>
    </cfRule>
  </conditionalFormatting>
  <conditionalFormatting sqref="Q4">
    <cfRule type="containsText" dxfId="6" priority="14" operator="containsText" text="Select from dropdown menu">
      <formula>NOT(ISERROR(SEARCH("Select from dropdown menu",Q4)))</formula>
    </cfRule>
    <cfRule type="expression" dxfId="5" priority="15">
      <formula>"Select from dropdown menu"</formula>
    </cfRule>
  </conditionalFormatting>
  <conditionalFormatting sqref="A4 Z4:XFD4 L4 Q4">
    <cfRule type="cellIs" dxfId="2" priority="12" operator="equal">
      <formula>"Select from dropdown menu"</formula>
    </cfRule>
    <cfRule type="cellIs" dxfId="1" priority="13" operator="equal">
      <formula>"Select from dropdown menu"</formula>
    </cfRule>
  </conditionalFormatting>
  <conditionalFormatting sqref="B4">
    <cfRule type="cellIs" dxfId="0" priority="11" operator="equal">
      <formula>"check"</formula>
    </cfRule>
  </conditionalFormatting>
  <conditionalFormatting sqref="B4:C4">
    <cfRule type="cellIs" dxfId="2" priority="9" operator="equal">
      <formula>"Select from dropdown menu"</formula>
    </cfRule>
    <cfRule type="cellIs" dxfId="1" priority="10" operator="equal">
      <formula>"Select from dropdown menu"</formula>
    </cfRule>
  </conditionalFormatting>
  <conditionalFormatting sqref="D4">
    <cfRule type="cellIs" dxfId="0" priority="8" operator="equal">
      <formula>"check"</formula>
    </cfRule>
  </conditionalFormatting>
  <conditionalFormatting sqref="D4">
    <cfRule type="containsText" dxfId="6" priority="6" operator="containsText" text="Select from dropdown menu">
      <formula>NOT(ISERROR(SEARCH("Select from dropdown menu",D4)))</formula>
    </cfRule>
    <cfRule type="expression" dxfId="5" priority="7">
      <formula>"Select from dropdown menu"</formula>
    </cfRule>
  </conditionalFormatting>
  <conditionalFormatting sqref="D4:K4">
    <cfRule type="cellIs" dxfId="2" priority="4" operator="equal">
      <formula>"Select from dropdown menu"</formula>
    </cfRule>
    <cfRule type="cellIs" dxfId="1" priority="5" operator="equal">
      <formula>"Select from dropdown menu"</formula>
    </cfRule>
  </conditionalFormatting>
  <conditionalFormatting sqref="M4:P4">
    <cfRule type="cellIs" dxfId="2" priority="2" operator="equal">
      <formula>"Select from dropdown menu"</formula>
    </cfRule>
    <cfRule type="cellIs" dxfId="1" priority="3" operator="equal">
      <formula>"Select from dropdown menu"</formula>
    </cfRule>
  </conditionalFormatting>
  <conditionalFormatting sqref="R16:R17">
    <cfRule type="cellIs" dxfId="0" priority="1" operator="equal">
      <formula>"check"</formula>
    </cfRule>
  </conditionalFormatting>
  <dataValidations count="2">
    <dataValidation type="list" allowBlank="1" showInputMessage="1" showErrorMessage="1" sqref="H6:K6">
      <formula1>"Select priority attribute, Priority LGA, Sustained support LGA"</formula1>
    </dataValidation>
    <dataValidation type="list" allowBlank="1" showInputMessage="1" showErrorMessage="1" sqref="T11:T19">
      <formula1>"Blank,Not applicable, APR Over reported, APR Under reported"</formula1>
    </dataValidation>
  </dataValidations>
  <pageMargins left="0.25" right="0.25" top="0.75" bottom="0.75" header="0.3" footer="0.3"/>
  <pageSetup paperSize="9" scale="30" fitToHeight="0" pageOrder="overThenDown" orientation="landscape"/>
  <headerFooter/>
  <drawing r:id="rId2"/>
  <extLst>
    <ext xmlns:x14="http://schemas.microsoft.com/office/spreadsheetml/2009/9/main" uri="{CCE6A557-97BC-4b89-ADB6-D9C93CAAB3DF}">
      <x14:dataValidations xmlns:xm="http://schemas.microsoft.com/office/excel/2006/main" count="3">
        <x14:dataValidation type="list" showInputMessage="1" showErrorMessage="1" promptTitle="Select From dropdown menu">
          <x14:formula1>
            <xm:f>'[3]Site and SNU list'!#REF!</xm:f>
          </x14:formula1>
          <xm:sqref>D8:K8 D7</xm:sqref>
        </x14:dataValidation>
        <x14:dataValidation type="list" showInputMessage="1" showErrorMessage="1">
          <x14:formula1>
            <xm:f>'[3]Site and SNU list'!#REF!</xm:f>
          </x14:formula1>
          <xm:sqref>Q5:Q6</xm:sqref>
        </x14:dataValidation>
        <x14:dataValidation type="list" allowBlank="1" showInputMessage="1" showErrorMessage="1">
          <x14:formula1>
            <xm:f>'[3]Site and SNU list'!#REF!</xm:f>
          </x14:formula1>
          <xm:sqref>D5:D6</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E32"/>
  <sheetViews>
    <sheetView workbookViewId="0">
      <selection activeCell="D16" sqref="D16"/>
    </sheetView>
  </sheetViews>
  <sheetFormatPr defaultRowHeight="14.5" x14ac:dyDescent="0.35"/>
  <cols>
    <col min="1" max="2" width="2.453125" customWidth="1"/>
    <col min="3" max="3" width="15.26953125" customWidth="1"/>
    <col min="4" max="5" width="49.1796875" customWidth="1"/>
  </cols>
  <sheetData>
    <row r="1" ht="16">
      <c r="C1" s="52" t="s">
        <v>340</v>
      </c>
      <c r="D1" s="53" t="s">
        <v>341</v>
      </c>
      <c r="E1" s="53" t="s">
        <v>342</v>
      </c>
    </row>
    <row r="2">
      <c r="C2" s="484" t="s">
        <v>299</v>
      </c>
      <c r="D2" s="481" t="s">
        <v>343</v>
      </c>
      <c r="E2" s="54" t="s">
        <v>344</v>
      </c>
    </row>
    <row r="3">
      <c r="C3" s="485"/>
      <c r="D3" s="482"/>
      <c r="E3" s="54"/>
    </row>
    <row r="4" ht="29.5">
      <c r="C4" s="485"/>
      <c r="D4" s="483"/>
      <c r="E4" s="55" t="s">
        <v>345</v>
      </c>
    </row>
    <row r="5">
      <c r="C5" s="485"/>
      <c r="D5" s="481" t="s">
        <v>346</v>
      </c>
      <c r="E5" s="54" t="s">
        <v>347</v>
      </c>
    </row>
    <row r="6" ht="15">
      <c r="C6" s="485"/>
      <c r="D6" s="483"/>
      <c r="E6" s="55" t="s">
        <v>348</v>
      </c>
    </row>
    <row r="7" ht="58.5">
      <c r="C7" s="485"/>
      <c r="D7" s="55" t="s">
        <v>349</v>
      </c>
      <c r="E7" s="55" t="s">
        <v>350</v>
      </c>
    </row>
    <row r="8" ht="29.5">
      <c r="C8" s="485"/>
      <c r="D8" s="56" t="s">
        <v>351</v>
      </c>
      <c r="E8" s="55" t="s">
        <v>352</v>
      </c>
    </row>
    <row r="9">
      <c r="C9" s="485"/>
      <c r="D9" s="481" t="s">
        <v>353</v>
      </c>
      <c r="E9" s="54" t="s">
        <v>354</v>
      </c>
    </row>
    <row r="10" ht="44">
      <c r="C10" s="486"/>
      <c r="D10" s="483"/>
      <c r="E10" s="55" t="s">
        <v>355</v>
      </c>
    </row>
    <row r="11" ht="44">
      <c r="C11" s="484" t="s">
        <v>356</v>
      </c>
      <c r="D11" s="55" t="s">
        <v>357</v>
      </c>
      <c r="E11" s="55" t="s">
        <v>358</v>
      </c>
    </row>
    <row r="12" ht="58.5">
      <c r="C12" s="485"/>
      <c r="D12" s="55" t="s">
        <v>359</v>
      </c>
      <c r="E12" s="55" t="s">
        <v>360</v>
      </c>
    </row>
    <row r="13">
      <c r="C13" s="485"/>
      <c r="D13" s="54"/>
      <c r="E13" s="54" t="s">
        <v>361</v>
      </c>
    </row>
    <row r="14" ht="102">
      <c r="C14" s="485"/>
      <c r="D14" s="56" t="s">
        <v>362</v>
      </c>
      <c r="E14" s="55" t="s">
        <v>363</v>
      </c>
    </row>
    <row r="15">
      <c r="C15" s="485"/>
      <c r="D15" s="54"/>
      <c r="E15" s="481" t="s">
        <v>364</v>
      </c>
    </row>
    <row r="16" ht="29">
      <c r="C16" s="485"/>
      <c r="D16" s="54" t="s">
        <v>365</v>
      </c>
      <c r="E16" s="482"/>
    </row>
    <row r="17" ht="29">
      <c r="C17" s="485"/>
      <c r="D17" s="54" t="s">
        <v>366</v>
      </c>
      <c r="E17" s="482"/>
    </row>
    <row r="18" ht="15">
      <c r="C18" s="486"/>
      <c r="D18" s="55" t="s">
        <v>367</v>
      </c>
      <c r="E18" s="483"/>
    </row>
    <row r="19" ht="44">
      <c r="C19" s="484" t="s">
        <v>368</v>
      </c>
      <c r="D19" s="55" t="s">
        <v>369</v>
      </c>
      <c r="E19" s="55" t="s">
        <v>364</v>
      </c>
    </row>
    <row r="20">
      <c r="C20" s="485"/>
      <c r="D20" s="54" t="s">
        <v>370</v>
      </c>
      <c r="E20" s="54" t="s">
        <v>371</v>
      </c>
    </row>
    <row r="21" ht="29">
      <c r="C21" s="485"/>
      <c r="D21" s="54" t="s">
        <v>372</v>
      </c>
      <c r="E21" s="54" t="s">
        <v>373</v>
      </c>
    </row>
    <row r="22" ht="15">
      <c r="C22" s="485"/>
      <c r="D22" s="55" t="s">
        <v>374</v>
      </c>
      <c r="E22" s="57"/>
    </row>
    <row r="23" ht="29.5">
      <c r="C23" s="486"/>
      <c r="D23" s="56" t="s">
        <v>375</v>
      </c>
      <c r="E23" s="55" t="s">
        <v>345</v>
      </c>
    </row>
    <row r="24" ht="44">
      <c r="C24" s="484" t="s">
        <v>376</v>
      </c>
      <c r="D24" s="56" t="s">
        <v>377</v>
      </c>
      <c r="E24" s="55" t="s">
        <v>378</v>
      </c>
    </row>
    <row r="25" ht="29">
      <c r="C25" s="485"/>
      <c r="D25" s="54" t="s">
        <v>379</v>
      </c>
      <c r="E25" s="481" t="s">
        <v>364</v>
      </c>
    </row>
    <row r="26" ht="29">
      <c r="C26" s="485"/>
      <c r="D26" s="54" t="s">
        <v>380</v>
      </c>
      <c r="E26" s="482"/>
    </row>
    <row r="27" ht="15">
      <c r="C27" s="485"/>
      <c r="D27" s="55" t="s">
        <v>381</v>
      </c>
      <c r="E27" s="483"/>
    </row>
    <row r="28" ht="44">
      <c r="C28" s="486"/>
      <c r="D28" s="55" t="s">
        <v>382</v>
      </c>
      <c r="E28" s="55" t="s">
        <v>355</v>
      </c>
    </row>
    <row r="29" ht="44">
      <c r="C29" s="484" t="s">
        <v>383</v>
      </c>
      <c r="D29" s="56" t="s">
        <v>384</v>
      </c>
      <c r="E29" s="55" t="s">
        <v>378</v>
      </c>
    </row>
    <row r="30" ht="29">
      <c r="C30" s="485"/>
      <c r="D30" s="54" t="s">
        <v>385</v>
      </c>
      <c r="E30" s="481" t="s">
        <v>345</v>
      </c>
    </row>
    <row r="31" ht="15">
      <c r="C31" s="485"/>
      <c r="D31" s="55" t="s">
        <v>386</v>
      </c>
      <c r="E31" s="483"/>
    </row>
    <row r="32" ht="44">
      <c r="C32" s="486"/>
      <c r="D32" s="55" t="s">
        <v>387</v>
      </c>
      <c r="E32" s="55" t="s">
        <v>352</v>
      </c>
    </row>
  </sheetData>
  <mergeCells>
    <mergeCell ref="C19:C23"/>
    <mergeCell ref="C24:C28"/>
    <mergeCell ref="E25:E27"/>
    <mergeCell ref="C29:C32"/>
    <mergeCell ref="E30:E31"/>
    <mergeCell ref="E15:E18"/>
    <mergeCell ref="C2:C10"/>
    <mergeCell ref="D2:D4"/>
    <mergeCell ref="D5:D6"/>
    <mergeCell ref="D9:D10"/>
    <mergeCell ref="C11:C18"/>
  </mergeCells>
  <pageMargins left="0.7" right="0.7" top="0.75" bottom="0.75" header="0.3" footer="0.3"/>
  <headerFooter/>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BG1504"/>
  <sheetViews>
    <sheetView topLeftCell="AZ1" workbookViewId="0">
      <selection activeCell="BE3" sqref="BE3"/>
    </sheetView>
  </sheetViews>
  <sheetFormatPr defaultRowHeight="14.5" outlineLevelCol="1" x14ac:dyDescent="0.35"/>
  <cols>
    <col min="3" max="3" bestFit="1" width="14.7265625" customWidth="1"/>
    <col min="4" max="4" width="11.1796875" customWidth="1"/>
    <col min="5" max="5" width="11.7265625" customWidth="1"/>
    <col min="8" max="19" hidden="1" width="0" customWidth="1" outlineLevel="1"/>
    <col min="20" max="20" hidden="1" width="16.54296875" customWidth="1" outlineLevel="1"/>
    <col min="21" max="24" hidden="1" width="0" customWidth="1" outlineLevel="1"/>
    <col min="25" max="25" hidden="1" width="9.453125" customWidth="1" outlineLevel="1"/>
    <col min="26" max="26" hidden="1" width="15.7265625" customWidth="1" outlineLevel="1"/>
    <col min="27" max="27" hidden="1" width="0" customWidth="1" outlineLevel="1"/>
    <col min="28" max="28" hidden="1" width="12.7265625" customWidth="1" outlineLevel="1"/>
    <col min="29" max="32" hidden="1" width="0" customWidth="1" outlineLevel="1"/>
    <col min="33" max="33" hidden="1" width="11" customWidth="1" outlineLevel="1"/>
    <col min="34" max="35" hidden="1" width="0" customWidth="1" outlineLevel="1"/>
    <col min="36" max="36" hidden="1" width="16.81640625" customWidth="1" outlineLevel="1"/>
    <col min="37" max="38" hidden="1" width="0" customWidth="1" outlineLevel="1"/>
    <col min="39" max="39" hidden="1" width="19.26953125" customWidth="1" outlineLevel="1"/>
    <col min="40" max="40" hidden="1" width="0" customWidth="1" outlineLevel="1"/>
    <col min="41" max="41" hidden="1" width="0" customWidth="1"/>
    <col min="42" max="42" hidden="1" width="14.453125" customWidth="1"/>
    <col min="43" max="45" hidden="1" width="0" customWidth="1"/>
    <col min="50" max="50" width="22.453125" customWidth="1"/>
    <col min="51" max="51" width="45" customWidth="1"/>
    <col min="52" max="52" bestFit="1" width="15.1796875" customWidth="1"/>
    <col min="54" max="54" bestFit="1" width="29.7265625" customWidth="1"/>
  </cols>
  <sheetData>
    <row r="1" ht="29">
      <c r="A1" s="0" t="s">
        <v>388</v>
      </c>
      <c r="C1" s="0" t="s">
        <v>389</v>
      </c>
      <c r="D1" s="0" t="s">
        <v>326</v>
      </c>
      <c r="E1" s="0" t="s">
        <v>328</v>
      </c>
      <c r="F1" s="0" t="s">
        <v>390</v>
      </c>
      <c r="I1" s="60" t="s">
        <v>391</v>
      </c>
      <c r="J1" s="60" t="s">
        <v>392</v>
      </c>
      <c r="K1" s="60" t="s">
        <v>393</v>
      </c>
      <c r="L1" s="60" t="s">
        <v>394</v>
      </c>
      <c r="M1" s="60" t="s">
        <v>395</v>
      </c>
      <c r="N1" s="60" t="s">
        <v>396</v>
      </c>
      <c r="O1" s="60" t="s">
        <v>286</v>
      </c>
      <c r="P1" s="60" t="s">
        <v>397</v>
      </c>
      <c r="Q1" s="60" t="s">
        <v>398</v>
      </c>
      <c r="R1" s="60" t="s">
        <v>399</v>
      </c>
      <c r="S1" s="60" t="s">
        <v>400</v>
      </c>
      <c r="T1" s="60" t="s">
        <v>401</v>
      </c>
      <c r="U1" s="60" t="s">
        <v>402</v>
      </c>
      <c r="V1" s="60" t="s">
        <v>403</v>
      </c>
      <c r="W1" s="60" t="s">
        <v>404</v>
      </c>
      <c r="X1" s="60" t="s">
        <v>405</v>
      </c>
      <c r="Y1" s="60" t="s">
        <v>406</v>
      </c>
      <c r="Z1" s="60" t="s">
        <v>407</v>
      </c>
      <c r="AA1" s="60" t="s">
        <v>408</v>
      </c>
      <c r="AB1" s="60" t="s">
        <v>409</v>
      </c>
      <c r="AC1" s="60" t="s">
        <v>410</v>
      </c>
      <c r="AD1" s="60" t="s">
        <v>411</v>
      </c>
      <c r="AE1" s="60" t="s">
        <v>412</v>
      </c>
      <c r="AF1" s="60" t="s">
        <v>413</v>
      </c>
      <c r="AG1" s="60" t="s">
        <v>414</v>
      </c>
      <c r="AH1" s="60" t="s">
        <v>415</v>
      </c>
      <c r="AI1" s="60" t="s">
        <v>416</v>
      </c>
      <c r="AJ1" s="60" t="s">
        <v>417</v>
      </c>
      <c r="AK1" s="60" t="s">
        <v>418</v>
      </c>
      <c r="AL1" s="60" t="s">
        <v>419</v>
      </c>
      <c r="AM1" s="60" t="s">
        <v>420</v>
      </c>
      <c r="AN1" s="60" t="s">
        <v>421</v>
      </c>
      <c r="AO1" s="60" t="s">
        <v>422</v>
      </c>
      <c r="AP1" s="60" t="s">
        <v>423</v>
      </c>
      <c r="AQ1" s="60" t="s">
        <v>424</v>
      </c>
      <c r="AR1" s="60" t="s">
        <v>425</v>
      </c>
      <c r="AS1" s="60" t="s">
        <v>426</v>
      </c>
      <c r="AV1" s="51" t="s">
        <v>427</v>
      </c>
      <c r="AW1" s="51" t="s">
        <v>326</v>
      </c>
      <c r="AX1" s="51" t="s">
        <v>328</v>
      </c>
      <c r="AY1" s="51" t="s">
        <v>428</v>
      </c>
      <c r="AZ1" s="51" t="s">
        <v>429</v>
      </c>
      <c r="BA1" s="51" t="s">
        <v>430</v>
      </c>
      <c r="BE1" s="0" t="s">
        <v>431</v>
      </c>
      <c r="BF1" s="0" t="s">
        <v>432</v>
      </c>
      <c r="BG1" s="0" t="s">
        <v>433</v>
      </c>
    </row>
    <row r="2">
      <c r="A2" s="98" t="s">
        <v>434</v>
      </c>
      <c r="C2" s="0" t="s">
        <v>435</v>
      </c>
      <c r="D2" s="0" t="s">
        <v>417</v>
      </c>
      <c r="E2" s="0" t="s">
        <v>436</v>
      </c>
      <c r="F2" s="100" t="s">
        <v>67</v>
      </c>
      <c r="I2" s="59" t="s">
        <v>437</v>
      </c>
      <c r="J2" s="59" t="s">
        <v>438</v>
      </c>
      <c r="K2" s="59" t="s">
        <v>439</v>
      </c>
      <c r="L2" s="59" t="s">
        <v>440</v>
      </c>
      <c r="M2" s="59" t="s">
        <v>441</v>
      </c>
      <c r="N2" s="59" t="s">
        <v>442</v>
      </c>
      <c r="O2" s="0" t="s">
        <v>443</v>
      </c>
      <c r="P2" s="59" t="s">
        <v>444</v>
      </c>
      <c r="Q2" s="59" t="s">
        <v>445</v>
      </c>
      <c r="R2" s="0" t="s">
        <v>446</v>
      </c>
      <c r="S2" s="0" t="s">
        <v>447</v>
      </c>
      <c r="T2" s="59" t="s">
        <v>448</v>
      </c>
      <c r="U2" s="0" t="s">
        <v>449</v>
      </c>
      <c r="V2" s="59" t="s">
        <v>450</v>
      </c>
      <c r="W2" s="59" t="s">
        <v>451</v>
      </c>
      <c r="X2" s="59" t="s">
        <v>452</v>
      </c>
      <c r="Y2" s="59" t="s">
        <v>453</v>
      </c>
      <c r="Z2" s="59" t="s">
        <v>454</v>
      </c>
      <c r="AA2" s="59" t="s">
        <v>455</v>
      </c>
      <c r="AB2" s="59" t="s">
        <v>456</v>
      </c>
      <c r="AC2" s="59" t="s">
        <v>457</v>
      </c>
      <c r="AD2" s="59" t="s">
        <v>458</v>
      </c>
      <c r="AE2" s="59" t="s">
        <v>459</v>
      </c>
      <c r="AF2" s="59" t="s">
        <v>460</v>
      </c>
      <c r="AG2" s="59" t="s">
        <v>461</v>
      </c>
      <c r="AH2" s="59" t="s">
        <v>462</v>
      </c>
      <c r="AI2" s="59" t="s">
        <v>463</v>
      </c>
      <c r="AJ2" s="59" t="s">
        <v>436</v>
      </c>
      <c r="AK2" s="59" t="s">
        <v>464</v>
      </c>
      <c r="AL2" s="59" t="s">
        <v>465</v>
      </c>
      <c r="AM2" s="59" t="s">
        <v>466</v>
      </c>
      <c r="AN2" s="59" t="s">
        <v>467</v>
      </c>
      <c r="AO2" s="59" t="s">
        <v>468</v>
      </c>
      <c r="AP2" s="59" t="s">
        <v>469</v>
      </c>
      <c r="AQ2" s="59" t="s">
        <v>470</v>
      </c>
      <c r="AR2" s="59" t="s">
        <v>471</v>
      </c>
      <c r="AS2" s="59" t="s">
        <v>472</v>
      </c>
      <c r="AV2" s="0" t="s">
        <v>473</v>
      </c>
      <c r="AW2" s="0" t="s">
        <v>417</v>
      </c>
      <c r="AX2" s="0" t="s">
        <v>436</v>
      </c>
      <c r="AY2" s="0" t="s">
        <v>474</v>
      </c>
      <c r="AZ2" s="0" t="s">
        <v>475</v>
      </c>
      <c r="BA2" s="0" t="s">
        <v>434</v>
      </c>
      <c r="BB2" s="0" t="str">
        <f>SUBSTITUTE(SUBSTITUTE(BA2&amp;AX2," ",""),"-","")</f>
        <v>AHNIogAdoOdo</v>
      </c>
    </row>
    <row r="3">
      <c r="A3" s="98" t="s">
        <v>476</v>
      </c>
      <c r="C3" s="0" t="s">
        <v>477</v>
      </c>
      <c r="D3" s="0" t="s">
        <v>420</v>
      </c>
      <c r="E3" s="0" t="s">
        <v>478</v>
      </c>
      <c r="F3" s="101" t="s">
        <v>117</v>
      </c>
      <c r="I3" s="59" t="s">
        <v>479</v>
      </c>
      <c r="J3" s="59" t="s">
        <v>480</v>
      </c>
      <c r="K3" s="59" t="s">
        <v>481</v>
      </c>
      <c r="L3" s="59" t="s">
        <v>482</v>
      </c>
      <c r="M3" s="59" t="s">
        <v>483</v>
      </c>
      <c r="N3" s="59" t="s">
        <v>484</v>
      </c>
      <c r="O3" s="0" t="s">
        <v>485</v>
      </c>
      <c r="P3" s="59" t="s">
        <v>486</v>
      </c>
      <c r="Q3" s="59" t="s">
        <v>487</v>
      </c>
      <c r="R3" s="0" t="s">
        <v>488</v>
      </c>
      <c r="S3" s="0" t="s">
        <v>489</v>
      </c>
      <c r="T3" s="59" t="s">
        <v>490</v>
      </c>
      <c r="U3" s="0" t="s">
        <v>491</v>
      </c>
      <c r="V3" s="59" t="s">
        <v>492</v>
      </c>
      <c r="W3" s="59" t="s">
        <v>493</v>
      </c>
      <c r="X3" s="59" t="s">
        <v>494</v>
      </c>
      <c r="Y3" s="59" t="s">
        <v>495</v>
      </c>
      <c r="Z3" s="59" t="s">
        <v>496</v>
      </c>
      <c r="AA3" s="59" t="s">
        <v>497</v>
      </c>
      <c r="AB3" s="59" t="s">
        <v>498</v>
      </c>
      <c r="AC3" s="59" t="s">
        <v>499</v>
      </c>
      <c r="AD3" s="59" t="s">
        <v>500</v>
      </c>
      <c r="AE3" s="59" t="s">
        <v>501</v>
      </c>
      <c r="AF3" s="59" t="s">
        <v>502</v>
      </c>
      <c r="AG3" s="59" t="s">
        <v>503</v>
      </c>
      <c r="AH3" s="59" t="s">
        <v>504</v>
      </c>
      <c r="AI3" s="59" t="s">
        <v>505</v>
      </c>
      <c r="AJ3" s="59" t="s">
        <v>478</v>
      </c>
      <c r="AK3" s="59" t="s">
        <v>506</v>
      </c>
      <c r="AL3" s="59" t="s">
        <v>507</v>
      </c>
      <c r="AM3" s="59" t="s">
        <v>508</v>
      </c>
      <c r="AN3" s="59" t="s">
        <v>509</v>
      </c>
      <c r="AO3" s="59" t="s">
        <v>510</v>
      </c>
      <c r="AP3" s="59" t="s">
        <v>511</v>
      </c>
      <c r="AQ3" s="59" t="s">
        <v>512</v>
      </c>
      <c r="AR3" s="59" t="s">
        <v>513</v>
      </c>
      <c r="AS3" s="59" t="s">
        <v>514</v>
      </c>
      <c r="AV3" s="0" t="s">
        <v>473</v>
      </c>
      <c r="AW3" s="0" t="s">
        <v>417</v>
      </c>
      <c r="AX3" s="0" t="s">
        <v>436</v>
      </c>
      <c r="AY3" s="0" t="s">
        <v>474</v>
      </c>
      <c r="AZ3" s="0" t="s">
        <v>515</v>
      </c>
      <c r="BA3" s="0" t="s">
        <v>434</v>
      </c>
      <c r="BB3" s="0" t="str">
        <f ref="BB3:BB66" t="shared" si="0">SUBSTITUTE(SUBSTITUTE(BA3&amp;AX3," ",""),"-","")</f>
        <v>AHNIogAdoOdo</v>
      </c>
      <c r="BE3" s="0">
        <v>24</v>
      </c>
      <c r="BF3" s="0">
        <v>30</v>
      </c>
      <c r="BG3" s="0">
        <v>24</v>
      </c>
    </row>
    <row r="4">
      <c r="A4" s="98" t="s">
        <v>285</v>
      </c>
      <c r="C4" s="0" t="s">
        <v>516</v>
      </c>
      <c r="D4" s="0" t="s">
        <v>414</v>
      </c>
      <c r="E4" s="0" t="s">
        <v>517</v>
      </c>
      <c r="F4" s="100" t="s">
        <v>168</v>
      </c>
      <c r="I4" s="59" t="s">
        <v>518</v>
      </c>
      <c r="J4" s="59" t="s">
        <v>519</v>
      </c>
      <c r="K4" s="59" t="s">
        <v>520</v>
      </c>
      <c r="L4" s="59" t="s">
        <v>521</v>
      </c>
      <c r="M4" s="59" t="s">
        <v>522</v>
      </c>
      <c r="N4" s="59" t="s">
        <v>523</v>
      </c>
      <c r="O4" s="0" t="s">
        <v>524</v>
      </c>
      <c r="P4" s="59" t="s">
        <v>525</v>
      </c>
      <c r="Q4" s="59" t="s">
        <v>526</v>
      </c>
      <c r="R4" s="0" t="s">
        <v>527</v>
      </c>
      <c r="S4" s="0" t="s">
        <v>528</v>
      </c>
      <c r="T4" s="59" t="s">
        <v>529</v>
      </c>
      <c r="U4" s="0" t="s">
        <v>530</v>
      </c>
      <c r="V4" s="59" t="s">
        <v>531</v>
      </c>
      <c r="W4" s="59" t="s">
        <v>532</v>
      </c>
      <c r="X4" s="59" t="s">
        <v>533</v>
      </c>
      <c r="Y4" s="59" t="s">
        <v>534</v>
      </c>
      <c r="Z4" s="59" t="s">
        <v>535</v>
      </c>
      <c r="AA4" s="59" t="s">
        <v>536</v>
      </c>
      <c r="AB4" s="59" t="s">
        <v>537</v>
      </c>
      <c r="AC4" s="59" t="s">
        <v>538</v>
      </c>
      <c r="AD4" s="59" t="s">
        <v>539</v>
      </c>
      <c r="AE4" s="59" t="s">
        <v>540</v>
      </c>
      <c r="AF4" s="59" t="s">
        <v>541</v>
      </c>
      <c r="AG4" s="59" t="s">
        <v>542</v>
      </c>
      <c r="AH4" s="59" t="s">
        <v>543</v>
      </c>
      <c r="AI4" s="59" t="s">
        <v>544</v>
      </c>
      <c r="AJ4" s="59" t="s">
        <v>517</v>
      </c>
      <c r="AK4" s="59" t="s">
        <v>545</v>
      </c>
      <c r="AL4" s="59" t="s">
        <v>546</v>
      </c>
      <c r="AM4" s="59" t="s">
        <v>547</v>
      </c>
      <c r="AN4" s="59" t="s">
        <v>548</v>
      </c>
      <c r="AO4" s="59" t="s">
        <v>549</v>
      </c>
      <c r="AP4" s="59" t="s">
        <v>550</v>
      </c>
      <c r="AQ4" s="59" t="s">
        <v>551</v>
      </c>
      <c r="AR4" s="59" t="s">
        <v>552</v>
      </c>
      <c r="AS4" s="59" t="s">
        <v>553</v>
      </c>
      <c r="AV4" s="0" t="s">
        <v>473</v>
      </c>
      <c r="AW4" s="0" t="s">
        <v>417</v>
      </c>
      <c r="AX4" s="0" t="s">
        <v>436</v>
      </c>
      <c r="AY4" s="0" t="s">
        <v>474</v>
      </c>
      <c r="AZ4" s="0" t="s">
        <v>554</v>
      </c>
      <c r="BA4" s="0" t="s">
        <v>434</v>
      </c>
      <c r="BB4" s="0" t="str">
        <f t="shared" si="0"/>
        <v>AHNIogAdoOdo</v>
      </c>
      <c r="BE4" s="0">
        <v>31</v>
      </c>
      <c r="BF4" s="0">
        <v>40</v>
      </c>
      <c r="BG4" s="0">
        <v>30</v>
      </c>
    </row>
    <row r="5">
      <c r="A5" s="98" t="s">
        <v>555</v>
      </c>
      <c r="C5" s="0" t="s">
        <v>556</v>
      </c>
      <c r="D5" s="0" t="s">
        <v>420</v>
      </c>
      <c r="E5" s="0" t="s">
        <v>557</v>
      </c>
      <c r="F5" s="100" t="s">
        <v>194</v>
      </c>
      <c r="I5" s="59" t="s">
        <v>558</v>
      </c>
      <c r="J5" s="59" t="s">
        <v>559</v>
      </c>
      <c r="K5" s="59" t="s">
        <v>560</v>
      </c>
      <c r="L5" s="59" t="s">
        <v>561</v>
      </c>
      <c r="M5" s="59" t="s">
        <v>562</v>
      </c>
      <c r="N5" s="59" t="s">
        <v>563</v>
      </c>
      <c r="O5" s="0" t="s">
        <v>564</v>
      </c>
      <c r="P5" s="59" t="s">
        <v>565</v>
      </c>
      <c r="Q5" s="59" t="s">
        <v>566</v>
      </c>
      <c r="R5" s="0" t="s">
        <v>567</v>
      </c>
      <c r="S5" s="0" t="s">
        <v>568</v>
      </c>
      <c r="T5" s="59" t="s">
        <v>569</v>
      </c>
      <c r="U5" s="0" t="s">
        <v>570</v>
      </c>
      <c r="V5" s="59" t="s">
        <v>571</v>
      </c>
      <c r="W5" s="59" t="s">
        <v>572</v>
      </c>
      <c r="X5" s="59" t="s">
        <v>573</v>
      </c>
      <c r="Y5" s="59" t="s">
        <v>574</v>
      </c>
      <c r="Z5" s="59" t="s">
        <v>575</v>
      </c>
      <c r="AA5" s="59" t="s">
        <v>576</v>
      </c>
      <c r="AB5" s="59" t="s">
        <v>577</v>
      </c>
      <c r="AD5" s="59" t="s">
        <v>578</v>
      </c>
      <c r="AE5" s="59" t="s">
        <v>579</v>
      </c>
      <c r="AF5" s="59" t="s">
        <v>580</v>
      </c>
      <c r="AG5" s="59" t="s">
        <v>581</v>
      </c>
      <c r="AH5" s="59" t="s">
        <v>582</v>
      </c>
      <c r="AI5" s="59" t="s">
        <v>583</v>
      </c>
      <c r="AJ5" s="59" t="s">
        <v>557</v>
      </c>
      <c r="AK5" s="59" t="s">
        <v>584</v>
      </c>
      <c r="AL5" s="59" t="s">
        <v>585</v>
      </c>
      <c r="AM5" s="59" t="s">
        <v>586</v>
      </c>
      <c r="AN5" s="59" t="s">
        <v>587</v>
      </c>
      <c r="AO5" s="59" t="s">
        <v>588</v>
      </c>
      <c r="AP5" s="59" t="s">
        <v>589</v>
      </c>
      <c r="AQ5" s="59" t="s">
        <v>590</v>
      </c>
      <c r="AR5" s="59" t="s">
        <v>591</v>
      </c>
      <c r="AS5" s="59" t="s">
        <v>592</v>
      </c>
      <c r="AV5" s="0" t="s">
        <v>473</v>
      </c>
      <c r="AW5" s="0" t="s">
        <v>417</v>
      </c>
      <c r="AX5" s="0" t="s">
        <v>478</v>
      </c>
      <c r="AY5" s="0" t="s">
        <v>593</v>
      </c>
      <c r="AZ5" s="0" t="s">
        <v>594</v>
      </c>
      <c r="BA5" s="0" t="s">
        <v>434</v>
      </c>
      <c r="BB5" s="0" t="str">
        <f t="shared" si="0"/>
        <v>AHNIogIpokia</v>
      </c>
      <c r="BE5" s="0">
        <v>41</v>
      </c>
      <c r="BF5" s="0">
        <v>50</v>
      </c>
      <c r="BG5" s="0">
        <v>35</v>
      </c>
    </row>
    <row r="6">
      <c r="A6" s="98" t="s">
        <v>595</v>
      </c>
      <c r="D6" s="0" t="s">
        <v>421</v>
      </c>
      <c r="E6" s="0" t="s">
        <v>466</v>
      </c>
      <c r="F6" s="100" t="s">
        <v>219</v>
      </c>
      <c r="I6" s="59" t="s">
        <v>596</v>
      </c>
      <c r="J6" s="59" t="s">
        <v>597</v>
      </c>
      <c r="K6" s="59" t="s">
        <v>598</v>
      </c>
      <c r="L6" s="59" t="s">
        <v>599</v>
      </c>
      <c r="M6" s="59" t="s">
        <v>600</v>
      </c>
      <c r="N6" s="59" t="s">
        <v>601</v>
      </c>
      <c r="O6" s="0" t="s">
        <v>602</v>
      </c>
      <c r="P6" s="59" t="s">
        <v>603</v>
      </c>
      <c r="Q6" s="59" t="s">
        <v>604</v>
      </c>
      <c r="R6" s="0" t="s">
        <v>605</v>
      </c>
      <c r="S6" s="0" t="s">
        <v>606</v>
      </c>
      <c r="T6" s="59" t="s">
        <v>607</v>
      </c>
      <c r="U6" s="0" t="s">
        <v>608</v>
      </c>
      <c r="V6" s="59" t="s">
        <v>609</v>
      </c>
      <c r="W6" s="59" t="s">
        <v>610</v>
      </c>
      <c r="X6" s="59" t="s">
        <v>611</v>
      </c>
      <c r="Y6" s="59" t="s">
        <v>612</v>
      </c>
      <c r="Z6" s="59" t="s">
        <v>613</v>
      </c>
      <c r="AA6" s="59" t="s">
        <v>614</v>
      </c>
      <c r="AB6" s="59" t="s">
        <v>615</v>
      </c>
      <c r="AD6" s="59" t="s">
        <v>616</v>
      </c>
      <c r="AE6" s="59" t="s">
        <v>617</v>
      </c>
      <c r="AF6" s="59" t="s">
        <v>618</v>
      </c>
      <c r="AG6" s="59" t="s">
        <v>619</v>
      </c>
      <c r="AH6" s="59" t="s">
        <v>620</v>
      </c>
      <c r="AI6" s="59" t="s">
        <v>621</v>
      </c>
      <c r="AJ6" s="59" t="s">
        <v>622</v>
      </c>
      <c r="AK6" s="59" t="s">
        <v>623</v>
      </c>
      <c r="AL6" s="59" t="s">
        <v>624</v>
      </c>
      <c r="AM6" s="59" t="s">
        <v>625</v>
      </c>
      <c r="AN6" s="59" t="s">
        <v>626</v>
      </c>
      <c r="AO6" s="59" t="s">
        <v>627</v>
      </c>
      <c r="AP6" s="59" t="s">
        <v>628</v>
      </c>
      <c r="AQ6" s="59" t="s">
        <v>629</v>
      </c>
      <c r="AR6" s="59" t="s">
        <v>630</v>
      </c>
      <c r="AS6" s="59" t="s">
        <v>631</v>
      </c>
      <c r="AV6" s="0" t="s">
        <v>473</v>
      </c>
      <c r="AW6" s="0" t="s">
        <v>417</v>
      </c>
      <c r="AX6" s="0" t="s">
        <v>478</v>
      </c>
      <c r="AY6" s="0" t="s">
        <v>632</v>
      </c>
      <c r="AZ6" s="0" t="s">
        <v>633</v>
      </c>
      <c r="BA6" s="0" t="s">
        <v>434</v>
      </c>
      <c r="BB6" s="0" t="str">
        <f t="shared" si="0"/>
        <v>AHNIogIpokia</v>
      </c>
      <c r="BE6" s="0">
        <v>51</v>
      </c>
      <c r="BF6" s="0">
        <v>60</v>
      </c>
      <c r="BG6" s="0">
        <v>39</v>
      </c>
    </row>
    <row r="7">
      <c r="A7" s="98" t="s">
        <v>634</v>
      </c>
      <c r="D7" s="0" t="s">
        <v>400</v>
      </c>
      <c r="E7" s="0" t="s">
        <v>508</v>
      </c>
      <c r="F7" s="102" t="s">
        <v>244</v>
      </c>
      <c r="I7" s="59" t="s">
        <v>635</v>
      </c>
      <c r="J7" s="59" t="s">
        <v>636</v>
      </c>
      <c r="K7" s="59" t="s">
        <v>637</v>
      </c>
      <c r="L7" s="59" t="s">
        <v>638</v>
      </c>
      <c r="M7" s="59" t="s">
        <v>639</v>
      </c>
      <c r="N7" s="59" t="s">
        <v>640</v>
      </c>
      <c r="O7" s="0" t="s">
        <v>641</v>
      </c>
      <c r="P7" s="59" t="s">
        <v>642</v>
      </c>
      <c r="Q7" s="59" t="s">
        <v>643</v>
      </c>
      <c r="R7" s="0" t="s">
        <v>644</v>
      </c>
      <c r="S7" s="0" t="s">
        <v>645</v>
      </c>
      <c r="T7" s="59" t="s">
        <v>646</v>
      </c>
      <c r="U7" s="0" t="s">
        <v>647</v>
      </c>
      <c r="V7" s="59" t="s">
        <v>648</v>
      </c>
      <c r="W7" s="59" t="s">
        <v>649</v>
      </c>
      <c r="X7" s="59" t="s">
        <v>650</v>
      </c>
      <c r="Y7" s="59" t="s">
        <v>651</v>
      </c>
      <c r="Z7" s="59" t="s">
        <v>652</v>
      </c>
      <c r="AA7" s="59" t="s">
        <v>653</v>
      </c>
      <c r="AD7" s="59" t="s">
        <v>654</v>
      </c>
      <c r="AE7" s="59" t="s">
        <v>655</v>
      </c>
      <c r="AF7" s="59" t="s">
        <v>656</v>
      </c>
      <c r="AG7" s="59" t="s">
        <v>657</v>
      </c>
      <c r="AH7" s="59" t="s">
        <v>658</v>
      </c>
      <c r="AI7" s="59" t="s">
        <v>659</v>
      </c>
      <c r="AJ7" s="59" t="s">
        <v>660</v>
      </c>
      <c r="AK7" s="59" t="s">
        <v>661</v>
      </c>
      <c r="AL7" s="59" t="s">
        <v>662</v>
      </c>
      <c r="AM7" s="59" t="s">
        <v>663</v>
      </c>
      <c r="AN7" s="59" t="s">
        <v>664</v>
      </c>
      <c r="AO7" s="59" t="s">
        <v>665</v>
      </c>
      <c r="AP7" s="59" t="s">
        <v>666</v>
      </c>
      <c r="AQ7" s="59" t="s">
        <v>667</v>
      </c>
      <c r="AR7" s="59" t="s">
        <v>668</v>
      </c>
      <c r="AS7" s="59" t="s">
        <v>669</v>
      </c>
      <c r="AV7" s="0" t="s">
        <v>473</v>
      </c>
      <c r="AW7" s="0" t="s">
        <v>417</v>
      </c>
      <c r="AX7" s="0" t="s">
        <v>517</v>
      </c>
      <c r="AY7" s="0" t="s">
        <v>670</v>
      </c>
      <c r="AZ7" s="0" t="s">
        <v>671</v>
      </c>
      <c r="BA7" s="0" t="s">
        <v>434</v>
      </c>
      <c r="BB7" s="0" t="str">
        <f t="shared" si="0"/>
        <v>AHNIogYewaNorth</v>
      </c>
      <c r="BE7" s="0">
        <v>61</v>
      </c>
      <c r="BF7" s="0">
        <v>70</v>
      </c>
      <c r="BG7" s="0">
        <v>43</v>
      </c>
    </row>
    <row r="8">
      <c r="A8" s="98" t="s">
        <v>672</v>
      </c>
      <c r="D8" s="0" t="s">
        <v>403</v>
      </c>
      <c r="E8" s="0" t="s">
        <v>547</v>
      </c>
      <c r="I8" s="59" t="s">
        <v>673</v>
      </c>
      <c r="J8" s="59" t="s">
        <v>674</v>
      </c>
      <c r="K8" s="59" t="s">
        <v>675</v>
      </c>
      <c r="L8" s="59" t="s">
        <v>676</v>
      </c>
      <c r="M8" s="59" t="s">
        <v>677</v>
      </c>
      <c r="N8" s="59" t="s">
        <v>678</v>
      </c>
      <c r="O8" s="0" t="s">
        <v>679</v>
      </c>
      <c r="P8" s="59" t="s">
        <v>680</v>
      </c>
      <c r="Q8" s="59" t="s">
        <v>681</v>
      </c>
      <c r="R8" s="0" t="s">
        <v>682</v>
      </c>
      <c r="S8" s="0" t="s">
        <v>683</v>
      </c>
      <c r="T8" s="59" t="s">
        <v>684</v>
      </c>
      <c r="V8" s="59" t="s">
        <v>685</v>
      </c>
      <c r="X8" s="59" t="s">
        <v>686</v>
      </c>
      <c r="Y8" s="59" t="s">
        <v>687</v>
      </c>
      <c r="Z8" s="59" t="s">
        <v>688</v>
      </c>
      <c r="AA8" s="59" t="s">
        <v>689</v>
      </c>
      <c r="AD8" s="59" t="s">
        <v>690</v>
      </c>
      <c r="AE8" s="59" t="s">
        <v>691</v>
      </c>
      <c r="AF8" s="59" t="s">
        <v>692</v>
      </c>
      <c r="AG8" s="59" t="s">
        <v>693</v>
      </c>
      <c r="AH8" s="59" t="s">
        <v>694</v>
      </c>
      <c r="AI8" s="59" t="s">
        <v>695</v>
      </c>
      <c r="AJ8" s="59" t="s">
        <v>696</v>
      </c>
      <c r="AK8" s="59" t="s">
        <v>697</v>
      </c>
      <c r="AL8" s="59" t="s">
        <v>698</v>
      </c>
      <c r="AM8" s="59" t="s">
        <v>699</v>
      </c>
      <c r="AN8" s="59" t="s">
        <v>700</v>
      </c>
      <c r="AO8" s="59" t="s">
        <v>701</v>
      </c>
      <c r="AP8" s="59" t="s">
        <v>702</v>
      </c>
      <c r="AQ8" s="59" t="s">
        <v>703</v>
      </c>
      <c r="AR8" s="59" t="s">
        <v>704</v>
      </c>
      <c r="AS8" s="59" t="s">
        <v>705</v>
      </c>
      <c r="AV8" s="0" t="s">
        <v>473</v>
      </c>
      <c r="AW8" s="0" t="s">
        <v>417</v>
      </c>
      <c r="AX8" s="0" t="s">
        <v>517</v>
      </c>
      <c r="AY8" s="0" t="s">
        <v>706</v>
      </c>
      <c r="AZ8" s="0" t="s">
        <v>707</v>
      </c>
      <c r="BA8" s="0" t="s">
        <v>434</v>
      </c>
      <c r="BB8" s="0" t="str">
        <f t="shared" si="0"/>
        <v>AHNIogYewaNorth</v>
      </c>
      <c r="BE8" s="0">
        <v>71</v>
      </c>
      <c r="BF8" s="0">
        <v>80</v>
      </c>
      <c r="BG8" s="0">
        <v>46</v>
      </c>
    </row>
    <row r="9">
      <c r="A9" s="98" t="s">
        <v>708</v>
      </c>
      <c r="D9" s="0" t="s">
        <v>406</v>
      </c>
      <c r="E9" s="0" t="s">
        <v>586</v>
      </c>
      <c r="I9" s="59" t="s">
        <v>709</v>
      </c>
      <c r="J9" s="59" t="s">
        <v>710</v>
      </c>
      <c r="K9" s="59" t="s">
        <v>711</v>
      </c>
      <c r="L9" s="59" t="s">
        <v>712</v>
      </c>
      <c r="M9" s="59" t="s">
        <v>713</v>
      </c>
      <c r="N9" s="59" t="s">
        <v>714</v>
      </c>
      <c r="O9" s="0" t="s">
        <v>715</v>
      </c>
      <c r="P9" s="59" t="s">
        <v>716</v>
      </c>
      <c r="Q9" s="59" t="s">
        <v>717</v>
      </c>
      <c r="S9" s="0" t="s">
        <v>718</v>
      </c>
      <c r="T9" s="59" t="s">
        <v>719</v>
      </c>
      <c r="V9" s="59" t="s">
        <v>720</v>
      </c>
      <c r="X9" s="59" t="s">
        <v>721</v>
      </c>
      <c r="Y9" s="59" t="s">
        <v>722</v>
      </c>
      <c r="Z9" s="59" t="s">
        <v>723</v>
      </c>
      <c r="AA9" s="59" t="s">
        <v>724</v>
      </c>
      <c r="AD9" s="59" t="s">
        <v>725</v>
      </c>
      <c r="AE9" s="59" t="s">
        <v>726</v>
      </c>
      <c r="AF9" s="59" t="s">
        <v>727</v>
      </c>
      <c r="AG9" s="59" t="s">
        <v>728</v>
      </c>
      <c r="AH9" s="59" t="s">
        <v>729</v>
      </c>
      <c r="AI9" s="59" t="s">
        <v>730</v>
      </c>
      <c r="AJ9" s="59" t="s">
        <v>731</v>
      </c>
      <c r="AK9" s="59"/>
      <c r="AL9" s="59" t="s">
        <v>732</v>
      </c>
      <c r="AM9" s="59" t="s">
        <v>733</v>
      </c>
      <c r="AN9" s="59" t="s">
        <v>734</v>
      </c>
      <c r="AO9" s="59" t="s">
        <v>735</v>
      </c>
      <c r="AP9" s="59" t="s">
        <v>736</v>
      </c>
      <c r="AQ9" s="59" t="s">
        <v>737</v>
      </c>
      <c r="AR9" s="59" t="s">
        <v>738</v>
      </c>
      <c r="AS9" s="59" t="s">
        <v>739</v>
      </c>
      <c r="AV9" s="0" t="s">
        <v>473</v>
      </c>
      <c r="AW9" s="0" t="s">
        <v>417</v>
      </c>
      <c r="AX9" s="0" t="s">
        <v>557</v>
      </c>
      <c r="AY9" s="0" t="s">
        <v>740</v>
      </c>
      <c r="AZ9" s="0" t="s">
        <v>741</v>
      </c>
      <c r="BA9" s="0" t="s">
        <v>434</v>
      </c>
      <c r="BB9" s="0" t="str">
        <f t="shared" si="0"/>
        <v>AHNIogYewaSouth</v>
      </c>
      <c r="BE9" s="0">
        <v>81</v>
      </c>
      <c r="BF9" s="0">
        <v>90</v>
      </c>
      <c r="BG9" s="0">
        <v>49</v>
      </c>
    </row>
    <row r="10">
      <c r="A10" s="98" t="s">
        <v>742</v>
      </c>
      <c r="D10" s="0" t="s">
        <v>286</v>
      </c>
      <c r="E10" s="0" t="s">
        <v>625</v>
      </c>
      <c r="I10" s="59" t="s">
        <v>743</v>
      </c>
      <c r="J10" s="59" t="s">
        <v>744</v>
      </c>
      <c r="K10" s="59" t="s">
        <v>745</v>
      </c>
      <c r="L10" s="59" t="s">
        <v>746</v>
      </c>
      <c r="M10" s="59" t="s">
        <v>747</v>
      </c>
      <c r="O10" s="0" t="s">
        <v>748</v>
      </c>
      <c r="P10" s="59" t="s">
        <v>749</v>
      </c>
      <c r="Q10" s="59" t="s">
        <v>750</v>
      </c>
      <c r="S10" s="0" t="s">
        <v>751</v>
      </c>
      <c r="T10" s="59" t="s">
        <v>752</v>
      </c>
      <c r="V10" s="59" t="s">
        <v>753</v>
      </c>
      <c r="X10" s="59" t="s">
        <v>754</v>
      </c>
      <c r="Y10" s="59" t="s">
        <v>755</v>
      </c>
      <c r="Z10" s="59" t="s">
        <v>756</v>
      </c>
      <c r="AA10" s="59" t="s">
        <v>757</v>
      </c>
      <c r="AD10" s="59" t="s">
        <v>758</v>
      </c>
      <c r="AE10" s="59" t="s">
        <v>759</v>
      </c>
      <c r="AF10" s="59" t="s">
        <v>760</v>
      </c>
      <c r="AG10" s="59" t="s">
        <v>761</v>
      </c>
      <c r="AH10" s="59" t="s">
        <v>762</v>
      </c>
      <c r="AI10" s="59" t="s">
        <v>763</v>
      </c>
      <c r="AJ10" s="59" t="s">
        <v>764</v>
      </c>
      <c r="AK10" s="59"/>
      <c r="AL10" s="59" t="s">
        <v>765</v>
      </c>
      <c r="AM10" s="59" t="s">
        <v>766</v>
      </c>
      <c r="AN10" s="59" t="s">
        <v>767</v>
      </c>
      <c r="AO10" s="59" t="s">
        <v>768</v>
      </c>
      <c r="AP10" s="59" t="s">
        <v>769</v>
      </c>
      <c r="AQ10" s="59" t="s">
        <v>770</v>
      </c>
      <c r="AR10" s="59" t="s">
        <v>771</v>
      </c>
      <c r="AS10" s="59" t="s">
        <v>772</v>
      </c>
      <c r="AV10" s="0" t="s">
        <v>473</v>
      </c>
      <c r="AW10" s="0" t="s">
        <v>417</v>
      </c>
      <c r="AX10" s="0" t="s">
        <v>557</v>
      </c>
      <c r="AY10" s="0" t="s">
        <v>773</v>
      </c>
      <c r="AZ10" s="0" t="s">
        <v>774</v>
      </c>
      <c r="BA10" s="0" t="s">
        <v>434</v>
      </c>
      <c r="BB10" s="0" t="str">
        <f t="shared" si="0"/>
        <v>AHNIogYewaSouth</v>
      </c>
      <c r="BE10" s="0">
        <v>91</v>
      </c>
      <c r="BF10" s="0">
        <v>100</v>
      </c>
      <c r="BG10" s="0">
        <v>52</v>
      </c>
    </row>
    <row r="11">
      <c r="D11" s="0" t="s">
        <v>399</v>
      </c>
      <c r="E11" s="0" t="s">
        <v>663</v>
      </c>
      <c r="I11" s="59" t="s">
        <v>775</v>
      </c>
      <c r="J11" s="59" t="s">
        <v>776</v>
      </c>
      <c r="K11" s="59" t="s">
        <v>777</v>
      </c>
      <c r="L11" s="59" t="s">
        <v>778</v>
      </c>
      <c r="M11" s="59" t="s">
        <v>779</v>
      </c>
      <c r="O11" s="0" t="s">
        <v>780</v>
      </c>
      <c r="P11" s="59" t="s">
        <v>781</v>
      </c>
      <c r="Q11" s="59" t="s">
        <v>782</v>
      </c>
      <c r="S11" s="0" t="s">
        <v>783</v>
      </c>
      <c r="T11" s="59" t="s">
        <v>784</v>
      </c>
      <c r="V11" s="59" t="s">
        <v>785</v>
      </c>
      <c r="X11" s="59" t="s">
        <v>786</v>
      </c>
      <c r="Y11" s="59" t="s">
        <v>787</v>
      </c>
      <c r="Z11" s="59" t="s">
        <v>788</v>
      </c>
      <c r="AA11" s="59" t="s">
        <v>789</v>
      </c>
      <c r="AD11" s="59" t="s">
        <v>790</v>
      </c>
      <c r="AE11" s="59" t="s">
        <v>791</v>
      </c>
      <c r="AF11" s="59" t="s">
        <v>792</v>
      </c>
      <c r="AG11" s="59" t="s">
        <v>793</v>
      </c>
      <c r="AH11" s="59" t="s">
        <v>794</v>
      </c>
      <c r="AI11" s="59" t="s">
        <v>795</v>
      </c>
      <c r="AK11" s="59"/>
      <c r="AL11" s="59"/>
      <c r="AM11" s="59" t="s">
        <v>796</v>
      </c>
      <c r="AN11" s="59" t="s">
        <v>797</v>
      </c>
      <c r="AO11" s="59" t="s">
        <v>798</v>
      </c>
      <c r="AP11" s="59" t="s">
        <v>799</v>
      </c>
      <c r="AQ11" s="59" t="s">
        <v>800</v>
      </c>
      <c r="AR11" s="59" t="s">
        <v>801</v>
      </c>
      <c r="AS11" s="59" t="s">
        <v>802</v>
      </c>
      <c r="AV11" s="0" t="s">
        <v>473</v>
      </c>
      <c r="AW11" s="0" t="s">
        <v>420</v>
      </c>
      <c r="AX11" s="0" t="s">
        <v>466</v>
      </c>
      <c r="AY11" s="0" t="s">
        <v>803</v>
      </c>
      <c r="AZ11" s="0" t="s">
        <v>804</v>
      </c>
      <c r="BA11" s="0" t="s">
        <v>434</v>
      </c>
      <c r="BB11" s="0" t="str">
        <f t="shared" si="0"/>
        <v>AHNIoyAtisbo</v>
      </c>
      <c r="BE11" s="0">
        <v>101</v>
      </c>
      <c r="BF11" s="0">
        <v>119</v>
      </c>
      <c r="BG11" s="0">
        <v>57</v>
      </c>
    </row>
    <row r="12">
      <c r="D12" s="0" t="s">
        <v>404</v>
      </c>
      <c r="E12" s="0" t="s">
        <v>699</v>
      </c>
      <c r="I12" s="59" t="s">
        <v>805</v>
      </c>
      <c r="J12" s="59" t="s">
        <v>806</v>
      </c>
      <c r="K12" s="59" t="s">
        <v>807</v>
      </c>
      <c r="L12" s="59" t="s">
        <v>808</v>
      </c>
      <c r="M12" s="59" t="s">
        <v>809</v>
      </c>
      <c r="O12" s="0" t="s">
        <v>810</v>
      </c>
      <c r="P12" s="59" t="s">
        <v>811</v>
      </c>
      <c r="Q12" s="59" t="s">
        <v>812</v>
      </c>
      <c r="S12" s="0" t="s">
        <v>813</v>
      </c>
      <c r="T12" s="59" t="s">
        <v>814</v>
      </c>
      <c r="V12" s="59" t="s">
        <v>815</v>
      </c>
      <c r="X12" s="59" t="s">
        <v>816</v>
      </c>
      <c r="Y12" s="59" t="s">
        <v>817</v>
      </c>
      <c r="Z12" s="59" t="s">
        <v>818</v>
      </c>
      <c r="AA12" s="59" t="s">
        <v>819</v>
      </c>
      <c r="AD12" s="59" t="s">
        <v>820</v>
      </c>
      <c r="AE12" s="59" t="s">
        <v>821</v>
      </c>
      <c r="AF12" s="59" t="s">
        <v>822</v>
      </c>
      <c r="AH12" s="59" t="s">
        <v>823</v>
      </c>
      <c r="AI12" s="59" t="s">
        <v>824</v>
      </c>
      <c r="AK12" s="59"/>
      <c r="AL12" s="59"/>
      <c r="AM12" s="59" t="s">
        <v>825</v>
      </c>
      <c r="AN12" s="59" t="s">
        <v>826</v>
      </c>
      <c r="AO12" s="59" t="s">
        <v>827</v>
      </c>
      <c r="AP12" s="59" t="s">
        <v>828</v>
      </c>
      <c r="AQ12" s="59" t="s">
        <v>829</v>
      </c>
      <c r="AR12" s="59" t="s">
        <v>830</v>
      </c>
      <c r="AS12" s="59" t="s">
        <v>831</v>
      </c>
      <c r="AV12" s="0" t="s">
        <v>473</v>
      </c>
      <c r="AW12" s="0" t="s">
        <v>420</v>
      </c>
      <c r="AX12" s="0" t="s">
        <v>466</v>
      </c>
      <c r="AY12" s="0" t="s">
        <v>832</v>
      </c>
      <c r="AZ12" s="0" t="s">
        <v>833</v>
      </c>
      <c r="BA12" s="0" t="s">
        <v>434</v>
      </c>
      <c r="BB12" s="0" t="str">
        <f t="shared" si="0"/>
        <v>AHNIoyAtisbo</v>
      </c>
      <c r="BE12" s="0">
        <v>120</v>
      </c>
      <c r="BF12" s="0">
        <v>139</v>
      </c>
      <c r="BG12" s="0">
        <v>61</v>
      </c>
    </row>
    <row r="13">
      <c r="D13" s="0" t="s">
        <v>408</v>
      </c>
      <c r="E13" s="0" t="s">
        <v>733</v>
      </c>
      <c r="I13" s="59" t="s">
        <v>834</v>
      </c>
      <c r="J13" s="59" t="s">
        <v>835</v>
      </c>
      <c r="K13" s="59" t="s">
        <v>836</v>
      </c>
      <c r="L13" s="59" t="s">
        <v>837</v>
      </c>
      <c r="M13" s="59" t="s">
        <v>838</v>
      </c>
      <c r="O13" s="0" t="s">
        <v>839</v>
      </c>
      <c r="P13" s="59" t="s">
        <v>840</v>
      </c>
      <c r="Q13" s="59" t="s">
        <v>841</v>
      </c>
      <c r="S13" s="0" t="s">
        <v>842</v>
      </c>
      <c r="T13" s="59" t="s">
        <v>843</v>
      </c>
      <c r="V13" s="59" t="s">
        <v>844</v>
      </c>
      <c r="Y13" s="59" t="s">
        <v>845</v>
      </c>
      <c r="Z13" s="59" t="s">
        <v>846</v>
      </c>
      <c r="AA13" s="59" t="s">
        <v>847</v>
      </c>
      <c r="AD13" s="59" t="s">
        <v>848</v>
      </c>
      <c r="AE13" s="59" t="s">
        <v>849</v>
      </c>
      <c r="AF13" s="59" t="s">
        <v>850</v>
      </c>
      <c r="AH13" s="59" t="s">
        <v>851</v>
      </c>
      <c r="AI13" s="59" t="s">
        <v>852</v>
      </c>
      <c r="AK13" s="59"/>
      <c r="AL13" s="59"/>
      <c r="AM13" s="59" t="s">
        <v>853</v>
      </c>
      <c r="AN13" s="59" t="s">
        <v>854</v>
      </c>
      <c r="AO13" s="59" t="s">
        <v>855</v>
      </c>
      <c r="AP13" s="59" t="s">
        <v>856</v>
      </c>
      <c r="AQ13" s="59" t="s">
        <v>857</v>
      </c>
      <c r="AR13" s="59" t="s">
        <v>858</v>
      </c>
      <c r="AS13" s="59" t="s">
        <v>859</v>
      </c>
      <c r="AV13" s="0" t="s">
        <v>473</v>
      </c>
      <c r="AW13" s="0" t="s">
        <v>420</v>
      </c>
      <c r="AX13" s="0" t="s">
        <v>466</v>
      </c>
      <c r="AY13" s="0" t="s">
        <v>860</v>
      </c>
      <c r="AZ13" s="0" t="s">
        <v>861</v>
      </c>
      <c r="BA13" s="0" t="s">
        <v>434</v>
      </c>
      <c r="BB13" s="0" t="str">
        <f t="shared" si="0"/>
        <v>AHNIoyAtisbo</v>
      </c>
      <c r="BE13" s="0">
        <v>140</v>
      </c>
      <c r="BF13" s="0">
        <v>159</v>
      </c>
      <c r="BG13" s="0">
        <v>64</v>
      </c>
    </row>
    <row r="14">
      <c r="D14" s="0" t="s">
        <v>412</v>
      </c>
      <c r="E14" s="0" t="s">
        <v>766</v>
      </c>
      <c r="I14" s="59" t="s">
        <v>862</v>
      </c>
      <c r="J14" s="59" t="s">
        <v>863</v>
      </c>
      <c r="K14" s="59" t="s">
        <v>864</v>
      </c>
      <c r="L14" s="59" t="s">
        <v>865</v>
      </c>
      <c r="M14" s="59" t="s">
        <v>866</v>
      </c>
      <c r="O14" s="0" t="s">
        <v>867</v>
      </c>
      <c r="P14" s="59" t="s">
        <v>868</v>
      </c>
      <c r="Q14" s="59" t="s">
        <v>869</v>
      </c>
      <c r="S14" s="0" t="s">
        <v>870</v>
      </c>
      <c r="T14" s="59" t="s">
        <v>871</v>
      </c>
      <c r="V14" s="59" t="s">
        <v>872</v>
      </c>
      <c r="Y14" s="59" t="s">
        <v>873</v>
      </c>
      <c r="Z14" s="59" t="s">
        <v>874</v>
      </c>
      <c r="AA14" s="59" t="s">
        <v>875</v>
      </c>
      <c r="AD14" s="59" t="s">
        <v>876</v>
      </c>
      <c r="AE14" s="59" t="s">
        <v>459</v>
      </c>
      <c r="AF14" s="59" t="s">
        <v>877</v>
      </c>
      <c r="AH14" s="59"/>
      <c r="AI14" s="59" t="s">
        <v>878</v>
      </c>
      <c r="AK14" s="59"/>
      <c r="AL14" s="59"/>
      <c r="AM14" s="59" t="s">
        <v>879</v>
      </c>
      <c r="AN14" s="59" t="s">
        <v>880</v>
      </c>
      <c r="AO14" s="59" t="s">
        <v>881</v>
      </c>
      <c r="AP14" s="59" t="s">
        <v>882</v>
      </c>
      <c r="AQ14" s="59" t="s">
        <v>883</v>
      </c>
      <c r="AR14" s="59" t="s">
        <v>884</v>
      </c>
      <c r="AS14" s="59" t="s">
        <v>885</v>
      </c>
      <c r="AV14" s="0" t="s">
        <v>473</v>
      </c>
      <c r="AW14" s="0" t="s">
        <v>420</v>
      </c>
      <c r="AX14" s="0" t="s">
        <v>466</v>
      </c>
      <c r="AY14" s="0" t="s">
        <v>886</v>
      </c>
      <c r="AZ14" s="0" t="s">
        <v>887</v>
      </c>
      <c r="BA14" s="0" t="s">
        <v>434</v>
      </c>
      <c r="BB14" s="0" t="str">
        <f t="shared" si="0"/>
        <v>AHNIoyAtisbo</v>
      </c>
      <c r="BE14" s="0">
        <v>160</v>
      </c>
      <c r="BF14" s="0">
        <v>179</v>
      </c>
      <c r="BG14" s="0">
        <v>67</v>
      </c>
    </row>
    <row r="15">
      <c r="D15" s="0" t="s">
        <v>414</v>
      </c>
      <c r="E15" s="0" t="s">
        <v>796</v>
      </c>
      <c r="I15" s="59" t="s">
        <v>888</v>
      </c>
      <c r="J15" s="59" t="s">
        <v>889</v>
      </c>
      <c r="K15" s="59" t="s">
        <v>890</v>
      </c>
      <c r="L15" s="59" t="s">
        <v>891</v>
      </c>
      <c r="M15" s="59" t="s">
        <v>892</v>
      </c>
      <c r="O15" s="0" t="s">
        <v>893</v>
      </c>
      <c r="P15" s="59" t="s">
        <v>894</v>
      </c>
      <c r="Q15" s="59" t="s">
        <v>895</v>
      </c>
      <c r="T15" s="59" t="s">
        <v>896</v>
      </c>
      <c r="V15" s="59" t="s">
        <v>897</v>
      </c>
      <c r="Y15" s="59" t="s">
        <v>898</v>
      </c>
      <c r="Z15" s="59" t="s">
        <v>899</v>
      </c>
      <c r="AA15" s="59" t="s">
        <v>900</v>
      </c>
      <c r="AD15" s="59" t="s">
        <v>901</v>
      </c>
      <c r="AE15" s="59" t="s">
        <v>501</v>
      </c>
      <c r="AF15" s="59" t="s">
        <v>902</v>
      </c>
      <c r="AI15" s="59" t="s">
        <v>903</v>
      </c>
      <c r="AK15" s="59"/>
      <c r="AL15" s="59"/>
      <c r="AM15" s="59" t="s">
        <v>904</v>
      </c>
      <c r="AN15" s="59" t="s">
        <v>905</v>
      </c>
      <c r="AO15" s="59" t="s">
        <v>906</v>
      </c>
      <c r="AP15" s="59" t="s">
        <v>907</v>
      </c>
      <c r="AQ15" s="59" t="s">
        <v>908</v>
      </c>
      <c r="AR15" s="59" t="s">
        <v>909</v>
      </c>
      <c r="AS15" s="59" t="s">
        <v>910</v>
      </c>
      <c r="AV15" s="0" t="s">
        <v>473</v>
      </c>
      <c r="AW15" s="0" t="s">
        <v>420</v>
      </c>
      <c r="AX15" s="0" t="s">
        <v>466</v>
      </c>
      <c r="AY15" s="0" t="s">
        <v>911</v>
      </c>
      <c r="AZ15" s="0" t="s">
        <v>912</v>
      </c>
      <c r="BA15" s="0" t="s">
        <v>434</v>
      </c>
      <c r="BB15" s="0" t="str">
        <f t="shared" si="0"/>
        <v>AHNIoyAtisbo</v>
      </c>
      <c r="BE15" s="0">
        <v>180</v>
      </c>
      <c r="BF15" s="0">
        <v>199</v>
      </c>
      <c r="BG15" s="0">
        <v>70</v>
      </c>
    </row>
    <row r="16">
      <c r="D16" s="0" t="s">
        <v>415</v>
      </c>
      <c r="E16" s="0" t="s">
        <v>461</v>
      </c>
      <c r="I16" s="59" t="s">
        <v>913</v>
      </c>
      <c r="J16" s="59" t="s">
        <v>914</v>
      </c>
      <c r="K16" s="59" t="s">
        <v>915</v>
      </c>
      <c r="L16" s="59" t="s">
        <v>916</v>
      </c>
      <c r="M16" s="59" t="s">
        <v>917</v>
      </c>
      <c r="O16" s="0" t="s">
        <v>918</v>
      </c>
      <c r="P16" s="59" t="s">
        <v>919</v>
      </c>
      <c r="Q16" s="59" t="s">
        <v>920</v>
      </c>
      <c r="T16" s="59" t="s">
        <v>921</v>
      </c>
      <c r="V16" s="59" t="s">
        <v>922</v>
      </c>
      <c r="Y16" s="59" t="s">
        <v>923</v>
      </c>
      <c r="Z16" s="59" t="s">
        <v>924</v>
      </c>
      <c r="AA16" s="59" t="s">
        <v>925</v>
      </c>
      <c r="AD16" s="59" t="s">
        <v>926</v>
      </c>
      <c r="AE16" s="59" t="s">
        <v>540</v>
      </c>
      <c r="AF16" s="59" t="s">
        <v>927</v>
      </c>
      <c r="AI16" s="59" t="s">
        <v>928</v>
      </c>
      <c r="AK16" s="59"/>
      <c r="AL16" s="59"/>
      <c r="AM16" s="59" t="s">
        <v>929</v>
      </c>
      <c r="AN16" s="59" t="s">
        <v>930</v>
      </c>
      <c r="AO16" s="59" t="s">
        <v>931</v>
      </c>
      <c r="AP16" s="59" t="s">
        <v>932</v>
      </c>
      <c r="AQ16" s="59" t="s">
        <v>933</v>
      </c>
      <c r="AR16" s="59" t="s">
        <v>934</v>
      </c>
      <c r="AV16" s="0" t="s">
        <v>473</v>
      </c>
      <c r="AW16" s="0" t="s">
        <v>420</v>
      </c>
      <c r="AX16" s="0" t="s">
        <v>466</v>
      </c>
      <c r="AY16" s="0" t="s">
        <v>935</v>
      </c>
      <c r="AZ16" s="0" t="s">
        <v>936</v>
      </c>
      <c r="BA16" s="0" t="s">
        <v>434</v>
      </c>
      <c r="BB16" s="0" t="str">
        <f t="shared" si="0"/>
        <v>AHNIoyAtisbo</v>
      </c>
      <c r="BE16" s="0">
        <v>200</v>
      </c>
      <c r="BF16" s="0">
        <v>249</v>
      </c>
      <c r="BG16" s="0">
        <v>75</v>
      </c>
    </row>
    <row r="17">
      <c r="D17" s="0" t="s">
        <v>417</v>
      </c>
      <c r="E17" s="0" t="s">
        <v>503</v>
      </c>
      <c r="I17" s="59" t="s">
        <v>937</v>
      </c>
      <c r="J17" s="59" t="s">
        <v>938</v>
      </c>
      <c r="K17" s="59" t="s">
        <v>939</v>
      </c>
      <c r="L17" s="59" t="s">
        <v>940</v>
      </c>
      <c r="M17" s="59" t="s">
        <v>941</v>
      </c>
      <c r="O17" s="0" t="s">
        <v>942</v>
      </c>
      <c r="P17" s="59" t="s">
        <v>943</v>
      </c>
      <c r="Q17" s="59" t="s">
        <v>944</v>
      </c>
      <c r="T17" s="59" t="s">
        <v>945</v>
      </c>
      <c r="V17" s="59" t="s">
        <v>946</v>
      </c>
      <c r="Y17" s="59" t="s">
        <v>947</v>
      </c>
      <c r="Z17" s="59" t="s">
        <v>948</v>
      </c>
      <c r="AA17" s="59" t="s">
        <v>949</v>
      </c>
      <c r="AD17" s="59" t="s">
        <v>950</v>
      </c>
      <c r="AE17" s="59" t="s">
        <v>579</v>
      </c>
      <c r="AF17" s="59" t="s">
        <v>951</v>
      </c>
      <c r="AI17" s="59" t="s">
        <v>952</v>
      </c>
      <c r="AK17" s="59"/>
      <c r="AL17" s="59"/>
      <c r="AM17" s="59" t="s">
        <v>953</v>
      </c>
      <c r="AN17" s="59"/>
      <c r="AO17" s="59" t="s">
        <v>954</v>
      </c>
      <c r="AP17" s="59" t="s">
        <v>955</v>
      </c>
      <c r="AQ17" s="59" t="s">
        <v>956</v>
      </c>
      <c r="AR17" s="59" t="s">
        <v>957</v>
      </c>
      <c r="AV17" s="0" t="s">
        <v>473</v>
      </c>
      <c r="AW17" s="0" t="s">
        <v>420</v>
      </c>
      <c r="AX17" s="0" t="s">
        <v>508</v>
      </c>
      <c r="AY17" s="0" t="s">
        <v>958</v>
      </c>
      <c r="AZ17" s="0" t="s">
        <v>959</v>
      </c>
      <c r="BA17" s="0" t="s">
        <v>434</v>
      </c>
      <c r="BB17" s="0" t="str">
        <f t="shared" si="0"/>
        <v>AHNIoyIrepo</v>
      </c>
      <c r="BE17" s="0">
        <v>250</v>
      </c>
      <c r="BF17" s="0">
        <v>299</v>
      </c>
      <c r="BG17" s="0">
        <v>79</v>
      </c>
    </row>
    <row r="18">
      <c r="D18" s="0" t="s">
        <v>418</v>
      </c>
      <c r="E18" s="0" t="s">
        <v>542</v>
      </c>
      <c r="I18" s="59" t="s">
        <v>960</v>
      </c>
      <c r="J18" s="59" t="s">
        <v>961</v>
      </c>
      <c r="K18" s="59" t="s">
        <v>962</v>
      </c>
      <c r="L18" s="59" t="s">
        <v>963</v>
      </c>
      <c r="M18" s="59" t="s">
        <v>964</v>
      </c>
      <c r="O18" s="0" t="s">
        <v>965</v>
      </c>
      <c r="P18" s="59" t="s">
        <v>966</v>
      </c>
      <c r="Q18" s="59" t="s">
        <v>967</v>
      </c>
      <c r="T18" s="59" t="s">
        <v>968</v>
      </c>
      <c r="Y18" s="59" t="s">
        <v>969</v>
      </c>
      <c r="Z18" s="59" t="s">
        <v>970</v>
      </c>
      <c r="AA18" s="59" t="s">
        <v>971</v>
      </c>
      <c r="AD18" s="59" t="s">
        <v>972</v>
      </c>
      <c r="AI18" s="59" t="s">
        <v>973</v>
      </c>
      <c r="AK18" s="59"/>
      <c r="AL18" s="59"/>
      <c r="AM18" s="59" t="s">
        <v>974</v>
      </c>
      <c r="AN18" s="59"/>
      <c r="AO18" s="59" t="s">
        <v>975</v>
      </c>
      <c r="AP18" s="59" t="s">
        <v>976</v>
      </c>
      <c r="AR18" s="59" t="s">
        <v>977</v>
      </c>
      <c r="AV18" s="0" t="s">
        <v>473</v>
      </c>
      <c r="AW18" s="0" t="s">
        <v>420</v>
      </c>
      <c r="AX18" s="0" t="s">
        <v>508</v>
      </c>
      <c r="AY18" s="0" t="s">
        <v>978</v>
      </c>
      <c r="AZ18" s="0" t="s">
        <v>979</v>
      </c>
      <c r="BA18" s="0" t="s">
        <v>434</v>
      </c>
      <c r="BB18" s="0" t="str">
        <f t="shared" si="0"/>
        <v>AHNIoyIrepo</v>
      </c>
      <c r="BE18" s="0">
        <v>300</v>
      </c>
      <c r="BF18" s="0">
        <v>349</v>
      </c>
      <c r="BG18" s="0">
        <v>82</v>
      </c>
    </row>
    <row r="19">
      <c r="D19" s="0" t="s">
        <v>419</v>
      </c>
      <c r="E19" s="0" t="s">
        <v>581</v>
      </c>
      <c r="J19" s="59" t="s">
        <v>980</v>
      </c>
      <c r="K19" s="59" t="s">
        <v>981</v>
      </c>
      <c r="L19" s="59" t="s">
        <v>982</v>
      </c>
      <c r="M19" s="59" t="s">
        <v>983</v>
      </c>
      <c r="O19" s="0" t="s">
        <v>984</v>
      </c>
      <c r="P19" s="59" t="s">
        <v>985</v>
      </c>
      <c r="Q19" s="59" t="s">
        <v>986</v>
      </c>
      <c r="T19" s="59" t="s">
        <v>987</v>
      </c>
      <c r="Y19" s="59" t="s">
        <v>988</v>
      </c>
      <c r="Z19" s="59" t="s">
        <v>989</v>
      </c>
      <c r="AA19" s="59" t="s">
        <v>990</v>
      </c>
      <c r="AD19" s="59" t="s">
        <v>991</v>
      </c>
      <c r="AI19" s="59" t="s">
        <v>992</v>
      </c>
      <c r="AK19" s="59"/>
      <c r="AL19" s="59"/>
      <c r="AM19" s="59" t="s">
        <v>993</v>
      </c>
      <c r="AO19" s="59" t="s">
        <v>994</v>
      </c>
      <c r="AP19" s="59" t="s">
        <v>995</v>
      </c>
      <c r="AV19" s="0" t="s">
        <v>473</v>
      </c>
      <c r="AW19" s="0" t="s">
        <v>420</v>
      </c>
      <c r="AX19" s="0" t="s">
        <v>508</v>
      </c>
      <c r="AY19" s="0" t="s">
        <v>996</v>
      </c>
      <c r="AZ19" s="0" t="s">
        <v>997</v>
      </c>
      <c r="BA19" s="0" t="s">
        <v>434</v>
      </c>
      <c r="BB19" s="0" t="str">
        <f t="shared" si="0"/>
        <v>AHNIoyIrepo</v>
      </c>
      <c r="BE19" s="0">
        <v>350</v>
      </c>
      <c r="BF19" s="0">
        <v>399</v>
      </c>
      <c r="BG19" s="0">
        <v>85</v>
      </c>
    </row>
    <row r="20">
      <c r="D20" s="0" t="s">
        <v>420</v>
      </c>
      <c r="E20" s="0" t="s">
        <v>619</v>
      </c>
      <c r="J20" s="59" t="s">
        <v>998</v>
      </c>
      <c r="K20" s="59" t="s">
        <v>999</v>
      </c>
      <c r="L20" s="59" t="s">
        <v>1000</v>
      </c>
      <c r="M20" s="59" t="s">
        <v>1001</v>
      </c>
      <c r="O20" s="0" t="s">
        <v>1002</v>
      </c>
      <c r="P20" s="59" t="s">
        <v>1003</v>
      </c>
      <c r="Y20" s="59" t="s">
        <v>1004</v>
      </c>
      <c r="Z20" s="59" t="s">
        <v>1005</v>
      </c>
      <c r="AA20" s="59" t="s">
        <v>1006</v>
      </c>
      <c r="AD20" s="59" t="s">
        <v>1007</v>
      </c>
      <c r="AI20" s="59" t="s">
        <v>1008</v>
      </c>
      <c r="AL20" s="59"/>
      <c r="AM20" s="59" t="s">
        <v>1009</v>
      </c>
      <c r="AO20" s="59" t="s">
        <v>1010</v>
      </c>
      <c r="AP20" s="59" t="s">
        <v>1011</v>
      </c>
      <c r="AV20" s="0" t="s">
        <v>473</v>
      </c>
      <c r="AW20" s="0" t="s">
        <v>420</v>
      </c>
      <c r="AX20" s="0" t="s">
        <v>508</v>
      </c>
      <c r="AY20" s="0" t="s">
        <v>1012</v>
      </c>
      <c r="AZ20" s="0" t="s">
        <v>1013</v>
      </c>
      <c r="BA20" s="0" t="s">
        <v>434</v>
      </c>
      <c r="BB20" s="0" t="str">
        <f t="shared" si="0"/>
        <v>AHNIoyIrepo</v>
      </c>
      <c r="BE20" s="0">
        <v>400</v>
      </c>
      <c r="BF20" s="0">
        <v>449</v>
      </c>
      <c r="BG20" s="0">
        <v>87</v>
      </c>
    </row>
    <row r="21">
      <c r="D21" s="58" t="s">
        <v>421</v>
      </c>
      <c r="E21" s="0" t="s">
        <v>657</v>
      </c>
      <c r="J21" s="59" t="s">
        <v>1014</v>
      </c>
      <c r="K21" s="59" t="s">
        <v>1015</v>
      </c>
      <c r="L21" s="59" t="s">
        <v>1016</v>
      </c>
      <c r="M21" s="59" t="s">
        <v>1017</v>
      </c>
      <c r="O21" s="0" t="s">
        <v>1018</v>
      </c>
      <c r="P21" s="59" t="s">
        <v>1019</v>
      </c>
      <c r="Y21" s="59" t="s">
        <v>1020</v>
      </c>
      <c r="Z21" s="59" t="s">
        <v>1021</v>
      </c>
      <c r="AA21" s="59" t="s">
        <v>1022</v>
      </c>
      <c r="AD21" s="59" t="s">
        <v>1023</v>
      </c>
      <c r="AE21" s="59"/>
      <c r="AI21" s="59" t="s">
        <v>1024</v>
      </c>
      <c r="AL21" s="59"/>
      <c r="AM21" s="59" t="s">
        <v>1025</v>
      </c>
      <c r="AO21" s="59" t="s">
        <v>1026</v>
      </c>
      <c r="AP21" s="59" t="s">
        <v>1027</v>
      </c>
      <c r="AV21" s="0" t="s">
        <v>473</v>
      </c>
      <c r="AW21" s="0" t="s">
        <v>420</v>
      </c>
      <c r="AX21" s="0" t="s">
        <v>547</v>
      </c>
      <c r="AY21" s="0" t="s">
        <v>1028</v>
      </c>
      <c r="AZ21" s="0" t="s">
        <v>1029</v>
      </c>
      <c r="BA21" s="0" t="s">
        <v>434</v>
      </c>
      <c r="BB21" s="0" t="str">
        <f t="shared" si="0"/>
        <v>AHNIoyIseyin</v>
      </c>
      <c r="BE21" s="0">
        <v>450</v>
      </c>
      <c r="BF21" s="0">
        <v>499</v>
      </c>
      <c r="BG21" s="0">
        <v>88</v>
      </c>
    </row>
    <row r="22">
      <c r="D22" s="58" t="s">
        <v>286</v>
      </c>
      <c r="E22" s="0" t="s">
        <v>693</v>
      </c>
      <c r="J22" s="59" t="s">
        <v>1030</v>
      </c>
      <c r="K22" s="59" t="s">
        <v>1031</v>
      </c>
      <c r="L22" s="59" t="s">
        <v>1032</v>
      </c>
      <c r="O22" s="0" t="s">
        <v>1033</v>
      </c>
      <c r="P22" s="59" t="s">
        <v>1034</v>
      </c>
      <c r="Y22" s="59" t="s">
        <v>1035</v>
      </c>
      <c r="Z22" s="59" t="s">
        <v>1036</v>
      </c>
      <c r="AA22" s="59" t="s">
        <v>1037</v>
      </c>
      <c r="AD22" s="59" t="s">
        <v>1038</v>
      </c>
      <c r="AE22" s="59"/>
      <c r="AI22" s="59" t="s">
        <v>1039</v>
      </c>
      <c r="AL22" s="59"/>
      <c r="AM22" s="59" t="s">
        <v>1040</v>
      </c>
      <c r="AO22" s="59" t="s">
        <v>1041</v>
      </c>
      <c r="AP22" s="59" t="s">
        <v>1042</v>
      </c>
      <c r="AV22" s="0" t="s">
        <v>473</v>
      </c>
      <c r="AW22" s="0" t="s">
        <v>420</v>
      </c>
      <c r="AX22" s="0" t="s">
        <v>547</v>
      </c>
      <c r="AY22" s="0" t="s">
        <v>1043</v>
      </c>
      <c r="AZ22" s="0" t="s">
        <v>1044</v>
      </c>
      <c r="BA22" s="0" t="s">
        <v>434</v>
      </c>
      <c r="BB22" s="0" t="str">
        <f t="shared" si="0"/>
        <v>AHNIoyIseyin</v>
      </c>
      <c r="BE22" s="0">
        <v>500</v>
      </c>
      <c r="BF22" s="0">
        <v>749</v>
      </c>
      <c r="BG22" s="0">
        <v>94</v>
      </c>
    </row>
    <row r="23">
      <c r="D23" s="58" t="s">
        <v>405</v>
      </c>
      <c r="E23" s="0" t="s">
        <v>728</v>
      </c>
      <c r="K23" s="59" t="s">
        <v>1045</v>
      </c>
      <c r="O23" s="0" t="s">
        <v>1046</v>
      </c>
      <c r="P23" s="59" t="s">
        <v>1047</v>
      </c>
      <c r="Y23" s="59" t="s">
        <v>1048</v>
      </c>
      <c r="Z23" s="59" t="s">
        <v>1049</v>
      </c>
      <c r="AE23" s="59"/>
      <c r="AI23" s="59" t="s">
        <v>1050</v>
      </c>
      <c r="AL23" s="59"/>
      <c r="AM23" s="59" t="s">
        <v>1051</v>
      </c>
      <c r="AO23" s="59" t="s">
        <v>1052</v>
      </c>
      <c r="AP23" s="59" t="s">
        <v>1053</v>
      </c>
      <c r="AV23" s="0" t="s">
        <v>473</v>
      </c>
      <c r="AW23" s="0" t="s">
        <v>420</v>
      </c>
      <c r="AX23" s="0" t="s">
        <v>547</v>
      </c>
      <c r="AY23" s="0" t="s">
        <v>1054</v>
      </c>
      <c r="AZ23" s="0" t="s">
        <v>1055</v>
      </c>
      <c r="BA23" s="0" t="s">
        <v>434</v>
      </c>
      <c r="BB23" s="0" t="str">
        <f t="shared" si="0"/>
        <v>AHNIoyIseyin</v>
      </c>
      <c r="BE23" s="0">
        <v>750</v>
      </c>
      <c r="BF23" s="0">
        <v>999</v>
      </c>
      <c r="BG23" s="0">
        <v>97</v>
      </c>
    </row>
    <row r="24">
      <c r="D24" s="58" t="s">
        <v>408</v>
      </c>
      <c r="E24" s="0" t="s">
        <v>761</v>
      </c>
      <c r="K24" s="59" t="s">
        <v>1056</v>
      </c>
      <c r="O24" s="0" t="s">
        <v>1057</v>
      </c>
      <c r="P24" s="59" t="s">
        <v>1058</v>
      </c>
      <c r="Y24" s="59" t="s">
        <v>1059</v>
      </c>
      <c r="Z24" s="59" t="s">
        <v>1060</v>
      </c>
      <c r="AE24" s="59"/>
      <c r="AI24" s="59" t="s">
        <v>1061</v>
      </c>
      <c r="AL24" s="59"/>
      <c r="AM24" s="59" t="s">
        <v>1062</v>
      </c>
      <c r="AO24" s="59" t="s">
        <v>1063</v>
      </c>
      <c r="AP24" s="59" t="s">
        <v>1064</v>
      </c>
      <c r="AV24" s="0" t="s">
        <v>473</v>
      </c>
      <c r="AW24" s="0" t="s">
        <v>420</v>
      </c>
      <c r="AX24" s="0" t="s">
        <v>547</v>
      </c>
      <c r="AY24" s="0" t="s">
        <v>1065</v>
      </c>
      <c r="AZ24" s="0" t="s">
        <v>1066</v>
      </c>
      <c r="BA24" s="0" t="s">
        <v>434</v>
      </c>
      <c r="BB24" s="0" t="str">
        <f t="shared" si="0"/>
        <v>AHNIoyIseyin</v>
      </c>
      <c r="BE24" s="0">
        <v>1000</v>
      </c>
      <c r="BF24" s="0">
        <v>4999</v>
      </c>
      <c r="BG24" s="0">
        <v>105</v>
      </c>
    </row>
    <row r="25">
      <c r="D25" s="58" t="s">
        <v>412</v>
      </c>
      <c r="E25" s="0" t="s">
        <v>793</v>
      </c>
      <c r="K25" s="59" t="s">
        <v>1067</v>
      </c>
      <c r="P25" s="59" t="s">
        <v>1068</v>
      </c>
      <c r="Y25" s="59" t="s">
        <v>1069</v>
      </c>
      <c r="Z25" s="59" t="s">
        <v>1070</v>
      </c>
      <c r="AE25" s="59"/>
      <c r="AI25" s="59" t="s">
        <v>1071</v>
      </c>
      <c r="AL25" s="59"/>
      <c r="AM25" s="59" t="s">
        <v>1072</v>
      </c>
      <c r="AV25" s="0" t="s">
        <v>473</v>
      </c>
      <c r="AW25" s="0" t="s">
        <v>420</v>
      </c>
      <c r="AX25" s="0" t="s">
        <v>547</v>
      </c>
      <c r="AY25" s="0" t="s">
        <v>1073</v>
      </c>
      <c r="AZ25" s="0" t="s">
        <v>1074</v>
      </c>
      <c r="BA25" s="0" t="s">
        <v>434</v>
      </c>
      <c r="BB25" s="0" t="str">
        <f t="shared" si="0"/>
        <v>AHNIoyIseyin</v>
      </c>
      <c r="BE25" s="0">
        <v>5000</v>
      </c>
      <c r="BF25" s="0">
        <v>1000000</v>
      </c>
      <c r="BG25" s="0">
        <v>107</v>
      </c>
    </row>
    <row r="26">
      <c r="D26" s="58" t="s">
        <v>400</v>
      </c>
      <c r="E26" s="0" t="s">
        <v>825</v>
      </c>
      <c r="K26" s="59" t="s">
        <v>1075</v>
      </c>
      <c r="P26" s="59" t="s">
        <v>1076</v>
      </c>
      <c r="Y26" s="59" t="s">
        <v>1077</v>
      </c>
      <c r="Z26" s="59" t="s">
        <v>1078</v>
      </c>
      <c r="AE26" s="59"/>
      <c r="AI26" s="59" t="s">
        <v>1079</v>
      </c>
      <c r="AL26" s="59"/>
      <c r="AM26" s="59" t="s">
        <v>1080</v>
      </c>
      <c r="AV26" s="0" t="s">
        <v>473</v>
      </c>
      <c r="AW26" s="0" t="s">
        <v>420</v>
      </c>
      <c r="AX26" s="0" t="s">
        <v>547</v>
      </c>
      <c r="AY26" s="0" t="s">
        <v>1081</v>
      </c>
      <c r="AZ26" s="0" t="s">
        <v>1082</v>
      </c>
      <c r="BA26" s="0" t="s">
        <v>434</v>
      </c>
      <c r="BB26" s="0" t="str">
        <f t="shared" si="0"/>
        <v>AHNIoyIseyin</v>
      </c>
    </row>
    <row r="27">
      <c r="D27" s="58" t="s">
        <v>403</v>
      </c>
      <c r="E27" s="0" t="s">
        <v>853</v>
      </c>
      <c r="K27" s="59" t="s">
        <v>1083</v>
      </c>
      <c r="P27" s="59" t="s">
        <v>1084</v>
      </c>
      <c r="Y27" s="59" t="s">
        <v>1085</v>
      </c>
      <c r="Z27" s="59" t="s">
        <v>1086</v>
      </c>
      <c r="AE27" s="59"/>
      <c r="AL27" s="59"/>
      <c r="AM27" s="59" t="s">
        <v>1087</v>
      </c>
      <c r="AV27" s="0" t="s">
        <v>473</v>
      </c>
      <c r="AW27" s="0" t="s">
        <v>420</v>
      </c>
      <c r="AX27" s="0" t="s">
        <v>586</v>
      </c>
      <c r="AY27" s="0" t="s">
        <v>1088</v>
      </c>
      <c r="AZ27" s="0" t="s">
        <v>1089</v>
      </c>
      <c r="BA27" s="0" t="s">
        <v>434</v>
      </c>
      <c r="BB27" s="0" t="str">
        <f t="shared" si="0"/>
        <v>AHNIoyIwajowa</v>
      </c>
    </row>
    <row r="28">
      <c r="D28" s="58" t="s">
        <v>406</v>
      </c>
      <c r="E28" s="0" t="s">
        <v>879</v>
      </c>
      <c r="K28" s="59" t="s">
        <v>1090</v>
      </c>
      <c r="P28" s="59" t="s">
        <v>1091</v>
      </c>
      <c r="Y28" s="59" t="s">
        <v>1092</v>
      </c>
      <c r="Z28" s="59" t="s">
        <v>1093</v>
      </c>
      <c r="AE28" s="59"/>
      <c r="AL28" s="59"/>
      <c r="AM28" s="59" t="s">
        <v>1094</v>
      </c>
      <c r="AV28" s="0" t="s">
        <v>473</v>
      </c>
      <c r="AW28" s="0" t="s">
        <v>420</v>
      </c>
      <c r="AX28" s="0" t="s">
        <v>586</v>
      </c>
      <c r="AY28" s="0" t="s">
        <v>1095</v>
      </c>
      <c r="AZ28" s="0" t="s">
        <v>1096</v>
      </c>
      <c r="BA28" s="0" t="s">
        <v>434</v>
      </c>
      <c r="BB28" s="0" t="str">
        <f t="shared" si="0"/>
        <v>AHNIoyIwajowa</v>
      </c>
    </row>
    <row r="29">
      <c r="D29" s="58" t="s">
        <v>405</v>
      </c>
      <c r="E29" s="0" t="s">
        <v>904</v>
      </c>
      <c r="K29" s="59" t="s">
        <v>1097</v>
      </c>
      <c r="AE29" s="59"/>
      <c r="AL29" s="59"/>
      <c r="AM29" s="59" t="s">
        <v>1098</v>
      </c>
      <c r="AV29" s="0" t="s">
        <v>473</v>
      </c>
      <c r="AW29" s="0" t="s">
        <v>420</v>
      </c>
      <c r="AX29" s="0" t="s">
        <v>586</v>
      </c>
      <c r="AY29" s="0" t="s">
        <v>1099</v>
      </c>
      <c r="AZ29" s="0" t="s">
        <v>1100</v>
      </c>
      <c r="BA29" s="0" t="s">
        <v>434</v>
      </c>
      <c r="BB29" s="0" t="str">
        <f t="shared" si="0"/>
        <v>AHNIoyIwajowa</v>
      </c>
    </row>
    <row r="30">
      <c r="D30" s="58" t="s">
        <v>408</v>
      </c>
      <c r="E30" s="0" t="s">
        <v>929</v>
      </c>
      <c r="K30" s="59" t="s">
        <v>1101</v>
      </c>
      <c r="AE30" s="59"/>
      <c r="AL30" s="59"/>
      <c r="AM30" s="59" t="s">
        <v>1102</v>
      </c>
      <c r="AV30" s="0" t="s">
        <v>473</v>
      </c>
      <c r="AW30" s="0" t="s">
        <v>420</v>
      </c>
      <c r="AX30" s="0" t="s">
        <v>625</v>
      </c>
      <c r="AY30" s="0" t="s">
        <v>1103</v>
      </c>
      <c r="AZ30" s="0" t="s">
        <v>1104</v>
      </c>
      <c r="BA30" s="0" t="s">
        <v>434</v>
      </c>
      <c r="BB30" s="0" t="str">
        <f t="shared" si="0"/>
        <v>AHNIoyKajola</v>
      </c>
    </row>
    <row r="31">
      <c r="D31" s="58" t="s">
        <v>409</v>
      </c>
      <c r="E31" s="0" t="s">
        <v>953</v>
      </c>
      <c r="K31" s="59" t="s">
        <v>1105</v>
      </c>
      <c r="AE31" s="59"/>
      <c r="AL31" s="59"/>
      <c r="AM31" s="59" t="s">
        <v>1106</v>
      </c>
      <c r="AV31" s="0" t="s">
        <v>473</v>
      </c>
      <c r="AW31" s="0" t="s">
        <v>420</v>
      </c>
      <c r="AX31" s="0" t="s">
        <v>625</v>
      </c>
      <c r="AY31" s="0" t="s">
        <v>1107</v>
      </c>
      <c r="AZ31" s="0" t="s">
        <v>1108</v>
      </c>
      <c r="BA31" s="0" t="s">
        <v>434</v>
      </c>
      <c r="BB31" s="0" t="str">
        <f t="shared" si="0"/>
        <v>AHNIoyKajola</v>
      </c>
    </row>
    <row r="32">
      <c r="D32" s="58" t="s">
        <v>412</v>
      </c>
      <c r="E32" s="0" t="s">
        <v>974</v>
      </c>
      <c r="K32" s="59" t="s">
        <v>1109</v>
      </c>
      <c r="AE32" s="59"/>
      <c r="AM32" s="59" t="s">
        <v>1110</v>
      </c>
      <c r="AV32" s="0" t="s">
        <v>473</v>
      </c>
      <c r="AW32" s="0" t="s">
        <v>420</v>
      </c>
      <c r="AX32" s="0" t="s">
        <v>625</v>
      </c>
      <c r="AY32" s="0" t="s">
        <v>1111</v>
      </c>
      <c r="AZ32" s="0" t="s">
        <v>1112</v>
      </c>
      <c r="BA32" s="0" t="s">
        <v>434</v>
      </c>
      <c r="BB32" s="0" t="str">
        <f t="shared" si="0"/>
        <v>AHNIoyKajola</v>
      </c>
    </row>
    <row r="33">
      <c r="D33" s="58" t="s">
        <v>286</v>
      </c>
      <c r="E33" s="0" t="s">
        <v>993</v>
      </c>
      <c r="AE33" s="59"/>
      <c r="AM33" s="59"/>
      <c r="AV33" s="0" t="s">
        <v>473</v>
      </c>
      <c r="AW33" s="0" t="s">
        <v>420</v>
      </c>
      <c r="AX33" s="0" t="s">
        <v>625</v>
      </c>
      <c r="AY33" s="0" t="s">
        <v>1113</v>
      </c>
      <c r="AZ33" s="0" t="s">
        <v>1114</v>
      </c>
      <c r="BA33" s="0" t="s">
        <v>434</v>
      </c>
      <c r="BB33" s="0" t="str">
        <f t="shared" si="0"/>
        <v>AHNIoyKajola</v>
      </c>
    </row>
    <row r="34">
      <c r="D34" s="58" t="s">
        <v>399</v>
      </c>
      <c r="E34" s="0" t="s">
        <v>1009</v>
      </c>
      <c r="AE34" s="59"/>
      <c r="AM34" s="59"/>
      <c r="AV34" s="0" t="s">
        <v>473</v>
      </c>
      <c r="AW34" s="0" t="s">
        <v>420</v>
      </c>
      <c r="AX34" s="0" t="s">
        <v>625</v>
      </c>
      <c r="AY34" s="0" t="s">
        <v>1115</v>
      </c>
      <c r="AZ34" s="0" t="s">
        <v>1116</v>
      </c>
      <c r="BA34" s="0" t="s">
        <v>434</v>
      </c>
      <c r="BB34" s="0" t="str">
        <f t="shared" si="0"/>
        <v>AHNIoyKajola</v>
      </c>
    </row>
    <row r="35">
      <c r="D35" s="58" t="s">
        <v>402</v>
      </c>
      <c r="E35" s="0" t="s">
        <v>1025</v>
      </c>
      <c r="AE35" s="59"/>
      <c r="AV35" s="0" t="s">
        <v>473</v>
      </c>
      <c r="AW35" s="0" t="s">
        <v>420</v>
      </c>
      <c r="AX35" s="0" t="s">
        <v>663</v>
      </c>
      <c r="AY35" s="0" t="s">
        <v>1117</v>
      </c>
      <c r="AZ35" s="0" t="s">
        <v>1118</v>
      </c>
      <c r="BA35" s="0" t="s">
        <v>434</v>
      </c>
      <c r="BB35" s="0" t="str">
        <f t="shared" si="0"/>
        <v>AHNIoyOgoOluwa</v>
      </c>
    </row>
    <row r="36">
      <c r="D36" s="58" t="s">
        <v>404</v>
      </c>
      <c r="E36" s="0" t="s">
        <v>1040</v>
      </c>
      <c r="AE36" s="59"/>
      <c r="AV36" s="0" t="s">
        <v>473</v>
      </c>
      <c r="AW36" s="0" t="s">
        <v>420</v>
      </c>
      <c r="AX36" s="0" t="s">
        <v>663</v>
      </c>
      <c r="AY36" s="0" t="s">
        <v>1119</v>
      </c>
      <c r="AZ36" s="0" t="s">
        <v>1120</v>
      </c>
      <c r="BA36" s="0" t="s">
        <v>434</v>
      </c>
      <c r="BB36" s="0" t="str">
        <f t="shared" si="0"/>
        <v>AHNIoyOgoOluwa</v>
      </c>
    </row>
    <row r="37">
      <c r="D37" s="58" t="s">
        <v>408</v>
      </c>
      <c r="E37" s="0" t="s">
        <v>1051</v>
      </c>
      <c r="AV37" s="0" t="s">
        <v>473</v>
      </c>
      <c r="AW37" s="0" t="s">
        <v>420</v>
      </c>
      <c r="AX37" s="0" t="s">
        <v>699</v>
      </c>
      <c r="AY37" s="0" t="s">
        <v>1121</v>
      </c>
      <c r="AZ37" s="0" t="s">
        <v>1122</v>
      </c>
      <c r="BA37" s="0" t="s">
        <v>434</v>
      </c>
      <c r="BB37" s="0" t="str">
        <f t="shared" si="0"/>
        <v>AHNIoyOlorunsogo</v>
      </c>
    </row>
    <row r="38">
      <c r="D38" s="58" t="s">
        <v>409</v>
      </c>
      <c r="E38" s="0" t="s">
        <v>1062</v>
      </c>
      <c r="AV38" s="0" t="s">
        <v>473</v>
      </c>
      <c r="AW38" s="0" t="s">
        <v>420</v>
      </c>
      <c r="AX38" s="0" t="s">
        <v>699</v>
      </c>
      <c r="AY38" s="0" t="s">
        <v>1123</v>
      </c>
      <c r="AZ38" s="0" t="s">
        <v>1124</v>
      </c>
      <c r="BA38" s="0" t="s">
        <v>434</v>
      </c>
      <c r="BB38" s="0" t="str">
        <f t="shared" si="0"/>
        <v>AHNIoyOlorunsogo</v>
      </c>
    </row>
    <row r="39">
      <c r="D39" s="58" t="s">
        <v>410</v>
      </c>
      <c r="E39" s="0" t="s">
        <v>1072</v>
      </c>
      <c r="AV39" s="0" t="s">
        <v>473</v>
      </c>
      <c r="AW39" s="0" t="s">
        <v>420</v>
      </c>
      <c r="AX39" s="0" t="s">
        <v>733</v>
      </c>
      <c r="AY39" s="0" t="s">
        <v>1125</v>
      </c>
      <c r="AZ39" s="0" t="s">
        <v>1126</v>
      </c>
      <c r="BA39" s="0" t="s">
        <v>434</v>
      </c>
      <c r="BB39" s="0" t="str">
        <f t="shared" si="0"/>
        <v>AHNIoyOrelope</v>
      </c>
    </row>
    <row r="40">
      <c r="D40" s="0" t="s">
        <v>415</v>
      </c>
      <c r="E40" s="0" t="s">
        <v>1080</v>
      </c>
      <c r="AV40" s="0" t="s">
        <v>473</v>
      </c>
      <c r="AW40" s="0" t="s">
        <v>420</v>
      </c>
      <c r="AX40" s="0" t="s">
        <v>733</v>
      </c>
      <c r="AY40" s="0" t="s">
        <v>1127</v>
      </c>
      <c r="AZ40" s="0" t="s">
        <v>1128</v>
      </c>
      <c r="BA40" s="0" t="s">
        <v>434</v>
      </c>
      <c r="BB40" s="0" t="str">
        <f t="shared" si="0"/>
        <v>AHNIoyOrelope</v>
      </c>
    </row>
    <row r="41">
      <c r="D41" s="0" t="s">
        <v>417</v>
      </c>
      <c r="E41" s="0" t="s">
        <v>1087</v>
      </c>
      <c r="AV41" s="0" t="s">
        <v>473</v>
      </c>
      <c r="AW41" s="0" t="s">
        <v>420</v>
      </c>
      <c r="AX41" s="0" t="s">
        <v>766</v>
      </c>
      <c r="AY41" s="0" t="s">
        <v>1129</v>
      </c>
      <c r="AZ41" s="0" t="s">
        <v>1130</v>
      </c>
      <c r="BA41" s="0" t="s">
        <v>434</v>
      </c>
      <c r="BB41" s="0" t="str">
        <f t="shared" si="0"/>
        <v>AHNIoyOriIre</v>
      </c>
    </row>
    <row r="42">
      <c r="D42" s="0" t="s">
        <v>418</v>
      </c>
      <c r="E42" s="0" t="s">
        <v>1094</v>
      </c>
      <c r="AV42" s="0" t="s">
        <v>473</v>
      </c>
      <c r="AW42" s="0" t="s">
        <v>420</v>
      </c>
      <c r="AX42" s="0" t="s">
        <v>796</v>
      </c>
      <c r="AY42" s="0" t="s">
        <v>1131</v>
      </c>
      <c r="AZ42" s="0" t="s">
        <v>1132</v>
      </c>
      <c r="BA42" s="0" t="s">
        <v>434</v>
      </c>
      <c r="BB42" s="0" t="str">
        <f t="shared" si="0"/>
        <v>AHNIoySakiEast</v>
      </c>
    </row>
    <row r="43">
      <c r="D43" s="0" t="s">
        <v>419</v>
      </c>
      <c r="E43" s="0" t="s">
        <v>1098</v>
      </c>
      <c r="AV43" s="0" t="s">
        <v>473</v>
      </c>
      <c r="AW43" s="0" t="s">
        <v>420</v>
      </c>
      <c r="AX43" s="0" t="s">
        <v>796</v>
      </c>
      <c r="AY43" s="0" t="s">
        <v>1133</v>
      </c>
      <c r="AZ43" s="0" t="s">
        <v>1134</v>
      </c>
      <c r="BA43" s="0" t="s">
        <v>434</v>
      </c>
      <c r="BB43" s="0" t="str">
        <f t="shared" si="0"/>
        <v>AHNIoySakiEast</v>
      </c>
    </row>
    <row r="44">
      <c r="D44" s="0" t="s">
        <v>404</v>
      </c>
      <c r="E44" s="0" t="s">
        <v>1102</v>
      </c>
      <c r="AV44" s="0" t="s">
        <v>473</v>
      </c>
      <c r="AW44" s="0" t="s">
        <v>420</v>
      </c>
      <c r="AX44" s="0" t="s">
        <v>796</v>
      </c>
      <c r="AY44" s="0" t="s">
        <v>1135</v>
      </c>
      <c r="AZ44" s="0" t="s">
        <v>1136</v>
      </c>
      <c r="BA44" s="0" t="s">
        <v>434</v>
      </c>
      <c r="BB44" s="0" t="str">
        <f t="shared" si="0"/>
        <v>AHNIoySakiEast</v>
      </c>
    </row>
    <row r="45">
      <c r="D45" s="0" t="s">
        <v>415</v>
      </c>
      <c r="E45" s="0" t="s">
        <v>1106</v>
      </c>
      <c r="AV45" s="0" t="s">
        <v>473</v>
      </c>
      <c r="AW45" s="0" t="s">
        <v>414</v>
      </c>
      <c r="AX45" s="0" t="s">
        <v>461</v>
      </c>
      <c r="AY45" s="0" t="s">
        <v>1137</v>
      </c>
      <c r="AZ45" s="0" t="s">
        <v>1138</v>
      </c>
      <c r="BA45" s="0" t="s">
        <v>476</v>
      </c>
      <c r="BB45" s="0" t="str">
        <f t="shared" si="0"/>
        <v>APINlaAlimosho</v>
      </c>
    </row>
    <row r="46">
      <c r="D46" s="0" t="s">
        <v>421</v>
      </c>
      <c r="E46" s="0" t="s">
        <v>467</v>
      </c>
      <c r="AV46" s="0" t="s">
        <v>473</v>
      </c>
      <c r="AW46" s="0" t="s">
        <v>414</v>
      </c>
      <c r="AX46" s="0" t="s">
        <v>461</v>
      </c>
      <c r="AY46" s="0" t="s">
        <v>1139</v>
      </c>
      <c r="AZ46" s="0" t="s">
        <v>1140</v>
      </c>
      <c r="BA46" s="0" t="s">
        <v>476</v>
      </c>
      <c r="BB46" s="0" t="str">
        <f t="shared" si="0"/>
        <v>APINlaAlimosho</v>
      </c>
    </row>
    <row r="47">
      <c r="E47" s="0" t="s">
        <v>509</v>
      </c>
      <c r="AV47" s="0" t="s">
        <v>473</v>
      </c>
      <c r="AW47" s="0" t="s">
        <v>414</v>
      </c>
      <c r="AX47" s="0" t="s">
        <v>461</v>
      </c>
      <c r="AY47" s="0" t="s">
        <v>1141</v>
      </c>
      <c r="AZ47" s="0" t="s">
        <v>1142</v>
      </c>
      <c r="BA47" s="0" t="s">
        <v>476</v>
      </c>
      <c r="BB47" s="0" t="str">
        <f t="shared" si="0"/>
        <v>APINlaAlimosho</v>
      </c>
    </row>
    <row r="48">
      <c r="E48" s="0" t="s">
        <v>548</v>
      </c>
      <c r="AV48" s="0" t="s">
        <v>473</v>
      </c>
      <c r="AW48" s="0" t="s">
        <v>414</v>
      </c>
      <c r="AX48" s="0" t="s">
        <v>461</v>
      </c>
      <c r="AY48" s="0" t="s">
        <v>1143</v>
      </c>
      <c r="AZ48" s="0" t="s">
        <v>1144</v>
      </c>
      <c r="BA48" s="0" t="s">
        <v>476</v>
      </c>
      <c r="BB48" s="0" t="str">
        <f t="shared" si="0"/>
        <v>APINlaAlimosho</v>
      </c>
    </row>
    <row r="49">
      <c r="E49" s="0" t="s">
        <v>587</v>
      </c>
      <c r="AV49" s="0" t="s">
        <v>473</v>
      </c>
      <c r="AW49" s="0" t="s">
        <v>414</v>
      </c>
      <c r="AX49" s="0" t="s">
        <v>461</v>
      </c>
      <c r="AY49" s="0" t="s">
        <v>1145</v>
      </c>
      <c r="AZ49" s="0" t="s">
        <v>1146</v>
      </c>
      <c r="BA49" s="0" t="s">
        <v>476</v>
      </c>
      <c r="BB49" s="0" t="str">
        <f t="shared" si="0"/>
        <v>APINlaAlimosho</v>
      </c>
    </row>
    <row r="50">
      <c r="E50" s="0" t="s">
        <v>626</v>
      </c>
      <c r="AV50" s="0" t="s">
        <v>473</v>
      </c>
      <c r="AW50" s="0" t="s">
        <v>414</v>
      </c>
      <c r="AX50" s="0" t="s">
        <v>461</v>
      </c>
      <c r="AY50" s="0" t="s">
        <v>1147</v>
      </c>
      <c r="AZ50" s="0" t="s">
        <v>1148</v>
      </c>
      <c r="BA50" s="0" t="s">
        <v>476</v>
      </c>
      <c r="BB50" s="0" t="str">
        <f t="shared" si="0"/>
        <v>APINlaAlimosho</v>
      </c>
    </row>
    <row r="51">
      <c r="E51" s="0" t="s">
        <v>664</v>
      </c>
      <c r="AV51" s="0" t="s">
        <v>473</v>
      </c>
      <c r="AW51" s="0" t="s">
        <v>414</v>
      </c>
      <c r="AX51" s="0" t="s">
        <v>461</v>
      </c>
      <c r="AY51" s="0" t="s">
        <v>1149</v>
      </c>
      <c r="AZ51" s="0" t="s">
        <v>1150</v>
      </c>
      <c r="BA51" s="0" t="s">
        <v>476</v>
      </c>
      <c r="BB51" s="0" t="str">
        <f t="shared" si="0"/>
        <v>APINlaAlimosho</v>
      </c>
    </row>
    <row r="52">
      <c r="E52" s="0" t="s">
        <v>700</v>
      </c>
      <c r="AV52" s="0" t="s">
        <v>473</v>
      </c>
      <c r="AW52" s="0" t="s">
        <v>414</v>
      </c>
      <c r="AX52" s="0" t="s">
        <v>461</v>
      </c>
      <c r="AY52" s="0" t="s">
        <v>1151</v>
      </c>
      <c r="AZ52" s="0" t="s">
        <v>1152</v>
      </c>
      <c r="BA52" s="0" t="s">
        <v>476</v>
      </c>
      <c r="BB52" s="0" t="str">
        <f t="shared" si="0"/>
        <v>APINlaAlimosho</v>
      </c>
    </row>
    <row r="53">
      <c r="E53" s="0" t="s">
        <v>734</v>
      </c>
      <c r="AV53" s="0" t="s">
        <v>473</v>
      </c>
      <c r="AW53" s="0" t="s">
        <v>414</v>
      </c>
      <c r="AX53" s="0" t="s">
        <v>461</v>
      </c>
      <c r="AY53" s="0" t="s">
        <v>1153</v>
      </c>
      <c r="AZ53" s="0" t="s">
        <v>1154</v>
      </c>
      <c r="BA53" s="0" t="s">
        <v>476</v>
      </c>
      <c r="BB53" s="0" t="str">
        <f t="shared" si="0"/>
        <v>APINlaAlimosho</v>
      </c>
    </row>
    <row r="54">
      <c r="E54" s="0" t="s">
        <v>767</v>
      </c>
      <c r="AV54" s="0" t="s">
        <v>473</v>
      </c>
      <c r="AW54" s="0" t="s">
        <v>414</v>
      </c>
      <c r="AX54" s="0" t="s">
        <v>461</v>
      </c>
      <c r="AY54" s="0" t="s">
        <v>1155</v>
      </c>
      <c r="AZ54" s="0" t="s">
        <v>1156</v>
      </c>
      <c r="BA54" s="0" t="s">
        <v>476</v>
      </c>
      <c r="BB54" s="0" t="str">
        <f t="shared" si="0"/>
        <v>APINlaAlimosho</v>
      </c>
    </row>
    <row r="55">
      <c r="E55" s="0" t="s">
        <v>797</v>
      </c>
      <c r="AV55" s="0" t="s">
        <v>473</v>
      </c>
      <c r="AW55" s="0" t="s">
        <v>414</v>
      </c>
      <c r="AX55" s="0" t="s">
        <v>461</v>
      </c>
      <c r="AY55" s="0" t="s">
        <v>1157</v>
      </c>
      <c r="AZ55" s="0" t="s">
        <v>1158</v>
      </c>
      <c r="BA55" s="0" t="s">
        <v>476</v>
      </c>
      <c r="BB55" s="0" t="str">
        <f t="shared" si="0"/>
        <v>APINlaAlimosho</v>
      </c>
    </row>
    <row r="56">
      <c r="E56" s="0" t="s">
        <v>447</v>
      </c>
      <c r="AV56" s="0" t="s">
        <v>473</v>
      </c>
      <c r="AW56" s="0" t="s">
        <v>414</v>
      </c>
      <c r="AX56" s="0" t="s">
        <v>461</v>
      </c>
      <c r="AY56" s="0" t="s">
        <v>1159</v>
      </c>
      <c r="AZ56" s="0" t="s">
        <v>1160</v>
      </c>
      <c r="BA56" s="0" t="s">
        <v>476</v>
      </c>
      <c r="BB56" s="0" t="str">
        <f t="shared" si="0"/>
        <v>APINlaAlimosho</v>
      </c>
    </row>
    <row r="57">
      <c r="E57" s="0" t="s">
        <v>489</v>
      </c>
      <c r="AV57" s="0" t="s">
        <v>473</v>
      </c>
      <c r="AW57" s="0" t="s">
        <v>414</v>
      </c>
      <c r="AX57" s="0" t="s">
        <v>461</v>
      </c>
      <c r="AY57" s="0" t="s">
        <v>1161</v>
      </c>
      <c r="AZ57" s="0" t="s">
        <v>1162</v>
      </c>
      <c r="BA57" s="0" t="s">
        <v>476</v>
      </c>
      <c r="BB57" s="0" t="str">
        <f t="shared" si="0"/>
        <v>APINlaAlimosho</v>
      </c>
    </row>
    <row r="58">
      <c r="E58" s="0" t="s">
        <v>528</v>
      </c>
      <c r="AV58" s="0" t="s">
        <v>473</v>
      </c>
      <c r="AW58" s="0" t="s">
        <v>414</v>
      </c>
      <c r="AX58" s="0" t="s">
        <v>461</v>
      </c>
      <c r="AY58" s="0" t="s">
        <v>1163</v>
      </c>
      <c r="AZ58" s="0" t="s">
        <v>1164</v>
      </c>
      <c r="BA58" s="0" t="s">
        <v>476</v>
      </c>
      <c r="BB58" s="0" t="str">
        <f t="shared" si="0"/>
        <v>APINlaAlimosho</v>
      </c>
    </row>
    <row r="59">
      <c r="E59" s="0" t="s">
        <v>568</v>
      </c>
      <c r="AV59" s="0" t="s">
        <v>473</v>
      </c>
      <c r="AW59" s="0" t="s">
        <v>414</v>
      </c>
      <c r="AX59" s="0" t="s">
        <v>461</v>
      </c>
      <c r="AY59" s="0" t="s">
        <v>1165</v>
      </c>
      <c r="AZ59" s="0" t="s">
        <v>1166</v>
      </c>
      <c r="BA59" s="0" t="s">
        <v>476</v>
      </c>
      <c r="BB59" s="0" t="str">
        <f t="shared" si="0"/>
        <v>APINlaAlimosho</v>
      </c>
    </row>
    <row r="60">
      <c r="E60" s="0" t="s">
        <v>606</v>
      </c>
      <c r="AV60" s="0" t="s">
        <v>473</v>
      </c>
      <c r="AW60" s="0" t="s">
        <v>414</v>
      </c>
      <c r="AX60" s="0" t="s">
        <v>461</v>
      </c>
      <c r="AY60" s="0" t="s">
        <v>1167</v>
      </c>
      <c r="AZ60" s="0" t="s">
        <v>1168</v>
      </c>
      <c r="BA60" s="0" t="s">
        <v>476</v>
      </c>
      <c r="BB60" s="0" t="str">
        <f t="shared" si="0"/>
        <v>APINlaAlimosho</v>
      </c>
    </row>
    <row r="61">
      <c r="E61" s="0" t="s">
        <v>645</v>
      </c>
      <c r="AV61" s="0" t="s">
        <v>473</v>
      </c>
      <c r="AW61" s="0" t="s">
        <v>414</v>
      </c>
      <c r="AX61" s="0" t="s">
        <v>461</v>
      </c>
      <c r="AY61" s="0" t="s">
        <v>1169</v>
      </c>
      <c r="AZ61" s="0" t="s">
        <v>1170</v>
      </c>
      <c r="BA61" s="0" t="s">
        <v>476</v>
      </c>
      <c r="BB61" s="0" t="str">
        <f t="shared" si="0"/>
        <v>APINlaAlimosho</v>
      </c>
    </row>
    <row r="62">
      <c r="E62" s="0" t="s">
        <v>683</v>
      </c>
      <c r="AV62" s="0" t="s">
        <v>473</v>
      </c>
      <c r="AW62" s="0" t="s">
        <v>414</v>
      </c>
      <c r="AX62" s="0" t="s">
        <v>461</v>
      </c>
      <c r="AY62" s="0" t="s">
        <v>1171</v>
      </c>
      <c r="AZ62" s="0" t="s">
        <v>1172</v>
      </c>
      <c r="BA62" s="0" t="s">
        <v>476</v>
      </c>
      <c r="BB62" s="0" t="str">
        <f t="shared" si="0"/>
        <v>APINlaAlimosho</v>
      </c>
    </row>
    <row r="63">
      <c r="E63" s="0" t="s">
        <v>718</v>
      </c>
      <c r="AV63" s="0" t="s">
        <v>473</v>
      </c>
      <c r="AW63" s="0" t="s">
        <v>414</v>
      </c>
      <c r="AX63" s="0" t="s">
        <v>461</v>
      </c>
      <c r="AY63" s="0" t="s">
        <v>1173</v>
      </c>
      <c r="AZ63" s="0" t="s">
        <v>1174</v>
      </c>
      <c r="BA63" s="0" t="s">
        <v>476</v>
      </c>
      <c r="BB63" s="0" t="str">
        <f t="shared" si="0"/>
        <v>APINlaAlimosho</v>
      </c>
    </row>
    <row r="64">
      <c r="E64" s="0" t="s">
        <v>751</v>
      </c>
      <c r="AV64" s="0" t="s">
        <v>473</v>
      </c>
      <c r="AW64" s="0" t="s">
        <v>414</v>
      </c>
      <c r="AX64" s="0" t="s">
        <v>461</v>
      </c>
      <c r="AY64" s="0" t="s">
        <v>1175</v>
      </c>
      <c r="AZ64" s="0" t="s">
        <v>1176</v>
      </c>
      <c r="BA64" s="0" t="s">
        <v>476</v>
      </c>
      <c r="BB64" s="0" t="str">
        <f t="shared" si="0"/>
        <v>APINlaAlimosho</v>
      </c>
    </row>
    <row r="65">
      <c r="E65" s="0" t="s">
        <v>450</v>
      </c>
      <c r="AV65" s="0" t="s">
        <v>473</v>
      </c>
      <c r="AW65" s="0" t="s">
        <v>414</v>
      </c>
      <c r="AX65" s="0" t="s">
        <v>461</v>
      </c>
      <c r="AY65" s="0" t="s">
        <v>1177</v>
      </c>
      <c r="AZ65" s="0" t="s">
        <v>1178</v>
      </c>
      <c r="BA65" s="0" t="s">
        <v>476</v>
      </c>
      <c r="BB65" s="0" t="str">
        <f t="shared" si="0"/>
        <v>APINlaAlimosho</v>
      </c>
    </row>
    <row r="66">
      <c r="E66" s="0" t="s">
        <v>492</v>
      </c>
      <c r="AV66" s="0" t="s">
        <v>473</v>
      </c>
      <c r="AW66" s="0" t="s">
        <v>414</v>
      </c>
      <c r="AX66" s="0" t="s">
        <v>461</v>
      </c>
      <c r="AY66" s="0" t="s">
        <v>1179</v>
      </c>
      <c r="AZ66" s="0" t="s">
        <v>1180</v>
      </c>
      <c r="BA66" s="0" t="s">
        <v>476</v>
      </c>
      <c r="BB66" s="0" t="str">
        <f t="shared" si="0"/>
        <v>APINlaAlimosho</v>
      </c>
    </row>
    <row r="67">
      <c r="E67" s="0" t="s">
        <v>531</v>
      </c>
      <c r="AV67" s="0" t="s">
        <v>473</v>
      </c>
      <c r="AW67" s="0" t="s">
        <v>414</v>
      </c>
      <c r="AX67" s="0" t="s">
        <v>461</v>
      </c>
      <c r="AY67" s="0" t="s">
        <v>1181</v>
      </c>
      <c r="AZ67" s="0" t="s">
        <v>1182</v>
      </c>
      <c r="BA67" s="0" t="s">
        <v>476</v>
      </c>
      <c r="BB67" s="0" t="str">
        <f ref="BB67:BB130" t="shared" si="1">SUBSTITUTE(SUBSTITUTE(BA67&amp;AX67," ",""),"-","")</f>
        <v>APINlaAlimosho</v>
      </c>
    </row>
    <row r="68">
      <c r="E68" s="0" t="s">
        <v>571</v>
      </c>
      <c r="AV68" s="0" t="s">
        <v>473</v>
      </c>
      <c r="AW68" s="0" t="s">
        <v>414</v>
      </c>
      <c r="AX68" s="0" t="s">
        <v>461</v>
      </c>
      <c r="AY68" s="0" t="s">
        <v>1183</v>
      </c>
      <c r="AZ68" s="0" t="s">
        <v>1184</v>
      </c>
      <c r="BA68" s="0" t="s">
        <v>476</v>
      </c>
      <c r="BB68" s="0" t="str">
        <f t="shared" si="1"/>
        <v>APINlaAlimosho</v>
      </c>
    </row>
    <row r="69">
      <c r="E69" s="0" t="s">
        <v>609</v>
      </c>
      <c r="AV69" s="0" t="s">
        <v>473</v>
      </c>
      <c r="AW69" s="0" t="s">
        <v>414</v>
      </c>
      <c r="AX69" s="0" t="s">
        <v>461</v>
      </c>
      <c r="AY69" s="0" t="s">
        <v>1185</v>
      </c>
      <c r="AZ69" s="0" t="s">
        <v>1186</v>
      </c>
      <c r="BA69" s="0" t="s">
        <v>476</v>
      </c>
      <c r="BB69" s="0" t="str">
        <f t="shared" si="1"/>
        <v>APINlaAlimosho</v>
      </c>
    </row>
    <row r="70">
      <c r="E70" s="0" t="s">
        <v>648</v>
      </c>
      <c r="AV70" s="0" t="s">
        <v>473</v>
      </c>
      <c r="AW70" s="0" t="s">
        <v>414</v>
      </c>
      <c r="AX70" s="0" t="s">
        <v>461</v>
      </c>
      <c r="AY70" s="0" t="s">
        <v>1187</v>
      </c>
      <c r="AZ70" s="0" t="s">
        <v>1188</v>
      </c>
      <c r="BA70" s="0" t="s">
        <v>476</v>
      </c>
      <c r="BB70" s="0" t="str">
        <f t="shared" si="1"/>
        <v>APINlaAlimosho</v>
      </c>
    </row>
    <row r="71">
      <c r="E71" s="0" t="s">
        <v>685</v>
      </c>
      <c r="AV71" s="0" t="s">
        <v>473</v>
      </c>
      <c r="AW71" s="0" t="s">
        <v>414</v>
      </c>
      <c r="AX71" s="0" t="s">
        <v>461</v>
      </c>
      <c r="AY71" s="0" t="s">
        <v>1189</v>
      </c>
      <c r="AZ71" s="0" t="s">
        <v>1190</v>
      </c>
      <c r="BA71" s="0" t="s">
        <v>476</v>
      </c>
      <c r="BB71" s="0" t="str">
        <f t="shared" si="1"/>
        <v>APINlaAlimosho</v>
      </c>
    </row>
    <row r="72">
      <c r="E72" s="0" t="s">
        <v>720</v>
      </c>
      <c r="AV72" s="0" t="s">
        <v>473</v>
      </c>
      <c r="AW72" s="0" t="s">
        <v>414</v>
      </c>
      <c r="AX72" s="0" t="s">
        <v>461</v>
      </c>
      <c r="AY72" s="0" t="s">
        <v>1191</v>
      </c>
      <c r="AZ72" s="0" t="s">
        <v>1192</v>
      </c>
      <c r="BA72" s="0" t="s">
        <v>476</v>
      </c>
      <c r="BB72" s="0" t="str">
        <f t="shared" si="1"/>
        <v>APINlaAlimosho</v>
      </c>
    </row>
    <row r="73">
      <c r="E73" s="0" t="s">
        <v>753</v>
      </c>
      <c r="AV73" s="0" t="s">
        <v>473</v>
      </c>
      <c r="AW73" s="0" t="s">
        <v>414</v>
      </c>
      <c r="AX73" s="0" t="s">
        <v>461</v>
      </c>
      <c r="AY73" s="0" t="s">
        <v>1193</v>
      </c>
      <c r="AZ73" s="0" t="s">
        <v>1194</v>
      </c>
      <c r="BA73" s="0" t="s">
        <v>476</v>
      </c>
      <c r="BB73" s="0" t="str">
        <f t="shared" si="1"/>
        <v>APINlaAlimosho</v>
      </c>
    </row>
    <row r="74">
      <c r="E74" s="0" t="s">
        <v>785</v>
      </c>
      <c r="AV74" s="0" t="s">
        <v>473</v>
      </c>
      <c r="AW74" s="0" t="s">
        <v>414</v>
      </c>
      <c r="AX74" s="0" t="s">
        <v>461</v>
      </c>
      <c r="AY74" s="0" t="s">
        <v>1195</v>
      </c>
      <c r="AZ74" s="0" t="s">
        <v>1196</v>
      </c>
      <c r="BA74" s="0" t="s">
        <v>476</v>
      </c>
      <c r="BB74" s="0" t="str">
        <f t="shared" si="1"/>
        <v>APINlaAlimosho</v>
      </c>
    </row>
    <row r="75">
      <c r="E75" s="0" t="s">
        <v>815</v>
      </c>
      <c r="AV75" s="0" t="s">
        <v>473</v>
      </c>
      <c r="AW75" s="0" t="s">
        <v>414</v>
      </c>
      <c r="AX75" s="0" t="s">
        <v>461</v>
      </c>
      <c r="AY75" s="0" t="s">
        <v>1197</v>
      </c>
      <c r="AZ75" s="0" t="s">
        <v>1198</v>
      </c>
      <c r="BA75" s="0" t="s">
        <v>476</v>
      </c>
      <c r="BB75" s="0" t="str">
        <f t="shared" si="1"/>
        <v>APINlaAlimosho</v>
      </c>
    </row>
    <row r="76">
      <c r="E76" s="0" t="s">
        <v>453</v>
      </c>
      <c r="AV76" s="0" t="s">
        <v>473</v>
      </c>
      <c r="AW76" s="0" t="s">
        <v>414</v>
      </c>
      <c r="AX76" s="0" t="s">
        <v>461</v>
      </c>
      <c r="AY76" s="0" t="s">
        <v>1199</v>
      </c>
      <c r="AZ76" s="0" t="s">
        <v>1200</v>
      </c>
      <c r="BA76" s="0" t="s">
        <v>476</v>
      </c>
      <c r="BB76" s="0" t="str">
        <f t="shared" si="1"/>
        <v>APINlaAlimosho</v>
      </c>
    </row>
    <row r="77">
      <c r="C77" s="0" t="e">
        <f>SUBSTITUTE(#REF!&amp;#REF!," ","")</f>
        <v>#REF!</v>
      </c>
      <c r="E77" s="0" t="s">
        <v>495</v>
      </c>
      <c r="AV77" s="0" t="s">
        <v>473</v>
      </c>
      <c r="AW77" s="0" t="s">
        <v>414</v>
      </c>
      <c r="AX77" s="0" t="s">
        <v>461</v>
      </c>
      <c r="AY77" s="0" t="s">
        <v>1201</v>
      </c>
      <c r="AZ77" s="0" t="s">
        <v>1202</v>
      </c>
      <c r="BA77" s="0" t="s">
        <v>476</v>
      </c>
      <c r="BB77" s="0" t="str">
        <f t="shared" si="1"/>
        <v>APINlaAlimosho</v>
      </c>
    </row>
    <row r="78">
      <c r="E78" s="0" t="s">
        <v>534</v>
      </c>
      <c r="AV78" s="0" t="s">
        <v>473</v>
      </c>
      <c r="AW78" s="0" t="s">
        <v>414</v>
      </c>
      <c r="AX78" s="0" t="s">
        <v>461</v>
      </c>
      <c r="AY78" s="0" t="s">
        <v>1203</v>
      </c>
      <c r="AZ78" s="0" t="s">
        <v>1204</v>
      </c>
      <c r="BA78" s="0" t="s">
        <v>476</v>
      </c>
      <c r="BB78" s="0" t="str">
        <f t="shared" si="1"/>
        <v>APINlaAlimosho</v>
      </c>
    </row>
    <row r="79">
      <c r="E79" s="0" t="s">
        <v>574</v>
      </c>
      <c r="AV79" s="0" t="s">
        <v>473</v>
      </c>
      <c r="AW79" s="0" t="s">
        <v>414</v>
      </c>
      <c r="AX79" s="0" t="s">
        <v>461</v>
      </c>
      <c r="AY79" s="0" t="s">
        <v>1205</v>
      </c>
      <c r="AZ79" s="0" t="s">
        <v>1206</v>
      </c>
      <c r="BA79" s="0" t="s">
        <v>476</v>
      </c>
      <c r="BB79" s="0" t="str">
        <f t="shared" si="1"/>
        <v>APINlaAlimosho</v>
      </c>
    </row>
    <row r="80">
      <c r="E80" s="0" t="s">
        <v>612</v>
      </c>
      <c r="AV80" s="0" t="s">
        <v>473</v>
      </c>
      <c r="AW80" s="0" t="s">
        <v>414</v>
      </c>
      <c r="AX80" s="0" t="s">
        <v>461</v>
      </c>
      <c r="AY80" s="0" t="s">
        <v>1207</v>
      </c>
      <c r="AZ80" s="0" t="s">
        <v>1208</v>
      </c>
      <c r="BA80" s="0" t="s">
        <v>476</v>
      </c>
      <c r="BB80" s="0" t="str">
        <f t="shared" si="1"/>
        <v>APINlaAlimosho</v>
      </c>
    </row>
    <row r="81">
      <c r="E81" s="0" t="s">
        <v>651</v>
      </c>
      <c r="AV81" s="0" t="s">
        <v>473</v>
      </c>
      <c r="AW81" s="0" t="s">
        <v>414</v>
      </c>
      <c r="AX81" s="0" t="s">
        <v>461</v>
      </c>
      <c r="AY81" s="0" t="s">
        <v>1209</v>
      </c>
      <c r="AZ81" s="0" t="s">
        <v>1210</v>
      </c>
      <c r="BA81" s="0" t="s">
        <v>476</v>
      </c>
      <c r="BB81" s="0" t="str">
        <f t="shared" si="1"/>
        <v>APINlaAlimosho</v>
      </c>
    </row>
    <row r="82">
      <c r="E82" s="0" t="s">
        <v>687</v>
      </c>
      <c r="AV82" s="0" t="s">
        <v>473</v>
      </c>
      <c r="AW82" s="0" t="s">
        <v>414</v>
      </c>
      <c r="AX82" s="0" t="s">
        <v>461</v>
      </c>
      <c r="AY82" s="0" t="s">
        <v>1211</v>
      </c>
      <c r="AZ82" s="0" t="s">
        <v>1212</v>
      </c>
      <c r="BA82" s="0" t="s">
        <v>476</v>
      </c>
      <c r="BB82" s="0" t="str">
        <f t="shared" si="1"/>
        <v>APINlaAlimosho</v>
      </c>
    </row>
    <row r="83">
      <c r="E83" s="0" t="s">
        <v>722</v>
      </c>
      <c r="AV83" s="0" t="s">
        <v>473</v>
      </c>
      <c r="AW83" s="0" t="s">
        <v>414</v>
      </c>
      <c r="AX83" s="0" t="s">
        <v>461</v>
      </c>
      <c r="AY83" s="0" t="s">
        <v>1213</v>
      </c>
      <c r="AZ83" s="0" t="s">
        <v>1214</v>
      </c>
      <c r="BA83" s="0" t="s">
        <v>476</v>
      </c>
      <c r="BB83" s="0" t="str">
        <f t="shared" si="1"/>
        <v>APINlaAlimosho</v>
      </c>
    </row>
    <row r="84">
      <c r="E84" s="0" t="s">
        <v>755</v>
      </c>
      <c r="AV84" s="0" t="s">
        <v>473</v>
      </c>
      <c r="AW84" s="0" t="s">
        <v>414</v>
      </c>
      <c r="AX84" s="0" t="s">
        <v>461</v>
      </c>
      <c r="AY84" s="0" t="s">
        <v>1215</v>
      </c>
      <c r="AZ84" s="0" t="s">
        <v>1216</v>
      </c>
      <c r="BA84" s="0" t="s">
        <v>476</v>
      </c>
      <c r="BB84" s="0" t="str">
        <f t="shared" si="1"/>
        <v>APINlaAlimosho</v>
      </c>
    </row>
    <row r="85">
      <c r="E85" s="0" t="s">
        <v>787</v>
      </c>
      <c r="AV85" s="0" t="s">
        <v>473</v>
      </c>
      <c r="AW85" s="0" t="s">
        <v>414</v>
      </c>
      <c r="AX85" s="0" t="s">
        <v>461</v>
      </c>
      <c r="AY85" s="0" t="s">
        <v>1217</v>
      </c>
      <c r="AZ85" s="0" t="s">
        <v>1218</v>
      </c>
      <c r="BA85" s="0" t="s">
        <v>476</v>
      </c>
      <c r="BB85" s="0" t="str">
        <f t="shared" si="1"/>
        <v>APINlaAlimosho</v>
      </c>
    </row>
    <row r="86">
      <c r="E86" s="0" t="s">
        <v>817</v>
      </c>
      <c r="AV86" s="0" t="s">
        <v>473</v>
      </c>
      <c r="AW86" s="0" t="s">
        <v>414</v>
      </c>
      <c r="AX86" s="0" t="s">
        <v>503</v>
      </c>
      <c r="AY86" s="0" t="s">
        <v>1219</v>
      </c>
      <c r="AZ86" s="0" t="s">
        <v>1220</v>
      </c>
      <c r="BA86" s="0" t="s">
        <v>476</v>
      </c>
      <c r="BB86" s="0" t="str">
        <f t="shared" si="1"/>
        <v>APINlaAmuwoOdofin</v>
      </c>
    </row>
    <row r="87">
      <c r="E87" s="0" t="s">
        <v>845</v>
      </c>
      <c r="AV87" s="0" t="s">
        <v>473</v>
      </c>
      <c r="AW87" s="0" t="s">
        <v>414</v>
      </c>
      <c r="AX87" s="0" t="s">
        <v>503</v>
      </c>
      <c r="AY87" s="0" t="s">
        <v>1221</v>
      </c>
      <c r="AZ87" s="0" t="s">
        <v>1222</v>
      </c>
      <c r="BA87" s="0" t="s">
        <v>476</v>
      </c>
      <c r="BB87" s="0" t="str">
        <f t="shared" si="1"/>
        <v>APINlaAmuwoOdofin</v>
      </c>
    </row>
    <row r="88">
      <c r="E88" s="0" t="s">
        <v>873</v>
      </c>
      <c r="AV88" s="0" t="s">
        <v>473</v>
      </c>
      <c r="AW88" s="0" t="s">
        <v>414</v>
      </c>
      <c r="AX88" s="0" t="s">
        <v>503</v>
      </c>
      <c r="AY88" s="0" t="s">
        <v>1223</v>
      </c>
      <c r="AZ88" s="0" t="s">
        <v>1224</v>
      </c>
      <c r="BA88" s="0" t="s">
        <v>476</v>
      </c>
      <c r="BB88" s="0" t="str">
        <f t="shared" si="1"/>
        <v>APINlaAmuwoOdofin</v>
      </c>
    </row>
    <row r="89">
      <c r="E89" s="0" t="s">
        <v>898</v>
      </c>
      <c r="AV89" s="0" t="s">
        <v>473</v>
      </c>
      <c r="AW89" s="0" t="s">
        <v>414</v>
      </c>
      <c r="AX89" s="0" t="s">
        <v>503</v>
      </c>
      <c r="AY89" s="0" t="s">
        <v>1225</v>
      </c>
      <c r="AZ89" s="0" t="s">
        <v>1226</v>
      </c>
      <c r="BA89" s="0" t="s">
        <v>476</v>
      </c>
      <c r="BB89" s="0" t="str">
        <f t="shared" si="1"/>
        <v>APINlaAmuwoOdofin</v>
      </c>
    </row>
    <row r="90">
      <c r="E90" s="0" t="s">
        <v>923</v>
      </c>
      <c r="AV90" s="0" t="s">
        <v>473</v>
      </c>
      <c r="AW90" s="0" t="s">
        <v>414</v>
      </c>
      <c r="AX90" s="0" t="s">
        <v>503</v>
      </c>
      <c r="AY90" s="0" t="s">
        <v>1227</v>
      </c>
      <c r="AZ90" s="0" t="s">
        <v>1228</v>
      </c>
      <c r="BA90" s="0" t="s">
        <v>476</v>
      </c>
      <c r="BB90" s="0" t="str">
        <f t="shared" si="1"/>
        <v>APINlaAmuwoOdofin</v>
      </c>
    </row>
    <row r="91">
      <c r="E91" s="0" t="s">
        <v>947</v>
      </c>
      <c r="AV91" s="0" t="s">
        <v>473</v>
      </c>
      <c r="AW91" s="0" t="s">
        <v>414</v>
      </c>
      <c r="AX91" s="0" t="s">
        <v>503</v>
      </c>
      <c r="AY91" s="0" t="s">
        <v>1229</v>
      </c>
      <c r="AZ91" s="0" t="s">
        <v>1230</v>
      </c>
      <c r="BA91" s="0" t="s">
        <v>476</v>
      </c>
      <c r="BB91" s="0" t="str">
        <f t="shared" si="1"/>
        <v>APINlaAmuwoOdofin</v>
      </c>
    </row>
    <row r="92">
      <c r="E92" s="0" t="s">
        <v>969</v>
      </c>
      <c r="AV92" s="0" t="s">
        <v>473</v>
      </c>
      <c r="AW92" s="0" t="s">
        <v>414</v>
      </c>
      <c r="AX92" s="0" t="s">
        <v>503</v>
      </c>
      <c r="AY92" s="0" t="s">
        <v>1231</v>
      </c>
      <c r="AZ92" s="0" t="s">
        <v>1232</v>
      </c>
      <c r="BA92" s="0" t="s">
        <v>476</v>
      </c>
      <c r="BB92" s="0" t="str">
        <f t="shared" si="1"/>
        <v>APINlaAmuwoOdofin</v>
      </c>
    </row>
    <row r="93">
      <c r="E93" s="0" t="s">
        <v>988</v>
      </c>
      <c r="AV93" s="0" t="s">
        <v>473</v>
      </c>
      <c r="AW93" s="0" t="s">
        <v>414</v>
      </c>
      <c r="AX93" s="0" t="s">
        <v>503</v>
      </c>
      <c r="AY93" s="0" t="s">
        <v>1233</v>
      </c>
      <c r="AZ93" s="0" t="s">
        <v>1234</v>
      </c>
      <c r="BA93" s="0" t="s">
        <v>476</v>
      </c>
      <c r="BB93" s="0" t="str">
        <f t="shared" si="1"/>
        <v>APINlaAmuwoOdofin</v>
      </c>
    </row>
    <row r="94">
      <c r="E94" s="0" t="s">
        <v>1004</v>
      </c>
      <c r="AV94" s="0" t="s">
        <v>473</v>
      </c>
      <c r="AW94" s="0" t="s">
        <v>414</v>
      </c>
      <c r="AX94" s="0" t="s">
        <v>503</v>
      </c>
      <c r="AY94" s="0" t="s">
        <v>1235</v>
      </c>
      <c r="AZ94" s="0" t="s">
        <v>1236</v>
      </c>
      <c r="BA94" s="0" t="s">
        <v>476</v>
      </c>
      <c r="BB94" s="0" t="str">
        <f t="shared" si="1"/>
        <v>APINlaAmuwoOdofin</v>
      </c>
    </row>
    <row r="95">
      <c r="E95" s="0" t="s">
        <v>1020</v>
      </c>
      <c r="AV95" s="0" t="s">
        <v>473</v>
      </c>
      <c r="AW95" s="0" t="s">
        <v>414</v>
      </c>
      <c r="AX95" s="0" t="s">
        <v>542</v>
      </c>
      <c r="AY95" s="0" t="s">
        <v>1237</v>
      </c>
      <c r="AZ95" s="0" t="s">
        <v>1238</v>
      </c>
      <c r="BA95" s="0" t="s">
        <v>476</v>
      </c>
      <c r="BB95" s="0" t="str">
        <f t="shared" si="1"/>
        <v>APINlaEpe</v>
      </c>
    </row>
    <row r="96">
      <c r="E96" s="0" t="s">
        <v>1035</v>
      </c>
      <c r="AV96" s="0" t="s">
        <v>473</v>
      </c>
      <c r="AW96" s="0" t="s">
        <v>414</v>
      </c>
      <c r="AX96" s="0" t="s">
        <v>542</v>
      </c>
      <c r="AY96" s="0" t="s">
        <v>1239</v>
      </c>
      <c r="AZ96" s="0" t="s">
        <v>1240</v>
      </c>
      <c r="BA96" s="0" t="s">
        <v>476</v>
      </c>
      <c r="BB96" s="0" t="str">
        <f t="shared" si="1"/>
        <v>APINlaEpe</v>
      </c>
    </row>
    <row r="97">
      <c r="E97" s="0" t="s">
        <v>443</v>
      </c>
      <c r="AV97" s="0" t="s">
        <v>473</v>
      </c>
      <c r="AW97" s="0" t="s">
        <v>414</v>
      </c>
      <c r="AX97" s="0" t="s">
        <v>542</v>
      </c>
      <c r="AY97" s="0" t="s">
        <v>1241</v>
      </c>
      <c r="AZ97" s="0" t="s">
        <v>1242</v>
      </c>
      <c r="BA97" s="0" t="s">
        <v>476</v>
      </c>
      <c r="BB97" s="0" t="str">
        <f t="shared" si="1"/>
        <v>APINlaEpe</v>
      </c>
    </row>
    <row r="98">
      <c r="E98" s="0" t="s">
        <v>485</v>
      </c>
      <c r="AV98" s="0" t="s">
        <v>473</v>
      </c>
      <c r="AW98" s="0" t="s">
        <v>414</v>
      </c>
      <c r="AX98" s="0" t="s">
        <v>542</v>
      </c>
      <c r="AY98" s="0" t="s">
        <v>1243</v>
      </c>
      <c r="AZ98" s="0" t="s">
        <v>1244</v>
      </c>
      <c r="BA98" s="0" t="s">
        <v>476</v>
      </c>
      <c r="BB98" s="0" t="str">
        <f t="shared" si="1"/>
        <v>APINlaEpe</v>
      </c>
    </row>
    <row r="99">
      <c r="E99" s="0" t="s">
        <v>524</v>
      </c>
      <c r="AV99" s="0" t="s">
        <v>473</v>
      </c>
      <c r="AW99" s="0" t="s">
        <v>414</v>
      </c>
      <c r="AX99" s="0" t="s">
        <v>581</v>
      </c>
      <c r="AY99" s="0" t="s">
        <v>1245</v>
      </c>
      <c r="AZ99" s="0" t="s">
        <v>1246</v>
      </c>
      <c r="BA99" s="0" t="s">
        <v>476</v>
      </c>
      <c r="BB99" s="0" t="str">
        <f t="shared" si="1"/>
        <v>APINlaEtiOsa</v>
      </c>
    </row>
    <row r="100">
      <c r="E100" s="0" t="s">
        <v>564</v>
      </c>
      <c r="AV100" s="0" t="s">
        <v>473</v>
      </c>
      <c r="AW100" s="0" t="s">
        <v>414</v>
      </c>
      <c r="AX100" s="0" t="s">
        <v>581</v>
      </c>
      <c r="AY100" s="0" t="s">
        <v>1247</v>
      </c>
      <c r="AZ100" s="0" t="s">
        <v>1248</v>
      </c>
      <c r="BA100" s="0" t="s">
        <v>476</v>
      </c>
      <c r="BB100" s="0" t="str">
        <f t="shared" si="1"/>
        <v>APINlaEtiOsa</v>
      </c>
    </row>
    <row r="101">
      <c r="E101" s="0" t="s">
        <v>602</v>
      </c>
      <c r="AV101" s="0" t="s">
        <v>473</v>
      </c>
      <c r="AW101" s="0" t="s">
        <v>414</v>
      </c>
      <c r="AX101" s="0" t="s">
        <v>581</v>
      </c>
      <c r="AY101" s="0" t="s">
        <v>1249</v>
      </c>
      <c r="AZ101" s="0" t="s">
        <v>1250</v>
      </c>
      <c r="BA101" s="0" t="s">
        <v>476</v>
      </c>
      <c r="BB101" s="0" t="str">
        <f t="shared" si="1"/>
        <v>APINlaEtiOsa</v>
      </c>
    </row>
    <row r="102">
      <c r="E102" s="0" t="s">
        <v>641</v>
      </c>
      <c r="AV102" s="0" t="s">
        <v>473</v>
      </c>
      <c r="AW102" s="0" t="s">
        <v>414</v>
      </c>
      <c r="AX102" s="0" t="s">
        <v>581</v>
      </c>
      <c r="AY102" s="0" t="s">
        <v>1251</v>
      </c>
      <c r="AZ102" s="0" t="s">
        <v>1252</v>
      </c>
      <c r="BA102" s="0" t="s">
        <v>476</v>
      </c>
      <c r="BB102" s="0" t="str">
        <f t="shared" si="1"/>
        <v>APINlaEtiOsa</v>
      </c>
    </row>
    <row r="103">
      <c r="E103" s="0" t="s">
        <v>679</v>
      </c>
      <c r="AV103" s="0" t="s">
        <v>473</v>
      </c>
      <c r="AW103" s="0" t="s">
        <v>414</v>
      </c>
      <c r="AX103" s="0" t="s">
        <v>581</v>
      </c>
      <c r="AY103" s="0" t="s">
        <v>1253</v>
      </c>
      <c r="AZ103" s="0" t="s">
        <v>1254</v>
      </c>
      <c r="BA103" s="0" t="s">
        <v>476</v>
      </c>
      <c r="BB103" s="0" t="str">
        <f t="shared" si="1"/>
        <v>APINlaEtiOsa</v>
      </c>
    </row>
    <row r="104">
      <c r="E104" s="0" t="s">
        <v>715</v>
      </c>
      <c r="AV104" s="0" t="s">
        <v>473</v>
      </c>
      <c r="AW104" s="0" t="s">
        <v>414</v>
      </c>
      <c r="AX104" s="0" t="s">
        <v>581</v>
      </c>
      <c r="AY104" s="0" t="s">
        <v>1255</v>
      </c>
      <c r="AZ104" s="0" t="s">
        <v>1256</v>
      </c>
      <c r="BA104" s="0" t="s">
        <v>476</v>
      </c>
      <c r="BB104" s="0" t="str">
        <f t="shared" si="1"/>
        <v>APINlaEtiOsa</v>
      </c>
    </row>
    <row r="105">
      <c r="E105" s="0" t="s">
        <v>748</v>
      </c>
      <c r="AV105" s="0" t="s">
        <v>473</v>
      </c>
      <c r="AW105" s="0" t="s">
        <v>414</v>
      </c>
      <c r="AX105" s="0" t="s">
        <v>581</v>
      </c>
      <c r="AY105" s="0" t="s">
        <v>1257</v>
      </c>
      <c r="AZ105" s="0" t="s">
        <v>1258</v>
      </c>
      <c r="BA105" s="0" t="s">
        <v>476</v>
      </c>
      <c r="BB105" s="0" t="str">
        <f t="shared" si="1"/>
        <v>APINlaEtiOsa</v>
      </c>
    </row>
    <row r="106">
      <c r="E106" s="0" t="s">
        <v>780</v>
      </c>
      <c r="AV106" s="0" t="s">
        <v>473</v>
      </c>
      <c r="AW106" s="0" t="s">
        <v>414</v>
      </c>
      <c r="AX106" s="0" t="s">
        <v>619</v>
      </c>
      <c r="AY106" s="0" t="s">
        <v>1259</v>
      </c>
      <c r="AZ106" s="0" t="s">
        <v>1260</v>
      </c>
      <c r="BA106" s="0" t="s">
        <v>476</v>
      </c>
      <c r="BB106" s="0" t="str">
        <f t="shared" si="1"/>
        <v>APINlaIbeju</v>
      </c>
    </row>
    <row r="107">
      <c r="E107" s="0" t="s">
        <v>810</v>
      </c>
      <c r="AV107" s="0" t="s">
        <v>473</v>
      </c>
      <c r="AW107" s="0" t="s">
        <v>414</v>
      </c>
      <c r="AX107" s="0" t="s">
        <v>619</v>
      </c>
      <c r="AY107" s="0" t="s">
        <v>1259</v>
      </c>
      <c r="AZ107" s="0" t="s">
        <v>1261</v>
      </c>
      <c r="BA107" s="0" t="s">
        <v>476</v>
      </c>
      <c r="BB107" s="0" t="str">
        <f t="shared" si="1"/>
        <v>APINlaIbeju</v>
      </c>
    </row>
    <row r="108">
      <c r="E108" s="0" t="s">
        <v>839</v>
      </c>
      <c r="AV108" s="0" t="s">
        <v>473</v>
      </c>
      <c r="AW108" s="0" t="s">
        <v>414</v>
      </c>
      <c r="AX108" s="0" t="s">
        <v>619</v>
      </c>
      <c r="AY108" s="0" t="s">
        <v>1259</v>
      </c>
      <c r="AZ108" s="0" t="s">
        <v>1262</v>
      </c>
      <c r="BA108" s="0" t="s">
        <v>476</v>
      </c>
      <c r="BB108" s="0" t="str">
        <f t="shared" si="1"/>
        <v>APINlaIbeju</v>
      </c>
    </row>
    <row r="109">
      <c r="E109" s="0" t="s">
        <v>867</v>
      </c>
      <c r="AV109" s="0" t="s">
        <v>473</v>
      </c>
      <c r="AW109" s="0" t="s">
        <v>414</v>
      </c>
      <c r="AX109" s="0" t="s">
        <v>619</v>
      </c>
      <c r="AY109" s="0" t="s">
        <v>1259</v>
      </c>
      <c r="AZ109" s="0" t="s">
        <v>1263</v>
      </c>
      <c r="BA109" s="0" t="s">
        <v>476</v>
      </c>
      <c r="BB109" s="0" t="str">
        <f t="shared" si="1"/>
        <v>APINlaIbeju</v>
      </c>
    </row>
    <row r="110">
      <c r="E110" s="0" t="s">
        <v>893</v>
      </c>
      <c r="AV110" s="0" t="s">
        <v>473</v>
      </c>
      <c r="AW110" s="0" t="s">
        <v>414</v>
      </c>
      <c r="AX110" s="0" t="s">
        <v>657</v>
      </c>
      <c r="AY110" s="0" t="s">
        <v>1264</v>
      </c>
      <c r="AZ110" s="0" t="s">
        <v>1265</v>
      </c>
      <c r="BA110" s="0" t="s">
        <v>476</v>
      </c>
      <c r="BB110" s="0" t="str">
        <f t="shared" si="1"/>
        <v>APINlaIfakoIjaiye</v>
      </c>
    </row>
    <row r="111">
      <c r="E111" s="0" t="s">
        <v>918</v>
      </c>
      <c r="AV111" s="0" t="s">
        <v>473</v>
      </c>
      <c r="AW111" s="0" t="s">
        <v>414</v>
      </c>
      <c r="AX111" s="0" t="s">
        <v>657</v>
      </c>
      <c r="AY111" s="0" t="s">
        <v>1266</v>
      </c>
      <c r="AZ111" s="0" t="s">
        <v>1267</v>
      </c>
      <c r="BA111" s="0" t="s">
        <v>476</v>
      </c>
      <c r="BB111" s="0" t="str">
        <f t="shared" si="1"/>
        <v>APINlaIfakoIjaiye</v>
      </c>
    </row>
    <row r="112">
      <c r="E112" s="0" t="s">
        <v>942</v>
      </c>
      <c r="AV112" s="0" t="s">
        <v>473</v>
      </c>
      <c r="AW112" s="0" t="s">
        <v>414</v>
      </c>
      <c r="AX112" s="0" t="s">
        <v>657</v>
      </c>
      <c r="AY112" s="0" t="s">
        <v>1268</v>
      </c>
      <c r="AZ112" s="0" t="s">
        <v>1269</v>
      </c>
      <c r="BA112" s="0" t="s">
        <v>476</v>
      </c>
      <c r="BB112" s="0" t="str">
        <f t="shared" si="1"/>
        <v>APINlaIfakoIjaiye</v>
      </c>
    </row>
    <row r="113">
      <c r="E113" s="0" t="s">
        <v>965</v>
      </c>
      <c r="AV113" s="0" t="s">
        <v>473</v>
      </c>
      <c r="AW113" s="0" t="s">
        <v>414</v>
      </c>
      <c r="AX113" s="0" t="s">
        <v>657</v>
      </c>
      <c r="AY113" s="0" t="s">
        <v>1270</v>
      </c>
      <c r="AZ113" s="0" t="s">
        <v>1271</v>
      </c>
      <c r="BA113" s="0" t="s">
        <v>476</v>
      </c>
      <c r="BB113" s="0" t="str">
        <f t="shared" si="1"/>
        <v>APINlaIfakoIjaiye</v>
      </c>
    </row>
    <row r="114">
      <c r="E114" s="0" t="s">
        <v>446</v>
      </c>
      <c r="AV114" s="0" t="s">
        <v>473</v>
      </c>
      <c r="AW114" s="0" t="s">
        <v>414</v>
      </c>
      <c r="AX114" s="0" t="s">
        <v>657</v>
      </c>
      <c r="AY114" s="0" t="s">
        <v>1272</v>
      </c>
      <c r="AZ114" s="0" t="s">
        <v>1273</v>
      </c>
      <c r="BA114" s="0" t="s">
        <v>476</v>
      </c>
      <c r="BB114" s="0" t="str">
        <f t="shared" si="1"/>
        <v>APINlaIfakoIjaiye</v>
      </c>
    </row>
    <row r="115">
      <c r="E115" s="0" t="s">
        <v>488</v>
      </c>
      <c r="AV115" s="0" t="s">
        <v>473</v>
      </c>
      <c r="AW115" s="0" t="s">
        <v>414</v>
      </c>
      <c r="AX115" s="0" t="s">
        <v>657</v>
      </c>
      <c r="AY115" s="0" t="s">
        <v>1274</v>
      </c>
      <c r="AZ115" s="0" t="s">
        <v>1275</v>
      </c>
      <c r="BA115" s="0" t="s">
        <v>476</v>
      </c>
      <c r="BB115" s="0" t="str">
        <f t="shared" si="1"/>
        <v>APINlaIfakoIjaiye</v>
      </c>
    </row>
    <row r="116">
      <c r="E116" s="0" t="s">
        <v>527</v>
      </c>
      <c r="AV116" s="0" t="s">
        <v>473</v>
      </c>
      <c r="AW116" s="0" t="s">
        <v>414</v>
      </c>
      <c r="AX116" s="0" t="s">
        <v>657</v>
      </c>
      <c r="AY116" s="0" t="s">
        <v>1276</v>
      </c>
      <c r="AZ116" s="0" t="s">
        <v>1277</v>
      </c>
      <c r="BA116" s="0" t="s">
        <v>476</v>
      </c>
      <c r="BB116" s="0" t="str">
        <f t="shared" si="1"/>
        <v>APINlaIfakoIjaiye</v>
      </c>
    </row>
    <row r="117">
      <c r="E117" s="0" t="s">
        <v>567</v>
      </c>
      <c r="AV117" s="0" t="s">
        <v>473</v>
      </c>
      <c r="AW117" s="0" t="s">
        <v>414</v>
      </c>
      <c r="AX117" s="0" t="s">
        <v>657</v>
      </c>
      <c r="AY117" s="0" t="s">
        <v>1278</v>
      </c>
      <c r="AZ117" s="0" t="s">
        <v>1279</v>
      </c>
      <c r="BA117" s="0" t="s">
        <v>476</v>
      </c>
      <c r="BB117" s="0" t="str">
        <f t="shared" si="1"/>
        <v>APINlaIfakoIjaiye</v>
      </c>
    </row>
    <row r="118">
      <c r="E118" s="0" t="s">
        <v>451</v>
      </c>
      <c r="AV118" s="0" t="s">
        <v>473</v>
      </c>
      <c r="AW118" s="0" t="s">
        <v>414</v>
      </c>
      <c r="AX118" s="0" t="s">
        <v>657</v>
      </c>
      <c r="AY118" s="0" t="s">
        <v>1280</v>
      </c>
      <c r="AZ118" s="0" t="s">
        <v>1281</v>
      </c>
      <c r="BA118" s="0" t="s">
        <v>476</v>
      </c>
      <c r="BB118" s="0" t="str">
        <f t="shared" si="1"/>
        <v>APINlaIfakoIjaiye</v>
      </c>
    </row>
    <row r="119">
      <c r="E119" s="0" t="s">
        <v>493</v>
      </c>
      <c r="AV119" s="0" t="s">
        <v>473</v>
      </c>
      <c r="AW119" s="0" t="s">
        <v>414</v>
      </c>
      <c r="AX119" s="0" t="s">
        <v>657</v>
      </c>
      <c r="AY119" s="0" t="s">
        <v>1282</v>
      </c>
      <c r="AZ119" s="0" t="s">
        <v>1283</v>
      </c>
      <c r="BA119" s="0" t="s">
        <v>476</v>
      </c>
      <c r="BB119" s="0" t="str">
        <f t="shared" si="1"/>
        <v>APINlaIfakoIjaiye</v>
      </c>
    </row>
    <row r="120">
      <c r="E120" s="0" t="s">
        <v>455</v>
      </c>
      <c r="AV120" s="0" t="s">
        <v>473</v>
      </c>
      <c r="AW120" s="0" t="s">
        <v>414</v>
      </c>
      <c r="AX120" s="0" t="s">
        <v>657</v>
      </c>
      <c r="AY120" s="0" t="s">
        <v>1284</v>
      </c>
      <c r="AZ120" s="0" t="s">
        <v>1285</v>
      </c>
      <c r="BA120" s="0" t="s">
        <v>476</v>
      </c>
      <c r="BB120" s="0" t="str">
        <f t="shared" si="1"/>
        <v>APINlaIfakoIjaiye</v>
      </c>
    </row>
    <row r="121">
      <c r="E121" s="0" t="s">
        <v>497</v>
      </c>
      <c r="AV121" s="0" t="s">
        <v>473</v>
      </c>
      <c r="AW121" s="0" t="s">
        <v>414</v>
      </c>
      <c r="AX121" s="0" t="s">
        <v>657</v>
      </c>
      <c r="AY121" s="0" t="s">
        <v>1286</v>
      </c>
      <c r="AZ121" s="0" t="s">
        <v>1287</v>
      </c>
      <c r="BA121" s="0" t="s">
        <v>476</v>
      </c>
      <c r="BB121" s="0" t="str">
        <f t="shared" si="1"/>
        <v>APINlaIfakoIjaiye</v>
      </c>
    </row>
    <row r="122">
      <c r="E122" s="0" t="s">
        <v>536</v>
      </c>
      <c r="AV122" s="0" t="s">
        <v>473</v>
      </c>
      <c r="AW122" s="0" t="s">
        <v>414</v>
      </c>
      <c r="AX122" s="0" t="s">
        <v>693</v>
      </c>
      <c r="AY122" s="0" t="s">
        <v>1288</v>
      </c>
      <c r="AZ122" s="0" t="s">
        <v>1289</v>
      </c>
      <c r="BA122" s="0" t="s">
        <v>476</v>
      </c>
      <c r="BB122" s="0" t="str">
        <f t="shared" si="1"/>
        <v>APINlaIkeja</v>
      </c>
    </row>
    <row r="123">
      <c r="E123" s="0" t="s">
        <v>576</v>
      </c>
      <c r="AV123" s="0" t="s">
        <v>473</v>
      </c>
      <c r="AW123" s="0" t="s">
        <v>414</v>
      </c>
      <c r="AX123" s="0" t="s">
        <v>693</v>
      </c>
      <c r="AY123" s="0" t="s">
        <v>1290</v>
      </c>
      <c r="AZ123" s="0" t="s">
        <v>1291</v>
      </c>
      <c r="BA123" s="0" t="s">
        <v>476</v>
      </c>
      <c r="BB123" s="0" t="str">
        <f t="shared" si="1"/>
        <v>APINlaIkeja</v>
      </c>
    </row>
    <row r="124">
      <c r="E124" s="0" t="s">
        <v>614</v>
      </c>
      <c r="AV124" s="0" t="s">
        <v>473</v>
      </c>
      <c r="AW124" s="0" t="s">
        <v>414</v>
      </c>
      <c r="AX124" s="0" t="s">
        <v>693</v>
      </c>
      <c r="AY124" s="0" t="s">
        <v>1292</v>
      </c>
      <c r="AZ124" s="0" t="s">
        <v>1293</v>
      </c>
      <c r="BA124" s="0" t="s">
        <v>476</v>
      </c>
      <c r="BB124" s="0" t="str">
        <f t="shared" si="1"/>
        <v>APINlaIkeja</v>
      </c>
    </row>
    <row r="125">
      <c r="E125" s="0" t="s">
        <v>653</v>
      </c>
      <c r="AV125" s="0" t="s">
        <v>473</v>
      </c>
      <c r="AW125" s="0" t="s">
        <v>414</v>
      </c>
      <c r="AX125" s="0" t="s">
        <v>693</v>
      </c>
      <c r="AY125" s="0" t="s">
        <v>1294</v>
      </c>
      <c r="AZ125" s="0" t="s">
        <v>1295</v>
      </c>
      <c r="BA125" s="0" t="s">
        <v>476</v>
      </c>
      <c r="BB125" s="0" t="str">
        <f t="shared" si="1"/>
        <v>APINlaIkeja</v>
      </c>
    </row>
    <row r="126">
      <c r="E126" s="0" t="s">
        <v>689</v>
      </c>
      <c r="AV126" s="0" t="s">
        <v>473</v>
      </c>
      <c r="AW126" s="0" t="s">
        <v>414</v>
      </c>
      <c r="AX126" s="0" t="s">
        <v>693</v>
      </c>
      <c r="AY126" s="0" t="s">
        <v>1296</v>
      </c>
      <c r="AZ126" s="0" t="s">
        <v>1297</v>
      </c>
      <c r="BA126" s="0" t="s">
        <v>476</v>
      </c>
      <c r="BB126" s="0" t="str">
        <f t="shared" si="1"/>
        <v>APINlaIkeja</v>
      </c>
    </row>
    <row r="127">
      <c r="E127" s="0" t="s">
        <v>1298</v>
      </c>
      <c r="AV127" s="0" t="s">
        <v>473</v>
      </c>
      <c r="AW127" s="0" t="s">
        <v>414</v>
      </c>
      <c r="AX127" s="0" t="s">
        <v>693</v>
      </c>
      <c r="AY127" s="0" t="s">
        <v>1299</v>
      </c>
      <c r="AZ127" s="0" t="s">
        <v>1300</v>
      </c>
      <c r="BA127" s="0" t="s">
        <v>476</v>
      </c>
      <c r="BB127" s="0" t="str">
        <f t="shared" si="1"/>
        <v>APINlaIkeja</v>
      </c>
    </row>
    <row r="128">
      <c r="E128" s="0" t="s">
        <v>1301</v>
      </c>
      <c r="AV128" s="0" t="s">
        <v>473</v>
      </c>
      <c r="AW128" s="0" t="s">
        <v>414</v>
      </c>
      <c r="AX128" s="0" t="s">
        <v>693</v>
      </c>
      <c r="AY128" s="0" t="s">
        <v>1302</v>
      </c>
      <c r="AZ128" s="0" t="s">
        <v>1303</v>
      </c>
      <c r="BA128" s="0" t="s">
        <v>476</v>
      </c>
      <c r="BB128" s="0" t="str">
        <f t="shared" si="1"/>
        <v>APINlaIkeja</v>
      </c>
    </row>
    <row r="129">
      <c r="E129" s="0" t="s">
        <v>1304</v>
      </c>
      <c r="AV129" s="0" t="s">
        <v>473</v>
      </c>
      <c r="AW129" s="0" t="s">
        <v>414</v>
      </c>
      <c r="AX129" s="0" t="s">
        <v>693</v>
      </c>
      <c r="AY129" s="0" t="s">
        <v>1305</v>
      </c>
      <c r="AZ129" s="0" t="s">
        <v>1306</v>
      </c>
      <c r="BA129" s="0" t="s">
        <v>476</v>
      </c>
      <c r="BB129" s="0" t="str">
        <f t="shared" si="1"/>
        <v>APINlaIkeja</v>
      </c>
    </row>
    <row r="130">
      <c r="E130" s="0" t="s">
        <v>461</v>
      </c>
      <c r="AV130" s="0" t="s">
        <v>473</v>
      </c>
      <c r="AW130" s="0" t="s">
        <v>414</v>
      </c>
      <c r="AX130" s="0" t="s">
        <v>693</v>
      </c>
      <c r="AY130" s="0" t="s">
        <v>1307</v>
      </c>
      <c r="AZ130" s="0" t="s">
        <v>1308</v>
      </c>
      <c r="BA130" s="0" t="s">
        <v>476</v>
      </c>
      <c r="BB130" s="0" t="str">
        <f t="shared" si="1"/>
        <v>APINlaIkeja</v>
      </c>
    </row>
    <row r="131">
      <c r="E131" s="0" t="s">
        <v>693</v>
      </c>
      <c r="AV131" s="0" t="s">
        <v>473</v>
      </c>
      <c r="AW131" s="0" t="s">
        <v>414</v>
      </c>
      <c r="AX131" s="0" t="s">
        <v>693</v>
      </c>
      <c r="AY131" s="0" t="s">
        <v>1309</v>
      </c>
      <c r="AZ131" s="0" t="s">
        <v>1310</v>
      </c>
      <c r="BA131" s="0" t="s">
        <v>476</v>
      </c>
      <c r="BB131" s="0" t="str">
        <f ref="BB131:BB194" t="shared" si="2">SUBSTITUTE(SUBSTITUTE(BA131&amp;AX131," ",""),"-","")</f>
        <v>APINlaIkeja</v>
      </c>
    </row>
    <row r="132">
      <c r="E132" s="0" t="s">
        <v>462</v>
      </c>
      <c r="AV132" s="0" t="s">
        <v>473</v>
      </c>
      <c r="AW132" s="0" t="s">
        <v>414</v>
      </c>
      <c r="AX132" s="0" t="s">
        <v>693</v>
      </c>
      <c r="AY132" s="0" t="s">
        <v>1311</v>
      </c>
      <c r="AZ132" s="0" t="s">
        <v>1312</v>
      </c>
      <c r="BA132" s="0" t="s">
        <v>476</v>
      </c>
      <c r="BB132" s="0" t="str">
        <f t="shared" si="2"/>
        <v>APINlaIkeja</v>
      </c>
    </row>
    <row r="133">
      <c r="E133" s="0" t="s">
        <v>504</v>
      </c>
      <c r="AV133" s="0" t="s">
        <v>473</v>
      </c>
      <c r="AW133" s="0" t="s">
        <v>414</v>
      </c>
      <c r="AX133" s="0" t="s">
        <v>693</v>
      </c>
      <c r="AY133" s="0" t="s">
        <v>1313</v>
      </c>
      <c r="AZ133" s="0" t="s">
        <v>1314</v>
      </c>
      <c r="BA133" s="0" t="s">
        <v>476</v>
      </c>
      <c r="BB133" s="0" t="str">
        <f t="shared" si="2"/>
        <v>APINlaIkeja</v>
      </c>
    </row>
    <row r="134">
      <c r="E134" s="0" t="s">
        <v>543</v>
      </c>
      <c r="AV134" s="0" t="s">
        <v>473</v>
      </c>
      <c r="AW134" s="0" t="s">
        <v>414</v>
      </c>
      <c r="AX134" s="0" t="s">
        <v>693</v>
      </c>
      <c r="AY134" s="0" t="s">
        <v>1315</v>
      </c>
      <c r="AZ134" s="0" t="s">
        <v>1316</v>
      </c>
      <c r="BA134" s="0" t="s">
        <v>476</v>
      </c>
      <c r="BB134" s="0" t="str">
        <f t="shared" si="2"/>
        <v>APINlaIkeja</v>
      </c>
    </row>
    <row r="135">
      <c r="E135" s="0" t="s">
        <v>582</v>
      </c>
      <c r="AV135" s="0" t="s">
        <v>473</v>
      </c>
      <c r="AW135" s="0" t="s">
        <v>414</v>
      </c>
      <c r="AX135" s="0" t="s">
        <v>693</v>
      </c>
      <c r="AY135" s="0" t="s">
        <v>1317</v>
      </c>
      <c r="AZ135" s="0" t="s">
        <v>1318</v>
      </c>
      <c r="BA135" s="0" t="s">
        <v>476</v>
      </c>
      <c r="BB135" s="0" t="str">
        <f t="shared" si="2"/>
        <v>APINlaIkeja</v>
      </c>
    </row>
    <row r="136">
      <c r="E136" s="0" t="s">
        <v>620</v>
      </c>
      <c r="AV136" s="0" t="s">
        <v>473</v>
      </c>
      <c r="AW136" s="0" t="s">
        <v>414</v>
      </c>
      <c r="AX136" s="0" t="s">
        <v>693</v>
      </c>
      <c r="AY136" s="0" t="s">
        <v>1319</v>
      </c>
      <c r="AZ136" s="0" t="s">
        <v>1320</v>
      </c>
      <c r="BA136" s="0" t="s">
        <v>476</v>
      </c>
      <c r="BB136" s="0" t="str">
        <f t="shared" si="2"/>
        <v>APINlaIkeja</v>
      </c>
    </row>
    <row r="137">
      <c r="E137" s="0" t="s">
        <v>622</v>
      </c>
      <c r="AV137" s="0" t="s">
        <v>473</v>
      </c>
      <c r="AW137" s="0" t="s">
        <v>414</v>
      </c>
      <c r="AX137" s="0" t="s">
        <v>693</v>
      </c>
      <c r="AY137" s="0" t="s">
        <v>1321</v>
      </c>
      <c r="AZ137" s="0" t="s">
        <v>1322</v>
      </c>
      <c r="BA137" s="0" t="s">
        <v>476</v>
      </c>
      <c r="BB137" s="0" t="str">
        <f t="shared" si="2"/>
        <v>APINlaIkeja</v>
      </c>
    </row>
    <row r="138">
      <c r="E138" s="0" t="s">
        <v>517</v>
      </c>
      <c r="AV138" s="0" t="s">
        <v>473</v>
      </c>
      <c r="AW138" s="0" t="s">
        <v>414</v>
      </c>
      <c r="AX138" s="0" t="s">
        <v>728</v>
      </c>
      <c r="AY138" s="0" t="s">
        <v>1323</v>
      </c>
      <c r="AZ138" s="0" t="s">
        <v>1324</v>
      </c>
      <c r="BA138" s="0" t="s">
        <v>476</v>
      </c>
      <c r="BB138" s="0" t="str">
        <f t="shared" si="2"/>
        <v>APINlaIkorodu</v>
      </c>
    </row>
    <row r="139">
      <c r="E139" s="0" t="s">
        <v>464</v>
      </c>
      <c r="AV139" s="0" t="s">
        <v>473</v>
      </c>
      <c r="AW139" s="0" t="s">
        <v>414</v>
      </c>
      <c r="AX139" s="0" t="s">
        <v>728</v>
      </c>
      <c r="AY139" s="0" t="s">
        <v>1325</v>
      </c>
      <c r="AZ139" s="0" t="s">
        <v>1326</v>
      </c>
      <c r="BA139" s="0" t="s">
        <v>476</v>
      </c>
      <c r="BB139" s="0" t="str">
        <f t="shared" si="2"/>
        <v>APINlaIkorodu</v>
      </c>
    </row>
    <row r="140">
      <c r="E140" s="0" t="s">
        <v>506</v>
      </c>
      <c r="AV140" s="0" t="s">
        <v>473</v>
      </c>
      <c r="AW140" s="0" t="s">
        <v>414</v>
      </c>
      <c r="AX140" s="0" t="s">
        <v>728</v>
      </c>
      <c r="AY140" s="0" t="s">
        <v>1327</v>
      </c>
      <c r="AZ140" s="0" t="s">
        <v>1328</v>
      </c>
      <c r="BA140" s="0" t="s">
        <v>476</v>
      </c>
      <c r="BB140" s="0" t="str">
        <f t="shared" si="2"/>
        <v>APINlaIkorodu</v>
      </c>
    </row>
    <row r="141">
      <c r="E141" s="0" t="s">
        <v>545</v>
      </c>
      <c r="AV141" s="0" t="s">
        <v>473</v>
      </c>
      <c r="AW141" s="0" t="s">
        <v>414</v>
      </c>
      <c r="AX141" s="0" t="s">
        <v>728</v>
      </c>
      <c r="AY141" s="0" t="s">
        <v>1329</v>
      </c>
      <c r="AZ141" s="0" t="s">
        <v>1330</v>
      </c>
      <c r="BA141" s="0" t="s">
        <v>476</v>
      </c>
      <c r="BB141" s="0" t="str">
        <f t="shared" si="2"/>
        <v>APINlaIkorodu</v>
      </c>
    </row>
    <row r="142">
      <c r="E142" s="0" t="s">
        <v>584</v>
      </c>
      <c r="AV142" s="0" t="s">
        <v>473</v>
      </c>
      <c r="AW142" s="0" t="s">
        <v>414</v>
      </c>
      <c r="AX142" s="0" t="s">
        <v>728</v>
      </c>
      <c r="AY142" s="0" t="s">
        <v>1331</v>
      </c>
      <c r="AZ142" s="0" t="s">
        <v>1332</v>
      </c>
      <c r="BA142" s="0" t="s">
        <v>476</v>
      </c>
      <c r="BB142" s="0" t="str">
        <f t="shared" si="2"/>
        <v>APINlaIkorodu</v>
      </c>
    </row>
    <row r="143">
      <c r="E143" s="0" t="s">
        <v>465</v>
      </c>
      <c r="AV143" s="0" t="s">
        <v>473</v>
      </c>
      <c r="AW143" s="0" t="s">
        <v>414</v>
      </c>
      <c r="AX143" s="0" t="s">
        <v>728</v>
      </c>
      <c r="AY143" s="0" t="s">
        <v>1333</v>
      </c>
      <c r="AZ143" s="0" t="s">
        <v>1334</v>
      </c>
      <c r="BA143" s="0" t="s">
        <v>476</v>
      </c>
      <c r="BB143" s="0" t="str">
        <f t="shared" si="2"/>
        <v>APINlaIkorodu</v>
      </c>
    </row>
    <row r="144">
      <c r="E144" s="0" t="s">
        <v>507</v>
      </c>
      <c r="AV144" s="0" t="s">
        <v>473</v>
      </c>
      <c r="AW144" s="0" t="s">
        <v>414</v>
      </c>
      <c r="AX144" s="0" t="s">
        <v>728</v>
      </c>
      <c r="AY144" s="0" t="s">
        <v>1335</v>
      </c>
      <c r="AZ144" s="0" t="s">
        <v>1336</v>
      </c>
      <c r="BA144" s="0" t="s">
        <v>476</v>
      </c>
      <c r="BB144" s="0" t="str">
        <f t="shared" si="2"/>
        <v>APINlaIkorodu</v>
      </c>
    </row>
    <row r="145">
      <c r="E145" s="0" t="s">
        <v>546</v>
      </c>
      <c r="AV145" s="0" t="s">
        <v>473</v>
      </c>
      <c r="AW145" s="0" t="s">
        <v>414</v>
      </c>
      <c r="AX145" s="0" t="s">
        <v>728</v>
      </c>
      <c r="AY145" s="0" t="s">
        <v>1337</v>
      </c>
      <c r="AZ145" s="0" t="s">
        <v>1338</v>
      </c>
      <c r="BA145" s="0" t="s">
        <v>476</v>
      </c>
      <c r="BB145" s="0" t="str">
        <f t="shared" si="2"/>
        <v>APINlaIkorodu</v>
      </c>
    </row>
    <row r="146">
      <c r="E146" s="0" t="s">
        <v>1110</v>
      </c>
      <c r="AV146" s="0" t="s">
        <v>473</v>
      </c>
      <c r="AW146" s="0" t="s">
        <v>414</v>
      </c>
      <c r="AX146" s="0" t="s">
        <v>728</v>
      </c>
      <c r="AY146" s="0" t="s">
        <v>1339</v>
      </c>
      <c r="AZ146" s="0" t="s">
        <v>1340</v>
      </c>
      <c r="BA146" s="0" t="s">
        <v>476</v>
      </c>
      <c r="BB146" s="0" t="str">
        <f t="shared" si="2"/>
        <v>APINlaIkorodu</v>
      </c>
    </row>
    <row r="147">
      <c r="E147" s="0" t="s">
        <v>509</v>
      </c>
      <c r="AV147" s="0" t="s">
        <v>473</v>
      </c>
      <c r="AW147" s="0" t="s">
        <v>414</v>
      </c>
      <c r="AX147" s="0" t="s">
        <v>761</v>
      </c>
      <c r="AY147" s="0" t="s">
        <v>1341</v>
      </c>
      <c r="AZ147" s="0" t="s">
        <v>1342</v>
      </c>
      <c r="BA147" s="0" t="s">
        <v>476</v>
      </c>
      <c r="BB147" s="0" t="str">
        <f t="shared" si="2"/>
        <v>APINlaMushin</v>
      </c>
    </row>
    <row r="148">
      <c r="E148" s="0" t="s">
        <v>826</v>
      </c>
      <c r="AV148" s="0" t="s">
        <v>473</v>
      </c>
      <c r="AW148" s="0" t="s">
        <v>414</v>
      </c>
      <c r="AX148" s="0" t="s">
        <v>761</v>
      </c>
      <c r="AY148" s="0" t="s">
        <v>1343</v>
      </c>
      <c r="AZ148" s="0" t="s">
        <v>1344</v>
      </c>
      <c r="BA148" s="0" t="s">
        <v>476</v>
      </c>
      <c r="BB148" s="0" t="str">
        <f t="shared" si="2"/>
        <v>APINlaMushin</v>
      </c>
    </row>
    <row r="149">
      <c r="E149" s="0" t="s">
        <v>587</v>
      </c>
      <c r="AV149" s="0" t="s">
        <v>473</v>
      </c>
      <c r="AW149" s="0" t="s">
        <v>414</v>
      </c>
      <c r="AX149" s="0" t="s">
        <v>761</v>
      </c>
      <c r="AY149" s="0" t="s">
        <v>1345</v>
      </c>
      <c r="AZ149" s="0" t="s">
        <v>1346</v>
      </c>
      <c r="BA149" s="0" t="s">
        <v>476</v>
      </c>
      <c r="BB149" s="0" t="str">
        <f t="shared" si="2"/>
        <v>APINlaMushin</v>
      </c>
    </row>
    <row r="150">
      <c r="E150" s="0" t="s">
        <v>626</v>
      </c>
      <c r="AV150" s="0" t="s">
        <v>473</v>
      </c>
      <c r="AW150" s="0" t="s">
        <v>414</v>
      </c>
      <c r="AX150" s="0" t="s">
        <v>761</v>
      </c>
      <c r="AY150" s="0" t="s">
        <v>1347</v>
      </c>
      <c r="AZ150" s="0" t="s">
        <v>1348</v>
      </c>
      <c r="BA150" s="0" t="s">
        <v>476</v>
      </c>
      <c r="BB150" s="0" t="str">
        <f t="shared" si="2"/>
        <v>APINlaMushin</v>
      </c>
    </row>
    <row r="151">
      <c r="E151" s="0" t="s">
        <v>767</v>
      </c>
      <c r="AV151" s="0" t="s">
        <v>473</v>
      </c>
      <c r="AW151" s="0" t="s">
        <v>414</v>
      </c>
      <c r="AX151" s="0" t="s">
        <v>761</v>
      </c>
      <c r="AY151" s="0" t="s">
        <v>1349</v>
      </c>
      <c r="AZ151" s="0" t="s">
        <v>1350</v>
      </c>
      <c r="BA151" s="0" t="s">
        <v>476</v>
      </c>
      <c r="BB151" s="0" t="str">
        <f t="shared" si="2"/>
        <v>APINlaMushin</v>
      </c>
    </row>
    <row r="152">
      <c r="E152" s="0" t="s">
        <v>797</v>
      </c>
      <c r="AV152" s="0" t="s">
        <v>473</v>
      </c>
      <c r="AW152" s="0" t="s">
        <v>414</v>
      </c>
      <c r="AX152" s="0" t="s">
        <v>761</v>
      </c>
      <c r="AY152" s="0" t="s">
        <v>1351</v>
      </c>
      <c r="AZ152" s="0" t="s">
        <v>1352</v>
      </c>
      <c r="BA152" s="0" t="s">
        <v>476</v>
      </c>
      <c r="BB152" s="0" t="str">
        <f t="shared" si="2"/>
        <v>APINlaMushin</v>
      </c>
    </row>
    <row r="153">
      <c r="E153" s="0" t="s">
        <v>984</v>
      </c>
      <c r="AV153" s="0" t="s">
        <v>473</v>
      </c>
      <c r="AW153" s="0" t="s">
        <v>414</v>
      </c>
      <c r="AX153" s="0" t="s">
        <v>761</v>
      </c>
      <c r="AY153" s="0" t="s">
        <v>1353</v>
      </c>
      <c r="AZ153" s="0" t="s">
        <v>1354</v>
      </c>
      <c r="BA153" s="0" t="s">
        <v>476</v>
      </c>
      <c r="BB153" s="0" t="str">
        <f t="shared" si="2"/>
        <v>APINlaMushin</v>
      </c>
    </row>
    <row r="154">
      <c r="E154" s="0" t="s">
        <v>443</v>
      </c>
      <c r="AV154" s="0" t="s">
        <v>473</v>
      </c>
      <c r="AW154" s="0" t="s">
        <v>414</v>
      </c>
      <c r="AX154" s="0" t="s">
        <v>761</v>
      </c>
      <c r="AY154" s="0" t="s">
        <v>1355</v>
      </c>
      <c r="AZ154" s="0" t="s">
        <v>1356</v>
      </c>
      <c r="BA154" s="0" t="s">
        <v>476</v>
      </c>
      <c r="BB154" s="0" t="str">
        <f t="shared" si="2"/>
        <v>APINlaMushin</v>
      </c>
    </row>
    <row r="155">
      <c r="E155" s="0" t="s">
        <v>1002</v>
      </c>
      <c r="AV155" s="0" t="s">
        <v>473</v>
      </c>
      <c r="AW155" s="0" t="s">
        <v>414</v>
      </c>
      <c r="AX155" s="0" t="s">
        <v>761</v>
      </c>
      <c r="AY155" s="0" t="s">
        <v>1357</v>
      </c>
      <c r="AZ155" s="0" t="s">
        <v>1358</v>
      </c>
      <c r="BA155" s="0" t="s">
        <v>476</v>
      </c>
      <c r="BB155" s="0" t="str">
        <f t="shared" si="2"/>
        <v>APINlaMushin</v>
      </c>
    </row>
    <row r="156">
      <c r="E156" s="0" t="s">
        <v>485</v>
      </c>
      <c r="AV156" s="0" t="s">
        <v>473</v>
      </c>
      <c r="AW156" s="0" t="s">
        <v>414</v>
      </c>
      <c r="AX156" s="0" t="s">
        <v>761</v>
      </c>
      <c r="AY156" s="0" t="s">
        <v>1359</v>
      </c>
      <c r="AZ156" s="0" t="s">
        <v>1360</v>
      </c>
      <c r="BA156" s="0" t="s">
        <v>476</v>
      </c>
      <c r="BB156" s="0" t="str">
        <f t="shared" si="2"/>
        <v>APINlaMushin</v>
      </c>
    </row>
    <row r="157">
      <c r="E157" s="0" t="s">
        <v>524</v>
      </c>
      <c r="AV157" s="0" t="s">
        <v>473</v>
      </c>
      <c r="AW157" s="0" t="s">
        <v>414</v>
      </c>
      <c r="AX157" s="0" t="s">
        <v>761</v>
      </c>
      <c r="AY157" s="0" t="s">
        <v>1361</v>
      </c>
      <c r="AZ157" s="0" t="s">
        <v>1362</v>
      </c>
      <c r="BA157" s="0" t="s">
        <v>476</v>
      </c>
      <c r="BB157" s="0" t="str">
        <f t="shared" si="2"/>
        <v>APINlaMushin</v>
      </c>
    </row>
    <row r="158">
      <c r="E158" s="0" t="s">
        <v>564</v>
      </c>
      <c r="AV158" s="0" t="s">
        <v>473</v>
      </c>
      <c r="AW158" s="0" t="s">
        <v>414</v>
      </c>
      <c r="AX158" s="0" t="s">
        <v>761</v>
      </c>
      <c r="AY158" s="0" t="s">
        <v>1363</v>
      </c>
      <c r="AZ158" s="0" t="s">
        <v>1364</v>
      </c>
      <c r="BA158" s="0" t="s">
        <v>476</v>
      </c>
      <c r="BB158" s="0" t="str">
        <f t="shared" si="2"/>
        <v>APINlaMushin</v>
      </c>
    </row>
    <row r="159">
      <c r="E159" s="0" t="s">
        <v>602</v>
      </c>
      <c r="AV159" s="0" t="s">
        <v>473</v>
      </c>
      <c r="AW159" s="0" t="s">
        <v>414</v>
      </c>
      <c r="AX159" s="0" t="s">
        <v>761</v>
      </c>
      <c r="AY159" s="0" t="s">
        <v>1365</v>
      </c>
      <c r="AZ159" s="0" t="s">
        <v>1366</v>
      </c>
      <c r="BA159" s="0" t="s">
        <v>476</v>
      </c>
      <c r="BB159" s="0" t="str">
        <f t="shared" si="2"/>
        <v>APINlaMushin</v>
      </c>
    </row>
    <row r="160">
      <c r="E160" s="0" t="s">
        <v>641</v>
      </c>
      <c r="AV160" s="0" t="s">
        <v>473</v>
      </c>
      <c r="AW160" s="0" t="s">
        <v>414</v>
      </c>
      <c r="AX160" s="0" t="s">
        <v>761</v>
      </c>
      <c r="AY160" s="0" t="s">
        <v>1367</v>
      </c>
      <c r="AZ160" s="0" t="s">
        <v>1368</v>
      </c>
      <c r="BA160" s="0" t="s">
        <v>476</v>
      </c>
      <c r="BB160" s="0" t="str">
        <f t="shared" si="2"/>
        <v>APINlaMushin</v>
      </c>
    </row>
    <row r="161">
      <c r="E161" s="0" t="s">
        <v>748</v>
      </c>
      <c r="AV161" s="0" t="s">
        <v>473</v>
      </c>
      <c r="AW161" s="0" t="s">
        <v>414</v>
      </c>
      <c r="AX161" s="0" t="s">
        <v>793</v>
      </c>
      <c r="AY161" s="0" t="s">
        <v>1369</v>
      </c>
      <c r="AZ161" s="0" t="s">
        <v>1370</v>
      </c>
      <c r="BA161" s="0" t="s">
        <v>476</v>
      </c>
      <c r="BB161" s="0" t="str">
        <f t="shared" si="2"/>
        <v>APINlaOshodiIsolo</v>
      </c>
    </row>
    <row r="162">
      <c r="E162" s="0" t="s">
        <v>780</v>
      </c>
      <c r="AV162" s="0" t="s">
        <v>473</v>
      </c>
      <c r="AW162" s="0" t="s">
        <v>414</v>
      </c>
      <c r="AX162" s="0" t="s">
        <v>793</v>
      </c>
      <c r="AY162" s="0" t="s">
        <v>1371</v>
      </c>
      <c r="AZ162" s="0" t="s">
        <v>1372</v>
      </c>
      <c r="BA162" s="0" t="s">
        <v>476</v>
      </c>
      <c r="BB162" s="0" t="str">
        <f t="shared" si="2"/>
        <v>APINlaOshodiIsolo</v>
      </c>
    </row>
    <row r="163">
      <c r="E163" s="0" t="s">
        <v>810</v>
      </c>
      <c r="AV163" s="0" t="s">
        <v>473</v>
      </c>
      <c r="AW163" s="0" t="s">
        <v>414</v>
      </c>
      <c r="AX163" s="0" t="s">
        <v>793</v>
      </c>
      <c r="AY163" s="0" t="s">
        <v>1373</v>
      </c>
      <c r="AZ163" s="0" t="s">
        <v>1374</v>
      </c>
      <c r="BA163" s="0" t="s">
        <v>476</v>
      </c>
      <c r="BB163" s="0" t="str">
        <f t="shared" si="2"/>
        <v>APINlaOshodiIsolo</v>
      </c>
    </row>
    <row r="164">
      <c r="E164" s="0" t="s">
        <v>1018</v>
      </c>
      <c r="AV164" s="0" t="s">
        <v>473</v>
      </c>
      <c r="AW164" s="0" t="s">
        <v>414</v>
      </c>
      <c r="AX164" s="0" t="s">
        <v>793</v>
      </c>
      <c r="AY164" s="0" t="s">
        <v>1375</v>
      </c>
      <c r="AZ164" s="0" t="s">
        <v>1376</v>
      </c>
      <c r="BA164" s="0" t="s">
        <v>476</v>
      </c>
      <c r="BB164" s="0" t="str">
        <f t="shared" si="2"/>
        <v>APINlaOshodiIsolo</v>
      </c>
    </row>
    <row r="165">
      <c r="E165" s="0" t="s">
        <v>1033</v>
      </c>
      <c r="AV165" s="0" t="s">
        <v>473</v>
      </c>
      <c r="AW165" s="0" t="s">
        <v>414</v>
      </c>
      <c r="AX165" s="0" t="s">
        <v>793</v>
      </c>
      <c r="AY165" s="0" t="s">
        <v>1377</v>
      </c>
      <c r="AZ165" s="0" t="s">
        <v>1378</v>
      </c>
      <c r="BA165" s="0" t="s">
        <v>476</v>
      </c>
      <c r="BB165" s="0" t="str">
        <f t="shared" si="2"/>
        <v>APINlaOshodiIsolo</v>
      </c>
    </row>
    <row r="166">
      <c r="E166" s="0" t="s">
        <v>1046</v>
      </c>
      <c r="AV166" s="0" t="s">
        <v>473</v>
      </c>
      <c r="AW166" s="0" t="s">
        <v>414</v>
      </c>
      <c r="AX166" s="0" t="s">
        <v>793</v>
      </c>
      <c r="AY166" s="0" t="s">
        <v>1379</v>
      </c>
      <c r="AZ166" s="0" t="s">
        <v>1380</v>
      </c>
      <c r="BA166" s="0" t="s">
        <v>476</v>
      </c>
      <c r="BB166" s="0" t="str">
        <f t="shared" si="2"/>
        <v>APINlaOshodiIsolo</v>
      </c>
    </row>
    <row r="167">
      <c r="E167" s="0" t="s">
        <v>839</v>
      </c>
      <c r="AV167" s="0" t="s">
        <v>473</v>
      </c>
      <c r="AW167" s="0" t="s">
        <v>414</v>
      </c>
      <c r="AX167" s="0" t="s">
        <v>793</v>
      </c>
      <c r="AY167" s="0" t="s">
        <v>1381</v>
      </c>
      <c r="AZ167" s="0" t="s">
        <v>1382</v>
      </c>
      <c r="BA167" s="0" t="s">
        <v>476</v>
      </c>
      <c r="BB167" s="0" t="str">
        <f t="shared" si="2"/>
        <v>APINlaOshodiIsolo</v>
      </c>
    </row>
    <row r="168">
      <c r="E168" s="0" t="s">
        <v>867</v>
      </c>
      <c r="AV168" s="0" t="s">
        <v>473</v>
      </c>
      <c r="AW168" s="0" t="s">
        <v>414</v>
      </c>
      <c r="AX168" s="0" t="s">
        <v>793</v>
      </c>
      <c r="AY168" s="0" t="s">
        <v>1383</v>
      </c>
      <c r="AZ168" s="0" t="s">
        <v>1384</v>
      </c>
      <c r="BA168" s="0" t="s">
        <v>476</v>
      </c>
      <c r="BB168" s="0" t="str">
        <f t="shared" si="2"/>
        <v>APINlaOshodiIsolo</v>
      </c>
    </row>
    <row r="169">
      <c r="E169" s="0" t="s">
        <v>893</v>
      </c>
      <c r="AV169" s="0" t="s">
        <v>473</v>
      </c>
      <c r="AW169" s="0" t="s">
        <v>414</v>
      </c>
      <c r="AX169" s="0" t="s">
        <v>793</v>
      </c>
      <c r="AY169" s="0" t="s">
        <v>1385</v>
      </c>
      <c r="AZ169" s="0" t="s">
        <v>1386</v>
      </c>
      <c r="BA169" s="0" t="s">
        <v>476</v>
      </c>
      <c r="BB169" s="0" t="str">
        <f t="shared" si="2"/>
        <v>APINlaOshodiIsolo</v>
      </c>
    </row>
    <row r="170">
      <c r="E170" s="0" t="s">
        <v>918</v>
      </c>
      <c r="AV170" s="0" t="s">
        <v>473</v>
      </c>
      <c r="AW170" s="0" t="s">
        <v>414</v>
      </c>
      <c r="AX170" s="0" t="s">
        <v>793</v>
      </c>
      <c r="AY170" s="0" t="s">
        <v>1387</v>
      </c>
      <c r="AZ170" s="0" t="s">
        <v>1388</v>
      </c>
      <c r="BA170" s="0" t="s">
        <v>476</v>
      </c>
      <c r="BB170" s="0" t="str">
        <f t="shared" si="2"/>
        <v>APINlaOshodiIsolo</v>
      </c>
    </row>
    <row r="171">
      <c r="E171" s="0" t="s">
        <v>965</v>
      </c>
      <c r="AV171" s="0" t="s">
        <v>473</v>
      </c>
      <c r="AW171" s="0" t="s">
        <v>414</v>
      </c>
      <c r="AX171" s="0" t="s">
        <v>793</v>
      </c>
      <c r="AY171" s="0" t="s">
        <v>1389</v>
      </c>
      <c r="AZ171" s="0" t="s">
        <v>1390</v>
      </c>
      <c r="BA171" s="0" t="s">
        <v>476</v>
      </c>
      <c r="BB171" s="0" t="str">
        <f t="shared" si="2"/>
        <v>APINlaOshodiIsolo</v>
      </c>
    </row>
    <row r="172">
      <c r="E172" s="0" t="s">
        <v>452</v>
      </c>
      <c r="AV172" s="0" t="s">
        <v>473</v>
      </c>
      <c r="AW172" s="0" t="s">
        <v>414</v>
      </c>
      <c r="AX172" s="0" t="s">
        <v>793</v>
      </c>
      <c r="AY172" s="0" t="s">
        <v>1391</v>
      </c>
      <c r="AZ172" s="0" t="s">
        <v>1392</v>
      </c>
      <c r="BA172" s="0" t="s">
        <v>476</v>
      </c>
      <c r="BB172" s="0" t="str">
        <f t="shared" si="2"/>
        <v>APINlaOshodiIsolo</v>
      </c>
    </row>
    <row r="173">
      <c r="E173" s="0" t="s">
        <v>494</v>
      </c>
      <c r="AV173" s="0" t="s">
        <v>473</v>
      </c>
      <c r="AW173" s="0" t="s">
        <v>414</v>
      </c>
      <c r="AX173" s="0" t="s">
        <v>793</v>
      </c>
      <c r="AY173" s="0" t="s">
        <v>1393</v>
      </c>
      <c r="AZ173" s="0" t="s">
        <v>1394</v>
      </c>
      <c r="BA173" s="0" t="s">
        <v>476</v>
      </c>
      <c r="BB173" s="0" t="str">
        <f t="shared" si="2"/>
        <v>APINlaOshodiIsolo</v>
      </c>
    </row>
    <row r="174">
      <c r="E174" s="0" t="s">
        <v>533</v>
      </c>
      <c r="AV174" s="0" t="s">
        <v>473</v>
      </c>
      <c r="AW174" s="0" t="s">
        <v>414</v>
      </c>
      <c r="AX174" s="0" t="s">
        <v>793</v>
      </c>
      <c r="AY174" s="0" t="s">
        <v>1395</v>
      </c>
      <c r="AZ174" s="0" t="s">
        <v>1396</v>
      </c>
      <c r="BA174" s="0" t="s">
        <v>476</v>
      </c>
      <c r="BB174" s="0" t="str">
        <f t="shared" si="2"/>
        <v>APINlaOshodiIsolo</v>
      </c>
    </row>
    <row r="175">
      <c r="E175" s="0" t="s">
        <v>573</v>
      </c>
      <c r="AV175" s="0" t="s">
        <v>473</v>
      </c>
      <c r="AW175" s="0" t="s">
        <v>420</v>
      </c>
      <c r="AX175" s="0" t="s">
        <v>825</v>
      </c>
      <c r="AY175" s="0" t="s">
        <v>1397</v>
      </c>
      <c r="AZ175" s="0" t="s">
        <v>1398</v>
      </c>
      <c r="BA175" s="0" t="s">
        <v>476</v>
      </c>
      <c r="BB175" s="0" t="str">
        <f t="shared" si="2"/>
        <v>APINoyAfijio</v>
      </c>
    </row>
    <row r="176">
      <c r="E176" s="0" t="s">
        <v>611</v>
      </c>
      <c r="AV176" s="0" t="s">
        <v>473</v>
      </c>
      <c r="AW176" s="0" t="s">
        <v>420</v>
      </c>
      <c r="AX176" s="0" t="s">
        <v>853</v>
      </c>
      <c r="AY176" s="0" t="s">
        <v>1399</v>
      </c>
      <c r="AZ176" s="0" t="s">
        <v>1400</v>
      </c>
      <c r="BA176" s="0" t="s">
        <v>476</v>
      </c>
      <c r="BB176" s="0" t="str">
        <f t="shared" si="2"/>
        <v>APINoyAkinyele</v>
      </c>
    </row>
    <row r="177">
      <c r="E177" s="0" t="s">
        <v>650</v>
      </c>
      <c r="AV177" s="0" t="s">
        <v>473</v>
      </c>
      <c r="AW177" s="0" t="s">
        <v>420</v>
      </c>
      <c r="AX177" s="0" t="s">
        <v>879</v>
      </c>
      <c r="AY177" s="0" t="s">
        <v>1401</v>
      </c>
      <c r="AZ177" s="0" t="s">
        <v>1402</v>
      </c>
      <c r="BA177" s="0" t="s">
        <v>476</v>
      </c>
      <c r="BB177" s="0" t="str">
        <f t="shared" si="2"/>
        <v>APINoyAtiba</v>
      </c>
    </row>
    <row r="178">
      <c r="E178" s="0" t="s">
        <v>686</v>
      </c>
      <c r="AV178" s="0" t="s">
        <v>473</v>
      </c>
      <c r="AW178" s="0" t="s">
        <v>420</v>
      </c>
      <c r="AX178" s="0" t="s">
        <v>904</v>
      </c>
      <c r="AY178" s="0" t="s">
        <v>1403</v>
      </c>
      <c r="AZ178" s="0" t="s">
        <v>1404</v>
      </c>
      <c r="BA178" s="0" t="s">
        <v>476</v>
      </c>
      <c r="BB178" s="0" t="str">
        <f t="shared" si="2"/>
        <v>APINoyIbadanNorth</v>
      </c>
    </row>
    <row r="179">
      <c r="E179" s="0" t="s">
        <v>721</v>
      </c>
      <c r="AV179" s="0" t="s">
        <v>473</v>
      </c>
      <c r="AW179" s="0" t="s">
        <v>420</v>
      </c>
      <c r="AX179" s="0" t="s">
        <v>904</v>
      </c>
      <c r="AY179" s="0" t="s">
        <v>1405</v>
      </c>
      <c r="AZ179" s="0" t="s">
        <v>1406</v>
      </c>
      <c r="BA179" s="0" t="s">
        <v>476</v>
      </c>
      <c r="BB179" s="0" t="str">
        <f t="shared" si="2"/>
        <v>APINoyIbadanNorth</v>
      </c>
    </row>
    <row r="180">
      <c r="E180" s="0" t="s">
        <v>754</v>
      </c>
      <c r="AV180" s="0" t="s">
        <v>473</v>
      </c>
      <c r="AW180" s="0" t="s">
        <v>420</v>
      </c>
      <c r="AX180" s="0" t="s">
        <v>904</v>
      </c>
      <c r="AY180" s="0" t="s">
        <v>1407</v>
      </c>
      <c r="AZ180" s="0" t="s">
        <v>1408</v>
      </c>
      <c r="BA180" s="0" t="s">
        <v>476</v>
      </c>
      <c r="BB180" s="0" t="str">
        <f t="shared" si="2"/>
        <v>APINoyIbadanNorth</v>
      </c>
    </row>
    <row r="181">
      <c r="E181" s="0" t="s">
        <v>455</v>
      </c>
      <c r="AV181" s="0" t="s">
        <v>473</v>
      </c>
      <c r="AW181" s="0" t="s">
        <v>420</v>
      </c>
      <c r="AX181" s="0" t="s">
        <v>904</v>
      </c>
      <c r="AY181" s="0" t="s">
        <v>1409</v>
      </c>
      <c r="AZ181" s="0" t="s">
        <v>1410</v>
      </c>
      <c r="BA181" s="0" t="s">
        <v>476</v>
      </c>
      <c r="BB181" s="0" t="str">
        <f t="shared" si="2"/>
        <v>APINoyIbadanNorth</v>
      </c>
    </row>
    <row r="182">
      <c r="E182" s="0" t="s">
        <v>724</v>
      </c>
      <c r="AV182" s="0" t="s">
        <v>473</v>
      </c>
      <c r="AW182" s="0" t="s">
        <v>420</v>
      </c>
      <c r="AX182" s="0" t="s">
        <v>904</v>
      </c>
      <c r="AY182" s="0" t="s">
        <v>1411</v>
      </c>
      <c r="AZ182" s="0" t="s">
        <v>1412</v>
      </c>
      <c r="BA182" s="0" t="s">
        <v>476</v>
      </c>
      <c r="BB182" s="0" t="str">
        <f t="shared" si="2"/>
        <v>APINoyIbadanNorth</v>
      </c>
    </row>
    <row r="183">
      <c r="E183" s="0" t="s">
        <v>757</v>
      </c>
      <c r="AV183" s="0" t="s">
        <v>473</v>
      </c>
      <c r="AW183" s="0" t="s">
        <v>420</v>
      </c>
      <c r="AX183" s="0" t="s">
        <v>929</v>
      </c>
      <c r="AY183" s="0" t="s">
        <v>1413</v>
      </c>
      <c r="AZ183" s="0" t="s">
        <v>1414</v>
      </c>
      <c r="BA183" s="0" t="s">
        <v>476</v>
      </c>
      <c r="BB183" s="0" t="str">
        <f t="shared" si="2"/>
        <v>APINoyIbadanNorthEast</v>
      </c>
    </row>
    <row r="184">
      <c r="E184" s="0" t="s">
        <v>497</v>
      </c>
      <c r="AV184" s="0" t="s">
        <v>473</v>
      </c>
      <c r="AW184" s="0" t="s">
        <v>420</v>
      </c>
      <c r="AX184" s="0" t="s">
        <v>929</v>
      </c>
      <c r="AY184" s="0" t="s">
        <v>1415</v>
      </c>
      <c r="AZ184" s="0" t="s">
        <v>1416</v>
      </c>
      <c r="BA184" s="0" t="s">
        <v>476</v>
      </c>
      <c r="BB184" s="0" t="str">
        <f t="shared" si="2"/>
        <v>APINoyIbadanNorthEast</v>
      </c>
    </row>
    <row r="185">
      <c r="E185" s="0" t="s">
        <v>789</v>
      </c>
      <c r="AV185" s="0" t="s">
        <v>473</v>
      </c>
      <c r="AW185" s="0" t="s">
        <v>420</v>
      </c>
      <c r="AX185" s="0" t="s">
        <v>953</v>
      </c>
      <c r="AY185" s="0" t="s">
        <v>1417</v>
      </c>
      <c r="AZ185" s="0" t="s">
        <v>1418</v>
      </c>
      <c r="BA185" s="0" t="s">
        <v>476</v>
      </c>
      <c r="BB185" s="0" t="str">
        <f t="shared" si="2"/>
        <v>APINoyIbadanNorthWest</v>
      </c>
    </row>
    <row r="186">
      <c r="E186" s="0" t="s">
        <v>819</v>
      </c>
      <c r="AV186" s="0" t="s">
        <v>473</v>
      </c>
      <c r="AW186" s="0" t="s">
        <v>420</v>
      </c>
      <c r="AX186" s="0" t="s">
        <v>953</v>
      </c>
      <c r="AY186" s="0" t="s">
        <v>1419</v>
      </c>
      <c r="AZ186" s="0" t="s">
        <v>1420</v>
      </c>
      <c r="BA186" s="0" t="s">
        <v>476</v>
      </c>
      <c r="BB186" s="0" t="str">
        <f t="shared" si="2"/>
        <v>APINoyIbadanNorthWest</v>
      </c>
    </row>
    <row r="187">
      <c r="E187" s="0" t="s">
        <v>536</v>
      </c>
      <c r="AV187" s="0" t="s">
        <v>473</v>
      </c>
      <c r="AW187" s="0" t="s">
        <v>420</v>
      </c>
      <c r="AX187" s="0" t="s">
        <v>974</v>
      </c>
      <c r="AY187" s="0" t="s">
        <v>1421</v>
      </c>
      <c r="AZ187" s="0" t="s">
        <v>1422</v>
      </c>
      <c r="BA187" s="0" t="s">
        <v>476</v>
      </c>
      <c r="BB187" s="0" t="str">
        <f t="shared" si="2"/>
        <v>APINoyIbadanSouthEast</v>
      </c>
    </row>
    <row r="188">
      <c r="E188" s="0" t="s">
        <v>847</v>
      </c>
      <c r="AV188" s="0" t="s">
        <v>473</v>
      </c>
      <c r="AW188" s="0" t="s">
        <v>420</v>
      </c>
      <c r="AX188" s="0" t="s">
        <v>974</v>
      </c>
      <c r="AY188" s="0" t="s">
        <v>1423</v>
      </c>
      <c r="AZ188" s="0" t="s">
        <v>1424</v>
      </c>
      <c r="BA188" s="0" t="s">
        <v>476</v>
      </c>
      <c r="BB188" s="0" t="str">
        <f t="shared" si="2"/>
        <v>APINoyIbadanSouthEast</v>
      </c>
    </row>
    <row r="189">
      <c r="E189" s="0" t="s">
        <v>875</v>
      </c>
      <c r="AV189" s="0" t="s">
        <v>473</v>
      </c>
      <c r="AW189" s="0" t="s">
        <v>420</v>
      </c>
      <c r="AX189" s="0" t="s">
        <v>974</v>
      </c>
      <c r="AY189" s="0" t="s">
        <v>1425</v>
      </c>
      <c r="AZ189" s="0" t="s">
        <v>1426</v>
      </c>
      <c r="BA189" s="0" t="s">
        <v>476</v>
      </c>
      <c r="BB189" s="0" t="str">
        <f t="shared" si="2"/>
        <v>APINoyIbadanSouthEast</v>
      </c>
    </row>
    <row r="190">
      <c r="E190" s="0" t="s">
        <v>900</v>
      </c>
      <c r="AV190" s="0" t="s">
        <v>473</v>
      </c>
      <c r="AW190" s="0" t="s">
        <v>420</v>
      </c>
      <c r="AX190" s="0" t="s">
        <v>974</v>
      </c>
      <c r="AY190" s="0" t="s">
        <v>1427</v>
      </c>
      <c r="AZ190" s="0" t="s">
        <v>1428</v>
      </c>
      <c r="BA190" s="0" t="s">
        <v>476</v>
      </c>
      <c r="BB190" s="0" t="str">
        <f t="shared" si="2"/>
        <v>APINoyIbadanSouthEast</v>
      </c>
    </row>
    <row r="191">
      <c r="E191" s="0" t="s">
        <v>576</v>
      </c>
      <c r="AV191" s="0" t="s">
        <v>473</v>
      </c>
      <c r="AW191" s="0" t="s">
        <v>420</v>
      </c>
      <c r="AX191" s="0" t="s">
        <v>974</v>
      </c>
      <c r="AY191" s="0" t="s">
        <v>1429</v>
      </c>
      <c r="AZ191" s="0" t="s">
        <v>1430</v>
      </c>
      <c r="BA191" s="0" t="s">
        <v>476</v>
      </c>
      <c r="BB191" s="0" t="str">
        <f t="shared" si="2"/>
        <v>APINoyIbadanSouthEast</v>
      </c>
    </row>
    <row r="192">
      <c r="E192" s="0" t="s">
        <v>653</v>
      </c>
      <c r="AV192" s="0" t="s">
        <v>473</v>
      </c>
      <c r="AW192" s="0" t="s">
        <v>420</v>
      </c>
      <c r="AX192" s="0" t="s">
        <v>974</v>
      </c>
      <c r="AY192" s="0" t="s">
        <v>1431</v>
      </c>
      <c r="AZ192" s="0" t="s">
        <v>1432</v>
      </c>
      <c r="BA192" s="0" t="s">
        <v>476</v>
      </c>
      <c r="BB192" s="0" t="str">
        <f t="shared" si="2"/>
        <v>APINoyIbadanSouthEast</v>
      </c>
    </row>
    <row r="193">
      <c r="E193" s="0" t="s">
        <v>925</v>
      </c>
      <c r="AV193" s="0" t="s">
        <v>473</v>
      </c>
      <c r="AW193" s="0" t="s">
        <v>420</v>
      </c>
      <c r="AX193" s="0" t="s">
        <v>993</v>
      </c>
      <c r="AY193" s="0" t="s">
        <v>1433</v>
      </c>
      <c r="AZ193" s="0" t="s">
        <v>1434</v>
      </c>
      <c r="BA193" s="0" t="s">
        <v>476</v>
      </c>
      <c r="BB193" s="0" t="str">
        <f t="shared" si="2"/>
        <v>APINoyIbadanSouthWest</v>
      </c>
    </row>
    <row r="194">
      <c r="E194" s="0" t="s">
        <v>689</v>
      </c>
      <c r="AV194" s="0" t="s">
        <v>473</v>
      </c>
      <c r="AW194" s="0" t="s">
        <v>420</v>
      </c>
      <c r="AX194" s="0" t="s">
        <v>993</v>
      </c>
      <c r="AY194" s="0" t="s">
        <v>1435</v>
      </c>
      <c r="AZ194" s="0" t="s">
        <v>1436</v>
      </c>
      <c r="BA194" s="0" t="s">
        <v>476</v>
      </c>
      <c r="BB194" s="0" t="str">
        <f t="shared" si="2"/>
        <v>APINoyIbadanSouthWest</v>
      </c>
    </row>
    <row r="195">
      <c r="E195" s="0" t="s">
        <v>949</v>
      </c>
      <c r="AV195" s="0" t="s">
        <v>473</v>
      </c>
      <c r="AW195" s="0" t="s">
        <v>420</v>
      </c>
      <c r="AX195" s="0" t="s">
        <v>1009</v>
      </c>
      <c r="AY195" s="0" t="s">
        <v>1437</v>
      </c>
      <c r="AZ195" s="0" t="s">
        <v>1438</v>
      </c>
      <c r="BA195" s="0" t="s">
        <v>476</v>
      </c>
      <c r="BB195" s="0" t="str">
        <f ref="BB195:BB258" t="shared" si="3">SUBSTITUTE(SUBSTITUTE(BA195&amp;AX195," ",""),"-","")</f>
        <v>APINoyIbarapaCentral</v>
      </c>
    </row>
    <row r="196">
      <c r="E196" s="0" t="s">
        <v>1439</v>
      </c>
      <c r="AV196" s="0" t="s">
        <v>473</v>
      </c>
      <c r="AW196" s="0" t="s">
        <v>420</v>
      </c>
      <c r="AX196" s="0" t="s">
        <v>1025</v>
      </c>
      <c r="AY196" s="0" t="s">
        <v>1440</v>
      </c>
      <c r="AZ196" s="0" t="s">
        <v>1441</v>
      </c>
      <c r="BA196" s="0" t="s">
        <v>476</v>
      </c>
      <c r="BB196" s="0" t="str">
        <f t="shared" si="3"/>
        <v>APINoyIdo</v>
      </c>
    </row>
    <row r="197">
      <c r="E197" s="0" t="s">
        <v>617</v>
      </c>
      <c r="AV197" s="0" t="s">
        <v>473</v>
      </c>
      <c r="AW197" s="0" t="s">
        <v>420</v>
      </c>
      <c r="AX197" s="0" t="s">
        <v>1040</v>
      </c>
      <c r="AY197" s="0" t="s">
        <v>1442</v>
      </c>
      <c r="AZ197" s="0" t="s">
        <v>1443</v>
      </c>
      <c r="BA197" s="0" t="s">
        <v>476</v>
      </c>
      <c r="BB197" s="0" t="str">
        <f t="shared" si="3"/>
        <v>APINoyItesiwaju</v>
      </c>
    </row>
    <row r="198">
      <c r="E198" s="0" t="s">
        <v>655</v>
      </c>
      <c r="AV198" s="0" t="s">
        <v>473</v>
      </c>
      <c r="AW198" s="0" t="s">
        <v>420</v>
      </c>
      <c r="AX198" s="0" t="s">
        <v>1040</v>
      </c>
      <c r="AY198" s="0" t="s">
        <v>1444</v>
      </c>
      <c r="AZ198" s="0" t="s">
        <v>1445</v>
      </c>
      <c r="BA198" s="0" t="s">
        <v>476</v>
      </c>
      <c r="BB198" s="0" t="str">
        <f t="shared" si="3"/>
        <v>APINoyItesiwaju</v>
      </c>
    </row>
    <row r="199">
      <c r="E199" s="0" t="s">
        <v>1298</v>
      </c>
      <c r="AV199" s="0" t="s">
        <v>473</v>
      </c>
      <c r="AW199" s="0" t="s">
        <v>420</v>
      </c>
      <c r="AX199" s="0" t="s">
        <v>1051</v>
      </c>
      <c r="AY199" s="0" t="s">
        <v>1446</v>
      </c>
      <c r="AZ199" s="0" t="s">
        <v>1447</v>
      </c>
      <c r="BA199" s="0" t="s">
        <v>476</v>
      </c>
      <c r="BB199" s="0" t="str">
        <f t="shared" si="3"/>
        <v>APINoyLagelu</v>
      </c>
    </row>
    <row r="200">
      <c r="E200" s="0" t="s">
        <v>691</v>
      </c>
      <c r="AV200" s="0" t="s">
        <v>473</v>
      </c>
      <c r="AW200" s="0" t="s">
        <v>420</v>
      </c>
      <c r="AX200" s="0" t="s">
        <v>1051</v>
      </c>
      <c r="AY200" s="0" t="s">
        <v>1448</v>
      </c>
      <c r="AZ200" s="0" t="s">
        <v>1449</v>
      </c>
      <c r="BA200" s="0" t="s">
        <v>476</v>
      </c>
      <c r="BB200" s="0" t="str">
        <f t="shared" si="3"/>
        <v>APINoyLagelu</v>
      </c>
    </row>
    <row r="201">
      <c r="E201" s="0" t="s">
        <v>1301</v>
      </c>
      <c r="AV201" s="0" t="s">
        <v>473</v>
      </c>
      <c r="AW201" s="0" t="s">
        <v>420</v>
      </c>
      <c r="AX201" s="0" t="s">
        <v>1062</v>
      </c>
      <c r="AY201" s="0" t="s">
        <v>1450</v>
      </c>
      <c r="AZ201" s="0" t="s">
        <v>1451</v>
      </c>
      <c r="BA201" s="0" t="s">
        <v>476</v>
      </c>
      <c r="BB201" s="0" t="str">
        <f t="shared" si="3"/>
        <v>APINoyOgbomosoNorth</v>
      </c>
    </row>
    <row r="202">
      <c r="E202" s="0" t="s">
        <v>726</v>
      </c>
      <c r="AV202" s="0" t="s">
        <v>473</v>
      </c>
      <c r="AW202" s="0" t="s">
        <v>420</v>
      </c>
      <c r="AX202" s="0" t="s">
        <v>1062</v>
      </c>
      <c r="AY202" s="0" t="s">
        <v>1452</v>
      </c>
      <c r="AZ202" s="0" t="s">
        <v>1453</v>
      </c>
      <c r="BA202" s="0" t="s">
        <v>476</v>
      </c>
      <c r="BB202" s="0" t="str">
        <f t="shared" si="3"/>
        <v>APINoyOgbomosoNorth</v>
      </c>
    </row>
    <row r="203">
      <c r="E203" s="0" t="s">
        <v>759</v>
      </c>
      <c r="AV203" s="0" t="s">
        <v>473</v>
      </c>
      <c r="AW203" s="0" t="s">
        <v>420</v>
      </c>
      <c r="AX203" s="0" t="s">
        <v>1072</v>
      </c>
      <c r="AY203" s="0" t="s">
        <v>1454</v>
      </c>
      <c r="AZ203" s="0" t="s">
        <v>1455</v>
      </c>
      <c r="BA203" s="0" t="s">
        <v>476</v>
      </c>
      <c r="BB203" s="0" t="str">
        <f t="shared" si="3"/>
        <v>APINoyOgbomosoSouth</v>
      </c>
    </row>
    <row r="204">
      <c r="E204" s="0" t="s">
        <v>791</v>
      </c>
      <c r="AV204" s="0" t="s">
        <v>473</v>
      </c>
      <c r="AW204" s="0" t="s">
        <v>420</v>
      </c>
      <c r="AX204" s="0" t="s">
        <v>1080</v>
      </c>
      <c r="AY204" s="0" t="s">
        <v>1456</v>
      </c>
      <c r="AZ204" s="0" t="s">
        <v>1457</v>
      </c>
      <c r="BA204" s="0" t="s">
        <v>476</v>
      </c>
      <c r="BB204" s="0" t="str">
        <f t="shared" si="3"/>
        <v>APINoyOluyole</v>
      </c>
    </row>
    <row r="205">
      <c r="E205" s="0" t="s">
        <v>821</v>
      </c>
      <c r="AV205" s="0" t="s">
        <v>473</v>
      </c>
      <c r="AW205" s="0" t="s">
        <v>420</v>
      </c>
      <c r="AX205" s="0" t="s">
        <v>1087</v>
      </c>
      <c r="AY205" s="0" t="s">
        <v>1458</v>
      </c>
      <c r="AZ205" s="0" t="s">
        <v>1459</v>
      </c>
      <c r="BA205" s="0" t="s">
        <v>476</v>
      </c>
      <c r="BB205" s="0" t="str">
        <f t="shared" si="3"/>
        <v>APINoyOnaAra</v>
      </c>
    </row>
    <row r="206">
      <c r="E206" s="0" t="s">
        <v>849</v>
      </c>
      <c r="AV206" s="0" t="s">
        <v>473</v>
      </c>
      <c r="AW206" s="0" t="s">
        <v>420</v>
      </c>
      <c r="AX206" s="0" t="s">
        <v>1087</v>
      </c>
      <c r="AY206" s="0" t="s">
        <v>1460</v>
      </c>
      <c r="AZ206" s="0" t="s">
        <v>1461</v>
      </c>
      <c r="BA206" s="0" t="s">
        <v>476</v>
      </c>
      <c r="BB206" s="0" t="str">
        <f t="shared" si="3"/>
        <v>APINoyOnaAra</v>
      </c>
    </row>
    <row r="207">
      <c r="E207" s="0" t="s">
        <v>459</v>
      </c>
      <c r="AV207" s="0" t="s">
        <v>473</v>
      </c>
      <c r="AW207" s="0" t="s">
        <v>420</v>
      </c>
      <c r="AX207" s="0" t="s">
        <v>1094</v>
      </c>
      <c r="AY207" s="0" t="s">
        <v>1462</v>
      </c>
      <c r="AZ207" s="0" t="s">
        <v>1463</v>
      </c>
      <c r="BA207" s="0" t="s">
        <v>476</v>
      </c>
      <c r="BB207" s="0" t="str">
        <f t="shared" si="3"/>
        <v>APINoyOyoEast</v>
      </c>
    </row>
    <row r="208">
      <c r="E208" s="0" t="s">
        <v>501</v>
      </c>
      <c r="AV208" s="0" t="s">
        <v>473</v>
      </c>
      <c r="AW208" s="0" t="s">
        <v>420</v>
      </c>
      <c r="AX208" s="0" t="s">
        <v>1098</v>
      </c>
      <c r="AY208" s="0" t="s">
        <v>1464</v>
      </c>
      <c r="AZ208" s="0" t="s">
        <v>1465</v>
      </c>
      <c r="BA208" s="0" t="s">
        <v>476</v>
      </c>
      <c r="BB208" s="0" t="str">
        <f t="shared" si="3"/>
        <v>APINoyOyoWest</v>
      </c>
    </row>
    <row r="209">
      <c r="E209" s="0" t="s">
        <v>540</v>
      </c>
      <c r="AV209" s="0" t="s">
        <v>473</v>
      </c>
      <c r="AW209" s="0" t="s">
        <v>420</v>
      </c>
      <c r="AX209" s="0" t="s">
        <v>1102</v>
      </c>
      <c r="AY209" s="0" t="s">
        <v>1466</v>
      </c>
      <c r="AZ209" s="0" t="s">
        <v>1467</v>
      </c>
      <c r="BA209" s="0" t="s">
        <v>476</v>
      </c>
      <c r="BB209" s="0" t="str">
        <f t="shared" si="3"/>
        <v>APINoySakiWest</v>
      </c>
    </row>
    <row r="210">
      <c r="E210" s="0" t="s">
        <v>783</v>
      </c>
      <c r="AV210" s="0" t="s">
        <v>473</v>
      </c>
      <c r="AW210" s="0" t="s">
        <v>420</v>
      </c>
      <c r="AX210" s="0" t="s">
        <v>1106</v>
      </c>
      <c r="AY210" s="0" t="s">
        <v>1468</v>
      </c>
      <c r="AZ210" s="0" t="s">
        <v>1469</v>
      </c>
      <c r="BA210" s="0" t="s">
        <v>476</v>
      </c>
      <c r="BB210" s="0" t="str">
        <f t="shared" si="3"/>
        <v>APINoySurulere</v>
      </c>
    </row>
    <row r="211">
      <c r="E211" s="0" t="s">
        <v>813</v>
      </c>
      <c r="AV211" s="0" t="s">
        <v>473</v>
      </c>
      <c r="AW211" s="0" t="s">
        <v>421</v>
      </c>
      <c r="AX211" s="0" t="s">
        <v>467</v>
      </c>
      <c r="AY211" s="0" t="s">
        <v>1470</v>
      </c>
      <c r="AZ211" s="0" t="s">
        <v>1471</v>
      </c>
      <c r="BA211" s="0" t="s">
        <v>476</v>
      </c>
      <c r="BB211" s="0" t="str">
        <f t="shared" si="3"/>
        <v>APINplBarkinLadi</v>
      </c>
    </row>
    <row r="212">
      <c r="E212" s="0" t="s">
        <v>842</v>
      </c>
      <c r="AV212" s="0" t="s">
        <v>473</v>
      </c>
      <c r="AW212" s="0" t="s">
        <v>421</v>
      </c>
      <c r="AX212" s="0" t="s">
        <v>509</v>
      </c>
      <c r="AY212" s="0" t="s">
        <v>1472</v>
      </c>
      <c r="AZ212" s="0" t="s">
        <v>1473</v>
      </c>
      <c r="BA212" s="0" t="s">
        <v>476</v>
      </c>
      <c r="BB212" s="0" t="str">
        <f t="shared" si="3"/>
        <v>APINplBassa</v>
      </c>
    </row>
    <row r="213">
      <c r="E213" s="0" t="s">
        <v>870</v>
      </c>
      <c r="AV213" s="0" t="s">
        <v>473</v>
      </c>
      <c r="AW213" s="0" t="s">
        <v>421</v>
      </c>
      <c r="AX213" s="0" t="s">
        <v>548</v>
      </c>
      <c r="AY213" s="0" t="s">
        <v>1474</v>
      </c>
      <c r="AZ213" s="0" t="s">
        <v>1475</v>
      </c>
      <c r="BA213" s="0" t="s">
        <v>476</v>
      </c>
      <c r="BB213" s="0" t="str">
        <f t="shared" si="3"/>
        <v>APINplJosEast</v>
      </c>
    </row>
    <row r="214">
      <c r="E214" s="0" t="s">
        <v>844</v>
      </c>
      <c r="AV214" s="0" t="s">
        <v>473</v>
      </c>
      <c r="AW214" s="0" t="s">
        <v>421</v>
      </c>
      <c r="AX214" s="0" t="s">
        <v>548</v>
      </c>
      <c r="AY214" s="0" t="s">
        <v>1476</v>
      </c>
      <c r="AZ214" s="0" t="s">
        <v>1477</v>
      </c>
      <c r="BA214" s="0" t="s">
        <v>476</v>
      </c>
      <c r="BB214" s="0" t="str">
        <f t="shared" si="3"/>
        <v>APINplJosEast</v>
      </c>
    </row>
    <row r="215">
      <c r="E215" s="0" t="s">
        <v>872</v>
      </c>
      <c r="AV215" s="0" t="s">
        <v>473</v>
      </c>
      <c r="AW215" s="0" t="s">
        <v>421</v>
      </c>
      <c r="AX215" s="0" t="s">
        <v>587</v>
      </c>
      <c r="AY215" s="0" t="s">
        <v>1478</v>
      </c>
      <c r="AZ215" s="0" t="s">
        <v>1479</v>
      </c>
      <c r="BA215" s="0" t="s">
        <v>476</v>
      </c>
      <c r="BB215" s="0" t="str">
        <f t="shared" si="3"/>
        <v>APINplJosNorth</v>
      </c>
    </row>
    <row r="216">
      <c r="E216" s="0" t="s">
        <v>897</v>
      </c>
      <c r="AV216" s="0" t="s">
        <v>473</v>
      </c>
      <c r="AW216" s="0" t="s">
        <v>421</v>
      </c>
      <c r="AX216" s="0" t="s">
        <v>587</v>
      </c>
      <c r="AY216" s="0" t="s">
        <v>1480</v>
      </c>
      <c r="AZ216" s="0" t="s">
        <v>1481</v>
      </c>
      <c r="BA216" s="0" t="s">
        <v>476</v>
      </c>
      <c r="BB216" s="0" t="str">
        <f t="shared" si="3"/>
        <v>APINplJosNorth</v>
      </c>
    </row>
    <row r="217">
      <c r="E217" s="0" t="s">
        <v>922</v>
      </c>
      <c r="AV217" s="0" t="s">
        <v>473</v>
      </c>
      <c r="AW217" s="0" t="s">
        <v>421</v>
      </c>
      <c r="AX217" s="0" t="s">
        <v>587</v>
      </c>
      <c r="AY217" s="0" t="s">
        <v>1482</v>
      </c>
      <c r="AZ217" s="0" t="s">
        <v>1483</v>
      </c>
      <c r="BA217" s="0" t="s">
        <v>476</v>
      </c>
      <c r="BB217" s="0" t="str">
        <f t="shared" si="3"/>
        <v>APINplJosNorth</v>
      </c>
    </row>
    <row r="218">
      <c r="E218" s="0" t="s">
        <v>946</v>
      </c>
      <c r="AV218" s="0" t="s">
        <v>473</v>
      </c>
      <c r="AW218" s="0" t="s">
        <v>421</v>
      </c>
      <c r="AX218" s="0" t="s">
        <v>587</v>
      </c>
      <c r="AY218" s="0" t="s">
        <v>1484</v>
      </c>
      <c r="AZ218" s="0" t="s">
        <v>1485</v>
      </c>
      <c r="BA218" s="0" t="s">
        <v>476</v>
      </c>
      <c r="BB218" s="0" t="str">
        <f t="shared" si="3"/>
        <v>APINplJosNorth</v>
      </c>
    </row>
    <row r="219">
      <c r="E219" s="0" t="s">
        <v>1048</v>
      </c>
      <c r="AV219" s="0" t="s">
        <v>473</v>
      </c>
      <c r="AW219" s="0" t="s">
        <v>421</v>
      </c>
      <c r="AX219" s="0" t="s">
        <v>587</v>
      </c>
      <c r="AY219" s="0" t="s">
        <v>1486</v>
      </c>
      <c r="AZ219" s="0" t="s">
        <v>1487</v>
      </c>
      <c r="BA219" s="0" t="s">
        <v>476</v>
      </c>
      <c r="BB219" s="0" t="str">
        <f t="shared" si="3"/>
        <v>APINplJosNorth</v>
      </c>
    </row>
    <row r="220">
      <c r="E220" s="0" t="s">
        <v>1059</v>
      </c>
      <c r="AV220" s="0" t="s">
        <v>473</v>
      </c>
      <c r="AW220" s="0" t="s">
        <v>421</v>
      </c>
      <c r="AX220" s="0" t="s">
        <v>587</v>
      </c>
      <c r="AY220" s="0" t="s">
        <v>1488</v>
      </c>
      <c r="AZ220" s="0" t="s">
        <v>1489</v>
      </c>
      <c r="BA220" s="0" t="s">
        <v>476</v>
      </c>
      <c r="BB220" s="0" t="str">
        <f t="shared" si="3"/>
        <v>APINplJosNorth</v>
      </c>
    </row>
    <row r="221">
      <c r="E221" s="0" t="s">
        <v>1069</v>
      </c>
      <c r="AV221" s="0" t="s">
        <v>473</v>
      </c>
      <c r="AW221" s="0" t="s">
        <v>421</v>
      </c>
      <c r="AX221" s="0" t="s">
        <v>587</v>
      </c>
      <c r="AY221" s="0" t="s">
        <v>1490</v>
      </c>
      <c r="AZ221" s="0" t="s">
        <v>1491</v>
      </c>
      <c r="BA221" s="0" t="s">
        <v>476</v>
      </c>
      <c r="BB221" s="0" t="str">
        <f t="shared" si="3"/>
        <v>APINplJosNorth</v>
      </c>
    </row>
    <row r="222">
      <c r="E222" s="0" t="s">
        <v>1077</v>
      </c>
      <c r="AV222" s="0" t="s">
        <v>473</v>
      </c>
      <c r="AW222" s="0" t="s">
        <v>421</v>
      </c>
      <c r="AX222" s="0" t="s">
        <v>626</v>
      </c>
      <c r="AY222" s="0" t="s">
        <v>1492</v>
      </c>
      <c r="AZ222" s="0" t="s">
        <v>1493</v>
      </c>
      <c r="BA222" s="0" t="s">
        <v>476</v>
      </c>
      <c r="BB222" s="0" t="str">
        <f t="shared" si="3"/>
        <v>APINplJosSouth</v>
      </c>
    </row>
    <row r="223">
      <c r="E223" s="0" t="s">
        <v>1085</v>
      </c>
      <c r="AV223" s="0" t="s">
        <v>473</v>
      </c>
      <c r="AW223" s="0" t="s">
        <v>421</v>
      </c>
      <c r="AX223" s="0" t="s">
        <v>626</v>
      </c>
      <c r="AY223" s="0" t="s">
        <v>1494</v>
      </c>
      <c r="AZ223" s="0" t="s">
        <v>1495</v>
      </c>
      <c r="BA223" s="0" t="s">
        <v>476</v>
      </c>
      <c r="BB223" s="0" t="str">
        <f t="shared" si="3"/>
        <v>APINplJosSouth</v>
      </c>
    </row>
    <row r="224">
      <c r="E224" s="0" t="s">
        <v>1092</v>
      </c>
      <c r="AV224" s="0" t="s">
        <v>473</v>
      </c>
      <c r="AW224" s="0" t="s">
        <v>421</v>
      </c>
      <c r="AX224" s="0" t="s">
        <v>626</v>
      </c>
      <c r="AY224" s="0" t="s">
        <v>1496</v>
      </c>
      <c r="AZ224" s="0" t="s">
        <v>1497</v>
      </c>
      <c r="BA224" s="0" t="s">
        <v>476</v>
      </c>
      <c r="BB224" s="0" t="str">
        <f t="shared" si="3"/>
        <v>APINplJosSouth</v>
      </c>
    </row>
    <row r="225">
      <c r="E225" s="0" t="s">
        <v>786</v>
      </c>
      <c r="AV225" s="0" t="s">
        <v>473</v>
      </c>
      <c r="AW225" s="0" t="s">
        <v>421</v>
      </c>
      <c r="AX225" s="0" t="s">
        <v>626</v>
      </c>
      <c r="AY225" s="0" t="s">
        <v>1498</v>
      </c>
      <c r="AZ225" s="0" t="s">
        <v>1499</v>
      </c>
      <c r="BA225" s="0" t="s">
        <v>476</v>
      </c>
      <c r="BB225" s="0" t="str">
        <f t="shared" si="3"/>
        <v>APINplJosSouth</v>
      </c>
    </row>
    <row r="226">
      <c r="E226" s="0" t="s">
        <v>816</v>
      </c>
      <c r="AV226" s="0" t="s">
        <v>473</v>
      </c>
      <c r="AW226" s="0" t="s">
        <v>421</v>
      </c>
      <c r="AX226" s="0" t="s">
        <v>664</v>
      </c>
      <c r="AY226" s="0" t="s">
        <v>1500</v>
      </c>
      <c r="AZ226" s="0" t="s">
        <v>1501</v>
      </c>
      <c r="BA226" s="0" t="s">
        <v>476</v>
      </c>
      <c r="BB226" s="0" t="str">
        <f t="shared" si="3"/>
        <v>APINplLangtangNorth</v>
      </c>
    </row>
    <row r="227">
      <c r="E227" s="0" t="s">
        <v>971</v>
      </c>
      <c r="AV227" s="0" t="s">
        <v>473</v>
      </c>
      <c r="AW227" s="0" t="s">
        <v>421</v>
      </c>
      <c r="AX227" s="0" t="s">
        <v>700</v>
      </c>
      <c r="AY227" s="0" t="s">
        <v>1502</v>
      </c>
      <c r="AZ227" s="0" t="s">
        <v>1503</v>
      </c>
      <c r="BA227" s="0" t="s">
        <v>476</v>
      </c>
      <c r="BB227" s="0" t="str">
        <f t="shared" si="3"/>
        <v>APINplMangu</v>
      </c>
    </row>
    <row r="228">
      <c r="E228" s="0" t="s">
        <v>990</v>
      </c>
      <c r="AV228" s="0" t="s">
        <v>473</v>
      </c>
      <c r="AW228" s="0" t="s">
        <v>421</v>
      </c>
      <c r="AX228" s="0" t="s">
        <v>700</v>
      </c>
      <c r="AY228" s="0" t="s">
        <v>1504</v>
      </c>
      <c r="AZ228" s="0" t="s">
        <v>1505</v>
      </c>
      <c r="BA228" s="0" t="s">
        <v>476</v>
      </c>
      <c r="BB228" s="0" t="str">
        <f t="shared" si="3"/>
        <v>APINplMangu</v>
      </c>
    </row>
    <row r="229">
      <c r="E229" s="0" t="s">
        <v>1006</v>
      </c>
      <c r="AV229" s="0" t="s">
        <v>473</v>
      </c>
      <c r="AW229" s="0" t="s">
        <v>421</v>
      </c>
      <c r="AX229" s="0" t="s">
        <v>700</v>
      </c>
      <c r="AY229" s="0" t="s">
        <v>1506</v>
      </c>
      <c r="AZ229" s="0" t="s">
        <v>1507</v>
      </c>
      <c r="BA229" s="0" t="s">
        <v>476</v>
      </c>
      <c r="BB229" s="0" t="str">
        <f t="shared" si="3"/>
        <v>APINplMangu</v>
      </c>
    </row>
    <row r="230">
      <c r="E230" s="0" t="s">
        <v>614</v>
      </c>
      <c r="AV230" s="0" t="s">
        <v>473</v>
      </c>
      <c r="AW230" s="0" t="s">
        <v>421</v>
      </c>
      <c r="AX230" s="0" t="s">
        <v>734</v>
      </c>
      <c r="AY230" s="0" t="s">
        <v>1508</v>
      </c>
      <c r="AZ230" s="0" t="s">
        <v>1509</v>
      </c>
      <c r="BA230" s="0" t="s">
        <v>476</v>
      </c>
      <c r="BB230" s="0" t="str">
        <f t="shared" si="3"/>
        <v>APINplPankshin</v>
      </c>
    </row>
    <row r="231">
      <c r="E231" s="0" t="s">
        <v>1022</v>
      </c>
      <c r="AV231" s="0" t="s">
        <v>473</v>
      </c>
      <c r="AW231" s="0" t="s">
        <v>421</v>
      </c>
      <c r="AX231" s="0" t="s">
        <v>734</v>
      </c>
      <c r="AY231" s="0" t="s">
        <v>1510</v>
      </c>
      <c r="AZ231" s="0" t="s">
        <v>1511</v>
      </c>
      <c r="BA231" s="0" t="s">
        <v>476</v>
      </c>
      <c r="BB231" s="0" t="str">
        <f t="shared" si="3"/>
        <v>APINplPankshin</v>
      </c>
    </row>
    <row r="232">
      <c r="E232" s="0" t="s">
        <v>1037</v>
      </c>
      <c r="AV232" s="0" t="s">
        <v>473</v>
      </c>
      <c r="AW232" s="0" t="s">
        <v>421</v>
      </c>
      <c r="AX232" s="0" t="s">
        <v>1512</v>
      </c>
      <c r="AY232" s="0" t="s">
        <v>1513</v>
      </c>
      <c r="AZ232" s="0" t="s">
        <v>1514</v>
      </c>
      <c r="BA232" s="0" t="s">
        <v>476</v>
      </c>
      <c r="BB232" s="0" t="str">
        <f t="shared" si="3"/>
        <v>APINplQuaanPan</v>
      </c>
    </row>
    <row r="233">
      <c r="E233" s="0" t="s">
        <v>456</v>
      </c>
      <c r="AV233" s="0" t="s">
        <v>473</v>
      </c>
      <c r="AW233" s="0" t="s">
        <v>421</v>
      </c>
      <c r="AX233" s="0" t="s">
        <v>797</v>
      </c>
      <c r="AY233" s="0" t="s">
        <v>1515</v>
      </c>
      <c r="AZ233" s="0" t="s">
        <v>1516</v>
      </c>
      <c r="BA233" s="0" t="s">
        <v>476</v>
      </c>
      <c r="BB233" s="0" t="str">
        <f t="shared" si="3"/>
        <v>APINplShendam</v>
      </c>
    </row>
    <row r="234">
      <c r="E234" s="0" t="s">
        <v>498</v>
      </c>
      <c r="AV234" s="0" t="s">
        <v>473</v>
      </c>
      <c r="AW234" s="0" t="s">
        <v>421</v>
      </c>
      <c r="AX234" s="0" t="s">
        <v>797</v>
      </c>
      <c r="AY234" s="0" t="s">
        <v>1517</v>
      </c>
      <c r="AZ234" s="0" t="s">
        <v>1518</v>
      </c>
      <c r="BA234" s="0" t="s">
        <v>476</v>
      </c>
      <c r="BB234" s="0" t="str">
        <f t="shared" si="3"/>
        <v>APINplShendam</v>
      </c>
    </row>
    <row r="235">
      <c r="E235" s="0" t="s">
        <v>537</v>
      </c>
      <c r="AV235" s="0" t="s">
        <v>473</v>
      </c>
      <c r="AW235" s="0" t="s">
        <v>421</v>
      </c>
      <c r="AX235" s="0" t="s">
        <v>797</v>
      </c>
      <c r="AY235" s="0" t="s">
        <v>1519</v>
      </c>
      <c r="AZ235" s="0" t="s">
        <v>1520</v>
      </c>
      <c r="BA235" s="0" t="s">
        <v>476</v>
      </c>
      <c r="BB235" s="0" t="str">
        <f t="shared" si="3"/>
        <v>APINplShendam</v>
      </c>
    </row>
    <row r="236">
      <c r="E236" s="0" t="s">
        <v>579</v>
      </c>
      <c r="AV236" s="0" t="s">
        <v>473</v>
      </c>
      <c r="AW236" s="0" t="s">
        <v>400</v>
      </c>
      <c r="AX236" s="0" t="s">
        <v>447</v>
      </c>
      <c r="AY236" s="0" t="s">
        <v>1521</v>
      </c>
      <c r="AZ236" s="0" t="s">
        <v>1522</v>
      </c>
      <c r="BA236" s="0" t="s">
        <v>555</v>
      </c>
      <c r="BB236" s="0" t="str">
        <f t="shared" si="3"/>
        <v>CCCRNebAbakaliki</v>
      </c>
    </row>
    <row r="237">
      <c r="E237" s="0" t="s">
        <v>1304</v>
      </c>
      <c r="AV237" s="0" t="s">
        <v>473</v>
      </c>
      <c r="AW237" s="0" t="s">
        <v>400</v>
      </c>
      <c r="AX237" s="0" t="s">
        <v>447</v>
      </c>
      <c r="AY237" s="0" t="s">
        <v>1523</v>
      </c>
      <c r="AZ237" s="0" t="s">
        <v>1524</v>
      </c>
      <c r="BA237" s="0" t="s">
        <v>555</v>
      </c>
      <c r="BB237" s="0" t="str">
        <f t="shared" si="3"/>
        <v>CCCRNebAbakaliki</v>
      </c>
    </row>
    <row r="238">
      <c r="E238" s="0" t="s">
        <v>679</v>
      </c>
      <c r="AV238" s="0" t="s">
        <v>473</v>
      </c>
      <c r="AW238" s="0" t="s">
        <v>400</v>
      </c>
      <c r="AX238" s="0" t="s">
        <v>447</v>
      </c>
      <c r="AY238" s="0" t="s">
        <v>1525</v>
      </c>
      <c r="AZ238" s="0" t="s">
        <v>1526</v>
      </c>
      <c r="BA238" s="0" t="s">
        <v>555</v>
      </c>
      <c r="BB238" s="0" t="str">
        <f t="shared" si="3"/>
        <v>CCCRNebAbakaliki</v>
      </c>
    </row>
    <row r="239">
      <c r="E239" s="0" t="s">
        <v>715</v>
      </c>
      <c r="AV239" s="0" t="s">
        <v>473</v>
      </c>
      <c r="AW239" s="0" t="s">
        <v>400</v>
      </c>
      <c r="AX239" s="0" t="s">
        <v>447</v>
      </c>
      <c r="AY239" s="0" t="s">
        <v>1527</v>
      </c>
      <c r="AZ239" s="0" t="s">
        <v>1528</v>
      </c>
      <c r="BA239" s="0" t="s">
        <v>555</v>
      </c>
      <c r="BB239" s="0" t="str">
        <f t="shared" si="3"/>
        <v>CCCRNebAbakaliki</v>
      </c>
    </row>
    <row r="240">
      <c r="E240" s="0" t="s">
        <v>810</v>
      </c>
      <c r="AV240" s="0" t="s">
        <v>473</v>
      </c>
      <c r="AW240" s="0" t="s">
        <v>400</v>
      </c>
      <c r="AX240" s="0" t="s">
        <v>447</v>
      </c>
      <c r="AY240" s="0" t="s">
        <v>1529</v>
      </c>
      <c r="AZ240" s="0" t="s">
        <v>1530</v>
      </c>
      <c r="BA240" s="0" t="s">
        <v>555</v>
      </c>
      <c r="BB240" s="0" t="str">
        <f t="shared" si="3"/>
        <v>CCCRNebAbakaliki</v>
      </c>
    </row>
    <row r="241">
      <c r="E241" s="0" t="s">
        <v>1057</v>
      </c>
      <c r="AV241" s="0" t="s">
        <v>473</v>
      </c>
      <c r="AW241" s="0" t="s">
        <v>400</v>
      </c>
      <c r="AX241" s="0" t="s">
        <v>447</v>
      </c>
      <c r="AY241" s="0" t="s">
        <v>1531</v>
      </c>
      <c r="AZ241" s="0" t="s">
        <v>1532</v>
      </c>
      <c r="BA241" s="0" t="s">
        <v>555</v>
      </c>
      <c r="BB241" s="0" t="str">
        <f t="shared" si="3"/>
        <v>CCCRNebAbakaliki</v>
      </c>
    </row>
    <row r="242">
      <c r="E242" s="0" t="s">
        <v>942</v>
      </c>
      <c r="AV242" s="0" t="s">
        <v>473</v>
      </c>
      <c r="AW242" s="0" t="s">
        <v>400</v>
      </c>
      <c r="AX242" s="0" t="s">
        <v>447</v>
      </c>
      <c r="AY242" s="0" t="s">
        <v>1533</v>
      </c>
      <c r="AZ242" s="0" t="s">
        <v>1534</v>
      </c>
      <c r="BA242" s="0" t="s">
        <v>555</v>
      </c>
      <c r="BB242" s="0" t="str">
        <f t="shared" si="3"/>
        <v>CCCRNebAbakaliki</v>
      </c>
    </row>
    <row r="243">
      <c r="E243" s="0" t="s">
        <v>488</v>
      </c>
      <c r="AV243" s="0" t="s">
        <v>473</v>
      </c>
      <c r="AW243" s="0" t="s">
        <v>400</v>
      </c>
      <c r="AX243" s="0" t="s">
        <v>489</v>
      </c>
      <c r="AY243" s="0" t="s">
        <v>1535</v>
      </c>
      <c r="AZ243" s="0" t="s">
        <v>1536</v>
      </c>
      <c r="BA243" s="0" t="s">
        <v>555</v>
      </c>
      <c r="BB243" s="0" t="str">
        <f t="shared" si="3"/>
        <v>CCCRNebAfikpoNorth</v>
      </c>
    </row>
    <row r="244">
      <c r="E244" s="0" t="s">
        <v>605</v>
      </c>
      <c r="AV244" s="0" t="s">
        <v>473</v>
      </c>
      <c r="AW244" s="0" t="s">
        <v>400</v>
      </c>
      <c r="AX244" s="0" t="s">
        <v>489</v>
      </c>
      <c r="AY244" s="0" t="s">
        <v>1537</v>
      </c>
      <c r="AZ244" s="0" t="s">
        <v>1538</v>
      </c>
      <c r="BA244" s="0" t="s">
        <v>555</v>
      </c>
      <c r="BB244" s="0" t="str">
        <f t="shared" si="3"/>
        <v>CCCRNebAfikpoNorth</v>
      </c>
    </row>
    <row r="245">
      <c r="E245" s="0" t="s">
        <v>644</v>
      </c>
      <c r="AV245" s="0" t="s">
        <v>473</v>
      </c>
      <c r="AW245" s="0" t="s">
        <v>400</v>
      </c>
      <c r="AX245" s="0" t="s">
        <v>489</v>
      </c>
      <c r="AY245" s="0" t="s">
        <v>1539</v>
      </c>
      <c r="AZ245" s="0" t="s">
        <v>1540</v>
      </c>
      <c r="BA245" s="0" t="s">
        <v>555</v>
      </c>
      <c r="BB245" s="0" t="str">
        <f t="shared" si="3"/>
        <v>CCCRNebAfikpoNorth</v>
      </c>
    </row>
    <row r="246">
      <c r="E246" s="0" t="s">
        <v>682</v>
      </c>
      <c r="AV246" s="0" t="s">
        <v>473</v>
      </c>
      <c r="AW246" s="0" t="s">
        <v>400</v>
      </c>
      <c r="AX246" s="0" t="s">
        <v>489</v>
      </c>
      <c r="AY246" s="0" t="s">
        <v>1541</v>
      </c>
      <c r="AZ246" s="0" t="s">
        <v>1542</v>
      </c>
      <c r="BA246" s="0" t="s">
        <v>555</v>
      </c>
      <c r="BB246" s="0" t="str">
        <f t="shared" si="3"/>
        <v>CCCRNebAfikpoNorth</v>
      </c>
    </row>
    <row r="247">
      <c r="E247" s="0" t="s">
        <v>449</v>
      </c>
      <c r="AV247" s="0" t="s">
        <v>473</v>
      </c>
      <c r="AW247" s="0" t="s">
        <v>400</v>
      </c>
      <c r="AX247" s="0" t="s">
        <v>489</v>
      </c>
      <c r="AY247" s="0" t="s">
        <v>1543</v>
      </c>
      <c r="AZ247" s="0" t="s">
        <v>1544</v>
      </c>
      <c r="BA247" s="0" t="s">
        <v>555</v>
      </c>
      <c r="BB247" s="0" t="str">
        <f t="shared" si="3"/>
        <v>CCCRNebAfikpoNorth</v>
      </c>
    </row>
    <row r="248">
      <c r="E248" s="0" t="s">
        <v>491</v>
      </c>
      <c r="AV248" s="0" t="s">
        <v>473</v>
      </c>
      <c r="AW248" s="0" t="s">
        <v>400</v>
      </c>
      <c r="AX248" s="0" t="s">
        <v>489</v>
      </c>
      <c r="AY248" s="0" t="s">
        <v>1545</v>
      </c>
      <c r="AZ248" s="0" t="s">
        <v>1546</v>
      </c>
      <c r="BA248" s="0" t="s">
        <v>555</v>
      </c>
      <c r="BB248" s="0" t="str">
        <f t="shared" si="3"/>
        <v>CCCRNebAfikpoNorth</v>
      </c>
    </row>
    <row r="249">
      <c r="E249" s="0" t="s">
        <v>530</v>
      </c>
      <c r="AV249" s="0" t="s">
        <v>473</v>
      </c>
      <c r="AW249" s="0" t="s">
        <v>400</v>
      </c>
      <c r="AX249" s="0" t="s">
        <v>489</v>
      </c>
      <c r="AY249" s="0" t="s">
        <v>1547</v>
      </c>
      <c r="AZ249" s="0" t="s">
        <v>1548</v>
      </c>
      <c r="BA249" s="0" t="s">
        <v>555</v>
      </c>
      <c r="BB249" s="0" t="str">
        <f t="shared" si="3"/>
        <v>CCCRNebAfikpoNorth</v>
      </c>
    </row>
    <row r="250">
      <c r="E250" s="0" t="s">
        <v>570</v>
      </c>
      <c r="AV250" s="0" t="s">
        <v>473</v>
      </c>
      <c r="AW250" s="0" t="s">
        <v>400</v>
      </c>
      <c r="AX250" s="0" t="s">
        <v>489</v>
      </c>
      <c r="AY250" s="0" t="s">
        <v>1549</v>
      </c>
      <c r="AZ250" s="0" t="s">
        <v>1550</v>
      </c>
      <c r="BA250" s="0" t="s">
        <v>555</v>
      </c>
      <c r="BB250" s="0" t="str">
        <f t="shared" si="3"/>
        <v>CCCRNebAfikpoNorth</v>
      </c>
    </row>
    <row r="251">
      <c r="E251" s="0" t="s">
        <v>608</v>
      </c>
      <c r="AV251" s="0" t="s">
        <v>473</v>
      </c>
      <c r="AW251" s="0" t="s">
        <v>400</v>
      </c>
      <c r="AX251" s="0" t="s">
        <v>528</v>
      </c>
      <c r="AY251" s="0" t="s">
        <v>1551</v>
      </c>
      <c r="AZ251" s="0" t="s">
        <v>1552</v>
      </c>
      <c r="BA251" s="0" t="s">
        <v>555</v>
      </c>
      <c r="BB251" s="0" t="str">
        <f t="shared" si="3"/>
        <v>CCCRNebAfikpoSouth</v>
      </c>
    </row>
    <row r="252">
      <c r="E252" s="0" t="s">
        <v>647</v>
      </c>
      <c r="AV252" s="0" t="s">
        <v>473</v>
      </c>
      <c r="AW252" s="0" t="s">
        <v>400</v>
      </c>
      <c r="AX252" s="0" t="s">
        <v>528</v>
      </c>
      <c r="AY252" s="0" t="s">
        <v>1553</v>
      </c>
      <c r="AZ252" s="0" t="s">
        <v>1554</v>
      </c>
      <c r="BA252" s="0" t="s">
        <v>555</v>
      </c>
      <c r="BB252" s="0" t="str">
        <f t="shared" si="3"/>
        <v>CCCRNebAfikpoSouth</v>
      </c>
    </row>
    <row r="253">
      <c r="E253" s="0" t="s">
        <v>532</v>
      </c>
      <c r="AV253" s="0" t="s">
        <v>473</v>
      </c>
      <c r="AW253" s="0" t="s">
        <v>400</v>
      </c>
      <c r="AX253" s="0" t="s">
        <v>568</v>
      </c>
      <c r="AY253" s="0" t="s">
        <v>1555</v>
      </c>
      <c r="AZ253" s="0" t="s">
        <v>1556</v>
      </c>
      <c r="BA253" s="0" t="s">
        <v>555</v>
      </c>
      <c r="BB253" s="0" t="str">
        <f t="shared" si="3"/>
        <v>CCCRNebEbonyi</v>
      </c>
    </row>
    <row r="254">
      <c r="E254" s="0" t="s">
        <v>451</v>
      </c>
      <c r="AV254" s="0" t="s">
        <v>473</v>
      </c>
      <c r="AW254" s="0" t="s">
        <v>400</v>
      </c>
      <c r="AX254" s="0" t="s">
        <v>568</v>
      </c>
      <c r="AY254" s="0" t="s">
        <v>1557</v>
      </c>
      <c r="AZ254" s="0" t="s">
        <v>1558</v>
      </c>
      <c r="BA254" s="0" t="s">
        <v>555</v>
      </c>
      <c r="BB254" s="0" t="str">
        <f t="shared" si="3"/>
        <v>CCCRNebEbonyi</v>
      </c>
    </row>
    <row r="255">
      <c r="E255" s="0" t="s">
        <v>493</v>
      </c>
      <c r="AV255" s="0" t="s">
        <v>473</v>
      </c>
      <c r="AW255" s="0" t="s">
        <v>400</v>
      </c>
      <c r="AX255" s="0" t="s">
        <v>568</v>
      </c>
      <c r="AY255" s="0" t="s">
        <v>1559</v>
      </c>
      <c r="AZ255" s="0" t="s">
        <v>1560</v>
      </c>
      <c r="BA255" s="0" t="s">
        <v>555</v>
      </c>
      <c r="BB255" s="0" t="str">
        <f t="shared" si="3"/>
        <v>CCCRNebEbonyi</v>
      </c>
    </row>
    <row r="256">
      <c r="E256" s="0" t="s">
        <v>572</v>
      </c>
      <c r="AV256" s="0" t="s">
        <v>473</v>
      </c>
      <c r="AW256" s="0" t="s">
        <v>400</v>
      </c>
      <c r="AX256" s="0" t="s">
        <v>568</v>
      </c>
      <c r="AY256" s="0" t="s">
        <v>1561</v>
      </c>
      <c r="AZ256" s="0" t="s">
        <v>1562</v>
      </c>
      <c r="BA256" s="0" t="s">
        <v>555</v>
      </c>
      <c r="BB256" s="0" t="str">
        <f t="shared" si="3"/>
        <v>CCCRNebEbonyi</v>
      </c>
    </row>
    <row r="257">
      <c r="E257" s="0" t="s">
        <v>610</v>
      </c>
      <c r="AV257" s="0" t="s">
        <v>473</v>
      </c>
      <c r="AW257" s="0" t="s">
        <v>400</v>
      </c>
      <c r="AX257" s="0" t="s">
        <v>568</v>
      </c>
      <c r="AY257" s="0" t="s">
        <v>1563</v>
      </c>
      <c r="AZ257" s="0" t="s">
        <v>1564</v>
      </c>
      <c r="BA257" s="0" t="s">
        <v>555</v>
      </c>
      <c r="BB257" s="0" t="str">
        <f t="shared" si="3"/>
        <v>CCCRNebEbonyi</v>
      </c>
    </row>
    <row r="258">
      <c r="E258" s="0" t="s">
        <v>949</v>
      </c>
      <c r="AV258" s="0" t="s">
        <v>473</v>
      </c>
      <c r="AW258" s="0" t="s">
        <v>400</v>
      </c>
      <c r="AX258" s="0" t="s">
        <v>568</v>
      </c>
      <c r="AY258" s="0" t="s">
        <v>1565</v>
      </c>
      <c r="AZ258" s="0" t="s">
        <v>1566</v>
      </c>
      <c r="BA258" s="0" t="s">
        <v>555</v>
      </c>
      <c r="BB258" s="0" t="str">
        <f t="shared" si="3"/>
        <v>CCCRNebEbonyi</v>
      </c>
    </row>
    <row r="259">
      <c r="E259" s="0" t="s">
        <v>498</v>
      </c>
      <c r="AV259" s="0" t="s">
        <v>473</v>
      </c>
      <c r="AW259" s="0" t="s">
        <v>400</v>
      </c>
      <c r="AX259" s="0" t="s">
        <v>606</v>
      </c>
      <c r="AY259" s="0" t="s">
        <v>1567</v>
      </c>
      <c r="AZ259" s="0" t="s">
        <v>1568</v>
      </c>
      <c r="BA259" s="0" t="s">
        <v>555</v>
      </c>
      <c r="BB259" s="0" t="str">
        <f ref="BB259:BB322" t="shared" si="4">SUBSTITUTE(SUBSTITUTE(BA259&amp;AX259," ",""),"-","")</f>
        <v>CCCRNebIvo</v>
      </c>
    </row>
    <row r="260">
      <c r="E260" s="0" t="s">
        <v>537</v>
      </c>
      <c r="AV260" s="0" t="s">
        <v>473</v>
      </c>
      <c r="AW260" s="0" t="s">
        <v>400</v>
      </c>
      <c r="AX260" s="0" t="s">
        <v>606</v>
      </c>
      <c r="AY260" s="0" t="s">
        <v>1569</v>
      </c>
      <c r="AZ260" s="0" t="s">
        <v>1570</v>
      </c>
      <c r="BA260" s="0" t="s">
        <v>555</v>
      </c>
      <c r="BB260" s="0" t="str">
        <f t="shared" si="4"/>
        <v>CCCRNebIvo</v>
      </c>
    </row>
    <row r="261">
      <c r="E261" s="0" t="s">
        <v>577</v>
      </c>
      <c r="AV261" s="0" t="s">
        <v>473</v>
      </c>
      <c r="AW261" s="0" t="s">
        <v>400</v>
      </c>
      <c r="AX261" s="0" t="s">
        <v>606</v>
      </c>
      <c r="AY261" s="0" t="s">
        <v>1571</v>
      </c>
      <c r="AZ261" s="0" t="s">
        <v>1572</v>
      </c>
      <c r="BA261" s="0" t="s">
        <v>555</v>
      </c>
      <c r="BB261" s="0" t="str">
        <f t="shared" si="4"/>
        <v>CCCRNebIvo</v>
      </c>
    </row>
    <row r="262">
      <c r="E262" s="0" t="s">
        <v>615</v>
      </c>
      <c r="AV262" s="0" t="s">
        <v>473</v>
      </c>
      <c r="AW262" s="0" t="s">
        <v>400</v>
      </c>
      <c r="AX262" s="0" t="s">
        <v>606</v>
      </c>
      <c r="AY262" s="0" t="s">
        <v>1573</v>
      </c>
      <c r="AZ262" s="0" t="s">
        <v>1574</v>
      </c>
      <c r="BA262" s="0" t="s">
        <v>555</v>
      </c>
      <c r="BB262" s="0" t="str">
        <f t="shared" si="4"/>
        <v>CCCRNebIvo</v>
      </c>
    </row>
    <row r="263">
      <c r="E263" s="0" t="s">
        <v>457</v>
      </c>
      <c r="AV263" s="0" t="s">
        <v>473</v>
      </c>
      <c r="AW263" s="0" t="s">
        <v>400</v>
      </c>
      <c r="AX263" s="0" t="s">
        <v>606</v>
      </c>
      <c r="AY263" s="0" t="s">
        <v>1575</v>
      </c>
      <c r="AZ263" s="0" t="s">
        <v>1576</v>
      </c>
      <c r="BA263" s="0" t="s">
        <v>555</v>
      </c>
      <c r="BB263" s="0" t="str">
        <f t="shared" si="4"/>
        <v>CCCRNebIvo</v>
      </c>
    </row>
    <row r="264">
      <c r="E264" s="0" t="s">
        <v>499</v>
      </c>
      <c r="AV264" s="0" t="s">
        <v>473</v>
      </c>
      <c r="AW264" s="0" t="s">
        <v>400</v>
      </c>
      <c r="AX264" s="0" t="s">
        <v>606</v>
      </c>
      <c r="AY264" s="0" t="s">
        <v>1577</v>
      </c>
      <c r="AZ264" s="0" t="s">
        <v>1578</v>
      </c>
      <c r="BA264" s="0" t="s">
        <v>555</v>
      </c>
      <c r="BB264" s="0" t="str">
        <f t="shared" si="4"/>
        <v>CCCRNebIvo</v>
      </c>
    </row>
    <row r="265">
      <c r="E265" s="0" t="s">
        <v>538</v>
      </c>
      <c r="AV265" s="0" t="s">
        <v>473</v>
      </c>
      <c r="AW265" s="0" t="s">
        <v>400</v>
      </c>
      <c r="AX265" s="0" t="s">
        <v>645</v>
      </c>
      <c r="AY265" s="0" t="s">
        <v>1579</v>
      </c>
      <c r="AZ265" s="0" t="s">
        <v>1580</v>
      </c>
      <c r="BA265" s="0" t="s">
        <v>555</v>
      </c>
      <c r="BB265" s="0" t="str">
        <f t="shared" si="4"/>
        <v>CCCRNebIzzi</v>
      </c>
    </row>
    <row r="266">
      <c r="E266" s="0" t="s">
        <v>504</v>
      </c>
      <c r="AV266" s="0" t="s">
        <v>473</v>
      </c>
      <c r="AW266" s="0" t="s">
        <v>400</v>
      </c>
      <c r="AX266" s="0" t="s">
        <v>645</v>
      </c>
      <c r="AY266" s="0" t="s">
        <v>1581</v>
      </c>
      <c r="AZ266" s="0" t="s">
        <v>1582</v>
      </c>
      <c r="BA266" s="0" t="s">
        <v>555</v>
      </c>
      <c r="BB266" s="0" t="str">
        <f t="shared" si="4"/>
        <v>CCCRNebIzzi</v>
      </c>
    </row>
    <row r="267">
      <c r="E267" s="0" t="s">
        <v>658</v>
      </c>
      <c r="AV267" s="0" t="s">
        <v>473</v>
      </c>
      <c r="AW267" s="0" t="s">
        <v>400</v>
      </c>
      <c r="AX267" s="0" t="s">
        <v>645</v>
      </c>
      <c r="AY267" s="0" t="s">
        <v>1583</v>
      </c>
      <c r="AZ267" s="0" t="s">
        <v>1584</v>
      </c>
      <c r="BA267" s="0" t="s">
        <v>555</v>
      </c>
      <c r="BB267" s="0" t="str">
        <f t="shared" si="4"/>
        <v>CCCRNebIzzi</v>
      </c>
    </row>
    <row r="268">
      <c r="E268" s="0" t="s">
        <v>694</v>
      </c>
      <c r="AV268" s="0" t="s">
        <v>473</v>
      </c>
      <c r="AW268" s="0" t="s">
        <v>400</v>
      </c>
      <c r="AX268" s="0" t="s">
        <v>683</v>
      </c>
      <c r="AY268" s="0" t="s">
        <v>1585</v>
      </c>
      <c r="AZ268" s="0" t="s">
        <v>1586</v>
      </c>
      <c r="BA268" s="0" t="s">
        <v>555</v>
      </c>
      <c r="BB268" s="0" t="str">
        <f t="shared" si="4"/>
        <v>CCCRNebOhaozara</v>
      </c>
    </row>
    <row r="269">
      <c r="E269" s="0" t="s">
        <v>543</v>
      </c>
      <c r="AV269" s="0" t="s">
        <v>473</v>
      </c>
      <c r="AW269" s="0" t="s">
        <v>400</v>
      </c>
      <c r="AX269" s="0" t="s">
        <v>683</v>
      </c>
      <c r="AY269" s="0" t="s">
        <v>1587</v>
      </c>
      <c r="AZ269" s="0" t="s">
        <v>1588</v>
      </c>
      <c r="BA269" s="0" t="s">
        <v>555</v>
      </c>
      <c r="BB269" s="0" t="str">
        <f t="shared" si="4"/>
        <v>CCCRNebOhaozara</v>
      </c>
    </row>
    <row r="270">
      <c r="E270" s="0" t="s">
        <v>729</v>
      </c>
      <c r="AV270" s="0" t="s">
        <v>473</v>
      </c>
      <c r="AW270" s="0" t="s">
        <v>400</v>
      </c>
      <c r="AX270" s="0" t="s">
        <v>683</v>
      </c>
      <c r="AY270" s="0" t="s">
        <v>1589</v>
      </c>
      <c r="AZ270" s="0" t="s">
        <v>1590</v>
      </c>
      <c r="BA270" s="0" t="s">
        <v>555</v>
      </c>
      <c r="BB270" s="0" t="str">
        <f t="shared" si="4"/>
        <v>CCCRNebOhaozara</v>
      </c>
    </row>
    <row r="271">
      <c r="E271" s="0" t="s">
        <v>582</v>
      </c>
      <c r="AV271" s="0" t="s">
        <v>473</v>
      </c>
      <c r="AW271" s="0" t="s">
        <v>400</v>
      </c>
      <c r="AX271" s="0" t="s">
        <v>683</v>
      </c>
      <c r="AY271" s="0" t="s">
        <v>1591</v>
      </c>
      <c r="AZ271" s="0" t="s">
        <v>1592</v>
      </c>
      <c r="BA271" s="0" t="s">
        <v>555</v>
      </c>
      <c r="BB271" s="0" t="str">
        <f t="shared" si="4"/>
        <v>CCCRNebOhaozara</v>
      </c>
    </row>
    <row r="272">
      <c r="E272" s="0" t="s">
        <v>762</v>
      </c>
      <c r="AV272" s="0" t="s">
        <v>473</v>
      </c>
      <c r="AW272" s="0" t="s">
        <v>400</v>
      </c>
      <c r="AX272" s="0" t="s">
        <v>683</v>
      </c>
      <c r="AY272" s="0" t="s">
        <v>1593</v>
      </c>
      <c r="AZ272" s="0" t="s">
        <v>1594</v>
      </c>
      <c r="BA272" s="0" t="s">
        <v>555</v>
      </c>
      <c r="BB272" s="0" t="str">
        <f t="shared" si="4"/>
        <v>CCCRNebOhaozara</v>
      </c>
    </row>
    <row r="273">
      <c r="E273" s="0" t="s">
        <v>794</v>
      </c>
      <c r="AV273" s="0" t="s">
        <v>473</v>
      </c>
      <c r="AW273" s="0" t="s">
        <v>400</v>
      </c>
      <c r="AX273" s="0" t="s">
        <v>718</v>
      </c>
      <c r="AY273" s="0" t="s">
        <v>1595</v>
      </c>
      <c r="AZ273" s="0" t="s">
        <v>1596</v>
      </c>
      <c r="BA273" s="0" t="s">
        <v>555</v>
      </c>
      <c r="BB273" s="0" t="str">
        <f t="shared" si="4"/>
        <v>CCCRNebOhaukwu</v>
      </c>
    </row>
    <row r="274">
      <c r="E274" s="0" t="s">
        <v>620</v>
      </c>
      <c r="AV274" s="0" t="s">
        <v>473</v>
      </c>
      <c r="AW274" s="0" t="s">
        <v>400</v>
      </c>
      <c r="AX274" s="0" t="s">
        <v>718</v>
      </c>
      <c r="AY274" s="0" t="s">
        <v>1597</v>
      </c>
      <c r="AZ274" s="0" t="s">
        <v>1598</v>
      </c>
      <c r="BA274" s="0" t="s">
        <v>555</v>
      </c>
      <c r="BB274" s="0" t="str">
        <f t="shared" si="4"/>
        <v>CCCRNebOhaukwu</v>
      </c>
    </row>
    <row r="275">
      <c r="E275" s="0" t="s">
        <v>823</v>
      </c>
      <c r="AV275" s="0" t="s">
        <v>473</v>
      </c>
      <c r="AW275" s="0" t="s">
        <v>400</v>
      </c>
      <c r="AX275" s="0" t="s">
        <v>718</v>
      </c>
      <c r="AY275" s="0" t="s">
        <v>1599</v>
      </c>
      <c r="AZ275" s="0" t="s">
        <v>1600</v>
      </c>
      <c r="BA275" s="0" t="s">
        <v>555</v>
      </c>
      <c r="BB275" s="0" t="str">
        <f t="shared" si="4"/>
        <v>CCCRNebOhaukwu</v>
      </c>
    </row>
    <row r="276">
      <c r="E276" s="0" t="s">
        <v>660</v>
      </c>
      <c r="AV276" s="0" t="s">
        <v>473</v>
      </c>
      <c r="AW276" s="0" t="s">
        <v>400</v>
      </c>
      <c r="AX276" s="0" t="s">
        <v>718</v>
      </c>
      <c r="AY276" s="0" t="s">
        <v>1601</v>
      </c>
      <c r="AZ276" s="0" t="s">
        <v>1602</v>
      </c>
      <c r="BA276" s="0" t="s">
        <v>555</v>
      </c>
      <c r="BB276" s="0" t="str">
        <f t="shared" si="4"/>
        <v>CCCRNebOhaukwu</v>
      </c>
    </row>
    <row r="277">
      <c r="E277" s="0" t="s">
        <v>696</v>
      </c>
      <c r="AV277" s="0" t="s">
        <v>473</v>
      </c>
      <c r="AW277" s="0" t="s">
        <v>400</v>
      </c>
      <c r="AX277" s="0" t="s">
        <v>718</v>
      </c>
      <c r="AY277" s="0" t="s">
        <v>1603</v>
      </c>
      <c r="AZ277" s="0" t="s">
        <v>1604</v>
      </c>
      <c r="BA277" s="0" t="s">
        <v>555</v>
      </c>
      <c r="BB277" s="0" t="str">
        <f t="shared" si="4"/>
        <v>CCCRNebOhaukwu</v>
      </c>
    </row>
    <row r="278">
      <c r="E278" s="0" t="s">
        <v>622</v>
      </c>
      <c r="AV278" s="0" t="s">
        <v>473</v>
      </c>
      <c r="AW278" s="0" t="s">
        <v>400</v>
      </c>
      <c r="AX278" s="0" t="s">
        <v>751</v>
      </c>
      <c r="AY278" s="0" t="s">
        <v>1605</v>
      </c>
      <c r="AZ278" s="0" t="s">
        <v>1606</v>
      </c>
      <c r="BA278" s="0" t="s">
        <v>555</v>
      </c>
      <c r="BB278" s="0" t="str">
        <f t="shared" si="4"/>
        <v>CCCRNebOnicha</v>
      </c>
    </row>
    <row r="279">
      <c r="E279" s="0" t="s">
        <v>731</v>
      </c>
      <c r="AV279" s="0" t="s">
        <v>473</v>
      </c>
      <c r="AW279" s="0" t="s">
        <v>400</v>
      </c>
      <c r="AX279" s="0" t="s">
        <v>751</v>
      </c>
      <c r="AY279" s="0" t="s">
        <v>1607</v>
      </c>
      <c r="AZ279" s="0" t="s">
        <v>1608</v>
      </c>
      <c r="BA279" s="0" t="s">
        <v>555</v>
      </c>
      <c r="BB279" s="0" t="str">
        <f t="shared" si="4"/>
        <v>CCCRNebOnicha</v>
      </c>
    </row>
    <row r="280">
      <c r="E280" s="0" t="s">
        <v>764</v>
      </c>
      <c r="AV280" s="0" t="s">
        <v>473</v>
      </c>
      <c r="AW280" s="0" t="s">
        <v>400</v>
      </c>
      <c r="AX280" s="0" t="s">
        <v>751</v>
      </c>
      <c r="AY280" s="0" t="s">
        <v>1609</v>
      </c>
      <c r="AZ280" s="0" t="s">
        <v>1610</v>
      </c>
      <c r="BA280" s="0" t="s">
        <v>555</v>
      </c>
      <c r="BB280" s="0" t="str">
        <f t="shared" si="4"/>
        <v>CCCRNebOnicha</v>
      </c>
    </row>
    <row r="281">
      <c r="E281" s="0" t="s">
        <v>623</v>
      </c>
      <c r="AV281" s="0" t="s">
        <v>473</v>
      </c>
      <c r="AW281" s="0" t="s">
        <v>400</v>
      </c>
      <c r="AX281" s="0" t="s">
        <v>751</v>
      </c>
      <c r="AY281" s="0" t="s">
        <v>1611</v>
      </c>
      <c r="AZ281" s="0" t="s">
        <v>1612</v>
      </c>
      <c r="BA281" s="0" t="s">
        <v>555</v>
      </c>
      <c r="BB281" s="0" t="str">
        <f t="shared" si="4"/>
        <v>CCCRNebOnicha</v>
      </c>
    </row>
    <row r="282">
      <c r="E282" s="0" t="s">
        <v>464</v>
      </c>
      <c r="AV282" s="0" t="s">
        <v>473</v>
      </c>
      <c r="AW282" s="0" t="s">
        <v>403</v>
      </c>
      <c r="AX282" s="0" t="s">
        <v>450</v>
      </c>
      <c r="AY282" s="0" t="s">
        <v>1613</v>
      </c>
      <c r="AZ282" s="0" t="s">
        <v>1614</v>
      </c>
      <c r="BA282" s="0" t="s">
        <v>555</v>
      </c>
      <c r="BB282" s="0" t="str">
        <f t="shared" si="4"/>
        <v>CCCRNenEnuguEast</v>
      </c>
    </row>
    <row r="283">
      <c r="E283" s="0" t="s">
        <v>661</v>
      </c>
      <c r="AV283" s="0" t="s">
        <v>473</v>
      </c>
      <c r="AW283" s="0" t="s">
        <v>403</v>
      </c>
      <c r="AX283" s="0" t="s">
        <v>450</v>
      </c>
      <c r="AY283" s="0" t="s">
        <v>1615</v>
      </c>
      <c r="AZ283" s="0" t="s">
        <v>1616</v>
      </c>
      <c r="BA283" s="0" t="s">
        <v>555</v>
      </c>
      <c r="BB283" s="0" t="str">
        <f t="shared" si="4"/>
        <v>CCCRNenEnuguEast</v>
      </c>
    </row>
    <row r="284">
      <c r="E284" s="0" t="s">
        <v>697</v>
      </c>
      <c r="AV284" s="0" t="s">
        <v>473</v>
      </c>
      <c r="AW284" s="0" t="s">
        <v>403</v>
      </c>
      <c r="AX284" s="0" t="s">
        <v>450</v>
      </c>
      <c r="AY284" s="0" t="s">
        <v>1617</v>
      </c>
      <c r="AZ284" s="0" t="s">
        <v>1618</v>
      </c>
      <c r="BA284" s="0" t="s">
        <v>555</v>
      </c>
      <c r="BB284" s="0" t="str">
        <f t="shared" si="4"/>
        <v>CCCRNenEnuguEast</v>
      </c>
    </row>
    <row r="285">
      <c r="E285" s="0" t="s">
        <v>545</v>
      </c>
      <c r="AV285" s="0" t="s">
        <v>473</v>
      </c>
      <c r="AW285" s="0" t="s">
        <v>403</v>
      </c>
      <c r="AX285" s="0" t="s">
        <v>450</v>
      </c>
      <c r="AY285" s="0" t="s">
        <v>1619</v>
      </c>
      <c r="AZ285" s="0" t="s">
        <v>1620</v>
      </c>
      <c r="BA285" s="0" t="s">
        <v>555</v>
      </c>
      <c r="BB285" s="0" t="str">
        <f t="shared" si="4"/>
        <v>CCCRNenEnuguEast</v>
      </c>
    </row>
    <row r="286">
      <c r="E286" s="0" t="s">
        <v>584</v>
      </c>
      <c r="AV286" s="0" t="s">
        <v>473</v>
      </c>
      <c r="AW286" s="0" t="s">
        <v>403</v>
      </c>
      <c r="AX286" s="0" t="s">
        <v>450</v>
      </c>
      <c r="AY286" s="0" t="s">
        <v>1621</v>
      </c>
      <c r="AZ286" s="0" t="s">
        <v>1622</v>
      </c>
      <c r="BA286" s="0" t="s">
        <v>555</v>
      </c>
      <c r="BB286" s="0" t="str">
        <f t="shared" si="4"/>
        <v>CCCRNenEnuguEast</v>
      </c>
    </row>
    <row r="287">
      <c r="E287" s="0" t="s">
        <v>585</v>
      </c>
      <c r="AV287" s="0" t="s">
        <v>473</v>
      </c>
      <c r="AW287" s="0" t="s">
        <v>403</v>
      </c>
      <c r="AX287" s="0" t="s">
        <v>450</v>
      </c>
      <c r="AY287" s="0" t="s">
        <v>1623</v>
      </c>
      <c r="AZ287" s="0" t="s">
        <v>1624</v>
      </c>
      <c r="BA287" s="0" t="s">
        <v>555</v>
      </c>
      <c r="BB287" s="0" t="str">
        <f t="shared" si="4"/>
        <v>CCCRNenEnuguEast</v>
      </c>
    </row>
    <row r="288">
      <c r="E288" s="0" t="s">
        <v>624</v>
      </c>
      <c r="AV288" s="0" t="s">
        <v>473</v>
      </c>
      <c r="AW288" s="0" t="s">
        <v>403</v>
      </c>
      <c r="AX288" s="0" t="s">
        <v>450</v>
      </c>
      <c r="AY288" s="0" t="s">
        <v>1625</v>
      </c>
      <c r="AZ288" s="0" t="s">
        <v>1626</v>
      </c>
      <c r="BA288" s="0" t="s">
        <v>555</v>
      </c>
      <c r="BB288" s="0" t="str">
        <f t="shared" si="4"/>
        <v>CCCRNenEnuguEast</v>
      </c>
    </row>
    <row r="289">
      <c r="E289" s="0" t="s">
        <v>662</v>
      </c>
      <c r="AV289" s="0" t="s">
        <v>473</v>
      </c>
      <c r="AW289" s="0" t="s">
        <v>403</v>
      </c>
      <c r="AX289" s="0" t="s">
        <v>450</v>
      </c>
      <c r="AY289" s="0" t="s">
        <v>1627</v>
      </c>
      <c r="AZ289" s="0" t="s">
        <v>1628</v>
      </c>
      <c r="BA289" s="0" t="s">
        <v>555</v>
      </c>
      <c r="BB289" s="0" t="str">
        <f t="shared" si="4"/>
        <v>CCCRNenEnuguEast</v>
      </c>
    </row>
    <row r="290">
      <c r="E290" s="0" t="s">
        <v>698</v>
      </c>
      <c r="AV290" s="0" t="s">
        <v>473</v>
      </c>
      <c r="AW290" s="0" t="s">
        <v>403</v>
      </c>
      <c r="AX290" s="0" t="s">
        <v>450</v>
      </c>
      <c r="AY290" s="0" t="s">
        <v>1629</v>
      </c>
      <c r="AZ290" s="0" t="s">
        <v>1630</v>
      </c>
      <c r="BA290" s="0" t="s">
        <v>555</v>
      </c>
      <c r="BB290" s="0" t="str">
        <f t="shared" si="4"/>
        <v>CCCRNenEnuguEast</v>
      </c>
    </row>
    <row r="291">
      <c r="E291" s="0" t="s">
        <v>732</v>
      </c>
      <c r="AV291" s="0" t="s">
        <v>473</v>
      </c>
      <c r="AW291" s="0" t="s">
        <v>403</v>
      </c>
      <c r="AX291" s="0" t="s">
        <v>450</v>
      </c>
      <c r="AY291" s="0" t="s">
        <v>1631</v>
      </c>
      <c r="AZ291" s="0" t="s">
        <v>1632</v>
      </c>
      <c r="BA291" s="0" t="s">
        <v>555</v>
      </c>
      <c r="BB291" s="0" t="str">
        <f t="shared" si="4"/>
        <v>CCCRNenEnuguEast</v>
      </c>
    </row>
    <row r="292">
      <c r="E292" s="0" t="s">
        <v>546</v>
      </c>
      <c r="AV292" s="0" t="s">
        <v>473</v>
      </c>
      <c r="AW292" s="0" t="s">
        <v>403</v>
      </c>
      <c r="AX292" s="0" t="s">
        <v>492</v>
      </c>
      <c r="AY292" s="0" t="s">
        <v>1633</v>
      </c>
      <c r="AZ292" s="0" t="s">
        <v>1634</v>
      </c>
      <c r="BA292" s="0" t="s">
        <v>555</v>
      </c>
      <c r="BB292" s="0" t="str">
        <f t="shared" si="4"/>
        <v>CCCRNenEnuguNorth</v>
      </c>
    </row>
    <row r="293">
      <c r="E293" s="0" t="s">
        <v>765</v>
      </c>
      <c r="AV293" s="0" t="s">
        <v>473</v>
      </c>
      <c r="AW293" s="0" t="s">
        <v>403</v>
      </c>
      <c r="AX293" s="0" t="s">
        <v>492</v>
      </c>
      <c r="AY293" s="0" t="s">
        <v>1635</v>
      </c>
      <c r="AZ293" s="0" t="s">
        <v>1636</v>
      </c>
      <c r="BA293" s="0" t="s">
        <v>555</v>
      </c>
      <c r="BB293" s="0" t="str">
        <f t="shared" si="4"/>
        <v>CCCRNenEnuguNorth</v>
      </c>
    </row>
    <row r="294">
      <c r="E294" s="0" t="s">
        <v>649</v>
      </c>
      <c r="AV294" s="0" t="s">
        <v>473</v>
      </c>
      <c r="AW294" s="0" t="s">
        <v>403</v>
      </c>
      <c r="AX294" s="0" t="s">
        <v>492</v>
      </c>
      <c r="AY294" s="0" t="s">
        <v>1637</v>
      </c>
      <c r="AZ294" s="0" t="s">
        <v>1638</v>
      </c>
      <c r="BA294" s="0" t="s">
        <v>555</v>
      </c>
      <c r="BB294" s="0" t="str">
        <f t="shared" si="4"/>
        <v>CCCRNenEnuguNorth</v>
      </c>
    </row>
    <row r="295">
      <c r="E295" s="0" t="s">
        <v>462</v>
      </c>
      <c r="AV295" s="0" t="s">
        <v>473</v>
      </c>
      <c r="AW295" s="0" t="s">
        <v>403</v>
      </c>
      <c r="AX295" s="0" t="s">
        <v>492</v>
      </c>
      <c r="AY295" s="0" t="s">
        <v>1639</v>
      </c>
      <c r="AZ295" s="0" t="s">
        <v>1640</v>
      </c>
      <c r="BA295" s="0" t="s">
        <v>555</v>
      </c>
      <c r="BB295" s="0" t="str">
        <f t="shared" si="4"/>
        <v>CCCRNenEnuguNorth</v>
      </c>
    </row>
    <row r="296">
      <c r="E296" s="0" t="s">
        <v>794</v>
      </c>
      <c r="AV296" s="0" t="s">
        <v>473</v>
      </c>
      <c r="AW296" s="0" t="s">
        <v>403</v>
      </c>
      <c r="AX296" s="0" t="s">
        <v>492</v>
      </c>
      <c r="AY296" s="0" t="s">
        <v>1641</v>
      </c>
      <c r="AZ296" s="0" t="s">
        <v>1642</v>
      </c>
      <c r="BA296" s="0" t="s">
        <v>555</v>
      </c>
      <c r="BB296" s="0" t="str">
        <f t="shared" si="4"/>
        <v>CCCRNenEnuguNorth</v>
      </c>
    </row>
    <row r="297">
      <c r="E297" s="0" t="s">
        <v>851</v>
      </c>
      <c r="AV297" s="0" t="s">
        <v>473</v>
      </c>
      <c r="AW297" s="0" t="s">
        <v>403</v>
      </c>
      <c r="AX297" s="0" t="s">
        <v>492</v>
      </c>
      <c r="AY297" s="0" t="s">
        <v>1643</v>
      </c>
      <c r="AZ297" s="0" t="s">
        <v>1644</v>
      </c>
      <c r="BA297" s="0" t="s">
        <v>555</v>
      </c>
      <c r="BB297" s="0" t="str">
        <f t="shared" si="4"/>
        <v>CCCRNenEnuguNorth</v>
      </c>
    </row>
    <row r="298">
      <c r="E298" s="0" t="s">
        <v>854</v>
      </c>
      <c r="AV298" s="0" t="s">
        <v>473</v>
      </c>
      <c r="AW298" s="0" t="s">
        <v>403</v>
      </c>
      <c r="AX298" s="0" t="s">
        <v>531</v>
      </c>
      <c r="AY298" s="0" t="s">
        <v>1645</v>
      </c>
      <c r="AZ298" s="0" t="s">
        <v>1646</v>
      </c>
      <c r="BA298" s="0" t="s">
        <v>555</v>
      </c>
      <c r="BB298" s="0" t="str">
        <f t="shared" si="4"/>
        <v>CCCRNenEnuguSouth</v>
      </c>
    </row>
    <row r="299">
      <c r="E299" s="0" t="s">
        <v>880</v>
      </c>
      <c r="AV299" s="0" t="s">
        <v>473</v>
      </c>
      <c r="AW299" s="0" t="s">
        <v>403</v>
      </c>
      <c r="AX299" s="0" t="s">
        <v>531</v>
      </c>
      <c r="AY299" s="0" t="s">
        <v>1647</v>
      </c>
      <c r="AZ299" s="0" t="s">
        <v>1648</v>
      </c>
      <c r="BA299" s="0" t="s">
        <v>555</v>
      </c>
      <c r="BB299" s="0" t="str">
        <f t="shared" si="4"/>
        <v>CCCRNenEnuguSouth</v>
      </c>
    </row>
    <row r="300">
      <c r="E300" s="0" t="s">
        <v>905</v>
      </c>
      <c r="AV300" s="0" t="s">
        <v>473</v>
      </c>
      <c r="AW300" s="0" t="s">
        <v>403</v>
      </c>
      <c r="AX300" s="0" t="s">
        <v>531</v>
      </c>
      <c r="AY300" s="0" t="s">
        <v>1649</v>
      </c>
      <c r="AZ300" s="0" t="s">
        <v>1650</v>
      </c>
      <c r="BA300" s="0" t="s">
        <v>555</v>
      </c>
      <c r="BB300" s="0" t="str">
        <f t="shared" si="4"/>
        <v>CCCRNenEnuguSouth</v>
      </c>
    </row>
    <row r="301">
      <c r="E301" s="0" t="s">
        <v>930</v>
      </c>
      <c r="AV301" s="0" t="s">
        <v>473</v>
      </c>
      <c r="AW301" s="0" t="s">
        <v>403</v>
      </c>
      <c r="AX301" s="0" t="s">
        <v>531</v>
      </c>
      <c r="AY301" s="0" t="s">
        <v>1651</v>
      </c>
      <c r="AZ301" s="0" t="s">
        <v>1652</v>
      </c>
      <c r="BA301" s="0" t="s">
        <v>555</v>
      </c>
      <c r="BB301" s="0" t="str">
        <f t="shared" si="4"/>
        <v>CCCRNenEnuguSouth</v>
      </c>
    </row>
    <row r="302">
      <c r="AV302" s="0" t="s">
        <v>473</v>
      </c>
      <c r="AW302" s="0" t="s">
        <v>403</v>
      </c>
      <c r="AX302" s="0" t="s">
        <v>531</v>
      </c>
      <c r="AY302" s="0" t="s">
        <v>1653</v>
      </c>
      <c r="AZ302" s="0" t="s">
        <v>1654</v>
      </c>
      <c r="BA302" s="0" t="s">
        <v>555</v>
      </c>
      <c r="BB302" s="0" t="str">
        <f t="shared" si="4"/>
        <v>CCCRNenEnuguSouth</v>
      </c>
    </row>
    <row r="303">
      <c r="AV303" s="0" t="s">
        <v>473</v>
      </c>
      <c r="AW303" s="0" t="s">
        <v>403</v>
      </c>
      <c r="AX303" s="0" t="s">
        <v>531</v>
      </c>
      <c r="AY303" s="0" t="s">
        <v>1655</v>
      </c>
      <c r="AZ303" s="0" t="s">
        <v>1656</v>
      </c>
      <c r="BA303" s="0" t="s">
        <v>555</v>
      </c>
      <c r="BB303" s="0" t="str">
        <f t="shared" si="4"/>
        <v>CCCRNenEnuguSouth</v>
      </c>
    </row>
    <row r="304">
      <c r="AV304" s="0" t="s">
        <v>473</v>
      </c>
      <c r="AW304" s="0" t="s">
        <v>403</v>
      </c>
      <c r="AX304" s="0" t="s">
        <v>571</v>
      </c>
      <c r="AY304" s="0" t="s">
        <v>1657</v>
      </c>
      <c r="AZ304" s="0" t="s">
        <v>1658</v>
      </c>
      <c r="BA304" s="0" t="s">
        <v>555</v>
      </c>
      <c r="BB304" s="0" t="str">
        <f t="shared" si="4"/>
        <v>CCCRNenIgboEtiti</v>
      </c>
    </row>
    <row r="305">
      <c r="AV305" s="0" t="s">
        <v>473</v>
      </c>
      <c r="AW305" s="0" t="s">
        <v>403</v>
      </c>
      <c r="AX305" s="0" t="s">
        <v>571</v>
      </c>
      <c r="AY305" s="0" t="s">
        <v>1659</v>
      </c>
      <c r="AZ305" s="0" t="s">
        <v>1660</v>
      </c>
      <c r="BA305" s="0" t="s">
        <v>555</v>
      </c>
      <c r="BB305" s="0" t="str">
        <f t="shared" si="4"/>
        <v>CCCRNenIgboEtiti</v>
      </c>
    </row>
    <row r="306">
      <c r="AV306" s="0" t="s">
        <v>473</v>
      </c>
      <c r="AW306" s="0" t="s">
        <v>403</v>
      </c>
      <c r="AX306" s="0" t="s">
        <v>571</v>
      </c>
      <c r="AY306" s="0" t="s">
        <v>1661</v>
      </c>
      <c r="AZ306" s="0" t="s">
        <v>1662</v>
      </c>
      <c r="BA306" s="0" t="s">
        <v>555</v>
      </c>
      <c r="BB306" s="0" t="str">
        <f t="shared" si="4"/>
        <v>CCCRNenIgboEtiti</v>
      </c>
    </row>
    <row r="307">
      <c r="AV307" s="0" t="s">
        <v>473</v>
      </c>
      <c r="AW307" s="0" t="s">
        <v>403</v>
      </c>
      <c r="AX307" s="0" t="s">
        <v>571</v>
      </c>
      <c r="AY307" s="0" t="s">
        <v>1663</v>
      </c>
      <c r="AZ307" s="0" t="s">
        <v>1664</v>
      </c>
      <c r="BA307" s="0" t="s">
        <v>555</v>
      </c>
      <c r="BB307" s="0" t="str">
        <f t="shared" si="4"/>
        <v>CCCRNenIgboEtiti</v>
      </c>
    </row>
    <row r="308">
      <c r="AV308" s="0" t="s">
        <v>473</v>
      </c>
      <c r="AW308" s="0" t="s">
        <v>403</v>
      </c>
      <c r="AX308" s="0" t="s">
        <v>571</v>
      </c>
      <c r="AY308" s="0" t="s">
        <v>1665</v>
      </c>
      <c r="AZ308" s="0" t="s">
        <v>1666</v>
      </c>
      <c r="BA308" s="0" t="s">
        <v>555</v>
      </c>
      <c r="BB308" s="0" t="str">
        <f t="shared" si="4"/>
        <v>CCCRNenIgboEtiti</v>
      </c>
    </row>
    <row r="309">
      <c r="AV309" s="0" t="s">
        <v>473</v>
      </c>
      <c r="AW309" s="0" t="s">
        <v>403</v>
      </c>
      <c r="AX309" s="0" t="s">
        <v>609</v>
      </c>
      <c r="AY309" s="0" t="s">
        <v>1667</v>
      </c>
      <c r="AZ309" s="0" t="s">
        <v>1668</v>
      </c>
      <c r="BA309" s="0" t="s">
        <v>555</v>
      </c>
      <c r="BB309" s="0" t="str">
        <f t="shared" si="4"/>
        <v>CCCRNenIgboEzeNorth</v>
      </c>
    </row>
    <row r="310">
      <c r="AV310" s="0" t="s">
        <v>473</v>
      </c>
      <c r="AW310" s="0" t="s">
        <v>403</v>
      </c>
      <c r="AX310" s="0" t="s">
        <v>609</v>
      </c>
      <c r="AY310" s="0" t="s">
        <v>1669</v>
      </c>
      <c r="AZ310" s="0" t="s">
        <v>1670</v>
      </c>
      <c r="BA310" s="0" t="s">
        <v>555</v>
      </c>
      <c r="BB310" s="0" t="str">
        <f t="shared" si="4"/>
        <v>CCCRNenIgboEzeNorth</v>
      </c>
    </row>
    <row r="311">
      <c r="AV311" s="0" t="s">
        <v>473</v>
      </c>
      <c r="AW311" s="0" t="s">
        <v>403</v>
      </c>
      <c r="AX311" s="0" t="s">
        <v>609</v>
      </c>
      <c r="AY311" s="0" t="s">
        <v>1671</v>
      </c>
      <c r="AZ311" s="0" t="s">
        <v>1672</v>
      </c>
      <c r="BA311" s="0" t="s">
        <v>555</v>
      </c>
      <c r="BB311" s="0" t="str">
        <f t="shared" si="4"/>
        <v>CCCRNenIgboEzeNorth</v>
      </c>
    </row>
    <row r="312">
      <c r="AV312" s="0" t="s">
        <v>473</v>
      </c>
      <c r="AW312" s="0" t="s">
        <v>403</v>
      </c>
      <c r="AX312" s="0" t="s">
        <v>609</v>
      </c>
      <c r="AY312" s="0" t="s">
        <v>1673</v>
      </c>
      <c r="AZ312" s="0" t="s">
        <v>1674</v>
      </c>
      <c r="BA312" s="0" t="s">
        <v>555</v>
      </c>
      <c r="BB312" s="0" t="str">
        <f t="shared" si="4"/>
        <v>CCCRNenIgboEzeNorth</v>
      </c>
    </row>
    <row r="313">
      <c r="AV313" s="0" t="s">
        <v>473</v>
      </c>
      <c r="AW313" s="0" t="s">
        <v>403</v>
      </c>
      <c r="AX313" s="0" t="s">
        <v>609</v>
      </c>
      <c r="AY313" s="0" t="s">
        <v>1675</v>
      </c>
      <c r="AZ313" s="0" t="s">
        <v>1676</v>
      </c>
      <c r="BA313" s="0" t="s">
        <v>555</v>
      </c>
      <c r="BB313" s="0" t="str">
        <f t="shared" si="4"/>
        <v>CCCRNenIgboEzeNorth</v>
      </c>
    </row>
    <row r="314">
      <c r="AV314" s="0" t="s">
        <v>473</v>
      </c>
      <c r="AW314" s="0" t="s">
        <v>403</v>
      </c>
      <c r="AX314" s="0" t="s">
        <v>609</v>
      </c>
      <c r="AY314" s="0" t="s">
        <v>1677</v>
      </c>
      <c r="AZ314" s="0" t="s">
        <v>1678</v>
      </c>
      <c r="BA314" s="0" t="s">
        <v>555</v>
      </c>
      <c r="BB314" s="0" t="str">
        <f t="shared" si="4"/>
        <v>CCCRNenIgboEzeNorth</v>
      </c>
    </row>
    <row r="315">
      <c r="AV315" s="0" t="s">
        <v>473</v>
      </c>
      <c r="AW315" s="0" t="s">
        <v>403</v>
      </c>
      <c r="AX315" s="0" t="s">
        <v>609</v>
      </c>
      <c r="AY315" s="0" t="s">
        <v>1679</v>
      </c>
      <c r="AZ315" s="0" t="s">
        <v>1680</v>
      </c>
      <c r="BA315" s="0" t="s">
        <v>555</v>
      </c>
      <c r="BB315" s="0" t="str">
        <f t="shared" si="4"/>
        <v>CCCRNenIgboEzeNorth</v>
      </c>
    </row>
    <row r="316">
      <c r="AV316" s="0" t="s">
        <v>473</v>
      </c>
      <c r="AW316" s="0" t="s">
        <v>403</v>
      </c>
      <c r="AX316" s="0" t="s">
        <v>648</v>
      </c>
      <c r="AY316" s="0" t="s">
        <v>1681</v>
      </c>
      <c r="AZ316" s="0" t="s">
        <v>1682</v>
      </c>
      <c r="BA316" s="0" t="s">
        <v>555</v>
      </c>
      <c r="BB316" s="0" t="str">
        <f t="shared" si="4"/>
        <v>CCCRNenIgboEzeSouth</v>
      </c>
    </row>
    <row r="317">
      <c r="AV317" s="0" t="s">
        <v>473</v>
      </c>
      <c r="AW317" s="0" t="s">
        <v>403</v>
      </c>
      <c r="AX317" s="0" t="s">
        <v>648</v>
      </c>
      <c r="AY317" s="0" t="s">
        <v>1683</v>
      </c>
      <c r="AZ317" s="0" t="s">
        <v>1684</v>
      </c>
      <c r="BA317" s="0" t="s">
        <v>555</v>
      </c>
      <c r="BB317" s="0" t="str">
        <f t="shared" si="4"/>
        <v>CCCRNenIgboEzeSouth</v>
      </c>
    </row>
    <row r="318">
      <c r="AV318" s="0" t="s">
        <v>473</v>
      </c>
      <c r="AW318" s="0" t="s">
        <v>403</v>
      </c>
      <c r="AX318" s="0" t="s">
        <v>648</v>
      </c>
      <c r="AY318" s="0" t="s">
        <v>1685</v>
      </c>
      <c r="AZ318" s="0" t="s">
        <v>1686</v>
      </c>
      <c r="BA318" s="0" t="s">
        <v>555</v>
      </c>
      <c r="BB318" s="0" t="str">
        <f t="shared" si="4"/>
        <v>CCCRNenIgboEzeSouth</v>
      </c>
    </row>
    <row r="319">
      <c r="AV319" s="0" t="s">
        <v>473</v>
      </c>
      <c r="AW319" s="0" t="s">
        <v>403</v>
      </c>
      <c r="AX319" s="0" t="s">
        <v>685</v>
      </c>
      <c r="AY319" s="0" t="s">
        <v>1687</v>
      </c>
      <c r="AZ319" s="0" t="s">
        <v>1688</v>
      </c>
      <c r="BA319" s="0" t="s">
        <v>555</v>
      </c>
      <c r="BB319" s="0" t="str">
        <f t="shared" si="4"/>
        <v>CCCRNenIsiuzo</v>
      </c>
    </row>
    <row r="320">
      <c r="AV320" s="0" t="s">
        <v>473</v>
      </c>
      <c r="AW320" s="0" t="s">
        <v>403</v>
      </c>
      <c r="AX320" s="0" t="s">
        <v>685</v>
      </c>
      <c r="AY320" s="0" t="s">
        <v>1689</v>
      </c>
      <c r="AZ320" s="0" t="s">
        <v>1690</v>
      </c>
      <c r="BA320" s="0" t="s">
        <v>555</v>
      </c>
      <c r="BB320" s="0" t="str">
        <f t="shared" si="4"/>
        <v>CCCRNenIsiuzo</v>
      </c>
    </row>
    <row r="321">
      <c r="AV321" s="0" t="s">
        <v>473</v>
      </c>
      <c r="AW321" s="0" t="s">
        <v>403</v>
      </c>
      <c r="AX321" s="0" t="s">
        <v>685</v>
      </c>
      <c r="AY321" s="0" t="s">
        <v>1691</v>
      </c>
      <c r="AZ321" s="0" t="s">
        <v>1692</v>
      </c>
      <c r="BA321" s="0" t="s">
        <v>555</v>
      </c>
      <c r="BB321" s="0" t="str">
        <f t="shared" si="4"/>
        <v>CCCRNenIsiuzo</v>
      </c>
    </row>
    <row r="322">
      <c r="AV322" s="0" t="s">
        <v>473</v>
      </c>
      <c r="AW322" s="0" t="s">
        <v>403</v>
      </c>
      <c r="AX322" s="0" t="s">
        <v>685</v>
      </c>
      <c r="AY322" s="0" t="s">
        <v>1693</v>
      </c>
      <c r="AZ322" s="0" t="s">
        <v>1694</v>
      </c>
      <c r="BA322" s="0" t="s">
        <v>555</v>
      </c>
      <c r="BB322" s="0" t="str">
        <f t="shared" si="4"/>
        <v>CCCRNenIsiuzo</v>
      </c>
    </row>
    <row r="323">
      <c r="AV323" s="0" t="s">
        <v>473</v>
      </c>
      <c r="AW323" s="0" t="s">
        <v>403</v>
      </c>
      <c r="AX323" s="0" t="s">
        <v>685</v>
      </c>
      <c r="AY323" s="0" t="s">
        <v>1695</v>
      </c>
      <c r="AZ323" s="0" t="s">
        <v>1696</v>
      </c>
      <c r="BA323" s="0" t="s">
        <v>555</v>
      </c>
      <c r="BB323" s="0" t="str">
        <f ref="BB323:BB386" t="shared" si="5">SUBSTITUTE(SUBSTITUTE(BA323&amp;AX323," ",""),"-","")</f>
        <v>CCCRNenIsiuzo</v>
      </c>
    </row>
    <row r="324">
      <c r="AV324" s="0" t="s">
        <v>473</v>
      </c>
      <c r="AW324" s="0" t="s">
        <v>403</v>
      </c>
      <c r="AX324" s="0" t="s">
        <v>720</v>
      </c>
      <c r="AY324" s="0" t="s">
        <v>1697</v>
      </c>
      <c r="AZ324" s="0" t="s">
        <v>1698</v>
      </c>
      <c r="BA324" s="0" t="s">
        <v>555</v>
      </c>
      <c r="BB324" s="0" t="str">
        <f t="shared" si="5"/>
        <v>CCCRNenNkanuEast</v>
      </c>
    </row>
    <row r="325">
      <c r="AV325" s="0" t="s">
        <v>473</v>
      </c>
      <c r="AW325" s="0" t="s">
        <v>403</v>
      </c>
      <c r="AX325" s="0" t="s">
        <v>753</v>
      </c>
      <c r="AY325" s="0" t="s">
        <v>1699</v>
      </c>
      <c r="AZ325" s="0" t="s">
        <v>1700</v>
      </c>
      <c r="BA325" s="0" t="s">
        <v>555</v>
      </c>
      <c r="BB325" s="0" t="str">
        <f t="shared" si="5"/>
        <v>CCCRNenNkanuWest</v>
      </c>
    </row>
    <row r="326">
      <c r="AV326" s="0" t="s">
        <v>473</v>
      </c>
      <c r="AW326" s="0" t="s">
        <v>403</v>
      </c>
      <c r="AX326" s="0" t="s">
        <v>753</v>
      </c>
      <c r="AY326" s="0" t="s">
        <v>1701</v>
      </c>
      <c r="AZ326" s="0" t="s">
        <v>1702</v>
      </c>
      <c r="BA326" s="0" t="s">
        <v>555</v>
      </c>
      <c r="BB326" s="0" t="str">
        <f t="shared" si="5"/>
        <v>CCCRNenNkanuWest</v>
      </c>
    </row>
    <row r="327">
      <c r="AV327" s="0" t="s">
        <v>473</v>
      </c>
      <c r="AW327" s="0" t="s">
        <v>403</v>
      </c>
      <c r="AX327" s="0" t="s">
        <v>753</v>
      </c>
      <c r="AY327" s="0" t="s">
        <v>1703</v>
      </c>
      <c r="AZ327" s="0" t="s">
        <v>1704</v>
      </c>
      <c r="BA327" s="0" t="s">
        <v>555</v>
      </c>
      <c r="BB327" s="0" t="str">
        <f t="shared" si="5"/>
        <v>CCCRNenNkanuWest</v>
      </c>
    </row>
    <row r="328">
      <c r="AV328" s="0" t="s">
        <v>473</v>
      </c>
      <c r="AW328" s="0" t="s">
        <v>403</v>
      </c>
      <c r="AX328" s="0" t="s">
        <v>785</v>
      </c>
      <c r="AY328" s="0" t="s">
        <v>1705</v>
      </c>
      <c r="AZ328" s="0" t="s">
        <v>1706</v>
      </c>
      <c r="BA328" s="0" t="s">
        <v>555</v>
      </c>
      <c r="BB328" s="0" t="str">
        <f t="shared" si="5"/>
        <v>CCCRNenNsukka</v>
      </c>
    </row>
    <row r="329">
      <c r="AV329" s="0" t="s">
        <v>473</v>
      </c>
      <c r="AW329" s="0" t="s">
        <v>403</v>
      </c>
      <c r="AX329" s="0" t="s">
        <v>785</v>
      </c>
      <c r="AY329" s="0" t="s">
        <v>1707</v>
      </c>
      <c r="AZ329" s="0" t="s">
        <v>1708</v>
      </c>
      <c r="BA329" s="0" t="s">
        <v>555</v>
      </c>
      <c r="BB329" s="0" t="str">
        <f t="shared" si="5"/>
        <v>CCCRNenNsukka</v>
      </c>
    </row>
    <row r="330">
      <c r="AV330" s="0" t="s">
        <v>473</v>
      </c>
      <c r="AW330" s="0" t="s">
        <v>403</v>
      </c>
      <c r="AX330" s="0" t="s">
        <v>785</v>
      </c>
      <c r="AY330" s="0" t="s">
        <v>1709</v>
      </c>
      <c r="AZ330" s="0" t="s">
        <v>1710</v>
      </c>
      <c r="BA330" s="0" t="s">
        <v>555</v>
      </c>
      <c r="BB330" s="0" t="str">
        <f t="shared" si="5"/>
        <v>CCCRNenNsukka</v>
      </c>
    </row>
    <row r="331">
      <c r="AV331" s="0" t="s">
        <v>473</v>
      </c>
      <c r="AW331" s="0" t="s">
        <v>403</v>
      </c>
      <c r="AX331" s="0" t="s">
        <v>785</v>
      </c>
      <c r="AY331" s="0" t="s">
        <v>1711</v>
      </c>
      <c r="AZ331" s="0" t="s">
        <v>1712</v>
      </c>
      <c r="BA331" s="0" t="s">
        <v>555</v>
      </c>
      <c r="BB331" s="0" t="str">
        <f t="shared" si="5"/>
        <v>CCCRNenNsukka</v>
      </c>
    </row>
    <row r="332">
      <c r="AV332" s="0" t="s">
        <v>473</v>
      </c>
      <c r="AW332" s="0" t="s">
        <v>403</v>
      </c>
      <c r="AX332" s="0" t="s">
        <v>785</v>
      </c>
      <c r="AY332" s="0" t="s">
        <v>1713</v>
      </c>
      <c r="AZ332" s="0" t="s">
        <v>1714</v>
      </c>
      <c r="BA332" s="0" t="s">
        <v>555</v>
      </c>
      <c r="BB332" s="0" t="str">
        <f t="shared" si="5"/>
        <v>CCCRNenNsukka</v>
      </c>
    </row>
    <row r="333">
      <c r="AV333" s="0" t="s">
        <v>473</v>
      </c>
      <c r="AW333" s="0" t="s">
        <v>403</v>
      </c>
      <c r="AX333" s="0" t="s">
        <v>785</v>
      </c>
      <c r="AY333" s="0" t="s">
        <v>1715</v>
      </c>
      <c r="AZ333" s="0" t="s">
        <v>1716</v>
      </c>
      <c r="BA333" s="0" t="s">
        <v>555</v>
      </c>
      <c r="BB333" s="0" t="str">
        <f t="shared" si="5"/>
        <v>CCCRNenNsukka</v>
      </c>
    </row>
    <row r="334">
      <c r="AV334" s="0" t="s">
        <v>473</v>
      </c>
      <c r="AW334" s="0" t="s">
        <v>403</v>
      </c>
      <c r="AX334" s="0" t="s">
        <v>785</v>
      </c>
      <c r="AY334" s="0" t="s">
        <v>1717</v>
      </c>
      <c r="AZ334" s="0" t="s">
        <v>1718</v>
      </c>
      <c r="BA334" s="0" t="s">
        <v>555</v>
      </c>
      <c r="BB334" s="0" t="str">
        <f t="shared" si="5"/>
        <v>CCCRNenNsukka</v>
      </c>
    </row>
    <row r="335">
      <c r="AV335" s="0" t="s">
        <v>473</v>
      </c>
      <c r="AW335" s="0" t="s">
        <v>403</v>
      </c>
      <c r="AX335" s="0" t="s">
        <v>785</v>
      </c>
      <c r="AY335" s="0" t="s">
        <v>1719</v>
      </c>
      <c r="AZ335" s="0" t="s">
        <v>1720</v>
      </c>
      <c r="BA335" s="0" t="s">
        <v>555</v>
      </c>
      <c r="BB335" s="0" t="str">
        <f t="shared" si="5"/>
        <v>CCCRNenNsukka</v>
      </c>
    </row>
    <row r="336">
      <c r="AV336" s="0" t="s">
        <v>473</v>
      </c>
      <c r="AW336" s="0" t="s">
        <v>403</v>
      </c>
      <c r="AX336" s="0" t="s">
        <v>785</v>
      </c>
      <c r="AY336" s="0" t="s">
        <v>1721</v>
      </c>
      <c r="AZ336" s="0" t="s">
        <v>1722</v>
      </c>
      <c r="BA336" s="0" t="s">
        <v>555</v>
      </c>
      <c r="BB336" s="0" t="str">
        <f t="shared" si="5"/>
        <v>CCCRNenNsukka</v>
      </c>
    </row>
    <row r="337">
      <c r="AV337" s="0" t="s">
        <v>473</v>
      </c>
      <c r="AW337" s="0" t="s">
        <v>403</v>
      </c>
      <c r="AX337" s="0" t="s">
        <v>785</v>
      </c>
      <c r="AY337" s="0" t="s">
        <v>1723</v>
      </c>
      <c r="AZ337" s="0" t="s">
        <v>1724</v>
      </c>
      <c r="BA337" s="0" t="s">
        <v>555</v>
      </c>
      <c r="BB337" s="0" t="str">
        <f t="shared" si="5"/>
        <v>CCCRNenNsukka</v>
      </c>
    </row>
    <row r="338">
      <c r="AV338" s="0" t="s">
        <v>473</v>
      </c>
      <c r="AW338" s="0" t="s">
        <v>403</v>
      </c>
      <c r="AX338" s="0" t="s">
        <v>815</v>
      </c>
      <c r="AY338" s="0" t="s">
        <v>1725</v>
      </c>
      <c r="AZ338" s="0" t="s">
        <v>1726</v>
      </c>
      <c r="BA338" s="0" t="s">
        <v>555</v>
      </c>
      <c r="BB338" s="0" t="str">
        <f t="shared" si="5"/>
        <v>CCCRNenUdenu</v>
      </c>
    </row>
    <row r="339">
      <c r="AV339" s="0" t="s">
        <v>473</v>
      </c>
      <c r="AW339" s="0" t="s">
        <v>403</v>
      </c>
      <c r="AX339" s="0" t="s">
        <v>815</v>
      </c>
      <c r="AY339" s="0" t="s">
        <v>1727</v>
      </c>
      <c r="AZ339" s="0" t="s">
        <v>1728</v>
      </c>
      <c r="BA339" s="0" t="s">
        <v>555</v>
      </c>
      <c r="BB339" s="0" t="str">
        <f t="shared" si="5"/>
        <v>CCCRNenUdenu</v>
      </c>
    </row>
    <row r="340">
      <c r="AV340" s="0" t="s">
        <v>473</v>
      </c>
      <c r="AW340" s="0" t="s">
        <v>403</v>
      </c>
      <c r="AX340" s="0" t="s">
        <v>815</v>
      </c>
      <c r="AY340" s="0" t="s">
        <v>1729</v>
      </c>
      <c r="AZ340" s="0" t="s">
        <v>1730</v>
      </c>
      <c r="BA340" s="0" t="s">
        <v>555</v>
      </c>
      <c r="BB340" s="0" t="str">
        <f t="shared" si="5"/>
        <v>CCCRNenUdenu</v>
      </c>
    </row>
    <row r="341">
      <c r="AV341" s="0" t="s">
        <v>473</v>
      </c>
      <c r="AW341" s="0" t="s">
        <v>403</v>
      </c>
      <c r="AX341" s="0" t="s">
        <v>815</v>
      </c>
      <c r="AY341" s="0" t="s">
        <v>1731</v>
      </c>
      <c r="AZ341" s="0" t="s">
        <v>1732</v>
      </c>
      <c r="BA341" s="0" t="s">
        <v>555</v>
      </c>
      <c r="BB341" s="0" t="str">
        <f t="shared" si="5"/>
        <v>CCCRNenUdenu</v>
      </c>
    </row>
    <row r="342">
      <c r="AV342" s="0" t="s">
        <v>473</v>
      </c>
      <c r="AW342" s="0" t="s">
        <v>403</v>
      </c>
      <c r="AX342" s="0" t="s">
        <v>815</v>
      </c>
      <c r="AY342" s="0" t="s">
        <v>1733</v>
      </c>
      <c r="AZ342" s="0" t="s">
        <v>1734</v>
      </c>
      <c r="BA342" s="0" t="s">
        <v>555</v>
      </c>
      <c r="BB342" s="0" t="str">
        <f t="shared" si="5"/>
        <v>CCCRNenUdenu</v>
      </c>
    </row>
    <row r="343">
      <c r="AV343" s="0" t="s">
        <v>473</v>
      </c>
      <c r="AW343" s="0" t="s">
        <v>403</v>
      </c>
      <c r="AX343" s="0" t="s">
        <v>815</v>
      </c>
      <c r="AY343" s="0" t="s">
        <v>1735</v>
      </c>
      <c r="AZ343" s="0" t="s">
        <v>1736</v>
      </c>
      <c r="BA343" s="0" t="s">
        <v>555</v>
      </c>
      <c r="BB343" s="0" t="str">
        <f t="shared" si="5"/>
        <v>CCCRNenUdenu</v>
      </c>
    </row>
    <row r="344">
      <c r="AV344" s="0" t="s">
        <v>473</v>
      </c>
      <c r="AW344" s="0" t="s">
        <v>403</v>
      </c>
      <c r="AX344" s="0" t="s">
        <v>815</v>
      </c>
      <c r="AY344" s="0" t="s">
        <v>1737</v>
      </c>
      <c r="AZ344" s="0" t="s">
        <v>1738</v>
      </c>
      <c r="BA344" s="0" t="s">
        <v>555</v>
      </c>
      <c r="BB344" s="0" t="str">
        <f t="shared" si="5"/>
        <v>CCCRNenUdenu</v>
      </c>
    </row>
    <row r="345">
      <c r="AV345" s="0" t="s">
        <v>473</v>
      </c>
      <c r="AW345" s="0" t="s">
        <v>403</v>
      </c>
      <c r="AX345" s="0" t="s">
        <v>815</v>
      </c>
      <c r="AY345" s="0" t="s">
        <v>1739</v>
      </c>
      <c r="AZ345" s="0" t="s">
        <v>1740</v>
      </c>
      <c r="BA345" s="0" t="s">
        <v>555</v>
      </c>
      <c r="BB345" s="0" t="str">
        <f t="shared" si="5"/>
        <v>CCCRNenUdenu</v>
      </c>
    </row>
    <row r="346">
      <c r="AV346" s="0" t="s">
        <v>473</v>
      </c>
      <c r="AW346" s="0" t="s">
        <v>403</v>
      </c>
      <c r="AX346" s="0" t="s">
        <v>815</v>
      </c>
      <c r="AY346" s="0" t="s">
        <v>1741</v>
      </c>
      <c r="AZ346" s="0" t="s">
        <v>1742</v>
      </c>
      <c r="BA346" s="0" t="s">
        <v>555</v>
      </c>
      <c r="BB346" s="0" t="str">
        <f t="shared" si="5"/>
        <v>CCCRNenUdenu</v>
      </c>
    </row>
    <row r="347">
      <c r="AV347" s="0" t="s">
        <v>473</v>
      </c>
      <c r="AW347" s="0" t="s">
        <v>406</v>
      </c>
      <c r="AX347" s="0" t="s">
        <v>453</v>
      </c>
      <c r="AY347" s="0" t="s">
        <v>1743</v>
      </c>
      <c r="AZ347" s="0" t="s">
        <v>1744</v>
      </c>
      <c r="BA347" s="0" t="s">
        <v>555</v>
      </c>
      <c r="BB347" s="0" t="str">
        <f t="shared" si="5"/>
        <v>CCCRNimAbohMbaise</v>
      </c>
    </row>
    <row r="348">
      <c r="AV348" s="0" t="s">
        <v>473</v>
      </c>
      <c r="AW348" s="0" t="s">
        <v>406</v>
      </c>
      <c r="AX348" s="0" t="s">
        <v>453</v>
      </c>
      <c r="AY348" s="0" t="s">
        <v>1745</v>
      </c>
      <c r="AZ348" s="0" t="s">
        <v>1746</v>
      </c>
      <c r="BA348" s="0" t="s">
        <v>555</v>
      </c>
      <c r="BB348" s="0" t="str">
        <f t="shared" si="5"/>
        <v>CCCRNimAbohMbaise</v>
      </c>
    </row>
    <row r="349">
      <c r="AV349" s="0" t="s">
        <v>473</v>
      </c>
      <c r="AW349" s="0" t="s">
        <v>406</v>
      </c>
      <c r="AX349" s="0" t="s">
        <v>453</v>
      </c>
      <c r="AY349" s="0" t="s">
        <v>1747</v>
      </c>
      <c r="AZ349" s="0" t="s">
        <v>1748</v>
      </c>
      <c r="BA349" s="0" t="s">
        <v>555</v>
      </c>
      <c r="BB349" s="0" t="str">
        <f t="shared" si="5"/>
        <v>CCCRNimAbohMbaise</v>
      </c>
    </row>
    <row r="350">
      <c r="AV350" s="0" t="s">
        <v>473</v>
      </c>
      <c r="AW350" s="0" t="s">
        <v>406</v>
      </c>
      <c r="AX350" s="0" t="s">
        <v>453</v>
      </c>
      <c r="AY350" s="0" t="s">
        <v>1749</v>
      </c>
      <c r="AZ350" s="0" t="s">
        <v>1750</v>
      </c>
      <c r="BA350" s="0" t="s">
        <v>555</v>
      </c>
      <c r="BB350" s="0" t="str">
        <f t="shared" si="5"/>
        <v>CCCRNimAbohMbaise</v>
      </c>
    </row>
    <row r="351">
      <c r="AV351" s="0" t="s">
        <v>473</v>
      </c>
      <c r="AW351" s="0" t="s">
        <v>406</v>
      </c>
      <c r="AX351" s="0" t="s">
        <v>453</v>
      </c>
      <c r="AY351" s="0" t="s">
        <v>1751</v>
      </c>
      <c r="AZ351" s="0" t="s">
        <v>1752</v>
      </c>
      <c r="BA351" s="0" t="s">
        <v>555</v>
      </c>
      <c r="BB351" s="0" t="str">
        <f t="shared" si="5"/>
        <v>CCCRNimAbohMbaise</v>
      </c>
    </row>
    <row r="352">
      <c r="AV352" s="0" t="s">
        <v>473</v>
      </c>
      <c r="AW352" s="0" t="s">
        <v>406</v>
      </c>
      <c r="AX352" s="0" t="s">
        <v>495</v>
      </c>
      <c r="AY352" s="0" t="s">
        <v>1753</v>
      </c>
      <c r="AZ352" s="0" t="s">
        <v>1754</v>
      </c>
      <c r="BA352" s="0" t="s">
        <v>555</v>
      </c>
      <c r="BB352" s="0" t="str">
        <f t="shared" si="5"/>
        <v>CCCRNimAhiazuMbaise</v>
      </c>
    </row>
    <row r="353">
      <c r="AV353" s="0" t="s">
        <v>473</v>
      </c>
      <c r="AW353" s="0" t="s">
        <v>406</v>
      </c>
      <c r="AX353" s="0" t="s">
        <v>495</v>
      </c>
      <c r="AY353" s="0" t="s">
        <v>1755</v>
      </c>
      <c r="AZ353" s="0" t="s">
        <v>1756</v>
      </c>
      <c r="BA353" s="0" t="s">
        <v>555</v>
      </c>
      <c r="BB353" s="0" t="str">
        <f t="shared" si="5"/>
        <v>CCCRNimAhiazuMbaise</v>
      </c>
    </row>
    <row r="354">
      <c r="AV354" s="0" t="s">
        <v>473</v>
      </c>
      <c r="AW354" s="0" t="s">
        <v>406</v>
      </c>
      <c r="AX354" s="0" t="s">
        <v>495</v>
      </c>
      <c r="AY354" s="0" t="s">
        <v>1757</v>
      </c>
      <c r="AZ354" s="0" t="s">
        <v>1758</v>
      </c>
      <c r="BA354" s="0" t="s">
        <v>555</v>
      </c>
      <c r="BB354" s="0" t="str">
        <f t="shared" si="5"/>
        <v>CCCRNimAhiazuMbaise</v>
      </c>
    </row>
    <row r="355">
      <c r="AV355" s="0" t="s">
        <v>473</v>
      </c>
      <c r="AW355" s="0" t="s">
        <v>406</v>
      </c>
      <c r="AX355" s="0" t="s">
        <v>534</v>
      </c>
      <c r="AY355" s="0" t="s">
        <v>1759</v>
      </c>
      <c r="AZ355" s="0" t="s">
        <v>1760</v>
      </c>
      <c r="BA355" s="0" t="s">
        <v>555</v>
      </c>
      <c r="BB355" s="0" t="str">
        <f t="shared" si="5"/>
        <v>CCCRNimEzinihitte</v>
      </c>
    </row>
    <row r="356">
      <c r="AV356" s="0" t="s">
        <v>473</v>
      </c>
      <c r="AW356" s="0" t="s">
        <v>406</v>
      </c>
      <c r="AX356" s="0" t="s">
        <v>534</v>
      </c>
      <c r="AY356" s="0" t="s">
        <v>1761</v>
      </c>
      <c r="AZ356" s="0" t="s">
        <v>1762</v>
      </c>
      <c r="BA356" s="0" t="s">
        <v>555</v>
      </c>
      <c r="BB356" s="0" t="str">
        <f t="shared" si="5"/>
        <v>CCCRNimEzinihitte</v>
      </c>
    </row>
    <row r="357">
      <c r="AV357" s="0" t="s">
        <v>473</v>
      </c>
      <c r="AW357" s="0" t="s">
        <v>406</v>
      </c>
      <c r="AX357" s="0" t="s">
        <v>534</v>
      </c>
      <c r="AY357" s="0" t="s">
        <v>1763</v>
      </c>
      <c r="AZ357" s="0" t="s">
        <v>1764</v>
      </c>
      <c r="BA357" s="0" t="s">
        <v>555</v>
      </c>
      <c r="BB357" s="0" t="str">
        <f t="shared" si="5"/>
        <v>CCCRNimEzinihitte</v>
      </c>
    </row>
    <row r="358">
      <c r="AV358" s="0" t="s">
        <v>473</v>
      </c>
      <c r="AW358" s="0" t="s">
        <v>406</v>
      </c>
      <c r="AX358" s="0" t="s">
        <v>574</v>
      </c>
      <c r="AY358" s="0" t="s">
        <v>1765</v>
      </c>
      <c r="AZ358" s="0" t="s">
        <v>1766</v>
      </c>
      <c r="BA358" s="0" t="s">
        <v>555</v>
      </c>
      <c r="BB358" s="0" t="str">
        <f t="shared" si="5"/>
        <v>CCCRNimIdeatoNorth</v>
      </c>
    </row>
    <row r="359">
      <c r="AV359" s="0" t="s">
        <v>473</v>
      </c>
      <c r="AW359" s="0" t="s">
        <v>406</v>
      </c>
      <c r="AX359" s="0" t="s">
        <v>574</v>
      </c>
      <c r="AY359" s="0" t="s">
        <v>1767</v>
      </c>
      <c r="AZ359" s="0" t="s">
        <v>1768</v>
      </c>
      <c r="BA359" s="0" t="s">
        <v>555</v>
      </c>
      <c r="BB359" s="0" t="str">
        <f t="shared" si="5"/>
        <v>CCCRNimIdeatoNorth</v>
      </c>
    </row>
    <row r="360">
      <c r="AV360" s="0" t="s">
        <v>473</v>
      </c>
      <c r="AW360" s="0" t="s">
        <v>406</v>
      </c>
      <c r="AX360" s="0" t="s">
        <v>574</v>
      </c>
      <c r="AY360" s="0" t="s">
        <v>1769</v>
      </c>
      <c r="AZ360" s="0" t="s">
        <v>1770</v>
      </c>
      <c r="BA360" s="0" t="s">
        <v>555</v>
      </c>
      <c r="BB360" s="0" t="str">
        <f t="shared" si="5"/>
        <v>CCCRNimIdeatoNorth</v>
      </c>
    </row>
    <row r="361">
      <c r="AV361" s="0" t="s">
        <v>473</v>
      </c>
      <c r="AW361" s="0" t="s">
        <v>406</v>
      </c>
      <c r="AX361" s="0" t="s">
        <v>574</v>
      </c>
      <c r="AY361" s="0" t="s">
        <v>1771</v>
      </c>
      <c r="AZ361" s="0" t="s">
        <v>1772</v>
      </c>
      <c r="BA361" s="0" t="s">
        <v>555</v>
      </c>
      <c r="BB361" s="0" t="str">
        <f t="shared" si="5"/>
        <v>CCCRNimIdeatoNorth</v>
      </c>
    </row>
    <row r="362">
      <c r="AV362" s="0" t="s">
        <v>473</v>
      </c>
      <c r="AW362" s="0" t="s">
        <v>406</v>
      </c>
      <c r="AX362" s="0" t="s">
        <v>574</v>
      </c>
      <c r="AY362" s="0" t="s">
        <v>1773</v>
      </c>
      <c r="AZ362" s="0" t="s">
        <v>1774</v>
      </c>
      <c r="BA362" s="0" t="s">
        <v>555</v>
      </c>
      <c r="BB362" s="0" t="str">
        <f t="shared" si="5"/>
        <v>CCCRNimIdeatoNorth</v>
      </c>
    </row>
    <row r="363">
      <c r="AV363" s="0" t="s">
        <v>473</v>
      </c>
      <c r="AW363" s="0" t="s">
        <v>406</v>
      </c>
      <c r="AX363" s="0" t="s">
        <v>612</v>
      </c>
      <c r="AY363" s="0" t="s">
        <v>1775</v>
      </c>
      <c r="AZ363" s="0" t="s">
        <v>1776</v>
      </c>
      <c r="BA363" s="0" t="s">
        <v>555</v>
      </c>
      <c r="BB363" s="0" t="str">
        <f t="shared" si="5"/>
        <v>CCCRNimIdeatoSouth</v>
      </c>
    </row>
    <row r="364">
      <c r="AV364" s="0" t="s">
        <v>473</v>
      </c>
      <c r="AW364" s="0" t="s">
        <v>406</v>
      </c>
      <c r="AX364" s="0" t="s">
        <v>651</v>
      </c>
      <c r="AY364" s="0" t="s">
        <v>1777</v>
      </c>
      <c r="AZ364" s="0" t="s">
        <v>1778</v>
      </c>
      <c r="BA364" s="0" t="s">
        <v>555</v>
      </c>
      <c r="BB364" s="0" t="str">
        <f t="shared" si="5"/>
        <v>CCCRNimIkeduru</v>
      </c>
    </row>
    <row r="365">
      <c r="AV365" s="0" t="s">
        <v>473</v>
      </c>
      <c r="AW365" s="0" t="s">
        <v>406</v>
      </c>
      <c r="AX365" s="0" t="s">
        <v>651</v>
      </c>
      <c r="AY365" s="0" t="s">
        <v>1779</v>
      </c>
      <c r="AZ365" s="0" t="s">
        <v>1780</v>
      </c>
      <c r="BA365" s="0" t="s">
        <v>555</v>
      </c>
      <c r="BB365" s="0" t="str">
        <f t="shared" si="5"/>
        <v>CCCRNimIkeduru</v>
      </c>
    </row>
    <row r="366">
      <c r="AV366" s="0" t="s">
        <v>473</v>
      </c>
      <c r="AW366" s="0" t="s">
        <v>406</v>
      </c>
      <c r="AX366" s="0" t="s">
        <v>651</v>
      </c>
      <c r="AY366" s="0" t="s">
        <v>1781</v>
      </c>
      <c r="AZ366" s="0" t="s">
        <v>1782</v>
      </c>
      <c r="BA366" s="0" t="s">
        <v>555</v>
      </c>
      <c r="BB366" s="0" t="str">
        <f t="shared" si="5"/>
        <v>CCCRNimIkeduru</v>
      </c>
    </row>
    <row r="367">
      <c r="AV367" s="0" t="s">
        <v>473</v>
      </c>
      <c r="AW367" s="0" t="s">
        <v>406</v>
      </c>
      <c r="AX367" s="0" t="s">
        <v>687</v>
      </c>
      <c r="AY367" s="0" t="s">
        <v>1783</v>
      </c>
      <c r="AZ367" s="0" t="s">
        <v>1784</v>
      </c>
      <c r="BA367" s="0" t="s">
        <v>555</v>
      </c>
      <c r="BB367" s="0" t="str">
        <f t="shared" si="5"/>
        <v>CCCRNimIsu</v>
      </c>
    </row>
    <row r="368">
      <c r="AV368" s="0" t="s">
        <v>473</v>
      </c>
      <c r="AW368" s="0" t="s">
        <v>406</v>
      </c>
      <c r="AX368" s="0" t="s">
        <v>687</v>
      </c>
      <c r="AY368" s="0" t="s">
        <v>1785</v>
      </c>
      <c r="AZ368" s="0" t="s">
        <v>1786</v>
      </c>
      <c r="BA368" s="0" t="s">
        <v>555</v>
      </c>
      <c r="BB368" s="0" t="str">
        <f t="shared" si="5"/>
        <v>CCCRNimIsu</v>
      </c>
    </row>
    <row r="369">
      <c r="AV369" s="0" t="s">
        <v>473</v>
      </c>
      <c r="AW369" s="0" t="s">
        <v>406</v>
      </c>
      <c r="AX369" s="0" t="s">
        <v>687</v>
      </c>
      <c r="AY369" s="0" t="s">
        <v>1787</v>
      </c>
      <c r="AZ369" s="0" t="s">
        <v>1788</v>
      </c>
      <c r="BA369" s="0" t="s">
        <v>555</v>
      </c>
      <c r="BB369" s="0" t="str">
        <f t="shared" si="5"/>
        <v>CCCRNimIsu</v>
      </c>
    </row>
    <row r="370">
      <c r="AV370" s="0" t="s">
        <v>473</v>
      </c>
      <c r="AW370" s="0" t="s">
        <v>406</v>
      </c>
      <c r="AX370" s="0" t="s">
        <v>722</v>
      </c>
      <c r="AY370" s="0" t="s">
        <v>1789</v>
      </c>
      <c r="AZ370" s="0" t="s">
        <v>1790</v>
      </c>
      <c r="BA370" s="0" t="s">
        <v>555</v>
      </c>
      <c r="BB370" s="0" t="str">
        <f t="shared" si="5"/>
        <v>CCCRNimMbaitoli</v>
      </c>
    </row>
    <row r="371">
      <c r="AV371" s="0" t="s">
        <v>473</v>
      </c>
      <c r="AW371" s="0" t="s">
        <v>406</v>
      </c>
      <c r="AX371" s="0" t="s">
        <v>722</v>
      </c>
      <c r="AY371" s="0" t="s">
        <v>1791</v>
      </c>
      <c r="AZ371" s="0" t="s">
        <v>1792</v>
      </c>
      <c r="BA371" s="0" t="s">
        <v>555</v>
      </c>
      <c r="BB371" s="0" t="str">
        <f t="shared" si="5"/>
        <v>CCCRNimMbaitoli</v>
      </c>
    </row>
    <row r="372">
      <c r="AV372" s="0" t="s">
        <v>473</v>
      </c>
      <c r="AW372" s="0" t="s">
        <v>406</v>
      </c>
      <c r="AX372" s="0" t="s">
        <v>722</v>
      </c>
      <c r="AY372" s="0" t="s">
        <v>1793</v>
      </c>
      <c r="AZ372" s="0" t="s">
        <v>1794</v>
      </c>
      <c r="BA372" s="0" t="s">
        <v>555</v>
      </c>
      <c r="BB372" s="0" t="str">
        <f t="shared" si="5"/>
        <v>CCCRNimMbaitoli</v>
      </c>
    </row>
    <row r="373">
      <c r="AV373" s="0" t="s">
        <v>473</v>
      </c>
      <c r="AW373" s="0" t="s">
        <v>406</v>
      </c>
      <c r="AX373" s="0" t="s">
        <v>722</v>
      </c>
      <c r="AY373" s="0" t="s">
        <v>1795</v>
      </c>
      <c r="AZ373" s="0" t="s">
        <v>1796</v>
      </c>
      <c r="BA373" s="0" t="s">
        <v>555</v>
      </c>
      <c r="BB373" s="0" t="str">
        <f t="shared" si="5"/>
        <v>CCCRNimMbaitoli</v>
      </c>
    </row>
    <row r="374">
      <c r="AV374" s="0" t="s">
        <v>473</v>
      </c>
      <c r="AW374" s="0" t="s">
        <v>406</v>
      </c>
      <c r="AX374" s="0" t="s">
        <v>755</v>
      </c>
      <c r="AY374" s="0" t="s">
        <v>1797</v>
      </c>
      <c r="AZ374" s="0" t="s">
        <v>1798</v>
      </c>
      <c r="BA374" s="0" t="s">
        <v>555</v>
      </c>
      <c r="BB374" s="0" t="str">
        <f t="shared" si="5"/>
        <v>CCCRNimNgorOkpala</v>
      </c>
    </row>
    <row r="375">
      <c r="AV375" s="0" t="s">
        <v>473</v>
      </c>
      <c r="AW375" s="0" t="s">
        <v>406</v>
      </c>
      <c r="AX375" s="0" t="s">
        <v>755</v>
      </c>
      <c r="AY375" s="0" t="s">
        <v>1799</v>
      </c>
      <c r="AZ375" s="0" t="s">
        <v>1800</v>
      </c>
      <c r="BA375" s="0" t="s">
        <v>555</v>
      </c>
      <c r="BB375" s="0" t="str">
        <f t="shared" si="5"/>
        <v>CCCRNimNgorOkpala</v>
      </c>
    </row>
    <row r="376">
      <c r="AV376" s="0" t="s">
        <v>473</v>
      </c>
      <c r="AW376" s="0" t="s">
        <v>406</v>
      </c>
      <c r="AX376" s="0" t="s">
        <v>755</v>
      </c>
      <c r="AY376" s="0" t="s">
        <v>1801</v>
      </c>
      <c r="AZ376" s="0" t="s">
        <v>1802</v>
      </c>
      <c r="BA376" s="0" t="s">
        <v>555</v>
      </c>
      <c r="BB376" s="0" t="str">
        <f t="shared" si="5"/>
        <v>CCCRNimNgorOkpala</v>
      </c>
    </row>
    <row r="377">
      <c r="AV377" s="0" t="s">
        <v>473</v>
      </c>
      <c r="AW377" s="0" t="s">
        <v>406</v>
      </c>
      <c r="AX377" s="0" t="s">
        <v>755</v>
      </c>
      <c r="AY377" s="0" t="s">
        <v>1803</v>
      </c>
      <c r="AZ377" s="0" t="s">
        <v>1804</v>
      </c>
      <c r="BA377" s="0" t="s">
        <v>555</v>
      </c>
      <c r="BB377" s="0" t="str">
        <f t="shared" si="5"/>
        <v>CCCRNimNgorOkpala</v>
      </c>
    </row>
    <row r="378">
      <c r="AV378" s="0" t="s">
        <v>473</v>
      </c>
      <c r="AW378" s="0" t="s">
        <v>406</v>
      </c>
      <c r="AX378" s="0" t="s">
        <v>787</v>
      </c>
      <c r="AY378" s="0" t="s">
        <v>1805</v>
      </c>
      <c r="AZ378" s="0" t="s">
        <v>1806</v>
      </c>
      <c r="BA378" s="0" t="s">
        <v>555</v>
      </c>
      <c r="BB378" s="0" t="str">
        <f t="shared" si="5"/>
        <v>CCCRNimNjaba</v>
      </c>
    </row>
    <row r="379">
      <c r="AV379" s="0" t="s">
        <v>473</v>
      </c>
      <c r="AW379" s="0" t="s">
        <v>406</v>
      </c>
      <c r="AX379" s="0" t="s">
        <v>787</v>
      </c>
      <c r="AY379" s="0" t="s">
        <v>1807</v>
      </c>
      <c r="AZ379" s="0" t="s">
        <v>1808</v>
      </c>
      <c r="BA379" s="0" t="s">
        <v>555</v>
      </c>
      <c r="BB379" s="0" t="str">
        <f t="shared" si="5"/>
        <v>CCCRNimNjaba</v>
      </c>
    </row>
    <row r="380">
      <c r="AV380" s="0" t="s">
        <v>473</v>
      </c>
      <c r="AW380" s="0" t="s">
        <v>406</v>
      </c>
      <c r="AX380" s="0" t="s">
        <v>817</v>
      </c>
      <c r="AY380" s="0" t="s">
        <v>1809</v>
      </c>
      <c r="AZ380" s="0" t="s">
        <v>1810</v>
      </c>
      <c r="BA380" s="0" t="s">
        <v>555</v>
      </c>
      <c r="BB380" s="0" t="str">
        <f t="shared" si="5"/>
        <v>CCCRNimNkwerre</v>
      </c>
    </row>
    <row r="381">
      <c r="AV381" s="0" t="s">
        <v>473</v>
      </c>
      <c r="AW381" s="0" t="s">
        <v>406</v>
      </c>
      <c r="AX381" s="0" t="s">
        <v>817</v>
      </c>
      <c r="AY381" s="0" t="s">
        <v>1811</v>
      </c>
      <c r="AZ381" s="0" t="s">
        <v>1812</v>
      </c>
      <c r="BA381" s="0" t="s">
        <v>555</v>
      </c>
      <c r="BB381" s="0" t="str">
        <f t="shared" si="5"/>
        <v>CCCRNimNkwerre</v>
      </c>
    </row>
    <row r="382">
      <c r="AV382" s="0" t="s">
        <v>473</v>
      </c>
      <c r="AW382" s="0" t="s">
        <v>406</v>
      </c>
      <c r="AX382" s="0" t="s">
        <v>817</v>
      </c>
      <c r="AY382" s="0" t="s">
        <v>1813</v>
      </c>
      <c r="AZ382" s="0" t="s">
        <v>1814</v>
      </c>
      <c r="BA382" s="0" t="s">
        <v>555</v>
      </c>
      <c r="BB382" s="0" t="str">
        <f t="shared" si="5"/>
        <v>CCCRNimNkwerre</v>
      </c>
    </row>
    <row r="383">
      <c r="AV383" s="0" t="s">
        <v>473</v>
      </c>
      <c r="AW383" s="0" t="s">
        <v>406</v>
      </c>
      <c r="AX383" s="0" t="s">
        <v>817</v>
      </c>
      <c r="AY383" s="0" t="s">
        <v>1815</v>
      </c>
      <c r="AZ383" s="0" t="s">
        <v>1816</v>
      </c>
      <c r="BA383" s="0" t="s">
        <v>555</v>
      </c>
      <c r="BB383" s="0" t="str">
        <f t="shared" si="5"/>
        <v>CCCRNimNkwerre</v>
      </c>
    </row>
    <row r="384">
      <c r="AV384" s="0" t="s">
        <v>473</v>
      </c>
      <c r="AW384" s="0" t="s">
        <v>406</v>
      </c>
      <c r="AX384" s="0" t="s">
        <v>817</v>
      </c>
      <c r="AY384" s="0" t="s">
        <v>1817</v>
      </c>
      <c r="AZ384" s="0" t="s">
        <v>1818</v>
      </c>
      <c r="BA384" s="0" t="s">
        <v>555</v>
      </c>
      <c r="BB384" s="0" t="str">
        <f t="shared" si="5"/>
        <v>CCCRNimNkwerre</v>
      </c>
    </row>
    <row r="385">
      <c r="AV385" s="0" t="s">
        <v>473</v>
      </c>
      <c r="AW385" s="0" t="s">
        <v>406</v>
      </c>
      <c r="AX385" s="0" t="s">
        <v>845</v>
      </c>
      <c r="AY385" s="0" t="s">
        <v>1819</v>
      </c>
      <c r="AZ385" s="0" t="s">
        <v>1820</v>
      </c>
      <c r="BA385" s="0" t="s">
        <v>555</v>
      </c>
      <c r="BB385" s="0" t="str">
        <f t="shared" si="5"/>
        <v>CCCRNimNwangele</v>
      </c>
    </row>
    <row r="386">
      <c r="AV386" s="0" t="s">
        <v>473</v>
      </c>
      <c r="AW386" s="0" t="s">
        <v>406</v>
      </c>
      <c r="AX386" s="0" t="s">
        <v>845</v>
      </c>
      <c r="AY386" s="0" t="s">
        <v>1821</v>
      </c>
      <c r="AZ386" s="0" t="s">
        <v>1822</v>
      </c>
      <c r="BA386" s="0" t="s">
        <v>555</v>
      </c>
      <c r="BB386" s="0" t="str">
        <f t="shared" si="5"/>
        <v>CCCRNimNwangele</v>
      </c>
    </row>
    <row r="387">
      <c r="AV387" s="0" t="s">
        <v>473</v>
      </c>
      <c r="AW387" s="0" t="s">
        <v>406</v>
      </c>
      <c r="AX387" s="0" t="s">
        <v>845</v>
      </c>
      <c r="AY387" s="0" t="s">
        <v>1823</v>
      </c>
      <c r="AZ387" s="0" t="s">
        <v>1824</v>
      </c>
      <c r="BA387" s="0" t="s">
        <v>555</v>
      </c>
      <c r="BB387" s="0" t="str">
        <f ref="BB387:BB450" t="shared" si="6">SUBSTITUTE(SUBSTITUTE(BA387&amp;AX387," ",""),"-","")</f>
        <v>CCCRNimNwangele</v>
      </c>
    </row>
    <row r="388">
      <c r="AV388" s="0" t="s">
        <v>473</v>
      </c>
      <c r="AW388" s="0" t="s">
        <v>406</v>
      </c>
      <c r="AX388" s="0" t="s">
        <v>873</v>
      </c>
      <c r="AY388" s="0" t="s">
        <v>1825</v>
      </c>
      <c r="AZ388" s="0" t="s">
        <v>1826</v>
      </c>
      <c r="BA388" s="0" t="s">
        <v>555</v>
      </c>
      <c r="BB388" s="0" t="str">
        <f t="shared" si="6"/>
        <v>CCCRNimOguta</v>
      </c>
    </row>
    <row r="389">
      <c r="AV389" s="0" t="s">
        <v>473</v>
      </c>
      <c r="AW389" s="0" t="s">
        <v>406</v>
      </c>
      <c r="AX389" s="0" t="s">
        <v>873</v>
      </c>
      <c r="AY389" s="0" t="s">
        <v>1827</v>
      </c>
      <c r="AZ389" s="0" t="s">
        <v>1828</v>
      </c>
      <c r="BA389" s="0" t="s">
        <v>555</v>
      </c>
      <c r="BB389" s="0" t="str">
        <f t="shared" si="6"/>
        <v>CCCRNimOguta</v>
      </c>
    </row>
    <row r="390">
      <c r="AV390" s="0" t="s">
        <v>473</v>
      </c>
      <c r="AW390" s="0" t="s">
        <v>406</v>
      </c>
      <c r="AX390" s="0" t="s">
        <v>873</v>
      </c>
      <c r="AY390" s="0" t="s">
        <v>1829</v>
      </c>
      <c r="AZ390" s="0" t="s">
        <v>1830</v>
      </c>
      <c r="BA390" s="0" t="s">
        <v>555</v>
      </c>
      <c r="BB390" s="0" t="str">
        <f t="shared" si="6"/>
        <v>CCCRNimOguta</v>
      </c>
    </row>
    <row r="391">
      <c r="AV391" s="0" t="s">
        <v>473</v>
      </c>
      <c r="AW391" s="0" t="s">
        <v>406</v>
      </c>
      <c r="AX391" s="0" t="s">
        <v>873</v>
      </c>
      <c r="AY391" s="0" t="s">
        <v>1831</v>
      </c>
      <c r="AZ391" s="0" t="s">
        <v>1832</v>
      </c>
      <c r="BA391" s="0" t="s">
        <v>555</v>
      </c>
      <c r="BB391" s="0" t="str">
        <f t="shared" si="6"/>
        <v>CCCRNimOguta</v>
      </c>
    </row>
    <row r="392">
      <c r="AV392" s="0" t="s">
        <v>473</v>
      </c>
      <c r="AW392" s="0" t="s">
        <v>406</v>
      </c>
      <c r="AX392" s="0" t="s">
        <v>873</v>
      </c>
      <c r="AY392" s="0" t="s">
        <v>1833</v>
      </c>
      <c r="AZ392" s="0" t="s">
        <v>1834</v>
      </c>
      <c r="BA392" s="0" t="s">
        <v>555</v>
      </c>
      <c r="BB392" s="0" t="str">
        <f t="shared" si="6"/>
        <v>CCCRNimOguta</v>
      </c>
    </row>
    <row r="393">
      <c r="AV393" s="0" t="s">
        <v>473</v>
      </c>
      <c r="AW393" s="0" t="s">
        <v>406</v>
      </c>
      <c r="AX393" s="0" t="s">
        <v>898</v>
      </c>
      <c r="AY393" s="0" t="s">
        <v>1835</v>
      </c>
      <c r="AZ393" s="0" t="s">
        <v>1836</v>
      </c>
      <c r="BA393" s="0" t="s">
        <v>555</v>
      </c>
      <c r="BB393" s="0" t="str">
        <f t="shared" si="6"/>
        <v>CCCRNimOhaji</v>
      </c>
    </row>
    <row r="394">
      <c r="AV394" s="0" t="s">
        <v>473</v>
      </c>
      <c r="AW394" s="0" t="s">
        <v>406</v>
      </c>
      <c r="AX394" s="0" t="s">
        <v>898</v>
      </c>
      <c r="AY394" s="0" t="s">
        <v>1835</v>
      </c>
      <c r="AZ394" s="0" t="s">
        <v>1837</v>
      </c>
      <c r="BA394" s="0" t="s">
        <v>555</v>
      </c>
      <c r="BB394" s="0" t="str">
        <f t="shared" si="6"/>
        <v>CCCRNimOhaji</v>
      </c>
    </row>
    <row r="395">
      <c r="AV395" s="0" t="s">
        <v>473</v>
      </c>
      <c r="AW395" s="0" t="s">
        <v>406</v>
      </c>
      <c r="AX395" s="0" t="s">
        <v>898</v>
      </c>
      <c r="AY395" s="0" t="s">
        <v>1835</v>
      </c>
      <c r="AZ395" s="0" t="s">
        <v>1838</v>
      </c>
      <c r="BA395" s="0" t="s">
        <v>555</v>
      </c>
      <c r="BB395" s="0" t="str">
        <f t="shared" si="6"/>
        <v>CCCRNimOhaji</v>
      </c>
    </row>
    <row r="396">
      <c r="AV396" s="0" t="s">
        <v>473</v>
      </c>
      <c r="AW396" s="0" t="s">
        <v>406</v>
      </c>
      <c r="AX396" s="0" t="s">
        <v>898</v>
      </c>
      <c r="AY396" s="0" t="s">
        <v>1835</v>
      </c>
      <c r="AZ396" s="0" t="s">
        <v>1839</v>
      </c>
      <c r="BA396" s="0" t="s">
        <v>555</v>
      </c>
      <c r="BB396" s="0" t="str">
        <f t="shared" si="6"/>
        <v>CCCRNimOhaji</v>
      </c>
    </row>
    <row r="397">
      <c r="AV397" s="0" t="s">
        <v>473</v>
      </c>
      <c r="AW397" s="0" t="s">
        <v>406</v>
      </c>
      <c r="AX397" s="0" t="s">
        <v>898</v>
      </c>
      <c r="AY397" s="0" t="s">
        <v>1835</v>
      </c>
      <c r="AZ397" s="0" t="s">
        <v>1840</v>
      </c>
      <c r="BA397" s="0" t="s">
        <v>555</v>
      </c>
      <c r="BB397" s="0" t="str">
        <f t="shared" si="6"/>
        <v>CCCRNimOhaji</v>
      </c>
    </row>
    <row r="398">
      <c r="AV398" s="0" t="s">
        <v>473</v>
      </c>
      <c r="AW398" s="0" t="s">
        <v>406</v>
      </c>
      <c r="AX398" s="0" t="s">
        <v>923</v>
      </c>
      <c r="AY398" s="0" t="s">
        <v>1841</v>
      </c>
      <c r="AZ398" s="0" t="s">
        <v>1842</v>
      </c>
      <c r="BA398" s="0" t="s">
        <v>555</v>
      </c>
      <c r="BB398" s="0" t="str">
        <f t="shared" si="6"/>
        <v>CCCRNimOrlu</v>
      </c>
    </row>
    <row r="399">
      <c r="AV399" s="0" t="s">
        <v>473</v>
      </c>
      <c r="AW399" s="0" t="s">
        <v>406</v>
      </c>
      <c r="AX399" s="0" t="s">
        <v>923</v>
      </c>
      <c r="AY399" s="0" t="s">
        <v>1843</v>
      </c>
      <c r="AZ399" s="0" t="s">
        <v>1844</v>
      </c>
      <c r="BA399" s="0" t="s">
        <v>555</v>
      </c>
      <c r="BB399" s="0" t="str">
        <f t="shared" si="6"/>
        <v>CCCRNimOrlu</v>
      </c>
    </row>
    <row r="400">
      <c r="AV400" s="0" t="s">
        <v>473</v>
      </c>
      <c r="AW400" s="0" t="s">
        <v>406</v>
      </c>
      <c r="AX400" s="0" t="s">
        <v>923</v>
      </c>
      <c r="AY400" s="0" t="s">
        <v>1845</v>
      </c>
      <c r="AZ400" s="0" t="s">
        <v>1846</v>
      </c>
      <c r="BA400" s="0" t="s">
        <v>555</v>
      </c>
      <c r="BB400" s="0" t="str">
        <f t="shared" si="6"/>
        <v>CCCRNimOrlu</v>
      </c>
    </row>
    <row r="401">
      <c r="AV401" s="0" t="s">
        <v>473</v>
      </c>
      <c r="AW401" s="0" t="s">
        <v>406</v>
      </c>
      <c r="AX401" s="0" t="s">
        <v>923</v>
      </c>
      <c r="AY401" s="0" t="s">
        <v>1847</v>
      </c>
      <c r="AZ401" s="0" t="s">
        <v>1848</v>
      </c>
      <c r="BA401" s="0" t="s">
        <v>555</v>
      </c>
      <c r="BB401" s="0" t="str">
        <f t="shared" si="6"/>
        <v>CCCRNimOrlu</v>
      </c>
    </row>
    <row r="402">
      <c r="AV402" s="0" t="s">
        <v>473</v>
      </c>
      <c r="AW402" s="0" t="s">
        <v>406</v>
      </c>
      <c r="AX402" s="0" t="s">
        <v>923</v>
      </c>
      <c r="AY402" s="0" t="s">
        <v>1849</v>
      </c>
      <c r="AZ402" s="0" t="s">
        <v>1850</v>
      </c>
      <c r="BA402" s="0" t="s">
        <v>555</v>
      </c>
      <c r="BB402" s="0" t="str">
        <f t="shared" si="6"/>
        <v>CCCRNimOrlu</v>
      </c>
    </row>
    <row r="403">
      <c r="AV403" s="0" t="s">
        <v>473</v>
      </c>
      <c r="AW403" s="0" t="s">
        <v>406</v>
      </c>
      <c r="AX403" s="0" t="s">
        <v>947</v>
      </c>
      <c r="AY403" s="0" t="s">
        <v>1851</v>
      </c>
      <c r="AZ403" s="0" t="s">
        <v>1852</v>
      </c>
      <c r="BA403" s="0" t="s">
        <v>555</v>
      </c>
      <c r="BB403" s="0" t="str">
        <f t="shared" si="6"/>
        <v>CCCRNimOrsu</v>
      </c>
    </row>
    <row r="404">
      <c r="AV404" s="0" t="s">
        <v>473</v>
      </c>
      <c r="AW404" s="0" t="s">
        <v>406</v>
      </c>
      <c r="AX404" s="0" t="s">
        <v>969</v>
      </c>
      <c r="AY404" s="0" t="s">
        <v>1853</v>
      </c>
      <c r="AZ404" s="0" t="s">
        <v>1854</v>
      </c>
      <c r="BA404" s="0" t="s">
        <v>555</v>
      </c>
      <c r="BB404" s="0" t="str">
        <f t="shared" si="6"/>
        <v>CCCRNimOruEast</v>
      </c>
    </row>
    <row r="405">
      <c r="AV405" s="0" t="s">
        <v>473</v>
      </c>
      <c r="AW405" s="0" t="s">
        <v>406</v>
      </c>
      <c r="AX405" s="0" t="s">
        <v>969</v>
      </c>
      <c r="AY405" s="0" t="s">
        <v>1855</v>
      </c>
      <c r="AZ405" s="0" t="s">
        <v>1856</v>
      </c>
      <c r="BA405" s="0" t="s">
        <v>555</v>
      </c>
      <c r="BB405" s="0" t="str">
        <f t="shared" si="6"/>
        <v>CCCRNimOruEast</v>
      </c>
    </row>
    <row r="406">
      <c r="AV406" s="0" t="s">
        <v>473</v>
      </c>
      <c r="AW406" s="0" t="s">
        <v>406</v>
      </c>
      <c r="AX406" s="0" t="s">
        <v>969</v>
      </c>
      <c r="AY406" s="0" t="s">
        <v>1857</v>
      </c>
      <c r="AZ406" s="0" t="s">
        <v>1858</v>
      </c>
      <c r="BA406" s="0" t="s">
        <v>555</v>
      </c>
      <c r="BB406" s="0" t="str">
        <f t="shared" si="6"/>
        <v>CCCRNimOruEast</v>
      </c>
    </row>
    <row r="407">
      <c r="AV407" s="0" t="s">
        <v>473</v>
      </c>
      <c r="AW407" s="0" t="s">
        <v>406</v>
      </c>
      <c r="AX407" s="0" t="s">
        <v>969</v>
      </c>
      <c r="AY407" s="0" t="s">
        <v>1859</v>
      </c>
      <c r="AZ407" s="0" t="s">
        <v>1860</v>
      </c>
      <c r="BA407" s="0" t="s">
        <v>555</v>
      </c>
      <c r="BB407" s="0" t="str">
        <f t="shared" si="6"/>
        <v>CCCRNimOruEast</v>
      </c>
    </row>
    <row r="408">
      <c r="AV408" s="0" t="s">
        <v>473</v>
      </c>
      <c r="AW408" s="0" t="s">
        <v>406</v>
      </c>
      <c r="AX408" s="0" t="s">
        <v>969</v>
      </c>
      <c r="AY408" s="0" t="s">
        <v>1861</v>
      </c>
      <c r="AZ408" s="0" t="s">
        <v>1862</v>
      </c>
      <c r="BA408" s="0" t="s">
        <v>555</v>
      </c>
      <c r="BB408" s="0" t="str">
        <f t="shared" si="6"/>
        <v>CCCRNimOruEast</v>
      </c>
    </row>
    <row r="409">
      <c r="AV409" s="0" t="s">
        <v>473</v>
      </c>
      <c r="AW409" s="0" t="s">
        <v>406</v>
      </c>
      <c r="AX409" s="0" t="s">
        <v>988</v>
      </c>
      <c r="AY409" s="0" t="s">
        <v>1863</v>
      </c>
      <c r="AZ409" s="0" t="s">
        <v>1864</v>
      </c>
      <c r="BA409" s="0" t="s">
        <v>555</v>
      </c>
      <c r="BB409" s="0" t="str">
        <f t="shared" si="6"/>
        <v>CCCRNimOruWest</v>
      </c>
    </row>
    <row r="410">
      <c r="AV410" s="0" t="s">
        <v>473</v>
      </c>
      <c r="AW410" s="0" t="s">
        <v>406</v>
      </c>
      <c r="AX410" s="0" t="s">
        <v>1004</v>
      </c>
      <c r="AY410" s="0" t="s">
        <v>1865</v>
      </c>
      <c r="AZ410" s="0" t="s">
        <v>1866</v>
      </c>
      <c r="BA410" s="0" t="s">
        <v>555</v>
      </c>
      <c r="BB410" s="0" t="str">
        <f t="shared" si="6"/>
        <v>CCCRNimOwerriMunicipal</v>
      </c>
    </row>
    <row r="411">
      <c r="AV411" s="0" t="s">
        <v>473</v>
      </c>
      <c r="AW411" s="0" t="s">
        <v>406</v>
      </c>
      <c r="AX411" s="0" t="s">
        <v>1004</v>
      </c>
      <c r="AY411" s="0" t="s">
        <v>1867</v>
      </c>
      <c r="AZ411" s="0" t="s">
        <v>1868</v>
      </c>
      <c r="BA411" s="0" t="s">
        <v>555</v>
      </c>
      <c r="BB411" s="0" t="str">
        <f t="shared" si="6"/>
        <v>CCCRNimOwerriMunicipal</v>
      </c>
    </row>
    <row r="412">
      <c r="AV412" s="0" t="s">
        <v>473</v>
      </c>
      <c r="AW412" s="0" t="s">
        <v>406</v>
      </c>
      <c r="AX412" s="0" t="s">
        <v>1004</v>
      </c>
      <c r="AY412" s="0" t="s">
        <v>1869</v>
      </c>
      <c r="AZ412" s="0" t="s">
        <v>1870</v>
      </c>
      <c r="BA412" s="0" t="s">
        <v>555</v>
      </c>
      <c r="BB412" s="0" t="str">
        <f t="shared" si="6"/>
        <v>CCCRNimOwerriMunicipal</v>
      </c>
    </row>
    <row r="413">
      <c r="AV413" s="0" t="s">
        <v>473</v>
      </c>
      <c r="AW413" s="0" t="s">
        <v>406</v>
      </c>
      <c r="AX413" s="0" t="s">
        <v>1004</v>
      </c>
      <c r="AY413" s="0" t="s">
        <v>1871</v>
      </c>
      <c r="AZ413" s="0" t="s">
        <v>1872</v>
      </c>
      <c r="BA413" s="0" t="s">
        <v>555</v>
      </c>
      <c r="BB413" s="0" t="str">
        <f t="shared" si="6"/>
        <v>CCCRNimOwerriMunicipal</v>
      </c>
    </row>
    <row r="414">
      <c r="AV414" s="0" t="s">
        <v>473</v>
      </c>
      <c r="AW414" s="0" t="s">
        <v>406</v>
      </c>
      <c r="AX414" s="0" t="s">
        <v>1004</v>
      </c>
      <c r="AY414" s="0" t="s">
        <v>1873</v>
      </c>
      <c r="AZ414" s="0" t="s">
        <v>1874</v>
      </c>
      <c r="BA414" s="0" t="s">
        <v>555</v>
      </c>
      <c r="BB414" s="0" t="str">
        <f t="shared" si="6"/>
        <v>CCCRNimOwerriMunicipal</v>
      </c>
    </row>
    <row r="415">
      <c r="AV415" s="0" t="s">
        <v>473</v>
      </c>
      <c r="AW415" s="0" t="s">
        <v>406</v>
      </c>
      <c r="AX415" s="0" t="s">
        <v>1020</v>
      </c>
      <c r="AY415" s="0" t="s">
        <v>1875</v>
      </c>
      <c r="AZ415" s="0" t="s">
        <v>1876</v>
      </c>
      <c r="BA415" s="0" t="s">
        <v>555</v>
      </c>
      <c r="BB415" s="0" t="str">
        <f t="shared" si="6"/>
        <v>CCCRNimOwerriNorth</v>
      </c>
    </row>
    <row r="416">
      <c r="AV416" s="0" t="s">
        <v>473</v>
      </c>
      <c r="AW416" s="0" t="s">
        <v>406</v>
      </c>
      <c r="AX416" s="0" t="s">
        <v>1020</v>
      </c>
      <c r="AY416" s="0" t="s">
        <v>1877</v>
      </c>
      <c r="AZ416" s="0" t="s">
        <v>1878</v>
      </c>
      <c r="BA416" s="0" t="s">
        <v>555</v>
      </c>
      <c r="BB416" s="0" t="str">
        <f t="shared" si="6"/>
        <v>CCCRNimOwerriNorth</v>
      </c>
    </row>
    <row r="417">
      <c r="AV417" s="0" t="s">
        <v>473</v>
      </c>
      <c r="AW417" s="0" t="s">
        <v>406</v>
      </c>
      <c r="AX417" s="0" t="s">
        <v>1020</v>
      </c>
      <c r="AY417" s="0" t="s">
        <v>1879</v>
      </c>
      <c r="AZ417" s="0" t="s">
        <v>1880</v>
      </c>
      <c r="BA417" s="0" t="s">
        <v>555</v>
      </c>
      <c r="BB417" s="0" t="str">
        <f t="shared" si="6"/>
        <v>CCCRNimOwerriNorth</v>
      </c>
    </row>
    <row r="418">
      <c r="AV418" s="0" t="s">
        <v>473</v>
      </c>
      <c r="AW418" s="0" t="s">
        <v>406</v>
      </c>
      <c r="AX418" s="0" t="s">
        <v>1020</v>
      </c>
      <c r="AY418" s="0" t="s">
        <v>1881</v>
      </c>
      <c r="AZ418" s="0" t="s">
        <v>1882</v>
      </c>
      <c r="BA418" s="0" t="s">
        <v>555</v>
      </c>
      <c r="BB418" s="0" t="str">
        <f t="shared" si="6"/>
        <v>CCCRNimOwerriNorth</v>
      </c>
    </row>
    <row r="419">
      <c r="AV419" s="0" t="s">
        <v>473</v>
      </c>
      <c r="AW419" s="0" t="s">
        <v>406</v>
      </c>
      <c r="AX419" s="0" t="s">
        <v>1020</v>
      </c>
      <c r="AY419" s="0" t="s">
        <v>1883</v>
      </c>
      <c r="AZ419" s="0" t="s">
        <v>1884</v>
      </c>
      <c r="BA419" s="0" t="s">
        <v>555</v>
      </c>
      <c r="BB419" s="0" t="str">
        <f t="shared" si="6"/>
        <v>CCCRNimOwerriNorth</v>
      </c>
    </row>
    <row r="420">
      <c r="AV420" s="0" t="s">
        <v>473</v>
      </c>
      <c r="AW420" s="0" t="s">
        <v>406</v>
      </c>
      <c r="AX420" s="0" t="s">
        <v>1035</v>
      </c>
      <c r="AY420" s="0" t="s">
        <v>1885</v>
      </c>
      <c r="AZ420" s="0" t="s">
        <v>1886</v>
      </c>
      <c r="BA420" s="0" t="s">
        <v>555</v>
      </c>
      <c r="BB420" s="0" t="str">
        <f t="shared" si="6"/>
        <v>CCCRNimOwerriWest</v>
      </c>
    </row>
    <row r="421">
      <c r="AV421" s="0" t="s">
        <v>473</v>
      </c>
      <c r="AW421" s="0" t="s">
        <v>406</v>
      </c>
      <c r="AX421" s="0" t="s">
        <v>1035</v>
      </c>
      <c r="AY421" s="0" t="s">
        <v>1887</v>
      </c>
      <c r="AZ421" s="0" t="s">
        <v>1888</v>
      </c>
      <c r="BA421" s="0" t="s">
        <v>555</v>
      </c>
      <c r="BB421" s="0" t="str">
        <f t="shared" si="6"/>
        <v>CCCRNimOwerriWest</v>
      </c>
    </row>
    <row r="422">
      <c r="AV422" s="0" t="s">
        <v>473</v>
      </c>
      <c r="AW422" s="0" t="s">
        <v>286</v>
      </c>
      <c r="AX422" s="0" t="s">
        <v>443</v>
      </c>
      <c r="AY422" s="0" t="s">
        <v>1889</v>
      </c>
      <c r="AZ422" s="0" t="s">
        <v>1890</v>
      </c>
      <c r="BA422" s="0" t="s">
        <v>285</v>
      </c>
      <c r="BB422" s="0" t="str">
        <f t="shared" si="6"/>
        <v>CCFNbeAgatu</v>
      </c>
    </row>
    <row r="423">
      <c r="AV423" s="0" t="s">
        <v>473</v>
      </c>
      <c r="AW423" s="0" t="s">
        <v>286</v>
      </c>
      <c r="AX423" s="0" t="s">
        <v>485</v>
      </c>
      <c r="AY423" s="0" t="s">
        <v>1891</v>
      </c>
      <c r="AZ423" s="0" t="s">
        <v>1892</v>
      </c>
      <c r="BA423" s="0" t="s">
        <v>285</v>
      </c>
      <c r="BB423" s="0" t="str">
        <f t="shared" si="6"/>
        <v>CCFNbeBuruku</v>
      </c>
    </row>
    <row r="424">
      <c r="AV424" s="0" t="s">
        <v>473</v>
      </c>
      <c r="AW424" s="0" t="s">
        <v>286</v>
      </c>
      <c r="AX424" s="0" t="s">
        <v>485</v>
      </c>
      <c r="AY424" s="0" t="s">
        <v>1893</v>
      </c>
      <c r="AZ424" s="0" t="s">
        <v>1894</v>
      </c>
      <c r="BA424" s="0" t="s">
        <v>285</v>
      </c>
      <c r="BB424" s="0" t="str">
        <f t="shared" si="6"/>
        <v>CCFNbeBuruku</v>
      </c>
    </row>
    <row r="425">
      <c r="AV425" s="0" t="s">
        <v>473</v>
      </c>
      <c r="AW425" s="0" t="s">
        <v>286</v>
      </c>
      <c r="AX425" s="0" t="s">
        <v>485</v>
      </c>
      <c r="AY425" s="0" t="s">
        <v>1895</v>
      </c>
      <c r="AZ425" s="0" t="s">
        <v>1896</v>
      </c>
      <c r="BA425" s="0" t="s">
        <v>285</v>
      </c>
      <c r="BB425" s="0" t="str">
        <f t="shared" si="6"/>
        <v>CCFNbeBuruku</v>
      </c>
    </row>
    <row r="426">
      <c r="AV426" s="0" t="s">
        <v>473</v>
      </c>
      <c r="AW426" s="0" t="s">
        <v>286</v>
      </c>
      <c r="AX426" s="0" t="s">
        <v>524</v>
      </c>
      <c r="AY426" s="0" t="s">
        <v>1897</v>
      </c>
      <c r="AZ426" s="0" t="s">
        <v>1898</v>
      </c>
      <c r="BA426" s="0" t="s">
        <v>285</v>
      </c>
      <c r="BB426" s="0" t="str">
        <f t="shared" si="6"/>
        <v>CCFNbeGboko</v>
      </c>
    </row>
    <row r="427">
      <c r="AV427" s="0" t="s">
        <v>473</v>
      </c>
      <c r="AW427" s="0" t="s">
        <v>286</v>
      </c>
      <c r="AX427" s="0" t="s">
        <v>564</v>
      </c>
      <c r="AY427" s="0" t="s">
        <v>1899</v>
      </c>
      <c r="AZ427" s="0" t="s">
        <v>1900</v>
      </c>
      <c r="BA427" s="0" t="s">
        <v>285</v>
      </c>
      <c r="BB427" s="0" t="str">
        <f t="shared" si="6"/>
        <v>CCFNbeGuma</v>
      </c>
    </row>
    <row r="428">
      <c r="AV428" s="0" t="s">
        <v>473</v>
      </c>
      <c r="AW428" s="0" t="s">
        <v>286</v>
      </c>
      <c r="AX428" s="0" t="s">
        <v>564</v>
      </c>
      <c r="AY428" s="0" t="s">
        <v>1901</v>
      </c>
      <c r="AZ428" s="0" t="s">
        <v>1902</v>
      </c>
      <c r="BA428" s="0" t="s">
        <v>285</v>
      </c>
      <c r="BB428" s="0" t="str">
        <f t="shared" si="6"/>
        <v>CCFNbeGuma</v>
      </c>
    </row>
    <row r="429">
      <c r="AV429" s="0" t="s">
        <v>473</v>
      </c>
      <c r="AW429" s="0" t="s">
        <v>286</v>
      </c>
      <c r="AX429" s="0" t="s">
        <v>602</v>
      </c>
      <c r="AY429" s="0" t="s">
        <v>289</v>
      </c>
      <c r="AZ429" s="0" t="s">
        <v>293</v>
      </c>
      <c r="BA429" s="0" t="s">
        <v>285</v>
      </c>
      <c r="BB429" s="0" t="str">
        <f t="shared" si="6"/>
        <v>CCFNbeGwerEast</v>
      </c>
    </row>
    <row r="430">
      <c r="AV430" s="0" t="s">
        <v>473</v>
      </c>
      <c r="AW430" s="0" t="s">
        <v>286</v>
      </c>
      <c r="AX430" s="0" t="s">
        <v>641</v>
      </c>
      <c r="AY430" s="0" t="s">
        <v>1903</v>
      </c>
      <c r="AZ430" s="0" t="s">
        <v>1904</v>
      </c>
      <c r="BA430" s="0" t="s">
        <v>285</v>
      </c>
      <c r="BB430" s="0" t="str">
        <f t="shared" si="6"/>
        <v>CCFNbeGwerWest</v>
      </c>
    </row>
    <row r="431">
      <c r="AV431" s="0" t="s">
        <v>473</v>
      </c>
      <c r="AW431" s="0" t="s">
        <v>286</v>
      </c>
      <c r="AX431" s="0" t="s">
        <v>641</v>
      </c>
      <c r="AY431" s="0" t="s">
        <v>1905</v>
      </c>
      <c r="AZ431" s="0" t="s">
        <v>1906</v>
      </c>
      <c r="BA431" s="0" t="s">
        <v>285</v>
      </c>
      <c r="BB431" s="0" t="str">
        <f t="shared" si="6"/>
        <v>CCFNbeGwerWest</v>
      </c>
    </row>
    <row r="432">
      <c r="AV432" s="0" t="s">
        <v>473</v>
      </c>
      <c r="AW432" s="0" t="s">
        <v>286</v>
      </c>
      <c r="AX432" s="0" t="s">
        <v>641</v>
      </c>
      <c r="AY432" s="0" t="s">
        <v>1907</v>
      </c>
      <c r="AZ432" s="0" t="s">
        <v>1908</v>
      </c>
      <c r="BA432" s="0" t="s">
        <v>285</v>
      </c>
      <c r="BB432" s="0" t="str">
        <f t="shared" si="6"/>
        <v>CCFNbeGwerWest</v>
      </c>
    </row>
    <row r="433">
      <c r="AV433" s="0" t="s">
        <v>473</v>
      </c>
      <c r="AW433" s="0" t="s">
        <v>286</v>
      </c>
      <c r="AX433" s="0" t="s">
        <v>679</v>
      </c>
      <c r="AY433" s="0" t="s">
        <v>1909</v>
      </c>
      <c r="AZ433" s="0" t="s">
        <v>1910</v>
      </c>
      <c r="BA433" s="0" t="s">
        <v>285</v>
      </c>
      <c r="BB433" s="0" t="str">
        <f t="shared" si="6"/>
        <v>CCFNbeKatsinaAla</v>
      </c>
    </row>
    <row r="434">
      <c r="AV434" s="0" t="s">
        <v>473</v>
      </c>
      <c r="AW434" s="0" t="s">
        <v>286</v>
      </c>
      <c r="AX434" s="0" t="s">
        <v>679</v>
      </c>
      <c r="AY434" s="0" t="s">
        <v>1911</v>
      </c>
      <c r="AZ434" s="0" t="s">
        <v>1912</v>
      </c>
      <c r="BA434" s="0" t="s">
        <v>285</v>
      </c>
      <c r="BB434" s="0" t="str">
        <f t="shared" si="6"/>
        <v>CCFNbeKatsinaAla</v>
      </c>
    </row>
    <row r="435">
      <c r="AV435" s="0" t="s">
        <v>473</v>
      </c>
      <c r="AW435" s="0" t="s">
        <v>286</v>
      </c>
      <c r="AX435" s="0" t="s">
        <v>679</v>
      </c>
      <c r="AY435" s="0" t="s">
        <v>1913</v>
      </c>
      <c r="AZ435" s="0" t="s">
        <v>1914</v>
      </c>
      <c r="BA435" s="0" t="s">
        <v>285</v>
      </c>
      <c r="BB435" s="0" t="str">
        <f t="shared" si="6"/>
        <v>CCFNbeKatsinaAla</v>
      </c>
    </row>
    <row r="436">
      <c r="AV436" s="0" t="s">
        <v>473</v>
      </c>
      <c r="AW436" s="0" t="s">
        <v>286</v>
      </c>
      <c r="AX436" s="0" t="s">
        <v>679</v>
      </c>
      <c r="AY436" s="0" t="s">
        <v>1915</v>
      </c>
      <c r="AZ436" s="0" t="s">
        <v>1916</v>
      </c>
      <c r="BA436" s="0" t="s">
        <v>285</v>
      </c>
      <c r="BB436" s="0" t="str">
        <f t="shared" si="6"/>
        <v>CCFNbeKatsinaAla</v>
      </c>
    </row>
    <row r="437">
      <c r="AV437" s="0" t="s">
        <v>473</v>
      </c>
      <c r="AW437" s="0" t="s">
        <v>286</v>
      </c>
      <c r="AX437" s="0" t="s">
        <v>715</v>
      </c>
      <c r="AY437" s="0" t="s">
        <v>1917</v>
      </c>
      <c r="AZ437" s="0" t="s">
        <v>1918</v>
      </c>
      <c r="BA437" s="0" t="s">
        <v>285</v>
      </c>
      <c r="BB437" s="0" t="str">
        <f t="shared" si="6"/>
        <v>CCFNbeKonshisha</v>
      </c>
    </row>
    <row r="438">
      <c r="AV438" s="0" t="s">
        <v>473</v>
      </c>
      <c r="AW438" s="0" t="s">
        <v>286</v>
      </c>
      <c r="AX438" s="0" t="s">
        <v>715</v>
      </c>
      <c r="AY438" s="0" t="s">
        <v>1919</v>
      </c>
      <c r="AZ438" s="0" t="s">
        <v>1920</v>
      </c>
      <c r="BA438" s="0" t="s">
        <v>285</v>
      </c>
      <c r="BB438" s="0" t="str">
        <f t="shared" si="6"/>
        <v>CCFNbeKonshisha</v>
      </c>
    </row>
    <row r="439">
      <c r="AV439" s="0" t="s">
        <v>473</v>
      </c>
      <c r="AW439" s="0" t="s">
        <v>286</v>
      </c>
      <c r="AX439" s="0" t="s">
        <v>715</v>
      </c>
      <c r="AY439" s="0" t="s">
        <v>1921</v>
      </c>
      <c r="AZ439" s="0" t="s">
        <v>1922</v>
      </c>
      <c r="BA439" s="0" t="s">
        <v>285</v>
      </c>
      <c r="BB439" s="0" t="str">
        <f t="shared" si="6"/>
        <v>CCFNbeKonshisha</v>
      </c>
    </row>
    <row r="440">
      <c r="AV440" s="0" t="s">
        <v>473</v>
      </c>
      <c r="AW440" s="0" t="s">
        <v>286</v>
      </c>
      <c r="AX440" s="0" t="s">
        <v>715</v>
      </c>
      <c r="AY440" s="0" t="s">
        <v>1923</v>
      </c>
      <c r="AZ440" s="0" t="s">
        <v>1924</v>
      </c>
      <c r="BA440" s="0" t="s">
        <v>285</v>
      </c>
      <c r="BB440" s="0" t="str">
        <f t="shared" si="6"/>
        <v>CCFNbeKonshisha</v>
      </c>
    </row>
    <row r="441">
      <c r="AV441" s="0" t="s">
        <v>473</v>
      </c>
      <c r="AW441" s="0" t="s">
        <v>286</v>
      </c>
      <c r="AX441" s="0" t="s">
        <v>715</v>
      </c>
      <c r="AY441" s="0" t="s">
        <v>1925</v>
      </c>
      <c r="AZ441" s="0" t="s">
        <v>1926</v>
      </c>
      <c r="BA441" s="0" t="s">
        <v>285</v>
      </c>
      <c r="BB441" s="0" t="str">
        <f t="shared" si="6"/>
        <v>CCFNbeKonshisha</v>
      </c>
    </row>
    <row r="442">
      <c r="AV442" s="0" t="s">
        <v>473</v>
      </c>
      <c r="AW442" s="0" t="s">
        <v>286</v>
      </c>
      <c r="AX442" s="0" t="s">
        <v>748</v>
      </c>
      <c r="AY442" s="0" t="s">
        <v>1927</v>
      </c>
      <c r="AZ442" s="0" t="s">
        <v>1928</v>
      </c>
      <c r="BA442" s="0" t="s">
        <v>285</v>
      </c>
      <c r="BB442" s="0" t="str">
        <f t="shared" si="6"/>
        <v>CCFNbeKwande</v>
      </c>
    </row>
    <row r="443">
      <c r="AV443" s="0" t="s">
        <v>473</v>
      </c>
      <c r="AW443" s="0" t="s">
        <v>286</v>
      </c>
      <c r="AX443" s="0" t="s">
        <v>748</v>
      </c>
      <c r="AY443" s="0" t="s">
        <v>1929</v>
      </c>
      <c r="AZ443" s="0" t="s">
        <v>1930</v>
      </c>
      <c r="BA443" s="0" t="s">
        <v>285</v>
      </c>
      <c r="BB443" s="0" t="str">
        <f t="shared" si="6"/>
        <v>CCFNbeKwande</v>
      </c>
    </row>
    <row r="444">
      <c r="AV444" s="0" t="s">
        <v>473</v>
      </c>
      <c r="AW444" s="0" t="s">
        <v>286</v>
      </c>
      <c r="AX444" s="0" t="s">
        <v>748</v>
      </c>
      <c r="AY444" s="0" t="s">
        <v>1931</v>
      </c>
      <c r="AZ444" s="0" t="s">
        <v>1932</v>
      </c>
      <c r="BA444" s="0" t="s">
        <v>285</v>
      </c>
      <c r="BB444" s="0" t="str">
        <f t="shared" si="6"/>
        <v>CCFNbeKwande</v>
      </c>
    </row>
    <row r="445">
      <c r="AV445" s="0" t="s">
        <v>473</v>
      </c>
      <c r="AW445" s="0" t="s">
        <v>286</v>
      </c>
      <c r="AX445" s="0" t="s">
        <v>748</v>
      </c>
      <c r="AY445" s="0" t="s">
        <v>1933</v>
      </c>
      <c r="AZ445" s="0" t="s">
        <v>1934</v>
      </c>
      <c r="BA445" s="0" t="s">
        <v>285</v>
      </c>
      <c r="BB445" s="0" t="str">
        <f t="shared" si="6"/>
        <v>CCFNbeKwande</v>
      </c>
    </row>
    <row r="446">
      <c r="AV446" s="0" t="s">
        <v>473</v>
      </c>
      <c r="AW446" s="0" t="s">
        <v>286</v>
      </c>
      <c r="AX446" s="0" t="s">
        <v>780</v>
      </c>
      <c r="AY446" s="0" t="s">
        <v>1935</v>
      </c>
      <c r="AZ446" s="0" t="s">
        <v>1936</v>
      </c>
      <c r="BA446" s="0" t="s">
        <v>285</v>
      </c>
      <c r="BB446" s="0" t="str">
        <f t="shared" si="6"/>
        <v>CCFNbeLogo</v>
      </c>
    </row>
    <row r="447">
      <c r="AV447" s="0" t="s">
        <v>473</v>
      </c>
      <c r="AW447" s="0" t="s">
        <v>286</v>
      </c>
      <c r="AX447" s="0" t="s">
        <v>780</v>
      </c>
      <c r="AY447" s="0" t="s">
        <v>1937</v>
      </c>
      <c r="AZ447" s="0" t="s">
        <v>1938</v>
      </c>
      <c r="BA447" s="0" t="s">
        <v>285</v>
      </c>
      <c r="BB447" s="0" t="str">
        <f t="shared" si="6"/>
        <v>CCFNbeLogo</v>
      </c>
    </row>
    <row r="448">
      <c r="AV448" s="0" t="s">
        <v>473</v>
      </c>
      <c r="AW448" s="0" t="s">
        <v>286</v>
      </c>
      <c r="AX448" s="0" t="s">
        <v>810</v>
      </c>
      <c r="AY448" s="0" t="s">
        <v>1939</v>
      </c>
      <c r="AZ448" s="0" t="s">
        <v>1940</v>
      </c>
      <c r="BA448" s="0" t="s">
        <v>285</v>
      </c>
      <c r="BB448" s="0" t="str">
        <f t="shared" si="6"/>
        <v>CCFNbeMakurdi</v>
      </c>
    </row>
    <row r="449">
      <c r="AV449" s="0" t="s">
        <v>473</v>
      </c>
      <c r="AW449" s="0" t="s">
        <v>286</v>
      </c>
      <c r="AX449" s="0" t="s">
        <v>839</v>
      </c>
      <c r="AY449" s="0" t="s">
        <v>1941</v>
      </c>
      <c r="AZ449" s="0" t="s">
        <v>1942</v>
      </c>
      <c r="BA449" s="0" t="s">
        <v>285</v>
      </c>
      <c r="BB449" s="0" t="str">
        <f t="shared" si="6"/>
        <v>CCFNbeOkpokwu</v>
      </c>
    </row>
    <row r="450">
      <c r="AV450" s="0" t="s">
        <v>473</v>
      </c>
      <c r="AW450" s="0" t="s">
        <v>286</v>
      </c>
      <c r="AX450" s="0" t="s">
        <v>839</v>
      </c>
      <c r="AY450" s="0" t="s">
        <v>1943</v>
      </c>
      <c r="AZ450" s="0" t="s">
        <v>1944</v>
      </c>
      <c r="BA450" s="0" t="s">
        <v>285</v>
      </c>
      <c r="BB450" s="0" t="str">
        <f t="shared" si="6"/>
        <v>CCFNbeOkpokwu</v>
      </c>
    </row>
    <row r="451">
      <c r="AV451" s="0" t="s">
        <v>473</v>
      </c>
      <c r="AW451" s="0" t="s">
        <v>286</v>
      </c>
      <c r="AX451" s="0" t="s">
        <v>839</v>
      </c>
      <c r="AY451" s="0" t="s">
        <v>1945</v>
      </c>
      <c r="AZ451" s="0" t="s">
        <v>1946</v>
      </c>
      <c r="BA451" s="0" t="s">
        <v>285</v>
      </c>
      <c r="BB451" s="0" t="str">
        <f ref="BB451:BB514" t="shared" si="7">SUBSTITUTE(SUBSTITUTE(BA451&amp;AX451," ",""),"-","")</f>
        <v>CCFNbeOkpokwu</v>
      </c>
    </row>
    <row r="452">
      <c r="AV452" s="0" t="s">
        <v>473</v>
      </c>
      <c r="AW452" s="0" t="s">
        <v>286</v>
      </c>
      <c r="AX452" s="0" t="s">
        <v>867</v>
      </c>
      <c r="AY452" s="0" t="s">
        <v>1947</v>
      </c>
      <c r="AZ452" s="0" t="s">
        <v>1948</v>
      </c>
      <c r="BA452" s="0" t="s">
        <v>285</v>
      </c>
      <c r="BB452" s="0" t="str">
        <f t="shared" si="7"/>
        <v>CCFNbeOtukpo</v>
      </c>
    </row>
    <row r="453">
      <c r="AV453" s="0" t="s">
        <v>473</v>
      </c>
      <c r="AW453" s="0" t="s">
        <v>286</v>
      </c>
      <c r="AX453" s="0" t="s">
        <v>867</v>
      </c>
      <c r="AY453" s="0" t="s">
        <v>1949</v>
      </c>
      <c r="AZ453" s="0" t="s">
        <v>1950</v>
      </c>
      <c r="BA453" s="0" t="s">
        <v>285</v>
      </c>
      <c r="BB453" s="0" t="str">
        <f t="shared" si="7"/>
        <v>CCFNbeOtukpo</v>
      </c>
    </row>
    <row r="454">
      <c r="AV454" s="0" t="s">
        <v>473</v>
      </c>
      <c r="AW454" s="0" t="s">
        <v>286</v>
      </c>
      <c r="AX454" s="0" t="s">
        <v>867</v>
      </c>
      <c r="AY454" s="0" t="s">
        <v>1951</v>
      </c>
      <c r="AZ454" s="0" t="s">
        <v>1952</v>
      </c>
      <c r="BA454" s="0" t="s">
        <v>285</v>
      </c>
      <c r="BB454" s="0" t="str">
        <f t="shared" si="7"/>
        <v>CCFNbeOtukpo</v>
      </c>
    </row>
    <row r="455">
      <c r="AV455" s="0" t="s">
        <v>473</v>
      </c>
      <c r="AW455" s="0" t="s">
        <v>286</v>
      </c>
      <c r="AX455" s="0" t="s">
        <v>893</v>
      </c>
      <c r="AY455" s="0" t="s">
        <v>1953</v>
      </c>
      <c r="AZ455" s="0" t="s">
        <v>1954</v>
      </c>
      <c r="BA455" s="0" t="s">
        <v>285</v>
      </c>
      <c r="BB455" s="0" t="str">
        <f t="shared" si="7"/>
        <v>CCFNbeTarka</v>
      </c>
    </row>
    <row r="456">
      <c r="AV456" s="0" t="s">
        <v>473</v>
      </c>
      <c r="AW456" s="0" t="s">
        <v>286</v>
      </c>
      <c r="AX456" s="0" t="s">
        <v>893</v>
      </c>
      <c r="AY456" s="0" t="s">
        <v>1955</v>
      </c>
      <c r="AZ456" s="0" t="s">
        <v>1956</v>
      </c>
      <c r="BA456" s="0" t="s">
        <v>285</v>
      </c>
      <c r="BB456" s="0" t="str">
        <f t="shared" si="7"/>
        <v>CCFNbeTarka</v>
      </c>
    </row>
    <row r="457">
      <c r="AV457" s="0" t="s">
        <v>473</v>
      </c>
      <c r="AW457" s="0" t="s">
        <v>286</v>
      </c>
      <c r="AX457" s="0" t="s">
        <v>918</v>
      </c>
      <c r="AY457" s="0" t="s">
        <v>1957</v>
      </c>
      <c r="AZ457" s="0" t="s">
        <v>1958</v>
      </c>
      <c r="BA457" s="0" t="s">
        <v>285</v>
      </c>
      <c r="BB457" s="0" t="str">
        <f t="shared" si="7"/>
        <v>CCFNbeUkum</v>
      </c>
    </row>
    <row r="458">
      <c r="AV458" s="0" t="s">
        <v>473</v>
      </c>
      <c r="AW458" s="0" t="s">
        <v>286</v>
      </c>
      <c r="AX458" s="0" t="s">
        <v>918</v>
      </c>
      <c r="AY458" s="0" t="s">
        <v>1959</v>
      </c>
      <c r="AZ458" s="0" t="s">
        <v>1960</v>
      </c>
      <c r="BA458" s="0" t="s">
        <v>285</v>
      </c>
      <c r="BB458" s="0" t="str">
        <f t="shared" si="7"/>
        <v>CCFNbeUkum</v>
      </c>
    </row>
    <row r="459">
      <c r="AV459" s="0" t="s">
        <v>473</v>
      </c>
      <c r="AW459" s="0" t="s">
        <v>286</v>
      </c>
      <c r="AX459" s="0" t="s">
        <v>918</v>
      </c>
      <c r="AY459" s="0" t="s">
        <v>1961</v>
      </c>
      <c r="AZ459" s="0" t="s">
        <v>1962</v>
      </c>
      <c r="BA459" s="0" t="s">
        <v>285</v>
      </c>
      <c r="BB459" s="0" t="str">
        <f t="shared" si="7"/>
        <v>CCFNbeUkum</v>
      </c>
    </row>
    <row r="460">
      <c r="AV460" s="0" t="s">
        <v>473</v>
      </c>
      <c r="AW460" s="0" t="s">
        <v>286</v>
      </c>
      <c r="AX460" s="0" t="s">
        <v>942</v>
      </c>
      <c r="AY460" s="0" t="s">
        <v>1963</v>
      </c>
      <c r="AZ460" s="0" t="s">
        <v>1964</v>
      </c>
      <c r="BA460" s="0" t="s">
        <v>285</v>
      </c>
      <c r="BB460" s="0" t="str">
        <f t="shared" si="7"/>
        <v>CCFNbeUshongo</v>
      </c>
    </row>
    <row r="461">
      <c r="AV461" s="0" t="s">
        <v>473</v>
      </c>
      <c r="AW461" s="0" t="s">
        <v>286</v>
      </c>
      <c r="AX461" s="0" t="s">
        <v>942</v>
      </c>
      <c r="AY461" s="0" t="s">
        <v>1965</v>
      </c>
      <c r="AZ461" s="0" t="s">
        <v>1966</v>
      </c>
      <c r="BA461" s="0" t="s">
        <v>285</v>
      </c>
      <c r="BB461" s="0" t="str">
        <f t="shared" si="7"/>
        <v>CCFNbeUshongo</v>
      </c>
    </row>
    <row r="462">
      <c r="AV462" s="0" t="s">
        <v>473</v>
      </c>
      <c r="AW462" s="0" t="s">
        <v>286</v>
      </c>
      <c r="AX462" s="0" t="s">
        <v>942</v>
      </c>
      <c r="AY462" s="0" t="s">
        <v>1967</v>
      </c>
      <c r="AZ462" s="0" t="s">
        <v>1968</v>
      </c>
      <c r="BA462" s="0" t="s">
        <v>285</v>
      </c>
      <c r="BB462" s="0" t="str">
        <f t="shared" si="7"/>
        <v>CCFNbeUshongo</v>
      </c>
    </row>
    <row r="463">
      <c r="AV463" s="0" t="s">
        <v>473</v>
      </c>
      <c r="AW463" s="0" t="s">
        <v>286</v>
      </c>
      <c r="AX463" s="0" t="s">
        <v>942</v>
      </c>
      <c r="AY463" s="0" t="s">
        <v>1969</v>
      </c>
      <c r="AZ463" s="0" t="s">
        <v>1970</v>
      </c>
      <c r="BA463" s="0" t="s">
        <v>285</v>
      </c>
      <c r="BB463" s="0" t="str">
        <f t="shared" si="7"/>
        <v>CCFNbeUshongo</v>
      </c>
    </row>
    <row r="464">
      <c r="AV464" s="0" t="s">
        <v>473</v>
      </c>
      <c r="AW464" s="0" t="s">
        <v>286</v>
      </c>
      <c r="AX464" s="0" t="s">
        <v>942</v>
      </c>
      <c r="AY464" s="0" t="s">
        <v>1971</v>
      </c>
      <c r="AZ464" s="0" t="s">
        <v>1972</v>
      </c>
      <c r="BA464" s="0" t="s">
        <v>285</v>
      </c>
      <c r="BB464" s="0" t="str">
        <f t="shared" si="7"/>
        <v>CCFNbeUshongo</v>
      </c>
    </row>
    <row r="465">
      <c r="AV465" s="0" t="s">
        <v>473</v>
      </c>
      <c r="AW465" s="0" t="s">
        <v>286</v>
      </c>
      <c r="AX465" s="0" t="s">
        <v>942</v>
      </c>
      <c r="AY465" s="0" t="s">
        <v>1973</v>
      </c>
      <c r="AZ465" s="0" t="s">
        <v>1974</v>
      </c>
      <c r="BA465" s="0" t="s">
        <v>285</v>
      </c>
      <c r="BB465" s="0" t="str">
        <f t="shared" si="7"/>
        <v>CCFNbeUshongo</v>
      </c>
    </row>
    <row r="466">
      <c r="AV466" s="0" t="s">
        <v>473</v>
      </c>
      <c r="AW466" s="0" t="s">
        <v>286</v>
      </c>
      <c r="AX466" s="0" t="s">
        <v>942</v>
      </c>
      <c r="AY466" s="0" t="s">
        <v>1975</v>
      </c>
      <c r="AZ466" s="0" t="s">
        <v>1976</v>
      </c>
      <c r="BA466" s="0" t="s">
        <v>285</v>
      </c>
      <c r="BB466" s="0" t="str">
        <f t="shared" si="7"/>
        <v>CCFNbeUshongo</v>
      </c>
    </row>
    <row r="467">
      <c r="AV467" s="0" t="s">
        <v>473</v>
      </c>
      <c r="AW467" s="0" t="s">
        <v>286</v>
      </c>
      <c r="AX467" s="0" t="s">
        <v>965</v>
      </c>
      <c r="AY467" s="0" t="s">
        <v>1977</v>
      </c>
      <c r="AZ467" s="0" t="s">
        <v>1978</v>
      </c>
      <c r="BA467" s="0" t="s">
        <v>285</v>
      </c>
      <c r="BB467" s="0" t="str">
        <f t="shared" si="7"/>
        <v>CCFNbeVandeikya</v>
      </c>
    </row>
    <row r="468">
      <c r="AV468" s="0" t="s">
        <v>473</v>
      </c>
      <c r="AW468" s="0" t="s">
        <v>286</v>
      </c>
      <c r="AX468" s="0" t="s">
        <v>965</v>
      </c>
      <c r="AY468" s="0" t="s">
        <v>1979</v>
      </c>
      <c r="AZ468" s="0" t="s">
        <v>1980</v>
      </c>
      <c r="BA468" s="0" t="s">
        <v>285</v>
      </c>
      <c r="BB468" s="0" t="str">
        <f t="shared" si="7"/>
        <v>CCFNbeVandeikya</v>
      </c>
    </row>
    <row r="469">
      <c r="AV469" s="0" t="s">
        <v>473</v>
      </c>
      <c r="AW469" s="0" t="s">
        <v>286</v>
      </c>
      <c r="AX469" s="0" t="s">
        <v>965</v>
      </c>
      <c r="AY469" s="0" t="s">
        <v>1981</v>
      </c>
      <c r="AZ469" s="0" t="s">
        <v>1982</v>
      </c>
      <c r="BA469" s="0" t="s">
        <v>285</v>
      </c>
      <c r="BB469" s="0" t="str">
        <f t="shared" si="7"/>
        <v>CCFNbeVandeikya</v>
      </c>
    </row>
    <row r="470">
      <c r="AV470" s="0" t="s">
        <v>473</v>
      </c>
      <c r="AW470" s="0" t="s">
        <v>286</v>
      </c>
      <c r="AX470" s="0" t="s">
        <v>965</v>
      </c>
      <c r="AY470" s="0" t="s">
        <v>1983</v>
      </c>
      <c r="AZ470" s="0" t="s">
        <v>1984</v>
      </c>
      <c r="BA470" s="0" t="s">
        <v>285</v>
      </c>
      <c r="BB470" s="0" t="str">
        <f t="shared" si="7"/>
        <v>CCFNbeVandeikya</v>
      </c>
    </row>
    <row r="471">
      <c r="AV471" s="0" t="s">
        <v>473</v>
      </c>
      <c r="AW471" s="0" t="s">
        <v>286</v>
      </c>
      <c r="AX471" s="0" t="s">
        <v>965</v>
      </c>
      <c r="AY471" s="0" t="s">
        <v>1985</v>
      </c>
      <c r="AZ471" s="0" t="s">
        <v>1986</v>
      </c>
      <c r="BA471" s="0" t="s">
        <v>285</v>
      </c>
      <c r="BB471" s="0" t="str">
        <f t="shared" si="7"/>
        <v>CCFNbeVandeikya</v>
      </c>
    </row>
    <row r="472">
      <c r="AV472" s="0" t="s">
        <v>473</v>
      </c>
      <c r="AW472" s="0" t="s">
        <v>286</v>
      </c>
      <c r="AX472" s="0" t="s">
        <v>965</v>
      </c>
      <c r="AY472" s="0" t="s">
        <v>1987</v>
      </c>
      <c r="AZ472" s="0" t="s">
        <v>1988</v>
      </c>
      <c r="BA472" s="0" t="s">
        <v>285</v>
      </c>
      <c r="BB472" s="0" t="str">
        <f t="shared" si="7"/>
        <v>CCFNbeVandeikya</v>
      </c>
    </row>
    <row r="473">
      <c r="AV473" s="0" t="s">
        <v>473</v>
      </c>
      <c r="AW473" s="0" t="s">
        <v>399</v>
      </c>
      <c r="AX473" s="0" t="s">
        <v>446</v>
      </c>
      <c r="AY473" s="0" t="s">
        <v>1989</v>
      </c>
      <c r="AZ473" s="0" t="s">
        <v>1990</v>
      </c>
      <c r="BA473" s="0" t="s">
        <v>285</v>
      </c>
      <c r="BB473" s="0" t="str">
        <f t="shared" si="7"/>
        <v>CCFNdeAniochaNorth</v>
      </c>
    </row>
    <row r="474">
      <c r="AV474" s="0" t="s">
        <v>473</v>
      </c>
      <c r="AW474" s="0" t="s">
        <v>399</v>
      </c>
      <c r="AX474" s="0" t="s">
        <v>488</v>
      </c>
      <c r="AY474" s="0" t="s">
        <v>1991</v>
      </c>
      <c r="AZ474" s="0" t="s">
        <v>1992</v>
      </c>
      <c r="BA474" s="0" t="s">
        <v>285</v>
      </c>
      <c r="BB474" s="0" t="str">
        <f t="shared" si="7"/>
        <v>CCFNdeEthiopeEast</v>
      </c>
    </row>
    <row r="475">
      <c r="AV475" s="0" t="s">
        <v>473</v>
      </c>
      <c r="AW475" s="0" t="s">
        <v>399</v>
      </c>
      <c r="AX475" s="0" t="s">
        <v>488</v>
      </c>
      <c r="AY475" s="0" t="s">
        <v>1993</v>
      </c>
      <c r="AZ475" s="0" t="s">
        <v>1994</v>
      </c>
      <c r="BA475" s="0" t="s">
        <v>285</v>
      </c>
      <c r="BB475" s="0" t="str">
        <f t="shared" si="7"/>
        <v>CCFNdeEthiopeEast</v>
      </c>
    </row>
    <row r="476">
      <c r="AV476" s="0" t="s">
        <v>473</v>
      </c>
      <c r="AW476" s="0" t="s">
        <v>399</v>
      </c>
      <c r="AX476" s="0" t="s">
        <v>527</v>
      </c>
      <c r="AY476" s="0" t="s">
        <v>1995</v>
      </c>
      <c r="AZ476" s="0" t="s">
        <v>1996</v>
      </c>
      <c r="BA476" s="0" t="s">
        <v>285</v>
      </c>
      <c r="BB476" s="0" t="str">
        <f t="shared" si="7"/>
        <v>CCFNdeSapele</v>
      </c>
    </row>
    <row r="477">
      <c r="AV477" s="0" t="s">
        <v>473</v>
      </c>
      <c r="AW477" s="0" t="s">
        <v>399</v>
      </c>
      <c r="AX477" s="0" t="s">
        <v>567</v>
      </c>
      <c r="AY477" s="0" t="s">
        <v>1997</v>
      </c>
      <c r="AZ477" s="0" t="s">
        <v>1998</v>
      </c>
      <c r="BA477" s="0" t="s">
        <v>285</v>
      </c>
      <c r="BB477" s="0" t="str">
        <f t="shared" si="7"/>
        <v>CCFNdeWarriNorth</v>
      </c>
    </row>
    <row r="478">
      <c r="AV478" s="0" t="s">
        <v>473</v>
      </c>
      <c r="AW478" s="0" t="s">
        <v>404</v>
      </c>
      <c r="AX478" s="0" t="s">
        <v>451</v>
      </c>
      <c r="AY478" s="0" t="s">
        <v>1999</v>
      </c>
      <c r="AZ478" s="0" t="s">
        <v>2000</v>
      </c>
      <c r="BA478" s="0" t="s">
        <v>285</v>
      </c>
      <c r="BB478" s="0" t="str">
        <f t="shared" si="7"/>
        <v>CCFNfcAbujaMunicipalAreaCouncil</v>
      </c>
    </row>
    <row r="479">
      <c r="AV479" s="0" t="s">
        <v>473</v>
      </c>
      <c r="AW479" s="0" t="s">
        <v>404</v>
      </c>
      <c r="AX479" s="0" t="s">
        <v>451</v>
      </c>
      <c r="AY479" s="0" t="s">
        <v>2001</v>
      </c>
      <c r="AZ479" s="0" t="s">
        <v>2002</v>
      </c>
      <c r="BA479" s="0" t="s">
        <v>285</v>
      </c>
      <c r="BB479" s="0" t="str">
        <f t="shared" si="7"/>
        <v>CCFNfcAbujaMunicipalAreaCouncil</v>
      </c>
    </row>
    <row r="480">
      <c r="AV480" s="0" t="s">
        <v>473</v>
      </c>
      <c r="AW480" s="0" t="s">
        <v>404</v>
      </c>
      <c r="AX480" s="0" t="s">
        <v>451</v>
      </c>
      <c r="AY480" s="0" t="s">
        <v>2003</v>
      </c>
      <c r="AZ480" s="0" t="s">
        <v>2004</v>
      </c>
      <c r="BA480" s="0" t="s">
        <v>285</v>
      </c>
      <c r="BB480" s="0" t="str">
        <f t="shared" si="7"/>
        <v>CCFNfcAbujaMunicipalAreaCouncil</v>
      </c>
    </row>
    <row r="481">
      <c r="AV481" s="0" t="s">
        <v>473</v>
      </c>
      <c r="AW481" s="0" t="s">
        <v>404</v>
      </c>
      <c r="AX481" s="0" t="s">
        <v>451</v>
      </c>
      <c r="AY481" s="0" t="s">
        <v>2005</v>
      </c>
      <c r="AZ481" s="0" t="s">
        <v>2006</v>
      </c>
      <c r="BA481" s="0" t="s">
        <v>285</v>
      </c>
      <c r="BB481" s="0" t="str">
        <f t="shared" si="7"/>
        <v>CCFNfcAbujaMunicipalAreaCouncil</v>
      </c>
    </row>
    <row r="482">
      <c r="AV482" s="0" t="s">
        <v>473</v>
      </c>
      <c r="AW482" s="0" t="s">
        <v>404</v>
      </c>
      <c r="AX482" s="0" t="s">
        <v>493</v>
      </c>
      <c r="AY482" s="0" t="s">
        <v>2007</v>
      </c>
      <c r="AZ482" s="0" t="s">
        <v>2008</v>
      </c>
      <c r="BA482" s="0" t="s">
        <v>285</v>
      </c>
      <c r="BB482" s="0" t="str">
        <f t="shared" si="7"/>
        <v>CCFNfcBwari</v>
      </c>
    </row>
    <row r="483">
      <c r="AV483" s="0" t="s">
        <v>473</v>
      </c>
      <c r="AW483" s="0" t="s">
        <v>404</v>
      </c>
      <c r="AX483" s="0" t="s">
        <v>493</v>
      </c>
      <c r="AY483" s="0" t="s">
        <v>2009</v>
      </c>
      <c r="AZ483" s="0" t="s">
        <v>2010</v>
      </c>
      <c r="BA483" s="0" t="s">
        <v>285</v>
      </c>
      <c r="BB483" s="0" t="str">
        <f t="shared" si="7"/>
        <v>CCFNfcBwari</v>
      </c>
    </row>
    <row r="484">
      <c r="AV484" s="0" t="s">
        <v>473</v>
      </c>
      <c r="AW484" s="0" t="s">
        <v>404</v>
      </c>
      <c r="AX484" s="0" t="s">
        <v>493</v>
      </c>
      <c r="AY484" s="0" t="s">
        <v>2011</v>
      </c>
      <c r="AZ484" s="0" t="s">
        <v>2012</v>
      </c>
      <c r="BA484" s="0" t="s">
        <v>285</v>
      </c>
      <c r="BB484" s="0" t="str">
        <f t="shared" si="7"/>
        <v>CCFNfcBwari</v>
      </c>
    </row>
    <row r="485">
      <c r="AV485" s="0" t="s">
        <v>473</v>
      </c>
      <c r="AW485" s="0" t="s">
        <v>408</v>
      </c>
      <c r="AX485" s="0" t="s">
        <v>455</v>
      </c>
      <c r="AY485" s="0" t="s">
        <v>2013</v>
      </c>
      <c r="AZ485" s="0" t="s">
        <v>2014</v>
      </c>
      <c r="BA485" s="0" t="s">
        <v>285</v>
      </c>
      <c r="BB485" s="0" t="str">
        <f t="shared" si="7"/>
        <v>CCFNkdChikun</v>
      </c>
    </row>
    <row r="486">
      <c r="AV486" s="0" t="s">
        <v>473</v>
      </c>
      <c r="AW486" s="0" t="s">
        <v>408</v>
      </c>
      <c r="AX486" s="0" t="s">
        <v>455</v>
      </c>
      <c r="AY486" s="0" t="s">
        <v>2015</v>
      </c>
      <c r="AZ486" s="0" t="s">
        <v>2016</v>
      </c>
      <c r="BA486" s="0" t="s">
        <v>285</v>
      </c>
      <c r="BB486" s="0" t="str">
        <f t="shared" si="7"/>
        <v>CCFNkdChikun</v>
      </c>
    </row>
    <row r="487">
      <c r="AV487" s="0" t="s">
        <v>473</v>
      </c>
      <c r="AW487" s="0" t="s">
        <v>408</v>
      </c>
      <c r="AX487" s="0" t="s">
        <v>2017</v>
      </c>
      <c r="AY487" s="0" t="s">
        <v>2018</v>
      </c>
      <c r="AZ487" s="0" t="s">
        <v>2019</v>
      </c>
      <c r="BA487" s="0" t="s">
        <v>285</v>
      </c>
      <c r="BB487" s="0" t="str">
        <f t="shared" si="7"/>
        <v>CCFNkdJemaa</v>
      </c>
    </row>
    <row r="488">
      <c r="AV488" s="0" t="s">
        <v>473</v>
      </c>
      <c r="AW488" s="0" t="s">
        <v>408</v>
      </c>
      <c r="AX488" s="0" t="s">
        <v>536</v>
      </c>
      <c r="AY488" s="0" t="s">
        <v>2020</v>
      </c>
      <c r="AZ488" s="0" t="s">
        <v>2021</v>
      </c>
      <c r="BA488" s="0" t="s">
        <v>285</v>
      </c>
      <c r="BB488" s="0" t="str">
        <f t="shared" si="7"/>
        <v>CCFNkdKadunaSouth</v>
      </c>
    </row>
    <row r="489">
      <c r="AV489" s="0" t="s">
        <v>473</v>
      </c>
      <c r="AW489" s="0" t="s">
        <v>408</v>
      </c>
      <c r="AX489" s="0" t="s">
        <v>576</v>
      </c>
      <c r="AY489" s="0" t="s">
        <v>2022</v>
      </c>
      <c r="AZ489" s="0" t="s">
        <v>2023</v>
      </c>
      <c r="BA489" s="0" t="s">
        <v>285</v>
      </c>
      <c r="BB489" s="0" t="str">
        <f t="shared" si="7"/>
        <v>CCFNkdKubau</v>
      </c>
    </row>
    <row r="490">
      <c r="AV490" s="0" t="s">
        <v>473</v>
      </c>
      <c r="AW490" s="0" t="s">
        <v>408</v>
      </c>
      <c r="AX490" s="0" t="s">
        <v>614</v>
      </c>
      <c r="AY490" s="0" t="s">
        <v>2024</v>
      </c>
      <c r="AZ490" s="0" t="s">
        <v>2025</v>
      </c>
      <c r="BA490" s="0" t="s">
        <v>285</v>
      </c>
      <c r="BB490" s="0" t="str">
        <f t="shared" si="7"/>
        <v>CCFNkdLere</v>
      </c>
    </row>
    <row r="491">
      <c r="AV491" s="0" t="s">
        <v>473</v>
      </c>
      <c r="AW491" s="0" t="s">
        <v>408</v>
      </c>
      <c r="AX491" s="0" t="s">
        <v>614</v>
      </c>
      <c r="AY491" s="0" t="s">
        <v>2026</v>
      </c>
      <c r="AZ491" s="0" t="s">
        <v>2027</v>
      </c>
      <c r="BA491" s="0" t="s">
        <v>285</v>
      </c>
      <c r="BB491" s="0" t="str">
        <f t="shared" si="7"/>
        <v>CCFNkdLere</v>
      </c>
    </row>
    <row r="492">
      <c r="AV492" s="0" t="s">
        <v>473</v>
      </c>
      <c r="AW492" s="0" t="s">
        <v>408</v>
      </c>
      <c r="AX492" s="0" t="s">
        <v>653</v>
      </c>
      <c r="AY492" s="0" t="s">
        <v>2028</v>
      </c>
      <c r="AZ492" s="0" t="s">
        <v>2029</v>
      </c>
      <c r="BA492" s="0" t="s">
        <v>285</v>
      </c>
      <c r="BB492" s="0" t="str">
        <f t="shared" si="7"/>
        <v>CCFNkdSanga</v>
      </c>
    </row>
    <row r="493">
      <c r="AV493" s="0" t="s">
        <v>473</v>
      </c>
      <c r="AW493" s="0" t="s">
        <v>408</v>
      </c>
      <c r="AX493" s="0" t="s">
        <v>689</v>
      </c>
      <c r="AY493" s="0" t="s">
        <v>2030</v>
      </c>
      <c r="AZ493" s="0" t="s">
        <v>2031</v>
      </c>
      <c r="BA493" s="0" t="s">
        <v>285</v>
      </c>
      <c r="BB493" s="0" t="str">
        <f t="shared" si="7"/>
        <v>CCFNkdZangoKataf</v>
      </c>
    </row>
    <row r="494">
      <c r="AV494" s="0" t="s">
        <v>473</v>
      </c>
      <c r="AW494" s="0" t="s">
        <v>408</v>
      </c>
      <c r="AX494" s="0" t="s">
        <v>689</v>
      </c>
      <c r="AY494" s="0" t="s">
        <v>2032</v>
      </c>
      <c r="AZ494" s="0" t="s">
        <v>2033</v>
      </c>
      <c r="BA494" s="0" t="s">
        <v>285</v>
      </c>
      <c r="BB494" s="0" t="str">
        <f t="shared" si="7"/>
        <v>CCFNkdZangoKataf</v>
      </c>
    </row>
    <row r="495">
      <c r="AV495" s="0" t="s">
        <v>473</v>
      </c>
      <c r="AW495" s="0" t="s">
        <v>412</v>
      </c>
      <c r="AX495" s="0" t="s">
        <v>1298</v>
      </c>
      <c r="AY495" s="0" t="s">
        <v>2034</v>
      </c>
      <c r="AZ495" s="0" t="s">
        <v>2035</v>
      </c>
      <c r="BA495" s="0" t="s">
        <v>285</v>
      </c>
      <c r="BB495" s="0" t="str">
        <f t="shared" si="7"/>
        <v>CCFNkoDekina</v>
      </c>
    </row>
    <row r="496">
      <c r="AV496" s="0" t="s">
        <v>473</v>
      </c>
      <c r="AW496" s="0" t="s">
        <v>412</v>
      </c>
      <c r="AX496" s="0" t="s">
        <v>1298</v>
      </c>
      <c r="AY496" s="0" t="s">
        <v>2036</v>
      </c>
      <c r="AZ496" s="0" t="s">
        <v>2037</v>
      </c>
      <c r="BA496" s="0" t="s">
        <v>285</v>
      </c>
      <c r="BB496" s="0" t="str">
        <f t="shared" si="7"/>
        <v>CCFNkoDekina</v>
      </c>
    </row>
    <row r="497">
      <c r="AV497" s="0" t="s">
        <v>473</v>
      </c>
      <c r="AW497" s="0" t="s">
        <v>412</v>
      </c>
      <c r="AX497" s="0" t="s">
        <v>1298</v>
      </c>
      <c r="AY497" s="0" t="s">
        <v>2038</v>
      </c>
      <c r="AZ497" s="0" t="s">
        <v>2039</v>
      </c>
      <c r="BA497" s="0" t="s">
        <v>285</v>
      </c>
      <c r="BB497" s="0" t="str">
        <f t="shared" si="7"/>
        <v>CCFNkoDekina</v>
      </c>
    </row>
    <row r="498">
      <c r="AV498" s="0" t="s">
        <v>473</v>
      </c>
      <c r="AW498" s="0" t="s">
        <v>412</v>
      </c>
      <c r="AX498" s="0" t="s">
        <v>1301</v>
      </c>
      <c r="AY498" s="0" t="s">
        <v>2040</v>
      </c>
      <c r="AZ498" s="0" t="s">
        <v>2041</v>
      </c>
      <c r="BA498" s="0" t="s">
        <v>285</v>
      </c>
      <c r="BB498" s="0" t="str">
        <f t="shared" si="7"/>
        <v>CCFNkoIdah</v>
      </c>
    </row>
    <row r="499">
      <c r="AV499" s="0" t="s">
        <v>473</v>
      </c>
      <c r="AW499" s="0" t="s">
        <v>412</v>
      </c>
      <c r="AX499" s="0" t="s">
        <v>1304</v>
      </c>
      <c r="AY499" s="0" t="s">
        <v>2042</v>
      </c>
      <c r="AZ499" s="0" t="s">
        <v>2043</v>
      </c>
      <c r="BA499" s="0" t="s">
        <v>285</v>
      </c>
      <c r="BB499" s="0" t="str">
        <f t="shared" si="7"/>
        <v>CCFNkoKabba</v>
      </c>
    </row>
    <row r="500">
      <c r="AV500" s="0" t="s">
        <v>473</v>
      </c>
      <c r="AW500" s="0" t="s">
        <v>414</v>
      </c>
      <c r="AX500" s="0" t="s">
        <v>461</v>
      </c>
      <c r="AY500" s="0" t="s">
        <v>2044</v>
      </c>
      <c r="AZ500" s="0" t="s">
        <v>2045</v>
      </c>
      <c r="BA500" s="0" t="s">
        <v>285</v>
      </c>
      <c r="BB500" s="0" t="str">
        <f t="shared" si="7"/>
        <v>CCFNlaAlimosho</v>
      </c>
    </row>
    <row r="501">
      <c r="AV501" s="0" t="s">
        <v>473</v>
      </c>
      <c r="AW501" s="0" t="s">
        <v>414</v>
      </c>
      <c r="AX501" s="0" t="s">
        <v>461</v>
      </c>
      <c r="AY501" s="0" t="s">
        <v>2046</v>
      </c>
      <c r="AZ501" s="0" t="s">
        <v>2047</v>
      </c>
      <c r="BA501" s="0" t="s">
        <v>285</v>
      </c>
      <c r="BB501" s="0" t="str">
        <f t="shared" si="7"/>
        <v>CCFNlaAlimosho</v>
      </c>
    </row>
    <row r="502">
      <c r="AV502" s="0" t="s">
        <v>473</v>
      </c>
      <c r="AW502" s="0" t="s">
        <v>414</v>
      </c>
      <c r="AX502" s="0" t="s">
        <v>461</v>
      </c>
      <c r="AY502" s="0" t="s">
        <v>2048</v>
      </c>
      <c r="AZ502" s="0" t="s">
        <v>2049</v>
      </c>
      <c r="BA502" s="0" t="s">
        <v>285</v>
      </c>
      <c r="BB502" s="0" t="str">
        <f t="shared" si="7"/>
        <v>CCFNlaAlimosho</v>
      </c>
    </row>
    <row r="503">
      <c r="AV503" s="0" t="s">
        <v>473</v>
      </c>
      <c r="AW503" s="0" t="s">
        <v>414</v>
      </c>
      <c r="AX503" s="0" t="s">
        <v>461</v>
      </c>
      <c r="AY503" s="0" t="s">
        <v>2050</v>
      </c>
      <c r="AZ503" s="0" t="s">
        <v>2051</v>
      </c>
      <c r="BA503" s="0" t="s">
        <v>285</v>
      </c>
      <c r="BB503" s="0" t="str">
        <f t="shared" si="7"/>
        <v>CCFNlaAlimosho</v>
      </c>
    </row>
    <row r="504">
      <c r="AV504" s="0" t="s">
        <v>473</v>
      </c>
      <c r="AW504" s="0" t="s">
        <v>414</v>
      </c>
      <c r="AX504" s="0" t="s">
        <v>461</v>
      </c>
      <c r="AY504" s="0" t="s">
        <v>2052</v>
      </c>
      <c r="AZ504" s="0" t="s">
        <v>2053</v>
      </c>
      <c r="BA504" s="0" t="s">
        <v>285</v>
      </c>
      <c r="BB504" s="0" t="str">
        <f t="shared" si="7"/>
        <v>CCFNlaAlimosho</v>
      </c>
    </row>
    <row r="505">
      <c r="AV505" s="0" t="s">
        <v>473</v>
      </c>
      <c r="AW505" s="0" t="s">
        <v>414</v>
      </c>
      <c r="AX505" s="0" t="s">
        <v>693</v>
      </c>
      <c r="AY505" s="0" t="s">
        <v>2054</v>
      </c>
      <c r="AZ505" s="0" t="s">
        <v>2055</v>
      </c>
      <c r="BA505" s="0" t="s">
        <v>285</v>
      </c>
      <c r="BB505" s="0" t="str">
        <f t="shared" si="7"/>
        <v>CCFNlaIkeja</v>
      </c>
    </row>
    <row r="506">
      <c r="AV506" s="0" t="s">
        <v>473</v>
      </c>
      <c r="AW506" s="0" t="s">
        <v>414</v>
      </c>
      <c r="AX506" s="0" t="s">
        <v>693</v>
      </c>
      <c r="AY506" s="0" t="s">
        <v>2056</v>
      </c>
      <c r="AZ506" s="0" t="s">
        <v>2057</v>
      </c>
      <c r="BA506" s="0" t="s">
        <v>285</v>
      </c>
      <c r="BB506" s="0" t="str">
        <f t="shared" si="7"/>
        <v>CCFNlaIkeja</v>
      </c>
    </row>
    <row r="507">
      <c r="AV507" s="0" t="s">
        <v>473</v>
      </c>
      <c r="AW507" s="0" t="s">
        <v>415</v>
      </c>
      <c r="AX507" s="0" t="s">
        <v>462</v>
      </c>
      <c r="AY507" s="0" t="s">
        <v>2058</v>
      </c>
      <c r="AZ507" s="0" t="s">
        <v>2059</v>
      </c>
      <c r="BA507" s="0" t="s">
        <v>285</v>
      </c>
      <c r="BB507" s="0" t="str">
        <f t="shared" si="7"/>
        <v>CCFNnaAkwanga</v>
      </c>
    </row>
    <row r="508">
      <c r="AV508" s="0" t="s">
        <v>473</v>
      </c>
      <c r="AW508" s="0" t="s">
        <v>415</v>
      </c>
      <c r="AX508" s="0" t="s">
        <v>504</v>
      </c>
      <c r="AY508" s="0" t="s">
        <v>2060</v>
      </c>
      <c r="AZ508" s="0" t="s">
        <v>2061</v>
      </c>
      <c r="BA508" s="0" t="s">
        <v>285</v>
      </c>
      <c r="BB508" s="0" t="str">
        <f t="shared" si="7"/>
        <v>CCFNnaDoma</v>
      </c>
    </row>
    <row r="509">
      <c r="AV509" s="0" t="s">
        <v>473</v>
      </c>
      <c r="AW509" s="0" t="s">
        <v>415</v>
      </c>
      <c r="AX509" s="0" t="s">
        <v>504</v>
      </c>
      <c r="AY509" s="0" t="s">
        <v>2062</v>
      </c>
      <c r="AZ509" s="0" t="s">
        <v>2063</v>
      </c>
      <c r="BA509" s="0" t="s">
        <v>285</v>
      </c>
      <c r="BB509" s="0" t="str">
        <f t="shared" si="7"/>
        <v>CCFNnaDoma</v>
      </c>
    </row>
    <row r="510">
      <c r="AV510" s="0" t="s">
        <v>473</v>
      </c>
      <c r="AW510" s="0" t="s">
        <v>415</v>
      </c>
      <c r="AX510" s="0" t="s">
        <v>543</v>
      </c>
      <c r="AY510" s="0" t="s">
        <v>2064</v>
      </c>
      <c r="AZ510" s="0" t="s">
        <v>2065</v>
      </c>
      <c r="BA510" s="0" t="s">
        <v>285</v>
      </c>
      <c r="BB510" s="0" t="str">
        <f t="shared" si="7"/>
        <v>CCFNnaKeffi</v>
      </c>
    </row>
    <row r="511">
      <c r="AV511" s="0" t="s">
        <v>473</v>
      </c>
      <c r="AW511" s="0" t="s">
        <v>415</v>
      </c>
      <c r="AX511" s="0" t="s">
        <v>582</v>
      </c>
      <c r="AY511" s="0" t="s">
        <v>2066</v>
      </c>
      <c r="AZ511" s="0" t="s">
        <v>2067</v>
      </c>
      <c r="BA511" s="0" t="s">
        <v>285</v>
      </c>
      <c r="BB511" s="0" t="str">
        <f t="shared" si="7"/>
        <v>CCFNnaLafia</v>
      </c>
    </row>
    <row r="512">
      <c r="AV512" s="0" t="s">
        <v>473</v>
      </c>
      <c r="AW512" s="0" t="s">
        <v>415</v>
      </c>
      <c r="AX512" s="0" t="s">
        <v>582</v>
      </c>
      <c r="AY512" s="0" t="s">
        <v>2068</v>
      </c>
      <c r="AZ512" s="0" t="s">
        <v>2069</v>
      </c>
      <c r="BA512" s="0" t="s">
        <v>285</v>
      </c>
      <c r="BB512" s="0" t="str">
        <f t="shared" si="7"/>
        <v>CCFNnaLafia</v>
      </c>
    </row>
    <row r="513">
      <c r="AV513" s="0" t="s">
        <v>473</v>
      </c>
      <c r="AW513" s="0" t="s">
        <v>415</v>
      </c>
      <c r="AX513" s="0" t="s">
        <v>620</v>
      </c>
      <c r="AY513" s="0" t="s">
        <v>2070</v>
      </c>
      <c r="AZ513" s="0" t="s">
        <v>2071</v>
      </c>
      <c r="BA513" s="0" t="s">
        <v>285</v>
      </c>
      <c r="BB513" s="0" t="str">
        <f t="shared" si="7"/>
        <v>CCFNnaObi</v>
      </c>
    </row>
    <row r="514">
      <c r="AV514" s="0" t="s">
        <v>473</v>
      </c>
      <c r="AW514" s="0" t="s">
        <v>415</v>
      </c>
      <c r="AX514" s="0" t="s">
        <v>620</v>
      </c>
      <c r="AY514" s="0" t="s">
        <v>2072</v>
      </c>
      <c r="AZ514" s="0" t="s">
        <v>2073</v>
      </c>
      <c r="BA514" s="0" t="s">
        <v>285</v>
      </c>
      <c r="BB514" s="0" t="str">
        <f t="shared" si="7"/>
        <v>CCFNnaObi</v>
      </c>
    </row>
    <row r="515">
      <c r="AV515" s="0" t="s">
        <v>473</v>
      </c>
      <c r="AW515" s="0" t="s">
        <v>415</v>
      </c>
      <c r="AX515" s="0" t="s">
        <v>620</v>
      </c>
      <c r="AY515" s="0" t="s">
        <v>2074</v>
      </c>
      <c r="AZ515" s="0" t="s">
        <v>2075</v>
      </c>
      <c r="BA515" s="0" t="s">
        <v>285</v>
      </c>
      <c r="BB515" s="0" t="str">
        <f ref="BB515:BB578" t="shared" si="8">SUBSTITUTE(SUBSTITUTE(BA515&amp;AX515," ",""),"-","")</f>
        <v>CCFNnaObi</v>
      </c>
    </row>
    <row r="516">
      <c r="AV516" s="0" t="s">
        <v>473</v>
      </c>
      <c r="AW516" s="0" t="s">
        <v>415</v>
      </c>
      <c r="AX516" s="0" t="s">
        <v>620</v>
      </c>
      <c r="AY516" s="0" t="s">
        <v>2076</v>
      </c>
      <c r="AZ516" s="0" t="s">
        <v>2077</v>
      </c>
      <c r="BA516" s="0" t="s">
        <v>285</v>
      </c>
      <c r="BB516" s="0" t="str">
        <f t="shared" si="8"/>
        <v>CCFNnaObi</v>
      </c>
    </row>
    <row r="517">
      <c r="AV517" s="0" t="s">
        <v>473</v>
      </c>
      <c r="AW517" s="0" t="s">
        <v>417</v>
      </c>
      <c r="AX517" s="0" t="s">
        <v>622</v>
      </c>
      <c r="AY517" s="0" t="s">
        <v>2078</v>
      </c>
      <c r="AZ517" s="0" t="s">
        <v>2079</v>
      </c>
      <c r="BA517" s="0" t="s">
        <v>285</v>
      </c>
      <c r="BB517" s="0" t="str">
        <f t="shared" si="8"/>
        <v>CCFNogIfo</v>
      </c>
    </row>
    <row r="518">
      <c r="AV518" s="0" t="s">
        <v>473</v>
      </c>
      <c r="AW518" s="0" t="s">
        <v>417</v>
      </c>
      <c r="AX518" s="0" t="s">
        <v>517</v>
      </c>
      <c r="AY518" s="0" t="s">
        <v>2080</v>
      </c>
      <c r="AZ518" s="0" t="s">
        <v>2081</v>
      </c>
      <c r="BA518" s="0" t="s">
        <v>285</v>
      </c>
      <c r="BB518" s="0" t="str">
        <f t="shared" si="8"/>
        <v>CCFNogYewaNorth</v>
      </c>
    </row>
    <row r="519">
      <c r="AV519" s="0" t="s">
        <v>473</v>
      </c>
      <c r="AW519" s="0" t="s">
        <v>418</v>
      </c>
      <c r="AX519" s="0" t="s">
        <v>464</v>
      </c>
      <c r="AY519" s="0" t="s">
        <v>2082</v>
      </c>
      <c r="AZ519" s="0" t="s">
        <v>2083</v>
      </c>
      <c r="BA519" s="0" t="s">
        <v>285</v>
      </c>
      <c r="BB519" s="0" t="str">
        <f t="shared" si="8"/>
        <v>CCFNonAkokoSouthWest</v>
      </c>
    </row>
    <row r="520">
      <c r="AV520" s="0" t="s">
        <v>473</v>
      </c>
      <c r="AW520" s="0" t="s">
        <v>418</v>
      </c>
      <c r="AX520" s="0" t="s">
        <v>506</v>
      </c>
      <c r="AY520" s="0" t="s">
        <v>2084</v>
      </c>
      <c r="AZ520" s="0" t="s">
        <v>2085</v>
      </c>
      <c r="BA520" s="0" t="s">
        <v>285</v>
      </c>
      <c r="BB520" s="0" t="str">
        <f t="shared" si="8"/>
        <v>CCFNonEseOdo</v>
      </c>
    </row>
    <row r="521">
      <c r="AV521" s="0" t="s">
        <v>473</v>
      </c>
      <c r="AW521" s="0" t="s">
        <v>418</v>
      </c>
      <c r="AX521" s="0" t="s">
        <v>545</v>
      </c>
      <c r="AY521" s="0" t="s">
        <v>2086</v>
      </c>
      <c r="AZ521" s="0" t="s">
        <v>2087</v>
      </c>
      <c r="BA521" s="0" t="s">
        <v>285</v>
      </c>
      <c r="BB521" s="0" t="str">
        <f t="shared" si="8"/>
        <v>CCFNonOndoWest</v>
      </c>
    </row>
    <row r="522">
      <c r="AV522" s="0" t="s">
        <v>473</v>
      </c>
      <c r="AW522" s="0" t="s">
        <v>418</v>
      </c>
      <c r="AX522" s="0" t="s">
        <v>584</v>
      </c>
      <c r="AY522" s="0" t="s">
        <v>2088</v>
      </c>
      <c r="AZ522" s="0" t="s">
        <v>2089</v>
      </c>
      <c r="BA522" s="0" t="s">
        <v>285</v>
      </c>
      <c r="BB522" s="0" t="str">
        <f t="shared" si="8"/>
        <v>CCFNonOwo</v>
      </c>
    </row>
    <row r="523">
      <c r="AV523" s="0" t="s">
        <v>473</v>
      </c>
      <c r="AW523" s="0" t="s">
        <v>419</v>
      </c>
      <c r="AX523" s="0" t="s">
        <v>465</v>
      </c>
      <c r="AY523" s="0" t="s">
        <v>2090</v>
      </c>
      <c r="AZ523" s="0" t="s">
        <v>2091</v>
      </c>
      <c r="BA523" s="0" t="s">
        <v>285</v>
      </c>
      <c r="BB523" s="0" t="str">
        <f t="shared" si="8"/>
        <v>CCFNosIfeNorth</v>
      </c>
    </row>
    <row r="524">
      <c r="AV524" s="0" t="s">
        <v>473</v>
      </c>
      <c r="AW524" s="0" t="s">
        <v>419</v>
      </c>
      <c r="AX524" s="0" t="s">
        <v>507</v>
      </c>
      <c r="AY524" s="0" t="s">
        <v>2092</v>
      </c>
      <c r="AZ524" s="0" t="s">
        <v>2093</v>
      </c>
      <c r="BA524" s="0" t="s">
        <v>285</v>
      </c>
      <c r="BB524" s="0" t="str">
        <f t="shared" si="8"/>
        <v>CCFNosIsokan</v>
      </c>
    </row>
    <row r="525">
      <c r="AV525" s="0" t="s">
        <v>473</v>
      </c>
      <c r="AW525" s="0" t="s">
        <v>419</v>
      </c>
      <c r="AX525" s="0" t="s">
        <v>546</v>
      </c>
      <c r="AY525" s="0" t="s">
        <v>2094</v>
      </c>
      <c r="AZ525" s="0" t="s">
        <v>2095</v>
      </c>
      <c r="BA525" s="0" t="s">
        <v>285</v>
      </c>
      <c r="BB525" s="0" t="str">
        <f t="shared" si="8"/>
        <v>CCFNosIwo</v>
      </c>
    </row>
    <row r="526">
      <c r="AV526" s="0" t="s">
        <v>473</v>
      </c>
      <c r="AW526" s="0" t="s">
        <v>420</v>
      </c>
      <c r="AX526" s="0" t="s">
        <v>1110</v>
      </c>
      <c r="AY526" s="0" t="s">
        <v>2096</v>
      </c>
      <c r="AZ526" s="0" t="s">
        <v>2097</v>
      </c>
      <c r="BA526" s="0" t="s">
        <v>285</v>
      </c>
      <c r="BB526" s="0" t="str">
        <f t="shared" si="8"/>
        <v>CCFNoyEgbeda</v>
      </c>
    </row>
    <row r="527">
      <c r="AV527" s="0" t="s">
        <v>473</v>
      </c>
      <c r="AW527" s="0" t="s">
        <v>421</v>
      </c>
      <c r="AX527" s="0" t="s">
        <v>509</v>
      </c>
      <c r="AY527" s="0" t="s">
        <v>2098</v>
      </c>
      <c r="AZ527" s="0" t="s">
        <v>2099</v>
      </c>
      <c r="BA527" s="0" t="s">
        <v>285</v>
      </c>
      <c r="BB527" s="0" t="str">
        <f t="shared" si="8"/>
        <v>CCFNplBassa</v>
      </c>
    </row>
    <row r="528">
      <c r="AV528" s="0" t="s">
        <v>473</v>
      </c>
      <c r="AW528" s="0" t="s">
        <v>421</v>
      </c>
      <c r="AX528" s="0" t="s">
        <v>509</v>
      </c>
      <c r="AY528" s="0" t="s">
        <v>2100</v>
      </c>
      <c r="AZ528" s="0" t="s">
        <v>2101</v>
      </c>
      <c r="BA528" s="0" t="s">
        <v>285</v>
      </c>
      <c r="BB528" s="0" t="str">
        <f t="shared" si="8"/>
        <v>CCFNplBassa</v>
      </c>
    </row>
    <row r="529">
      <c r="AV529" s="0" t="s">
        <v>473</v>
      </c>
      <c r="AW529" s="0" t="s">
        <v>421</v>
      </c>
      <c r="AX529" s="0" t="s">
        <v>826</v>
      </c>
      <c r="AY529" s="0" t="s">
        <v>2102</v>
      </c>
      <c r="AZ529" s="0" t="s">
        <v>2103</v>
      </c>
      <c r="BA529" s="0" t="s">
        <v>285</v>
      </c>
      <c r="BB529" s="0" t="str">
        <f t="shared" si="8"/>
        <v>CCFNplBokkos</v>
      </c>
    </row>
    <row r="530">
      <c r="AV530" s="0" t="s">
        <v>473</v>
      </c>
      <c r="AW530" s="0" t="s">
        <v>421</v>
      </c>
      <c r="AX530" s="0" t="s">
        <v>826</v>
      </c>
      <c r="AY530" s="0" t="s">
        <v>2104</v>
      </c>
      <c r="AZ530" s="0" t="s">
        <v>2105</v>
      </c>
      <c r="BA530" s="0" t="s">
        <v>285</v>
      </c>
      <c r="BB530" s="0" t="str">
        <f t="shared" si="8"/>
        <v>CCFNplBokkos</v>
      </c>
    </row>
    <row r="531">
      <c r="AV531" s="0" t="s">
        <v>473</v>
      </c>
      <c r="AW531" s="0" t="s">
        <v>421</v>
      </c>
      <c r="AX531" s="0" t="s">
        <v>587</v>
      </c>
      <c r="AY531" s="0" t="s">
        <v>2106</v>
      </c>
      <c r="AZ531" s="0" t="s">
        <v>2107</v>
      </c>
      <c r="BA531" s="0" t="s">
        <v>285</v>
      </c>
      <c r="BB531" s="0" t="str">
        <f t="shared" si="8"/>
        <v>CCFNplJosNorth</v>
      </c>
    </row>
    <row r="532">
      <c r="AV532" s="0" t="s">
        <v>473</v>
      </c>
      <c r="AW532" s="0" t="s">
        <v>421</v>
      </c>
      <c r="AX532" s="0" t="s">
        <v>587</v>
      </c>
      <c r="AY532" s="0" t="s">
        <v>2108</v>
      </c>
      <c r="AZ532" s="0" t="s">
        <v>2109</v>
      </c>
      <c r="BA532" s="0" t="s">
        <v>285</v>
      </c>
      <c r="BB532" s="0" t="str">
        <f t="shared" si="8"/>
        <v>CCFNplJosNorth</v>
      </c>
    </row>
    <row r="533">
      <c r="AV533" s="0" t="s">
        <v>473</v>
      </c>
      <c r="AW533" s="0" t="s">
        <v>421</v>
      </c>
      <c r="AX533" s="0" t="s">
        <v>626</v>
      </c>
      <c r="AY533" s="0" t="s">
        <v>2110</v>
      </c>
      <c r="AZ533" s="0" t="s">
        <v>2111</v>
      </c>
      <c r="BA533" s="0" t="s">
        <v>285</v>
      </c>
      <c r="BB533" s="0" t="str">
        <f t="shared" si="8"/>
        <v>CCFNplJosSouth</v>
      </c>
    </row>
    <row r="534">
      <c r="AV534" s="0" t="s">
        <v>473</v>
      </c>
      <c r="AW534" s="0" t="s">
        <v>421</v>
      </c>
      <c r="AX534" s="0" t="s">
        <v>626</v>
      </c>
      <c r="AY534" s="0" t="s">
        <v>2112</v>
      </c>
      <c r="AZ534" s="0" t="s">
        <v>2113</v>
      </c>
      <c r="BA534" s="0" t="s">
        <v>285</v>
      </c>
      <c r="BB534" s="0" t="str">
        <f t="shared" si="8"/>
        <v>CCFNplJosSouth</v>
      </c>
    </row>
    <row r="535">
      <c r="AV535" s="0" t="s">
        <v>473</v>
      </c>
      <c r="AW535" s="0" t="s">
        <v>421</v>
      </c>
      <c r="AX535" s="0" t="s">
        <v>1512</v>
      </c>
      <c r="AY535" s="0" t="s">
        <v>2114</v>
      </c>
      <c r="AZ535" s="0" t="s">
        <v>2115</v>
      </c>
      <c r="BA535" s="0" t="s">
        <v>285</v>
      </c>
      <c r="BB535" s="0" t="str">
        <f t="shared" si="8"/>
        <v>CCFNplQuaanPan</v>
      </c>
    </row>
    <row r="536">
      <c r="AV536" s="0" t="s">
        <v>473</v>
      </c>
      <c r="AW536" s="0" t="s">
        <v>421</v>
      </c>
      <c r="AX536" s="0" t="s">
        <v>797</v>
      </c>
      <c r="AY536" s="0" t="s">
        <v>2116</v>
      </c>
      <c r="AZ536" s="0" t="s">
        <v>2117</v>
      </c>
      <c r="BA536" s="0" t="s">
        <v>285</v>
      </c>
      <c r="BB536" s="0" t="str">
        <f t="shared" si="8"/>
        <v>CCFNplShendam</v>
      </c>
    </row>
    <row r="537">
      <c r="AV537" s="0" t="s">
        <v>473</v>
      </c>
      <c r="AW537" s="0" t="s">
        <v>286</v>
      </c>
      <c r="AX537" s="0" t="s">
        <v>984</v>
      </c>
      <c r="AY537" s="0" t="s">
        <v>2118</v>
      </c>
      <c r="AZ537" s="0" t="s">
        <v>2119</v>
      </c>
      <c r="BA537" s="0" t="s">
        <v>595</v>
      </c>
      <c r="BB537" s="0" t="str">
        <f t="shared" si="8"/>
        <v>CIHPbeAdo</v>
      </c>
    </row>
    <row r="538">
      <c r="AV538" s="0" t="s">
        <v>473</v>
      </c>
      <c r="AW538" s="0" t="s">
        <v>286</v>
      </c>
      <c r="AX538" s="0" t="s">
        <v>984</v>
      </c>
      <c r="AY538" s="0" t="s">
        <v>2120</v>
      </c>
      <c r="AZ538" s="0" t="s">
        <v>2121</v>
      </c>
      <c r="BA538" s="0" t="s">
        <v>595</v>
      </c>
      <c r="BB538" s="0" t="str">
        <f t="shared" si="8"/>
        <v>CIHPbeAdo</v>
      </c>
    </row>
    <row r="539">
      <c r="AV539" s="0" t="s">
        <v>473</v>
      </c>
      <c r="AW539" s="0" t="s">
        <v>286</v>
      </c>
      <c r="AX539" s="0" t="s">
        <v>443</v>
      </c>
      <c r="AY539" s="0" t="s">
        <v>2122</v>
      </c>
      <c r="AZ539" s="0" t="s">
        <v>2123</v>
      </c>
      <c r="BA539" s="0" t="s">
        <v>595</v>
      </c>
      <c r="BB539" s="0" t="str">
        <f t="shared" si="8"/>
        <v>CIHPbeAgatu</v>
      </c>
    </row>
    <row r="540">
      <c r="AV540" s="0" t="s">
        <v>473</v>
      </c>
      <c r="AW540" s="0" t="s">
        <v>286</v>
      </c>
      <c r="AX540" s="0" t="s">
        <v>1002</v>
      </c>
      <c r="AY540" s="0" t="s">
        <v>2124</v>
      </c>
      <c r="AZ540" s="0" t="s">
        <v>2125</v>
      </c>
      <c r="BA540" s="0" t="s">
        <v>595</v>
      </c>
      <c r="BB540" s="0" t="str">
        <f t="shared" si="8"/>
        <v>CIHPbeApa</v>
      </c>
    </row>
    <row r="541">
      <c r="AV541" s="0" t="s">
        <v>473</v>
      </c>
      <c r="AW541" s="0" t="s">
        <v>286</v>
      </c>
      <c r="AX541" s="0" t="s">
        <v>1002</v>
      </c>
      <c r="AY541" s="0" t="s">
        <v>2126</v>
      </c>
      <c r="AZ541" s="0" t="s">
        <v>2127</v>
      </c>
      <c r="BA541" s="0" t="s">
        <v>595</v>
      </c>
      <c r="BB541" s="0" t="str">
        <f t="shared" si="8"/>
        <v>CIHPbeApa</v>
      </c>
    </row>
    <row r="542">
      <c r="AV542" s="0" t="s">
        <v>473</v>
      </c>
      <c r="AW542" s="0" t="s">
        <v>286</v>
      </c>
      <c r="AX542" s="0" t="s">
        <v>485</v>
      </c>
      <c r="AY542" s="0" t="s">
        <v>2128</v>
      </c>
      <c r="AZ542" s="0" t="s">
        <v>2129</v>
      </c>
      <c r="BA542" s="0" t="s">
        <v>595</v>
      </c>
      <c r="BB542" s="0" t="str">
        <f t="shared" si="8"/>
        <v>CIHPbeBuruku</v>
      </c>
    </row>
    <row r="543">
      <c r="AV543" s="0" t="s">
        <v>473</v>
      </c>
      <c r="AW543" s="0" t="s">
        <v>286</v>
      </c>
      <c r="AX543" s="0" t="s">
        <v>485</v>
      </c>
      <c r="AY543" s="0" t="s">
        <v>2130</v>
      </c>
      <c r="AZ543" s="0" t="s">
        <v>2131</v>
      </c>
      <c r="BA543" s="0" t="s">
        <v>595</v>
      </c>
      <c r="BB543" s="0" t="str">
        <f t="shared" si="8"/>
        <v>CIHPbeBuruku</v>
      </c>
    </row>
    <row r="544">
      <c r="AV544" s="0" t="s">
        <v>473</v>
      </c>
      <c r="AW544" s="0" t="s">
        <v>286</v>
      </c>
      <c r="AX544" s="0" t="s">
        <v>485</v>
      </c>
      <c r="AY544" s="0" t="s">
        <v>2132</v>
      </c>
      <c r="AZ544" s="0" t="s">
        <v>2133</v>
      </c>
      <c r="BA544" s="0" t="s">
        <v>595</v>
      </c>
      <c r="BB544" s="0" t="str">
        <f t="shared" si="8"/>
        <v>CIHPbeBuruku</v>
      </c>
    </row>
    <row r="545">
      <c r="AV545" s="0" t="s">
        <v>473</v>
      </c>
      <c r="AW545" s="0" t="s">
        <v>286</v>
      </c>
      <c r="AX545" s="0" t="s">
        <v>485</v>
      </c>
      <c r="AY545" s="0" t="s">
        <v>2134</v>
      </c>
      <c r="AZ545" s="0" t="s">
        <v>2135</v>
      </c>
      <c r="BA545" s="0" t="s">
        <v>595</v>
      </c>
      <c r="BB545" s="0" t="str">
        <f t="shared" si="8"/>
        <v>CIHPbeBuruku</v>
      </c>
    </row>
    <row r="546">
      <c r="AV546" s="0" t="s">
        <v>473</v>
      </c>
      <c r="AW546" s="0" t="s">
        <v>286</v>
      </c>
      <c r="AX546" s="0" t="s">
        <v>485</v>
      </c>
      <c r="AY546" s="0" t="s">
        <v>2136</v>
      </c>
      <c r="AZ546" s="0" t="s">
        <v>2137</v>
      </c>
      <c r="BA546" s="0" t="s">
        <v>595</v>
      </c>
      <c r="BB546" s="0" t="str">
        <f t="shared" si="8"/>
        <v>CIHPbeBuruku</v>
      </c>
    </row>
    <row r="547">
      <c r="AV547" s="0" t="s">
        <v>473</v>
      </c>
      <c r="AW547" s="0" t="s">
        <v>286</v>
      </c>
      <c r="AX547" s="0" t="s">
        <v>485</v>
      </c>
      <c r="AY547" s="0" t="s">
        <v>2138</v>
      </c>
      <c r="AZ547" s="0" t="s">
        <v>2139</v>
      </c>
      <c r="BA547" s="0" t="s">
        <v>595</v>
      </c>
      <c r="BB547" s="0" t="str">
        <f t="shared" si="8"/>
        <v>CIHPbeBuruku</v>
      </c>
    </row>
    <row r="548">
      <c r="AV548" s="0" t="s">
        <v>473</v>
      </c>
      <c r="AW548" s="0" t="s">
        <v>286</v>
      </c>
      <c r="AX548" s="0" t="s">
        <v>485</v>
      </c>
      <c r="AY548" s="0" t="s">
        <v>2140</v>
      </c>
      <c r="AZ548" s="0" t="s">
        <v>2141</v>
      </c>
      <c r="BA548" s="0" t="s">
        <v>595</v>
      </c>
      <c r="BB548" s="0" t="str">
        <f t="shared" si="8"/>
        <v>CIHPbeBuruku</v>
      </c>
    </row>
    <row r="549">
      <c r="AV549" s="0" t="s">
        <v>473</v>
      </c>
      <c r="AW549" s="0" t="s">
        <v>286</v>
      </c>
      <c r="AX549" s="0" t="s">
        <v>485</v>
      </c>
      <c r="AY549" s="0" t="s">
        <v>2142</v>
      </c>
      <c r="AZ549" s="0" t="s">
        <v>2143</v>
      </c>
      <c r="BA549" s="0" t="s">
        <v>595</v>
      </c>
      <c r="BB549" s="0" t="str">
        <f t="shared" si="8"/>
        <v>CIHPbeBuruku</v>
      </c>
    </row>
    <row r="550">
      <c r="AV550" s="0" t="s">
        <v>473</v>
      </c>
      <c r="AW550" s="0" t="s">
        <v>286</v>
      </c>
      <c r="AX550" s="0" t="s">
        <v>485</v>
      </c>
      <c r="AY550" s="0" t="s">
        <v>2144</v>
      </c>
      <c r="AZ550" s="0" t="s">
        <v>2145</v>
      </c>
      <c r="BA550" s="0" t="s">
        <v>595</v>
      </c>
      <c r="BB550" s="0" t="str">
        <f t="shared" si="8"/>
        <v>CIHPbeBuruku</v>
      </c>
    </row>
    <row r="551">
      <c r="AV551" s="0" t="s">
        <v>473</v>
      </c>
      <c r="AW551" s="0" t="s">
        <v>286</v>
      </c>
      <c r="AX551" s="0" t="s">
        <v>485</v>
      </c>
      <c r="AY551" s="0" t="s">
        <v>2146</v>
      </c>
      <c r="AZ551" s="0" t="s">
        <v>2147</v>
      </c>
      <c r="BA551" s="0" t="s">
        <v>595</v>
      </c>
      <c r="BB551" s="0" t="str">
        <f t="shared" si="8"/>
        <v>CIHPbeBuruku</v>
      </c>
    </row>
    <row r="552">
      <c r="AV552" s="0" t="s">
        <v>473</v>
      </c>
      <c r="AW552" s="0" t="s">
        <v>286</v>
      </c>
      <c r="AX552" s="0" t="s">
        <v>485</v>
      </c>
      <c r="AY552" s="0" t="s">
        <v>2148</v>
      </c>
      <c r="AZ552" s="0" t="s">
        <v>2149</v>
      </c>
      <c r="BA552" s="0" t="s">
        <v>595</v>
      </c>
      <c r="BB552" s="0" t="str">
        <f t="shared" si="8"/>
        <v>CIHPbeBuruku</v>
      </c>
    </row>
    <row r="553">
      <c r="AV553" s="0" t="s">
        <v>473</v>
      </c>
      <c r="AW553" s="0" t="s">
        <v>286</v>
      </c>
      <c r="AX553" s="0" t="s">
        <v>485</v>
      </c>
      <c r="AY553" s="0" t="s">
        <v>2150</v>
      </c>
      <c r="AZ553" s="0" t="s">
        <v>2151</v>
      </c>
      <c r="BA553" s="0" t="s">
        <v>595</v>
      </c>
      <c r="BB553" s="0" t="str">
        <f t="shared" si="8"/>
        <v>CIHPbeBuruku</v>
      </c>
    </row>
    <row r="554">
      <c r="AV554" s="0" t="s">
        <v>473</v>
      </c>
      <c r="AW554" s="0" t="s">
        <v>286</v>
      </c>
      <c r="AX554" s="0" t="s">
        <v>485</v>
      </c>
      <c r="AY554" s="0" t="s">
        <v>2152</v>
      </c>
      <c r="AZ554" s="0" t="s">
        <v>2153</v>
      </c>
      <c r="BA554" s="0" t="s">
        <v>595</v>
      </c>
      <c r="BB554" s="0" t="str">
        <f t="shared" si="8"/>
        <v>CIHPbeBuruku</v>
      </c>
    </row>
    <row r="555">
      <c r="AV555" s="0" t="s">
        <v>473</v>
      </c>
      <c r="AW555" s="0" t="s">
        <v>286</v>
      </c>
      <c r="AX555" s="0" t="s">
        <v>485</v>
      </c>
      <c r="AY555" s="0" t="s">
        <v>2154</v>
      </c>
      <c r="AZ555" s="0" t="s">
        <v>2155</v>
      </c>
      <c r="BA555" s="0" t="s">
        <v>595</v>
      </c>
      <c r="BB555" s="0" t="str">
        <f t="shared" si="8"/>
        <v>CIHPbeBuruku</v>
      </c>
    </row>
    <row r="556">
      <c r="AV556" s="0" t="s">
        <v>473</v>
      </c>
      <c r="AW556" s="0" t="s">
        <v>286</v>
      </c>
      <c r="AX556" s="0" t="s">
        <v>485</v>
      </c>
      <c r="AY556" s="0" t="s">
        <v>2156</v>
      </c>
      <c r="AZ556" s="0" t="s">
        <v>2157</v>
      </c>
      <c r="BA556" s="0" t="s">
        <v>595</v>
      </c>
      <c r="BB556" s="0" t="str">
        <f t="shared" si="8"/>
        <v>CIHPbeBuruku</v>
      </c>
    </row>
    <row r="557">
      <c r="AV557" s="0" t="s">
        <v>473</v>
      </c>
      <c r="AW557" s="0" t="s">
        <v>286</v>
      </c>
      <c r="AX557" s="0" t="s">
        <v>485</v>
      </c>
      <c r="AY557" s="0" t="s">
        <v>2158</v>
      </c>
      <c r="AZ557" s="0" t="s">
        <v>2159</v>
      </c>
      <c r="BA557" s="0" t="s">
        <v>595</v>
      </c>
      <c r="BB557" s="0" t="str">
        <f t="shared" si="8"/>
        <v>CIHPbeBuruku</v>
      </c>
    </row>
    <row r="558">
      <c r="AV558" s="0" t="s">
        <v>473</v>
      </c>
      <c r="AW558" s="0" t="s">
        <v>286</v>
      </c>
      <c r="AX558" s="0" t="s">
        <v>485</v>
      </c>
      <c r="AY558" s="0" t="s">
        <v>2160</v>
      </c>
      <c r="AZ558" s="0" t="s">
        <v>2161</v>
      </c>
      <c r="BA558" s="0" t="s">
        <v>595</v>
      </c>
      <c r="BB558" s="0" t="str">
        <f t="shared" si="8"/>
        <v>CIHPbeBuruku</v>
      </c>
    </row>
    <row r="559">
      <c r="AV559" s="0" t="s">
        <v>473</v>
      </c>
      <c r="AW559" s="0" t="s">
        <v>286</v>
      </c>
      <c r="AX559" s="0" t="s">
        <v>485</v>
      </c>
      <c r="AY559" s="0" t="s">
        <v>2162</v>
      </c>
      <c r="AZ559" s="0" t="s">
        <v>2163</v>
      </c>
      <c r="BA559" s="0" t="s">
        <v>595</v>
      </c>
      <c r="BB559" s="0" t="str">
        <f t="shared" si="8"/>
        <v>CIHPbeBuruku</v>
      </c>
    </row>
    <row r="560">
      <c r="AV560" s="0" t="s">
        <v>473</v>
      </c>
      <c r="AW560" s="0" t="s">
        <v>286</v>
      </c>
      <c r="AX560" s="0" t="s">
        <v>485</v>
      </c>
      <c r="AY560" s="0" t="s">
        <v>2164</v>
      </c>
      <c r="AZ560" s="0" t="s">
        <v>2165</v>
      </c>
      <c r="BA560" s="0" t="s">
        <v>595</v>
      </c>
      <c r="BB560" s="0" t="str">
        <f t="shared" si="8"/>
        <v>CIHPbeBuruku</v>
      </c>
    </row>
    <row r="561">
      <c r="AV561" s="0" t="s">
        <v>473</v>
      </c>
      <c r="AW561" s="0" t="s">
        <v>286</v>
      </c>
      <c r="AX561" s="0" t="s">
        <v>485</v>
      </c>
      <c r="AY561" s="0" t="s">
        <v>2166</v>
      </c>
      <c r="AZ561" s="0" t="s">
        <v>2167</v>
      </c>
      <c r="BA561" s="0" t="s">
        <v>595</v>
      </c>
      <c r="BB561" s="0" t="str">
        <f t="shared" si="8"/>
        <v>CIHPbeBuruku</v>
      </c>
    </row>
    <row r="562">
      <c r="AV562" s="0" t="s">
        <v>473</v>
      </c>
      <c r="AW562" s="0" t="s">
        <v>286</v>
      </c>
      <c r="AX562" s="0" t="s">
        <v>485</v>
      </c>
      <c r="AY562" s="0" t="s">
        <v>2168</v>
      </c>
      <c r="AZ562" s="0" t="s">
        <v>2169</v>
      </c>
      <c r="BA562" s="0" t="s">
        <v>595</v>
      </c>
      <c r="BB562" s="0" t="str">
        <f t="shared" si="8"/>
        <v>CIHPbeBuruku</v>
      </c>
    </row>
    <row r="563">
      <c r="AV563" s="0" t="s">
        <v>473</v>
      </c>
      <c r="AW563" s="0" t="s">
        <v>286</v>
      </c>
      <c r="AX563" s="0" t="s">
        <v>485</v>
      </c>
      <c r="AY563" s="0" t="s">
        <v>2170</v>
      </c>
      <c r="AZ563" s="0" t="s">
        <v>2171</v>
      </c>
      <c r="BA563" s="0" t="s">
        <v>595</v>
      </c>
      <c r="BB563" s="0" t="str">
        <f t="shared" si="8"/>
        <v>CIHPbeBuruku</v>
      </c>
    </row>
    <row r="564">
      <c r="AV564" s="0" t="s">
        <v>473</v>
      </c>
      <c r="AW564" s="0" t="s">
        <v>286</v>
      </c>
      <c r="AX564" s="0" t="s">
        <v>485</v>
      </c>
      <c r="AY564" s="0" t="s">
        <v>2172</v>
      </c>
      <c r="AZ564" s="0" t="s">
        <v>2173</v>
      </c>
      <c r="BA564" s="0" t="s">
        <v>595</v>
      </c>
      <c r="BB564" s="0" t="str">
        <f t="shared" si="8"/>
        <v>CIHPbeBuruku</v>
      </c>
    </row>
    <row r="565">
      <c r="AV565" s="0" t="s">
        <v>473</v>
      </c>
      <c r="AW565" s="0" t="s">
        <v>286</v>
      </c>
      <c r="AX565" s="0" t="s">
        <v>485</v>
      </c>
      <c r="AY565" s="0" t="s">
        <v>2174</v>
      </c>
      <c r="AZ565" s="0" t="s">
        <v>2175</v>
      </c>
      <c r="BA565" s="0" t="s">
        <v>595</v>
      </c>
      <c r="BB565" s="0" t="str">
        <f t="shared" si="8"/>
        <v>CIHPbeBuruku</v>
      </c>
    </row>
    <row r="566">
      <c r="AV566" s="0" t="s">
        <v>473</v>
      </c>
      <c r="AW566" s="0" t="s">
        <v>286</v>
      </c>
      <c r="AX566" s="0" t="s">
        <v>485</v>
      </c>
      <c r="AY566" s="0" t="s">
        <v>1895</v>
      </c>
      <c r="AZ566" s="0" t="s">
        <v>1896</v>
      </c>
      <c r="BA566" s="0" t="s">
        <v>595</v>
      </c>
      <c r="BB566" s="0" t="str">
        <f t="shared" si="8"/>
        <v>CIHPbeBuruku</v>
      </c>
    </row>
    <row r="567">
      <c r="AV567" s="0" t="s">
        <v>473</v>
      </c>
      <c r="AW567" s="0" t="s">
        <v>286</v>
      </c>
      <c r="AX567" s="0" t="s">
        <v>485</v>
      </c>
      <c r="AY567" s="0" t="s">
        <v>2176</v>
      </c>
      <c r="AZ567" s="0" t="s">
        <v>2177</v>
      </c>
      <c r="BA567" s="0" t="s">
        <v>595</v>
      </c>
      <c r="BB567" s="0" t="str">
        <f t="shared" si="8"/>
        <v>CIHPbeBuruku</v>
      </c>
    </row>
    <row r="568">
      <c r="AV568" s="0" t="s">
        <v>473</v>
      </c>
      <c r="AW568" s="0" t="s">
        <v>286</v>
      </c>
      <c r="AX568" s="0" t="s">
        <v>485</v>
      </c>
      <c r="AY568" s="0" t="s">
        <v>2178</v>
      </c>
      <c r="AZ568" s="0" t="s">
        <v>2179</v>
      </c>
      <c r="BA568" s="0" t="s">
        <v>595</v>
      </c>
      <c r="BB568" s="0" t="str">
        <f t="shared" si="8"/>
        <v>CIHPbeBuruku</v>
      </c>
    </row>
    <row r="569">
      <c r="AV569" s="0" t="s">
        <v>473</v>
      </c>
      <c r="AW569" s="0" t="s">
        <v>286</v>
      </c>
      <c r="AX569" s="0" t="s">
        <v>485</v>
      </c>
      <c r="AY569" s="0" t="s">
        <v>2180</v>
      </c>
      <c r="AZ569" s="0" t="s">
        <v>2181</v>
      </c>
      <c r="BA569" s="0" t="s">
        <v>595</v>
      </c>
      <c r="BB569" s="0" t="str">
        <f t="shared" si="8"/>
        <v>CIHPbeBuruku</v>
      </c>
    </row>
    <row r="570">
      <c r="AV570" s="0" t="s">
        <v>473</v>
      </c>
      <c r="AW570" s="0" t="s">
        <v>286</v>
      </c>
      <c r="AX570" s="0" t="s">
        <v>485</v>
      </c>
      <c r="AY570" s="0" t="s">
        <v>2182</v>
      </c>
      <c r="AZ570" s="0" t="s">
        <v>2183</v>
      </c>
      <c r="BA570" s="0" t="s">
        <v>595</v>
      </c>
      <c r="BB570" s="0" t="str">
        <f t="shared" si="8"/>
        <v>CIHPbeBuruku</v>
      </c>
    </row>
    <row r="571">
      <c r="AV571" s="0" t="s">
        <v>473</v>
      </c>
      <c r="AW571" s="0" t="s">
        <v>286</v>
      </c>
      <c r="AX571" s="0" t="s">
        <v>485</v>
      </c>
      <c r="AY571" s="0" t="s">
        <v>2184</v>
      </c>
      <c r="AZ571" s="0" t="s">
        <v>2185</v>
      </c>
      <c r="BA571" s="0" t="s">
        <v>595</v>
      </c>
      <c r="BB571" s="0" t="str">
        <f t="shared" si="8"/>
        <v>CIHPbeBuruku</v>
      </c>
    </row>
    <row r="572">
      <c r="AV572" s="0" t="s">
        <v>473</v>
      </c>
      <c r="AW572" s="0" t="s">
        <v>286</v>
      </c>
      <c r="AX572" s="0" t="s">
        <v>485</v>
      </c>
      <c r="AY572" s="0" t="s">
        <v>2186</v>
      </c>
      <c r="AZ572" s="0" t="s">
        <v>2187</v>
      </c>
      <c r="BA572" s="0" t="s">
        <v>595</v>
      </c>
      <c r="BB572" s="0" t="str">
        <f t="shared" si="8"/>
        <v>CIHPbeBuruku</v>
      </c>
    </row>
    <row r="573">
      <c r="AV573" s="0" t="s">
        <v>473</v>
      </c>
      <c r="AW573" s="0" t="s">
        <v>286</v>
      </c>
      <c r="AX573" s="0" t="s">
        <v>485</v>
      </c>
      <c r="AY573" s="0" t="s">
        <v>2188</v>
      </c>
      <c r="AZ573" s="0" t="s">
        <v>2189</v>
      </c>
      <c r="BA573" s="0" t="s">
        <v>595</v>
      </c>
      <c r="BB573" s="0" t="str">
        <f t="shared" si="8"/>
        <v>CIHPbeBuruku</v>
      </c>
    </row>
    <row r="574">
      <c r="AV574" s="0" t="s">
        <v>473</v>
      </c>
      <c r="AW574" s="0" t="s">
        <v>286</v>
      </c>
      <c r="AX574" s="0" t="s">
        <v>485</v>
      </c>
      <c r="AY574" s="0" t="s">
        <v>2190</v>
      </c>
      <c r="AZ574" s="0" t="s">
        <v>2191</v>
      </c>
      <c r="BA574" s="0" t="s">
        <v>595</v>
      </c>
      <c r="BB574" s="0" t="str">
        <f t="shared" si="8"/>
        <v>CIHPbeBuruku</v>
      </c>
    </row>
    <row r="575">
      <c r="AV575" s="0" t="s">
        <v>473</v>
      </c>
      <c r="AW575" s="0" t="s">
        <v>286</v>
      </c>
      <c r="AX575" s="0" t="s">
        <v>524</v>
      </c>
      <c r="AY575" s="0" t="s">
        <v>2192</v>
      </c>
      <c r="AZ575" s="0" t="s">
        <v>2193</v>
      </c>
      <c r="BA575" s="0" t="s">
        <v>595</v>
      </c>
      <c r="BB575" s="0" t="str">
        <f t="shared" si="8"/>
        <v>CIHPbeGboko</v>
      </c>
    </row>
    <row r="576">
      <c r="AV576" s="0" t="s">
        <v>473</v>
      </c>
      <c r="AW576" s="0" t="s">
        <v>286</v>
      </c>
      <c r="AX576" s="0" t="s">
        <v>524</v>
      </c>
      <c r="AY576" s="0" t="s">
        <v>2194</v>
      </c>
      <c r="AZ576" s="0" t="s">
        <v>2195</v>
      </c>
      <c r="BA576" s="0" t="s">
        <v>595</v>
      </c>
      <c r="BB576" s="0" t="str">
        <f t="shared" si="8"/>
        <v>CIHPbeGboko</v>
      </c>
    </row>
    <row r="577">
      <c r="AV577" s="0" t="s">
        <v>473</v>
      </c>
      <c r="AW577" s="0" t="s">
        <v>286</v>
      </c>
      <c r="AX577" s="0" t="s">
        <v>524</v>
      </c>
      <c r="AY577" s="0" t="s">
        <v>2196</v>
      </c>
      <c r="AZ577" s="0" t="s">
        <v>2197</v>
      </c>
      <c r="BA577" s="0" t="s">
        <v>595</v>
      </c>
      <c r="BB577" s="0" t="str">
        <f t="shared" si="8"/>
        <v>CIHPbeGboko</v>
      </c>
    </row>
    <row r="578">
      <c r="AV578" s="0" t="s">
        <v>473</v>
      </c>
      <c r="AW578" s="0" t="s">
        <v>286</v>
      </c>
      <c r="AX578" s="0" t="s">
        <v>524</v>
      </c>
      <c r="AY578" s="0" t="s">
        <v>2198</v>
      </c>
      <c r="AZ578" s="0" t="s">
        <v>2199</v>
      </c>
      <c r="BA578" s="0" t="s">
        <v>595</v>
      </c>
      <c r="BB578" s="0" t="str">
        <f t="shared" si="8"/>
        <v>CIHPbeGboko</v>
      </c>
    </row>
    <row r="579">
      <c r="AV579" s="0" t="s">
        <v>473</v>
      </c>
      <c r="AW579" s="0" t="s">
        <v>286</v>
      </c>
      <c r="AX579" s="0" t="s">
        <v>524</v>
      </c>
      <c r="AY579" s="0" t="s">
        <v>2200</v>
      </c>
      <c r="AZ579" s="0" t="s">
        <v>2201</v>
      </c>
      <c r="BA579" s="0" t="s">
        <v>595</v>
      </c>
      <c r="BB579" s="0" t="str">
        <f ref="BB579:BB642" t="shared" si="9">SUBSTITUTE(SUBSTITUTE(BA579&amp;AX579," ",""),"-","")</f>
        <v>CIHPbeGboko</v>
      </c>
    </row>
    <row r="580">
      <c r="AV580" s="0" t="s">
        <v>473</v>
      </c>
      <c r="AW580" s="0" t="s">
        <v>286</v>
      </c>
      <c r="AX580" s="0" t="s">
        <v>524</v>
      </c>
      <c r="AY580" s="0" t="s">
        <v>2202</v>
      </c>
      <c r="AZ580" s="0" t="s">
        <v>2203</v>
      </c>
      <c r="BA580" s="0" t="s">
        <v>595</v>
      </c>
      <c r="BB580" s="0" t="str">
        <f t="shared" si="9"/>
        <v>CIHPbeGboko</v>
      </c>
    </row>
    <row r="581">
      <c r="AV581" s="0" t="s">
        <v>473</v>
      </c>
      <c r="AW581" s="0" t="s">
        <v>286</v>
      </c>
      <c r="AX581" s="0" t="s">
        <v>524</v>
      </c>
      <c r="AY581" s="0" t="s">
        <v>2204</v>
      </c>
      <c r="AZ581" s="0" t="s">
        <v>2205</v>
      </c>
      <c r="BA581" s="0" t="s">
        <v>595</v>
      </c>
      <c r="BB581" s="0" t="str">
        <f t="shared" si="9"/>
        <v>CIHPbeGboko</v>
      </c>
    </row>
    <row r="582">
      <c r="AV582" s="0" t="s">
        <v>473</v>
      </c>
      <c r="AW582" s="0" t="s">
        <v>286</v>
      </c>
      <c r="AX582" s="0" t="s">
        <v>524</v>
      </c>
      <c r="AY582" s="0" t="s">
        <v>2206</v>
      </c>
      <c r="AZ582" s="0" t="s">
        <v>2207</v>
      </c>
      <c r="BA582" s="0" t="s">
        <v>595</v>
      </c>
      <c r="BB582" s="0" t="str">
        <f t="shared" si="9"/>
        <v>CIHPbeGboko</v>
      </c>
    </row>
    <row r="583">
      <c r="AV583" s="0" t="s">
        <v>473</v>
      </c>
      <c r="AW583" s="0" t="s">
        <v>286</v>
      </c>
      <c r="AX583" s="0" t="s">
        <v>524</v>
      </c>
      <c r="AY583" s="0" t="s">
        <v>2208</v>
      </c>
      <c r="AZ583" s="0" t="s">
        <v>2209</v>
      </c>
      <c r="BA583" s="0" t="s">
        <v>595</v>
      </c>
      <c r="BB583" s="0" t="str">
        <f t="shared" si="9"/>
        <v>CIHPbeGboko</v>
      </c>
    </row>
    <row r="584">
      <c r="AV584" s="0" t="s">
        <v>473</v>
      </c>
      <c r="AW584" s="0" t="s">
        <v>286</v>
      </c>
      <c r="AX584" s="0" t="s">
        <v>524</v>
      </c>
      <c r="AY584" s="0" t="s">
        <v>2210</v>
      </c>
      <c r="AZ584" s="0" t="s">
        <v>2211</v>
      </c>
      <c r="BA584" s="0" t="s">
        <v>595</v>
      </c>
      <c r="BB584" s="0" t="str">
        <f t="shared" si="9"/>
        <v>CIHPbeGboko</v>
      </c>
    </row>
    <row r="585">
      <c r="AV585" s="0" t="s">
        <v>473</v>
      </c>
      <c r="AW585" s="0" t="s">
        <v>286</v>
      </c>
      <c r="AX585" s="0" t="s">
        <v>524</v>
      </c>
      <c r="AY585" s="0" t="s">
        <v>2212</v>
      </c>
      <c r="AZ585" s="0" t="s">
        <v>2213</v>
      </c>
      <c r="BA585" s="0" t="s">
        <v>595</v>
      </c>
      <c r="BB585" s="0" t="str">
        <f t="shared" si="9"/>
        <v>CIHPbeGboko</v>
      </c>
    </row>
    <row r="586">
      <c r="AV586" s="0" t="s">
        <v>473</v>
      </c>
      <c r="AW586" s="0" t="s">
        <v>286</v>
      </c>
      <c r="AX586" s="0" t="s">
        <v>524</v>
      </c>
      <c r="AY586" s="0" t="s">
        <v>2214</v>
      </c>
      <c r="AZ586" s="0" t="s">
        <v>2215</v>
      </c>
      <c r="BA586" s="0" t="s">
        <v>595</v>
      </c>
      <c r="BB586" s="0" t="str">
        <f t="shared" si="9"/>
        <v>CIHPbeGboko</v>
      </c>
    </row>
    <row r="587">
      <c r="AV587" s="0" t="s">
        <v>473</v>
      </c>
      <c r="AW587" s="0" t="s">
        <v>286</v>
      </c>
      <c r="AX587" s="0" t="s">
        <v>524</v>
      </c>
      <c r="AY587" s="0" t="s">
        <v>2216</v>
      </c>
      <c r="AZ587" s="0" t="s">
        <v>2217</v>
      </c>
      <c r="BA587" s="0" t="s">
        <v>595</v>
      </c>
      <c r="BB587" s="0" t="str">
        <f t="shared" si="9"/>
        <v>CIHPbeGboko</v>
      </c>
    </row>
    <row r="588">
      <c r="AV588" s="0" t="s">
        <v>473</v>
      </c>
      <c r="AW588" s="0" t="s">
        <v>286</v>
      </c>
      <c r="AX588" s="0" t="s">
        <v>524</v>
      </c>
      <c r="AY588" s="0" t="s">
        <v>2218</v>
      </c>
      <c r="AZ588" s="0" t="s">
        <v>2219</v>
      </c>
      <c r="BA588" s="0" t="s">
        <v>595</v>
      </c>
      <c r="BB588" s="0" t="str">
        <f t="shared" si="9"/>
        <v>CIHPbeGboko</v>
      </c>
    </row>
    <row r="589">
      <c r="AV589" s="0" t="s">
        <v>473</v>
      </c>
      <c r="AW589" s="0" t="s">
        <v>286</v>
      </c>
      <c r="AX589" s="0" t="s">
        <v>524</v>
      </c>
      <c r="AY589" s="0" t="s">
        <v>2220</v>
      </c>
      <c r="AZ589" s="0" t="s">
        <v>2221</v>
      </c>
      <c r="BA589" s="0" t="s">
        <v>595</v>
      </c>
      <c r="BB589" s="0" t="str">
        <f t="shared" si="9"/>
        <v>CIHPbeGboko</v>
      </c>
    </row>
    <row r="590">
      <c r="AV590" s="0" t="s">
        <v>473</v>
      </c>
      <c r="AW590" s="0" t="s">
        <v>286</v>
      </c>
      <c r="AX590" s="0" t="s">
        <v>524</v>
      </c>
      <c r="AY590" s="0" t="s">
        <v>2222</v>
      </c>
      <c r="AZ590" s="0" t="s">
        <v>2223</v>
      </c>
      <c r="BA590" s="0" t="s">
        <v>595</v>
      </c>
      <c r="BB590" s="0" t="str">
        <f t="shared" si="9"/>
        <v>CIHPbeGboko</v>
      </c>
    </row>
    <row r="591">
      <c r="AV591" s="0" t="s">
        <v>473</v>
      </c>
      <c r="AW591" s="0" t="s">
        <v>286</v>
      </c>
      <c r="AX591" s="0" t="s">
        <v>524</v>
      </c>
      <c r="AY591" s="0" t="s">
        <v>2224</v>
      </c>
      <c r="AZ591" s="0" t="s">
        <v>2225</v>
      </c>
      <c r="BA591" s="0" t="s">
        <v>595</v>
      </c>
      <c r="BB591" s="0" t="str">
        <f t="shared" si="9"/>
        <v>CIHPbeGboko</v>
      </c>
    </row>
    <row r="592">
      <c r="AV592" s="0" t="s">
        <v>473</v>
      </c>
      <c r="AW592" s="0" t="s">
        <v>286</v>
      </c>
      <c r="AX592" s="0" t="s">
        <v>524</v>
      </c>
      <c r="AY592" s="0" t="s">
        <v>2226</v>
      </c>
      <c r="AZ592" s="0" t="s">
        <v>2227</v>
      </c>
      <c r="BA592" s="0" t="s">
        <v>595</v>
      </c>
      <c r="BB592" s="0" t="str">
        <f t="shared" si="9"/>
        <v>CIHPbeGboko</v>
      </c>
    </row>
    <row r="593">
      <c r="AV593" s="0" t="s">
        <v>473</v>
      </c>
      <c r="AW593" s="0" t="s">
        <v>286</v>
      </c>
      <c r="AX593" s="0" t="s">
        <v>524</v>
      </c>
      <c r="AY593" s="0" t="s">
        <v>2228</v>
      </c>
      <c r="AZ593" s="0" t="s">
        <v>2229</v>
      </c>
      <c r="BA593" s="0" t="s">
        <v>595</v>
      </c>
      <c r="BB593" s="0" t="str">
        <f t="shared" si="9"/>
        <v>CIHPbeGboko</v>
      </c>
    </row>
    <row r="594">
      <c r="AV594" s="0" t="s">
        <v>473</v>
      </c>
      <c r="AW594" s="0" t="s">
        <v>286</v>
      </c>
      <c r="AX594" s="0" t="s">
        <v>524</v>
      </c>
      <c r="AY594" s="0" t="s">
        <v>2230</v>
      </c>
      <c r="AZ594" s="0" t="s">
        <v>2231</v>
      </c>
      <c r="BA594" s="0" t="s">
        <v>595</v>
      </c>
      <c r="BB594" s="0" t="str">
        <f t="shared" si="9"/>
        <v>CIHPbeGboko</v>
      </c>
    </row>
    <row r="595">
      <c r="AV595" s="0" t="s">
        <v>473</v>
      </c>
      <c r="AW595" s="0" t="s">
        <v>286</v>
      </c>
      <c r="AX595" s="0" t="s">
        <v>524</v>
      </c>
      <c r="AY595" s="0" t="s">
        <v>2232</v>
      </c>
      <c r="AZ595" s="0" t="s">
        <v>2233</v>
      </c>
      <c r="BA595" s="0" t="s">
        <v>595</v>
      </c>
      <c r="BB595" s="0" t="str">
        <f t="shared" si="9"/>
        <v>CIHPbeGboko</v>
      </c>
    </row>
    <row r="596">
      <c r="AV596" s="0" t="s">
        <v>473</v>
      </c>
      <c r="AW596" s="0" t="s">
        <v>286</v>
      </c>
      <c r="AX596" s="0" t="s">
        <v>524</v>
      </c>
      <c r="AY596" s="0" t="s">
        <v>2234</v>
      </c>
      <c r="AZ596" s="0" t="s">
        <v>2235</v>
      </c>
      <c r="BA596" s="0" t="s">
        <v>595</v>
      </c>
      <c r="BB596" s="0" t="str">
        <f t="shared" si="9"/>
        <v>CIHPbeGboko</v>
      </c>
    </row>
    <row r="597">
      <c r="AV597" s="0" t="s">
        <v>473</v>
      </c>
      <c r="AW597" s="0" t="s">
        <v>286</v>
      </c>
      <c r="AX597" s="0" t="s">
        <v>524</v>
      </c>
      <c r="AY597" s="0" t="s">
        <v>2236</v>
      </c>
      <c r="AZ597" s="0" t="s">
        <v>2237</v>
      </c>
      <c r="BA597" s="0" t="s">
        <v>595</v>
      </c>
      <c r="BB597" s="0" t="str">
        <f t="shared" si="9"/>
        <v>CIHPbeGboko</v>
      </c>
    </row>
    <row r="598">
      <c r="AV598" s="0" t="s">
        <v>473</v>
      </c>
      <c r="AW598" s="0" t="s">
        <v>286</v>
      </c>
      <c r="AX598" s="0" t="s">
        <v>524</v>
      </c>
      <c r="AY598" s="0" t="s">
        <v>2238</v>
      </c>
      <c r="AZ598" s="0" t="s">
        <v>2239</v>
      </c>
      <c r="BA598" s="0" t="s">
        <v>595</v>
      </c>
      <c r="BB598" s="0" t="str">
        <f t="shared" si="9"/>
        <v>CIHPbeGboko</v>
      </c>
    </row>
    <row r="599">
      <c r="AV599" s="0" t="s">
        <v>473</v>
      </c>
      <c r="AW599" s="0" t="s">
        <v>286</v>
      </c>
      <c r="AX599" s="0" t="s">
        <v>524</v>
      </c>
      <c r="AY599" s="0" t="s">
        <v>2240</v>
      </c>
      <c r="AZ599" s="0" t="s">
        <v>2241</v>
      </c>
      <c r="BA599" s="0" t="s">
        <v>595</v>
      </c>
      <c r="BB599" s="0" t="str">
        <f t="shared" si="9"/>
        <v>CIHPbeGboko</v>
      </c>
    </row>
    <row r="600">
      <c r="AV600" s="0" t="s">
        <v>473</v>
      </c>
      <c r="AW600" s="0" t="s">
        <v>286</v>
      </c>
      <c r="AX600" s="0" t="s">
        <v>564</v>
      </c>
      <c r="AY600" s="0" t="s">
        <v>2242</v>
      </c>
      <c r="AZ600" s="0" t="s">
        <v>2243</v>
      </c>
      <c r="BA600" s="0" t="s">
        <v>595</v>
      </c>
      <c r="BB600" s="0" t="str">
        <f t="shared" si="9"/>
        <v>CIHPbeGuma</v>
      </c>
    </row>
    <row r="601">
      <c r="AV601" s="0" t="s">
        <v>473</v>
      </c>
      <c r="AW601" s="0" t="s">
        <v>286</v>
      </c>
      <c r="AX601" s="0" t="s">
        <v>564</v>
      </c>
      <c r="AY601" s="0" t="s">
        <v>2244</v>
      </c>
      <c r="AZ601" s="0" t="s">
        <v>2245</v>
      </c>
      <c r="BA601" s="0" t="s">
        <v>595</v>
      </c>
      <c r="BB601" s="0" t="str">
        <f t="shared" si="9"/>
        <v>CIHPbeGuma</v>
      </c>
    </row>
    <row r="602">
      <c r="AV602" s="0" t="s">
        <v>473</v>
      </c>
      <c r="AW602" s="0" t="s">
        <v>286</v>
      </c>
      <c r="AX602" s="0" t="s">
        <v>564</v>
      </c>
      <c r="AY602" s="0" t="s">
        <v>2246</v>
      </c>
      <c r="AZ602" s="0" t="s">
        <v>2247</v>
      </c>
      <c r="BA602" s="0" t="s">
        <v>595</v>
      </c>
      <c r="BB602" s="0" t="str">
        <f t="shared" si="9"/>
        <v>CIHPbeGuma</v>
      </c>
    </row>
    <row r="603">
      <c r="AV603" s="0" t="s">
        <v>473</v>
      </c>
      <c r="AW603" s="0" t="s">
        <v>286</v>
      </c>
      <c r="AX603" s="0" t="s">
        <v>564</v>
      </c>
      <c r="AY603" s="0" t="s">
        <v>2248</v>
      </c>
      <c r="AZ603" s="0" t="s">
        <v>2249</v>
      </c>
      <c r="BA603" s="0" t="s">
        <v>595</v>
      </c>
      <c r="BB603" s="0" t="str">
        <f t="shared" si="9"/>
        <v>CIHPbeGuma</v>
      </c>
    </row>
    <row r="604">
      <c r="AV604" s="0" t="s">
        <v>473</v>
      </c>
      <c r="AW604" s="0" t="s">
        <v>286</v>
      </c>
      <c r="AX604" s="0" t="s">
        <v>564</v>
      </c>
      <c r="AY604" s="0" t="s">
        <v>2250</v>
      </c>
      <c r="AZ604" s="0" t="s">
        <v>2251</v>
      </c>
      <c r="BA604" s="0" t="s">
        <v>595</v>
      </c>
      <c r="BB604" s="0" t="str">
        <f t="shared" si="9"/>
        <v>CIHPbeGuma</v>
      </c>
    </row>
    <row r="605">
      <c r="AV605" s="0" t="s">
        <v>473</v>
      </c>
      <c r="AW605" s="0" t="s">
        <v>286</v>
      </c>
      <c r="AX605" s="0" t="s">
        <v>564</v>
      </c>
      <c r="AY605" s="0" t="s">
        <v>2252</v>
      </c>
      <c r="AZ605" s="0" t="s">
        <v>2253</v>
      </c>
      <c r="BA605" s="0" t="s">
        <v>595</v>
      </c>
      <c r="BB605" s="0" t="str">
        <f t="shared" si="9"/>
        <v>CIHPbeGuma</v>
      </c>
    </row>
    <row r="606">
      <c r="AV606" s="0" t="s">
        <v>473</v>
      </c>
      <c r="AW606" s="0" t="s">
        <v>286</v>
      </c>
      <c r="AX606" s="0" t="s">
        <v>602</v>
      </c>
      <c r="AY606" s="0" t="s">
        <v>2254</v>
      </c>
      <c r="AZ606" s="0" t="s">
        <v>2255</v>
      </c>
      <c r="BA606" s="0" t="s">
        <v>595</v>
      </c>
      <c r="BB606" s="0" t="str">
        <f t="shared" si="9"/>
        <v>CIHPbeGwerEast</v>
      </c>
    </row>
    <row r="607">
      <c r="AV607" s="0" t="s">
        <v>473</v>
      </c>
      <c r="AW607" s="0" t="s">
        <v>286</v>
      </c>
      <c r="AX607" s="0" t="s">
        <v>602</v>
      </c>
      <c r="AY607" s="0" t="s">
        <v>2256</v>
      </c>
      <c r="AZ607" s="0" t="s">
        <v>2257</v>
      </c>
      <c r="BA607" s="0" t="s">
        <v>595</v>
      </c>
      <c r="BB607" s="0" t="str">
        <f t="shared" si="9"/>
        <v>CIHPbeGwerEast</v>
      </c>
    </row>
    <row r="608">
      <c r="AV608" s="0" t="s">
        <v>473</v>
      </c>
      <c r="AW608" s="0" t="s">
        <v>286</v>
      </c>
      <c r="AX608" s="0" t="s">
        <v>602</v>
      </c>
      <c r="AY608" s="0" t="s">
        <v>2258</v>
      </c>
      <c r="AZ608" s="0" t="s">
        <v>2259</v>
      </c>
      <c r="BA608" s="0" t="s">
        <v>595</v>
      </c>
      <c r="BB608" s="0" t="str">
        <f t="shared" si="9"/>
        <v>CIHPbeGwerEast</v>
      </c>
    </row>
    <row r="609">
      <c r="AV609" s="0" t="s">
        <v>473</v>
      </c>
      <c r="AW609" s="0" t="s">
        <v>286</v>
      </c>
      <c r="AX609" s="0" t="s">
        <v>602</v>
      </c>
      <c r="AY609" s="0" t="s">
        <v>2260</v>
      </c>
      <c r="AZ609" s="0" t="s">
        <v>2261</v>
      </c>
      <c r="BA609" s="0" t="s">
        <v>595</v>
      </c>
      <c r="BB609" s="0" t="str">
        <f t="shared" si="9"/>
        <v>CIHPbeGwerEast</v>
      </c>
    </row>
    <row r="610">
      <c r="AV610" s="0" t="s">
        <v>473</v>
      </c>
      <c r="AW610" s="0" t="s">
        <v>286</v>
      </c>
      <c r="AX610" s="0" t="s">
        <v>602</v>
      </c>
      <c r="AY610" s="0" t="s">
        <v>2262</v>
      </c>
      <c r="AZ610" s="0" t="s">
        <v>2263</v>
      </c>
      <c r="BA610" s="0" t="s">
        <v>595</v>
      </c>
      <c r="BB610" s="0" t="str">
        <f t="shared" si="9"/>
        <v>CIHPbeGwerEast</v>
      </c>
    </row>
    <row r="611">
      <c r="AV611" s="0" t="s">
        <v>473</v>
      </c>
      <c r="AW611" s="0" t="s">
        <v>286</v>
      </c>
      <c r="AX611" s="0" t="s">
        <v>641</v>
      </c>
      <c r="AY611" s="0" t="s">
        <v>2264</v>
      </c>
      <c r="AZ611" s="0" t="s">
        <v>2265</v>
      </c>
      <c r="BA611" s="0" t="s">
        <v>595</v>
      </c>
      <c r="BB611" s="0" t="str">
        <f t="shared" si="9"/>
        <v>CIHPbeGwerWest</v>
      </c>
    </row>
    <row r="612">
      <c r="AV612" s="0" t="s">
        <v>473</v>
      </c>
      <c r="AW612" s="0" t="s">
        <v>286</v>
      </c>
      <c r="AX612" s="0" t="s">
        <v>641</v>
      </c>
      <c r="AY612" s="0" t="s">
        <v>2266</v>
      </c>
      <c r="AZ612" s="0" t="s">
        <v>2267</v>
      </c>
      <c r="BA612" s="0" t="s">
        <v>595</v>
      </c>
      <c r="BB612" s="0" t="str">
        <f t="shared" si="9"/>
        <v>CIHPbeGwerWest</v>
      </c>
    </row>
    <row r="613">
      <c r="AV613" s="0" t="s">
        <v>473</v>
      </c>
      <c r="AW613" s="0" t="s">
        <v>286</v>
      </c>
      <c r="AX613" s="0" t="s">
        <v>641</v>
      </c>
      <c r="AY613" s="0" t="s">
        <v>2268</v>
      </c>
      <c r="AZ613" s="0" t="s">
        <v>2269</v>
      </c>
      <c r="BA613" s="0" t="s">
        <v>595</v>
      </c>
      <c r="BB613" s="0" t="str">
        <f t="shared" si="9"/>
        <v>CIHPbeGwerWest</v>
      </c>
    </row>
    <row r="614">
      <c r="AV614" s="0" t="s">
        <v>473</v>
      </c>
      <c r="AW614" s="0" t="s">
        <v>286</v>
      </c>
      <c r="AX614" s="0" t="s">
        <v>641</v>
      </c>
      <c r="AY614" s="0" t="s">
        <v>2270</v>
      </c>
      <c r="AZ614" s="0" t="s">
        <v>2271</v>
      </c>
      <c r="BA614" s="0" t="s">
        <v>595</v>
      </c>
      <c r="BB614" s="0" t="str">
        <f t="shared" si="9"/>
        <v>CIHPbeGwerWest</v>
      </c>
    </row>
    <row r="615">
      <c r="AV615" s="0" t="s">
        <v>473</v>
      </c>
      <c r="AW615" s="0" t="s">
        <v>286</v>
      </c>
      <c r="AX615" s="0" t="s">
        <v>641</v>
      </c>
      <c r="AY615" s="0" t="s">
        <v>2272</v>
      </c>
      <c r="AZ615" s="0" t="s">
        <v>2273</v>
      </c>
      <c r="BA615" s="0" t="s">
        <v>595</v>
      </c>
      <c r="BB615" s="0" t="str">
        <f t="shared" si="9"/>
        <v>CIHPbeGwerWest</v>
      </c>
    </row>
    <row r="616">
      <c r="AV616" s="0" t="s">
        <v>473</v>
      </c>
      <c r="AW616" s="0" t="s">
        <v>286</v>
      </c>
      <c r="AX616" s="0" t="s">
        <v>641</v>
      </c>
      <c r="AY616" s="0" t="s">
        <v>2274</v>
      </c>
      <c r="AZ616" s="0" t="s">
        <v>2275</v>
      </c>
      <c r="BA616" s="0" t="s">
        <v>595</v>
      </c>
      <c r="BB616" s="0" t="str">
        <f t="shared" si="9"/>
        <v>CIHPbeGwerWest</v>
      </c>
    </row>
    <row r="617">
      <c r="AV617" s="0" t="s">
        <v>473</v>
      </c>
      <c r="AW617" s="0" t="s">
        <v>286</v>
      </c>
      <c r="AX617" s="0" t="s">
        <v>641</v>
      </c>
      <c r="AY617" s="0" t="s">
        <v>2276</v>
      </c>
      <c r="AZ617" s="0" t="s">
        <v>2277</v>
      </c>
      <c r="BA617" s="0" t="s">
        <v>595</v>
      </c>
      <c r="BB617" s="0" t="str">
        <f t="shared" si="9"/>
        <v>CIHPbeGwerWest</v>
      </c>
    </row>
    <row r="618">
      <c r="AV618" s="0" t="s">
        <v>473</v>
      </c>
      <c r="AW618" s="0" t="s">
        <v>286</v>
      </c>
      <c r="AX618" s="0" t="s">
        <v>641</v>
      </c>
      <c r="AY618" s="0" t="s">
        <v>2278</v>
      </c>
      <c r="AZ618" s="0" t="s">
        <v>2279</v>
      </c>
      <c r="BA618" s="0" t="s">
        <v>595</v>
      </c>
      <c r="BB618" s="0" t="str">
        <f t="shared" si="9"/>
        <v>CIHPbeGwerWest</v>
      </c>
    </row>
    <row r="619">
      <c r="AV619" s="0" t="s">
        <v>473</v>
      </c>
      <c r="AW619" s="0" t="s">
        <v>286</v>
      </c>
      <c r="AX619" s="0" t="s">
        <v>641</v>
      </c>
      <c r="AY619" s="0" t="s">
        <v>2280</v>
      </c>
      <c r="AZ619" s="0" t="s">
        <v>2281</v>
      </c>
      <c r="BA619" s="0" t="s">
        <v>595</v>
      </c>
      <c r="BB619" s="0" t="str">
        <f t="shared" si="9"/>
        <v>CIHPbeGwerWest</v>
      </c>
    </row>
    <row r="620">
      <c r="AV620" s="0" t="s">
        <v>473</v>
      </c>
      <c r="AW620" s="0" t="s">
        <v>286</v>
      </c>
      <c r="AX620" s="0" t="s">
        <v>641</v>
      </c>
      <c r="AY620" s="0" t="s">
        <v>2282</v>
      </c>
      <c r="AZ620" s="0" t="s">
        <v>2283</v>
      </c>
      <c r="BA620" s="0" t="s">
        <v>595</v>
      </c>
      <c r="BB620" s="0" t="str">
        <f t="shared" si="9"/>
        <v>CIHPbeGwerWest</v>
      </c>
    </row>
    <row r="621">
      <c r="AV621" s="0" t="s">
        <v>473</v>
      </c>
      <c r="AW621" s="0" t="s">
        <v>286</v>
      </c>
      <c r="AX621" s="0" t="s">
        <v>641</v>
      </c>
      <c r="AY621" s="0" t="s">
        <v>2284</v>
      </c>
      <c r="AZ621" s="0" t="s">
        <v>2285</v>
      </c>
      <c r="BA621" s="0" t="s">
        <v>595</v>
      </c>
      <c r="BB621" s="0" t="str">
        <f t="shared" si="9"/>
        <v>CIHPbeGwerWest</v>
      </c>
    </row>
    <row r="622">
      <c r="AV622" s="0" t="s">
        <v>473</v>
      </c>
      <c r="AW622" s="0" t="s">
        <v>286</v>
      </c>
      <c r="AX622" s="0" t="s">
        <v>641</v>
      </c>
      <c r="AY622" s="0" t="s">
        <v>2286</v>
      </c>
      <c r="AZ622" s="0" t="s">
        <v>2287</v>
      </c>
      <c r="BA622" s="0" t="s">
        <v>595</v>
      </c>
      <c r="BB622" s="0" t="str">
        <f t="shared" si="9"/>
        <v>CIHPbeGwerWest</v>
      </c>
    </row>
    <row r="623">
      <c r="AV623" s="0" t="s">
        <v>473</v>
      </c>
      <c r="AW623" s="0" t="s">
        <v>286</v>
      </c>
      <c r="AX623" s="0" t="s">
        <v>641</v>
      </c>
      <c r="AY623" s="0" t="s">
        <v>2288</v>
      </c>
      <c r="AZ623" s="0" t="s">
        <v>2289</v>
      </c>
      <c r="BA623" s="0" t="s">
        <v>595</v>
      </c>
      <c r="BB623" s="0" t="str">
        <f t="shared" si="9"/>
        <v>CIHPbeGwerWest</v>
      </c>
    </row>
    <row r="624">
      <c r="AV624" s="0" t="s">
        <v>473</v>
      </c>
      <c r="AW624" s="0" t="s">
        <v>286</v>
      </c>
      <c r="AX624" s="0" t="s">
        <v>641</v>
      </c>
      <c r="AY624" s="0" t="s">
        <v>2290</v>
      </c>
      <c r="AZ624" s="0" t="s">
        <v>2291</v>
      </c>
      <c r="BA624" s="0" t="s">
        <v>595</v>
      </c>
      <c r="BB624" s="0" t="str">
        <f t="shared" si="9"/>
        <v>CIHPbeGwerWest</v>
      </c>
    </row>
    <row r="625">
      <c r="AV625" s="0" t="s">
        <v>473</v>
      </c>
      <c r="AW625" s="0" t="s">
        <v>286</v>
      </c>
      <c r="AX625" s="0" t="s">
        <v>641</v>
      </c>
      <c r="AY625" s="0" t="s">
        <v>2292</v>
      </c>
      <c r="AZ625" s="0" t="s">
        <v>2293</v>
      </c>
      <c r="BA625" s="0" t="s">
        <v>595</v>
      </c>
      <c r="BB625" s="0" t="str">
        <f t="shared" si="9"/>
        <v>CIHPbeGwerWest</v>
      </c>
    </row>
    <row r="626">
      <c r="AV626" s="0" t="s">
        <v>473</v>
      </c>
      <c r="AW626" s="0" t="s">
        <v>286</v>
      </c>
      <c r="AX626" s="0" t="s">
        <v>641</v>
      </c>
      <c r="AY626" s="0" t="s">
        <v>2294</v>
      </c>
      <c r="AZ626" s="0" t="s">
        <v>2295</v>
      </c>
      <c r="BA626" s="0" t="s">
        <v>595</v>
      </c>
      <c r="BB626" s="0" t="str">
        <f t="shared" si="9"/>
        <v>CIHPbeGwerWest</v>
      </c>
    </row>
    <row r="627">
      <c r="AV627" s="0" t="s">
        <v>473</v>
      </c>
      <c r="AW627" s="0" t="s">
        <v>286</v>
      </c>
      <c r="AX627" s="0" t="s">
        <v>641</v>
      </c>
      <c r="AY627" s="0" t="s">
        <v>2296</v>
      </c>
      <c r="AZ627" s="0" t="s">
        <v>2297</v>
      </c>
      <c r="BA627" s="0" t="s">
        <v>595</v>
      </c>
      <c r="BB627" s="0" t="str">
        <f t="shared" si="9"/>
        <v>CIHPbeGwerWest</v>
      </c>
    </row>
    <row r="628">
      <c r="AV628" s="0" t="s">
        <v>473</v>
      </c>
      <c r="AW628" s="0" t="s">
        <v>286</v>
      </c>
      <c r="AX628" s="0" t="s">
        <v>641</v>
      </c>
      <c r="AY628" s="0" t="s">
        <v>2298</v>
      </c>
      <c r="AZ628" s="0" t="s">
        <v>2299</v>
      </c>
      <c r="BA628" s="0" t="s">
        <v>595</v>
      </c>
      <c r="BB628" s="0" t="str">
        <f t="shared" si="9"/>
        <v>CIHPbeGwerWest</v>
      </c>
    </row>
    <row r="629">
      <c r="AV629" s="0" t="s">
        <v>473</v>
      </c>
      <c r="AW629" s="0" t="s">
        <v>286</v>
      </c>
      <c r="AX629" s="0" t="s">
        <v>641</v>
      </c>
      <c r="AY629" s="0" t="s">
        <v>2300</v>
      </c>
      <c r="AZ629" s="0" t="s">
        <v>2301</v>
      </c>
      <c r="BA629" s="0" t="s">
        <v>595</v>
      </c>
      <c r="BB629" s="0" t="str">
        <f t="shared" si="9"/>
        <v>CIHPbeGwerWest</v>
      </c>
    </row>
    <row r="630">
      <c r="AV630" s="0" t="s">
        <v>473</v>
      </c>
      <c r="AW630" s="0" t="s">
        <v>286</v>
      </c>
      <c r="AX630" s="0" t="s">
        <v>641</v>
      </c>
      <c r="AY630" s="0" t="s">
        <v>2302</v>
      </c>
      <c r="AZ630" s="0" t="s">
        <v>2303</v>
      </c>
      <c r="BA630" s="0" t="s">
        <v>595</v>
      </c>
      <c r="BB630" s="0" t="str">
        <f t="shared" si="9"/>
        <v>CIHPbeGwerWest</v>
      </c>
    </row>
    <row r="631">
      <c r="AV631" s="0" t="s">
        <v>473</v>
      </c>
      <c r="AW631" s="0" t="s">
        <v>286</v>
      </c>
      <c r="AX631" s="0" t="s">
        <v>748</v>
      </c>
      <c r="AY631" s="0" t="s">
        <v>2304</v>
      </c>
      <c r="AZ631" s="0" t="s">
        <v>2305</v>
      </c>
      <c r="BA631" s="0" t="s">
        <v>595</v>
      </c>
      <c r="BB631" s="0" t="str">
        <f t="shared" si="9"/>
        <v>CIHPbeKwande</v>
      </c>
    </row>
    <row r="632">
      <c r="AV632" s="0" t="s">
        <v>473</v>
      </c>
      <c r="AW632" s="0" t="s">
        <v>286</v>
      </c>
      <c r="AX632" s="0" t="s">
        <v>748</v>
      </c>
      <c r="AY632" s="0" t="s">
        <v>2306</v>
      </c>
      <c r="AZ632" s="0" t="s">
        <v>2307</v>
      </c>
      <c r="BA632" s="0" t="s">
        <v>595</v>
      </c>
      <c r="BB632" s="0" t="str">
        <f t="shared" si="9"/>
        <v>CIHPbeKwande</v>
      </c>
    </row>
    <row r="633">
      <c r="AV633" s="0" t="s">
        <v>473</v>
      </c>
      <c r="AW633" s="0" t="s">
        <v>286</v>
      </c>
      <c r="AX633" s="0" t="s">
        <v>748</v>
      </c>
      <c r="AY633" s="0" t="s">
        <v>2308</v>
      </c>
      <c r="AZ633" s="0" t="s">
        <v>2309</v>
      </c>
      <c r="BA633" s="0" t="s">
        <v>595</v>
      </c>
      <c r="BB633" s="0" t="str">
        <f t="shared" si="9"/>
        <v>CIHPbeKwande</v>
      </c>
    </row>
    <row r="634">
      <c r="AV634" s="0" t="s">
        <v>473</v>
      </c>
      <c r="AW634" s="0" t="s">
        <v>286</v>
      </c>
      <c r="AX634" s="0" t="s">
        <v>748</v>
      </c>
      <c r="AY634" s="0" t="s">
        <v>2310</v>
      </c>
      <c r="AZ634" s="0" t="s">
        <v>2311</v>
      </c>
      <c r="BA634" s="0" t="s">
        <v>595</v>
      </c>
      <c r="BB634" s="0" t="str">
        <f t="shared" si="9"/>
        <v>CIHPbeKwande</v>
      </c>
    </row>
    <row r="635">
      <c r="AV635" s="0" t="s">
        <v>473</v>
      </c>
      <c r="AW635" s="0" t="s">
        <v>286</v>
      </c>
      <c r="AX635" s="0" t="s">
        <v>748</v>
      </c>
      <c r="AY635" s="0" t="s">
        <v>2312</v>
      </c>
      <c r="AZ635" s="0" t="s">
        <v>2313</v>
      </c>
      <c r="BA635" s="0" t="s">
        <v>595</v>
      </c>
      <c r="BB635" s="0" t="str">
        <f t="shared" si="9"/>
        <v>CIHPbeKwande</v>
      </c>
    </row>
    <row r="636">
      <c r="AV636" s="0" t="s">
        <v>473</v>
      </c>
      <c r="AW636" s="0" t="s">
        <v>286</v>
      </c>
      <c r="AX636" s="0" t="s">
        <v>748</v>
      </c>
      <c r="AY636" s="0" t="s">
        <v>2314</v>
      </c>
      <c r="AZ636" s="0" t="s">
        <v>2315</v>
      </c>
      <c r="BA636" s="0" t="s">
        <v>595</v>
      </c>
      <c r="BB636" s="0" t="str">
        <f t="shared" si="9"/>
        <v>CIHPbeKwande</v>
      </c>
    </row>
    <row r="637">
      <c r="AV637" s="0" t="s">
        <v>473</v>
      </c>
      <c r="AW637" s="0" t="s">
        <v>286</v>
      </c>
      <c r="AX637" s="0" t="s">
        <v>748</v>
      </c>
      <c r="AY637" s="0" t="s">
        <v>2316</v>
      </c>
      <c r="AZ637" s="0" t="s">
        <v>2317</v>
      </c>
      <c r="BA637" s="0" t="s">
        <v>595</v>
      </c>
      <c r="BB637" s="0" t="str">
        <f t="shared" si="9"/>
        <v>CIHPbeKwande</v>
      </c>
    </row>
    <row r="638">
      <c r="AV638" s="0" t="s">
        <v>473</v>
      </c>
      <c r="AW638" s="0" t="s">
        <v>286</v>
      </c>
      <c r="AX638" s="0" t="s">
        <v>748</v>
      </c>
      <c r="AY638" s="0" t="s">
        <v>2318</v>
      </c>
      <c r="AZ638" s="0" t="s">
        <v>2319</v>
      </c>
      <c r="BA638" s="0" t="s">
        <v>595</v>
      </c>
      <c r="BB638" s="0" t="str">
        <f t="shared" si="9"/>
        <v>CIHPbeKwande</v>
      </c>
    </row>
    <row r="639">
      <c r="AV639" s="0" t="s">
        <v>473</v>
      </c>
      <c r="AW639" s="0" t="s">
        <v>286</v>
      </c>
      <c r="AX639" s="0" t="s">
        <v>748</v>
      </c>
      <c r="AY639" s="0" t="s">
        <v>2320</v>
      </c>
      <c r="AZ639" s="0" t="s">
        <v>2321</v>
      </c>
      <c r="BA639" s="0" t="s">
        <v>595</v>
      </c>
      <c r="BB639" s="0" t="str">
        <f t="shared" si="9"/>
        <v>CIHPbeKwande</v>
      </c>
    </row>
    <row r="640">
      <c r="AV640" s="0" t="s">
        <v>473</v>
      </c>
      <c r="AW640" s="0" t="s">
        <v>286</v>
      </c>
      <c r="AX640" s="0" t="s">
        <v>748</v>
      </c>
      <c r="AY640" s="0" t="s">
        <v>2322</v>
      </c>
      <c r="AZ640" s="0" t="s">
        <v>2323</v>
      </c>
      <c r="BA640" s="0" t="s">
        <v>595</v>
      </c>
      <c r="BB640" s="0" t="str">
        <f t="shared" si="9"/>
        <v>CIHPbeKwande</v>
      </c>
    </row>
    <row r="641">
      <c r="AV641" s="0" t="s">
        <v>473</v>
      </c>
      <c r="AW641" s="0" t="s">
        <v>286</v>
      </c>
      <c r="AX641" s="0" t="s">
        <v>748</v>
      </c>
      <c r="AY641" s="0" t="s">
        <v>2324</v>
      </c>
      <c r="AZ641" s="0" t="s">
        <v>2325</v>
      </c>
      <c r="BA641" s="0" t="s">
        <v>595</v>
      </c>
      <c r="BB641" s="0" t="str">
        <f t="shared" si="9"/>
        <v>CIHPbeKwande</v>
      </c>
    </row>
    <row r="642">
      <c r="AV642" s="0" t="s">
        <v>473</v>
      </c>
      <c r="AW642" s="0" t="s">
        <v>286</v>
      </c>
      <c r="AX642" s="0" t="s">
        <v>748</v>
      </c>
      <c r="AY642" s="0" t="s">
        <v>2326</v>
      </c>
      <c r="AZ642" s="0" t="s">
        <v>2327</v>
      </c>
      <c r="BA642" s="0" t="s">
        <v>595</v>
      </c>
      <c r="BB642" s="0" t="str">
        <f t="shared" si="9"/>
        <v>CIHPbeKwande</v>
      </c>
    </row>
    <row r="643">
      <c r="AV643" s="0" t="s">
        <v>473</v>
      </c>
      <c r="AW643" s="0" t="s">
        <v>286</v>
      </c>
      <c r="AX643" s="0" t="s">
        <v>780</v>
      </c>
      <c r="AY643" s="0" t="s">
        <v>2328</v>
      </c>
      <c r="AZ643" s="0" t="s">
        <v>2329</v>
      </c>
      <c r="BA643" s="0" t="s">
        <v>595</v>
      </c>
      <c r="BB643" s="0" t="str">
        <f ref="BB643:BB706" t="shared" si="10">SUBSTITUTE(SUBSTITUTE(BA643&amp;AX643," ",""),"-","")</f>
        <v>CIHPbeLogo</v>
      </c>
    </row>
    <row r="644">
      <c r="AV644" s="0" t="s">
        <v>473</v>
      </c>
      <c r="AW644" s="0" t="s">
        <v>286</v>
      </c>
      <c r="AX644" s="0" t="s">
        <v>780</v>
      </c>
      <c r="AY644" s="0" t="s">
        <v>2330</v>
      </c>
      <c r="AZ644" s="0" t="s">
        <v>2331</v>
      </c>
      <c r="BA644" s="0" t="s">
        <v>595</v>
      </c>
      <c r="BB644" s="0" t="str">
        <f t="shared" si="10"/>
        <v>CIHPbeLogo</v>
      </c>
    </row>
    <row r="645">
      <c r="AV645" s="0" t="s">
        <v>473</v>
      </c>
      <c r="AW645" s="0" t="s">
        <v>286</v>
      </c>
      <c r="AX645" s="0" t="s">
        <v>780</v>
      </c>
      <c r="AY645" s="0" t="s">
        <v>2332</v>
      </c>
      <c r="AZ645" s="0" t="s">
        <v>2333</v>
      </c>
      <c r="BA645" s="0" t="s">
        <v>595</v>
      </c>
      <c r="BB645" s="0" t="str">
        <f t="shared" si="10"/>
        <v>CIHPbeLogo</v>
      </c>
    </row>
    <row r="646">
      <c r="AV646" s="0" t="s">
        <v>473</v>
      </c>
      <c r="AW646" s="0" t="s">
        <v>286</v>
      </c>
      <c r="AX646" s="0" t="s">
        <v>780</v>
      </c>
      <c r="AY646" s="0" t="s">
        <v>2334</v>
      </c>
      <c r="AZ646" s="0" t="s">
        <v>2335</v>
      </c>
      <c r="BA646" s="0" t="s">
        <v>595</v>
      </c>
      <c r="BB646" s="0" t="str">
        <f t="shared" si="10"/>
        <v>CIHPbeLogo</v>
      </c>
    </row>
    <row r="647">
      <c r="AV647" s="0" t="s">
        <v>473</v>
      </c>
      <c r="AW647" s="0" t="s">
        <v>286</v>
      </c>
      <c r="AX647" s="0" t="s">
        <v>780</v>
      </c>
      <c r="AY647" s="0" t="s">
        <v>2336</v>
      </c>
      <c r="AZ647" s="0" t="s">
        <v>2337</v>
      </c>
      <c r="BA647" s="0" t="s">
        <v>595</v>
      </c>
      <c r="BB647" s="0" t="str">
        <f t="shared" si="10"/>
        <v>CIHPbeLogo</v>
      </c>
    </row>
    <row r="648">
      <c r="AV648" s="0" t="s">
        <v>473</v>
      </c>
      <c r="AW648" s="0" t="s">
        <v>286</v>
      </c>
      <c r="AX648" s="0" t="s">
        <v>780</v>
      </c>
      <c r="AY648" s="0" t="s">
        <v>2338</v>
      </c>
      <c r="AZ648" s="0" t="s">
        <v>2339</v>
      </c>
      <c r="BA648" s="0" t="s">
        <v>595</v>
      </c>
      <c r="BB648" s="0" t="str">
        <f t="shared" si="10"/>
        <v>CIHPbeLogo</v>
      </c>
    </row>
    <row r="649">
      <c r="AV649" s="0" t="s">
        <v>473</v>
      </c>
      <c r="AW649" s="0" t="s">
        <v>286</v>
      </c>
      <c r="AX649" s="0" t="s">
        <v>780</v>
      </c>
      <c r="AY649" s="0" t="s">
        <v>2340</v>
      </c>
      <c r="AZ649" s="0" t="s">
        <v>2341</v>
      </c>
      <c r="BA649" s="0" t="s">
        <v>595</v>
      </c>
      <c r="BB649" s="0" t="str">
        <f t="shared" si="10"/>
        <v>CIHPbeLogo</v>
      </c>
    </row>
    <row r="650">
      <c r="AV650" s="0" t="s">
        <v>473</v>
      </c>
      <c r="AW650" s="0" t="s">
        <v>286</v>
      </c>
      <c r="AX650" s="0" t="s">
        <v>780</v>
      </c>
      <c r="AY650" s="0" t="s">
        <v>2342</v>
      </c>
      <c r="AZ650" s="0" t="s">
        <v>2343</v>
      </c>
      <c r="BA650" s="0" t="s">
        <v>595</v>
      </c>
      <c r="BB650" s="0" t="str">
        <f t="shared" si="10"/>
        <v>CIHPbeLogo</v>
      </c>
    </row>
    <row r="651">
      <c r="AV651" s="0" t="s">
        <v>473</v>
      </c>
      <c r="AW651" s="0" t="s">
        <v>286</v>
      </c>
      <c r="AX651" s="0" t="s">
        <v>780</v>
      </c>
      <c r="AY651" s="0" t="s">
        <v>2344</v>
      </c>
      <c r="AZ651" s="0" t="s">
        <v>2345</v>
      </c>
      <c r="BA651" s="0" t="s">
        <v>595</v>
      </c>
      <c r="BB651" s="0" t="str">
        <f t="shared" si="10"/>
        <v>CIHPbeLogo</v>
      </c>
    </row>
    <row r="652">
      <c r="AV652" s="0" t="s">
        <v>473</v>
      </c>
      <c r="AW652" s="0" t="s">
        <v>286</v>
      </c>
      <c r="AX652" s="0" t="s">
        <v>780</v>
      </c>
      <c r="AY652" s="0" t="s">
        <v>2346</v>
      </c>
      <c r="AZ652" s="0" t="s">
        <v>2347</v>
      </c>
      <c r="BA652" s="0" t="s">
        <v>595</v>
      </c>
      <c r="BB652" s="0" t="str">
        <f t="shared" si="10"/>
        <v>CIHPbeLogo</v>
      </c>
    </row>
    <row r="653">
      <c r="AV653" s="0" t="s">
        <v>473</v>
      </c>
      <c r="AW653" s="0" t="s">
        <v>286</v>
      </c>
      <c r="AX653" s="0" t="s">
        <v>780</v>
      </c>
      <c r="AY653" s="0" t="s">
        <v>2348</v>
      </c>
      <c r="AZ653" s="0" t="s">
        <v>2349</v>
      </c>
      <c r="BA653" s="0" t="s">
        <v>595</v>
      </c>
      <c r="BB653" s="0" t="str">
        <f t="shared" si="10"/>
        <v>CIHPbeLogo</v>
      </c>
    </row>
    <row r="654">
      <c r="AV654" s="0" t="s">
        <v>473</v>
      </c>
      <c r="AW654" s="0" t="s">
        <v>286</v>
      </c>
      <c r="AX654" s="0" t="s">
        <v>780</v>
      </c>
      <c r="AY654" s="0" t="s">
        <v>2350</v>
      </c>
      <c r="AZ654" s="0" t="s">
        <v>2351</v>
      </c>
      <c r="BA654" s="0" t="s">
        <v>595</v>
      </c>
      <c r="BB654" s="0" t="str">
        <f t="shared" si="10"/>
        <v>CIHPbeLogo</v>
      </c>
    </row>
    <row r="655">
      <c r="AV655" s="0" t="s">
        <v>473</v>
      </c>
      <c r="AW655" s="0" t="s">
        <v>286</v>
      </c>
      <c r="AX655" s="0" t="s">
        <v>780</v>
      </c>
      <c r="AY655" s="0" t="s">
        <v>2352</v>
      </c>
      <c r="AZ655" s="0" t="s">
        <v>2353</v>
      </c>
      <c r="BA655" s="0" t="s">
        <v>595</v>
      </c>
      <c r="BB655" s="0" t="str">
        <f t="shared" si="10"/>
        <v>CIHPbeLogo</v>
      </c>
    </row>
    <row r="656">
      <c r="AV656" s="0" t="s">
        <v>473</v>
      </c>
      <c r="AW656" s="0" t="s">
        <v>286</v>
      </c>
      <c r="AX656" s="0" t="s">
        <v>780</v>
      </c>
      <c r="AY656" s="0" t="s">
        <v>2354</v>
      </c>
      <c r="AZ656" s="0" t="s">
        <v>2355</v>
      </c>
      <c r="BA656" s="0" t="s">
        <v>595</v>
      </c>
      <c r="BB656" s="0" t="str">
        <f t="shared" si="10"/>
        <v>CIHPbeLogo</v>
      </c>
    </row>
    <row r="657">
      <c r="AV657" s="0" t="s">
        <v>473</v>
      </c>
      <c r="AW657" s="0" t="s">
        <v>286</v>
      </c>
      <c r="AX657" s="0" t="s">
        <v>780</v>
      </c>
      <c r="AY657" s="0" t="s">
        <v>2356</v>
      </c>
      <c r="AZ657" s="0" t="s">
        <v>2357</v>
      </c>
      <c r="BA657" s="0" t="s">
        <v>595</v>
      </c>
      <c r="BB657" s="0" t="str">
        <f t="shared" si="10"/>
        <v>CIHPbeLogo</v>
      </c>
    </row>
    <row r="658">
      <c r="AV658" s="0" t="s">
        <v>473</v>
      </c>
      <c r="AW658" s="0" t="s">
        <v>286</v>
      </c>
      <c r="AX658" s="0" t="s">
        <v>780</v>
      </c>
      <c r="AY658" s="0" t="s">
        <v>2358</v>
      </c>
      <c r="AZ658" s="0" t="s">
        <v>2359</v>
      </c>
      <c r="BA658" s="0" t="s">
        <v>595</v>
      </c>
      <c r="BB658" s="0" t="str">
        <f t="shared" si="10"/>
        <v>CIHPbeLogo</v>
      </c>
    </row>
    <row r="659">
      <c r="AV659" s="0" t="s">
        <v>473</v>
      </c>
      <c r="AW659" s="0" t="s">
        <v>286</v>
      </c>
      <c r="AX659" s="0" t="s">
        <v>780</v>
      </c>
      <c r="AY659" s="0" t="s">
        <v>2360</v>
      </c>
      <c r="AZ659" s="0" t="s">
        <v>2361</v>
      </c>
      <c r="BA659" s="0" t="s">
        <v>595</v>
      </c>
      <c r="BB659" s="0" t="str">
        <f t="shared" si="10"/>
        <v>CIHPbeLogo</v>
      </c>
    </row>
    <row r="660">
      <c r="AV660" s="0" t="s">
        <v>473</v>
      </c>
      <c r="AW660" s="0" t="s">
        <v>286</v>
      </c>
      <c r="AX660" s="0" t="s">
        <v>780</v>
      </c>
      <c r="AY660" s="0" t="s">
        <v>2362</v>
      </c>
      <c r="AZ660" s="0" t="s">
        <v>2363</v>
      </c>
      <c r="BA660" s="0" t="s">
        <v>595</v>
      </c>
      <c r="BB660" s="0" t="str">
        <f t="shared" si="10"/>
        <v>CIHPbeLogo</v>
      </c>
    </row>
    <row r="661">
      <c r="AV661" s="0" t="s">
        <v>473</v>
      </c>
      <c r="AW661" s="0" t="s">
        <v>286</v>
      </c>
      <c r="AX661" s="0" t="s">
        <v>780</v>
      </c>
      <c r="AY661" s="0" t="s">
        <v>2364</v>
      </c>
      <c r="AZ661" s="0" t="s">
        <v>2365</v>
      </c>
      <c r="BA661" s="0" t="s">
        <v>595</v>
      </c>
      <c r="BB661" s="0" t="str">
        <f t="shared" si="10"/>
        <v>CIHPbeLogo</v>
      </c>
    </row>
    <row r="662">
      <c r="AV662" s="0" t="s">
        <v>473</v>
      </c>
      <c r="AW662" s="0" t="s">
        <v>286</v>
      </c>
      <c r="AX662" s="0" t="s">
        <v>780</v>
      </c>
      <c r="AY662" s="0" t="s">
        <v>2366</v>
      </c>
      <c r="AZ662" s="0" t="s">
        <v>2367</v>
      </c>
      <c r="BA662" s="0" t="s">
        <v>595</v>
      </c>
      <c r="BB662" s="0" t="str">
        <f t="shared" si="10"/>
        <v>CIHPbeLogo</v>
      </c>
    </row>
    <row r="663">
      <c r="AV663" s="0" t="s">
        <v>473</v>
      </c>
      <c r="AW663" s="0" t="s">
        <v>286</v>
      </c>
      <c r="AX663" s="0" t="s">
        <v>780</v>
      </c>
      <c r="AY663" s="0" t="s">
        <v>2368</v>
      </c>
      <c r="AZ663" s="0" t="s">
        <v>2369</v>
      </c>
      <c r="BA663" s="0" t="s">
        <v>595</v>
      </c>
      <c r="BB663" s="0" t="str">
        <f t="shared" si="10"/>
        <v>CIHPbeLogo</v>
      </c>
    </row>
    <row r="664">
      <c r="AV664" s="0" t="s">
        <v>473</v>
      </c>
      <c r="AW664" s="0" t="s">
        <v>286</v>
      </c>
      <c r="AX664" s="0" t="s">
        <v>780</v>
      </c>
      <c r="AY664" s="0" t="s">
        <v>2370</v>
      </c>
      <c r="AZ664" s="0" t="s">
        <v>2371</v>
      </c>
      <c r="BA664" s="0" t="s">
        <v>595</v>
      </c>
      <c r="BB664" s="0" t="str">
        <f t="shared" si="10"/>
        <v>CIHPbeLogo</v>
      </c>
    </row>
    <row r="665">
      <c r="AV665" s="0" t="s">
        <v>473</v>
      </c>
      <c r="AW665" s="0" t="s">
        <v>286</v>
      </c>
      <c r="AX665" s="0" t="s">
        <v>780</v>
      </c>
      <c r="AY665" s="0" t="s">
        <v>2372</v>
      </c>
      <c r="AZ665" s="0" t="s">
        <v>2373</v>
      </c>
      <c r="BA665" s="0" t="s">
        <v>595</v>
      </c>
      <c r="BB665" s="0" t="str">
        <f t="shared" si="10"/>
        <v>CIHPbeLogo</v>
      </c>
    </row>
    <row r="666">
      <c r="AV666" s="0" t="s">
        <v>473</v>
      </c>
      <c r="AW666" s="0" t="s">
        <v>286</v>
      </c>
      <c r="AX666" s="0" t="s">
        <v>780</v>
      </c>
      <c r="AY666" s="0" t="s">
        <v>2374</v>
      </c>
      <c r="AZ666" s="0" t="s">
        <v>2375</v>
      </c>
      <c r="BA666" s="0" t="s">
        <v>595</v>
      </c>
      <c r="BB666" s="0" t="str">
        <f t="shared" si="10"/>
        <v>CIHPbeLogo</v>
      </c>
    </row>
    <row r="667">
      <c r="AV667" s="0" t="s">
        <v>473</v>
      </c>
      <c r="AW667" s="0" t="s">
        <v>286</v>
      </c>
      <c r="AX667" s="0" t="s">
        <v>780</v>
      </c>
      <c r="AY667" s="0" t="s">
        <v>2376</v>
      </c>
      <c r="AZ667" s="0" t="s">
        <v>2377</v>
      </c>
      <c r="BA667" s="0" t="s">
        <v>595</v>
      </c>
      <c r="BB667" s="0" t="str">
        <f t="shared" si="10"/>
        <v>CIHPbeLogo</v>
      </c>
    </row>
    <row r="668">
      <c r="AV668" s="0" t="s">
        <v>473</v>
      </c>
      <c r="AW668" s="0" t="s">
        <v>286</v>
      </c>
      <c r="AX668" s="0" t="s">
        <v>780</v>
      </c>
      <c r="AY668" s="0" t="s">
        <v>2378</v>
      </c>
      <c r="AZ668" s="0" t="s">
        <v>2379</v>
      </c>
      <c r="BA668" s="0" t="s">
        <v>595</v>
      </c>
      <c r="BB668" s="0" t="str">
        <f t="shared" si="10"/>
        <v>CIHPbeLogo</v>
      </c>
    </row>
    <row r="669">
      <c r="AV669" s="0" t="s">
        <v>473</v>
      </c>
      <c r="AW669" s="0" t="s">
        <v>286</v>
      </c>
      <c r="AX669" s="0" t="s">
        <v>780</v>
      </c>
      <c r="AY669" s="0" t="s">
        <v>2380</v>
      </c>
      <c r="AZ669" s="0" t="s">
        <v>2381</v>
      </c>
      <c r="BA669" s="0" t="s">
        <v>595</v>
      </c>
      <c r="BB669" s="0" t="str">
        <f t="shared" si="10"/>
        <v>CIHPbeLogo</v>
      </c>
    </row>
    <row r="670">
      <c r="AV670" s="0" t="s">
        <v>473</v>
      </c>
      <c r="AW670" s="0" t="s">
        <v>286</v>
      </c>
      <c r="AX670" s="0" t="s">
        <v>780</v>
      </c>
      <c r="AY670" s="0" t="s">
        <v>2382</v>
      </c>
      <c r="AZ670" s="0" t="s">
        <v>2383</v>
      </c>
      <c r="BA670" s="0" t="s">
        <v>595</v>
      </c>
      <c r="BB670" s="0" t="str">
        <f t="shared" si="10"/>
        <v>CIHPbeLogo</v>
      </c>
    </row>
    <row r="671">
      <c r="AV671" s="0" t="s">
        <v>473</v>
      </c>
      <c r="AW671" s="0" t="s">
        <v>286</v>
      </c>
      <c r="AX671" s="0" t="s">
        <v>780</v>
      </c>
      <c r="AY671" s="0" t="s">
        <v>2384</v>
      </c>
      <c r="AZ671" s="0" t="s">
        <v>2385</v>
      </c>
      <c r="BA671" s="0" t="s">
        <v>595</v>
      </c>
      <c r="BB671" s="0" t="str">
        <f t="shared" si="10"/>
        <v>CIHPbeLogo</v>
      </c>
    </row>
    <row r="672">
      <c r="AV672" s="0" t="s">
        <v>473</v>
      </c>
      <c r="AW672" s="0" t="s">
        <v>286</v>
      </c>
      <c r="AX672" s="0" t="s">
        <v>780</v>
      </c>
      <c r="AY672" s="0" t="s">
        <v>2386</v>
      </c>
      <c r="AZ672" s="0" t="s">
        <v>2387</v>
      </c>
      <c r="BA672" s="0" t="s">
        <v>595</v>
      </c>
      <c r="BB672" s="0" t="str">
        <f t="shared" si="10"/>
        <v>CIHPbeLogo</v>
      </c>
    </row>
    <row r="673">
      <c r="AV673" s="0" t="s">
        <v>473</v>
      </c>
      <c r="AW673" s="0" t="s">
        <v>286</v>
      </c>
      <c r="AX673" s="0" t="s">
        <v>780</v>
      </c>
      <c r="AY673" s="0" t="s">
        <v>2388</v>
      </c>
      <c r="AZ673" s="0" t="s">
        <v>2389</v>
      </c>
      <c r="BA673" s="0" t="s">
        <v>595</v>
      </c>
      <c r="BB673" s="0" t="str">
        <f t="shared" si="10"/>
        <v>CIHPbeLogo</v>
      </c>
    </row>
    <row r="674">
      <c r="AV674" s="0" t="s">
        <v>473</v>
      </c>
      <c r="AW674" s="0" t="s">
        <v>286</v>
      </c>
      <c r="AX674" s="0" t="s">
        <v>780</v>
      </c>
      <c r="AY674" s="0" t="s">
        <v>2390</v>
      </c>
      <c r="AZ674" s="0" t="s">
        <v>2391</v>
      </c>
      <c r="BA674" s="0" t="s">
        <v>595</v>
      </c>
      <c r="BB674" s="0" t="str">
        <f t="shared" si="10"/>
        <v>CIHPbeLogo</v>
      </c>
    </row>
    <row r="675">
      <c r="AV675" s="0" t="s">
        <v>473</v>
      </c>
      <c r="AW675" s="0" t="s">
        <v>286</v>
      </c>
      <c r="AX675" s="0" t="s">
        <v>780</v>
      </c>
      <c r="AY675" s="0" t="s">
        <v>2392</v>
      </c>
      <c r="AZ675" s="0" t="s">
        <v>2393</v>
      </c>
      <c r="BA675" s="0" t="s">
        <v>595</v>
      </c>
      <c r="BB675" s="0" t="str">
        <f t="shared" si="10"/>
        <v>CIHPbeLogo</v>
      </c>
    </row>
    <row r="676">
      <c r="AV676" s="0" t="s">
        <v>473</v>
      </c>
      <c r="AW676" s="0" t="s">
        <v>286</v>
      </c>
      <c r="AX676" s="0" t="s">
        <v>810</v>
      </c>
      <c r="AY676" s="0" t="s">
        <v>2394</v>
      </c>
      <c r="AZ676" s="0" t="s">
        <v>2395</v>
      </c>
      <c r="BA676" s="0" t="s">
        <v>595</v>
      </c>
      <c r="BB676" s="0" t="str">
        <f t="shared" si="10"/>
        <v>CIHPbeMakurdi</v>
      </c>
    </row>
    <row r="677">
      <c r="AV677" s="0" t="s">
        <v>473</v>
      </c>
      <c r="AW677" s="0" t="s">
        <v>286</v>
      </c>
      <c r="AX677" s="0" t="s">
        <v>810</v>
      </c>
      <c r="AY677" s="0" t="s">
        <v>2396</v>
      </c>
      <c r="AZ677" s="0" t="s">
        <v>2397</v>
      </c>
      <c r="BA677" s="0" t="s">
        <v>595</v>
      </c>
      <c r="BB677" s="0" t="str">
        <f t="shared" si="10"/>
        <v>CIHPbeMakurdi</v>
      </c>
    </row>
    <row r="678">
      <c r="AV678" s="0" t="s">
        <v>473</v>
      </c>
      <c r="AW678" s="0" t="s">
        <v>286</v>
      </c>
      <c r="AX678" s="0" t="s">
        <v>810</v>
      </c>
      <c r="AY678" s="0" t="s">
        <v>2398</v>
      </c>
      <c r="AZ678" s="0" t="s">
        <v>2399</v>
      </c>
      <c r="BA678" s="0" t="s">
        <v>595</v>
      </c>
      <c r="BB678" s="0" t="str">
        <f t="shared" si="10"/>
        <v>CIHPbeMakurdi</v>
      </c>
    </row>
    <row r="679">
      <c r="AV679" s="0" t="s">
        <v>473</v>
      </c>
      <c r="AW679" s="0" t="s">
        <v>286</v>
      </c>
      <c r="AX679" s="0" t="s">
        <v>810</v>
      </c>
      <c r="AY679" s="0" t="s">
        <v>2400</v>
      </c>
      <c r="AZ679" s="0" t="s">
        <v>2401</v>
      </c>
      <c r="BA679" s="0" t="s">
        <v>595</v>
      </c>
      <c r="BB679" s="0" t="str">
        <f t="shared" si="10"/>
        <v>CIHPbeMakurdi</v>
      </c>
    </row>
    <row r="680">
      <c r="AV680" s="0" t="s">
        <v>473</v>
      </c>
      <c r="AW680" s="0" t="s">
        <v>286</v>
      </c>
      <c r="AX680" s="0" t="s">
        <v>810</v>
      </c>
      <c r="AY680" s="0" t="s">
        <v>2402</v>
      </c>
      <c r="AZ680" s="0" t="s">
        <v>2403</v>
      </c>
      <c r="BA680" s="0" t="s">
        <v>595</v>
      </c>
      <c r="BB680" s="0" t="str">
        <f t="shared" si="10"/>
        <v>CIHPbeMakurdi</v>
      </c>
    </row>
    <row r="681">
      <c r="AV681" s="0" t="s">
        <v>473</v>
      </c>
      <c r="AW681" s="0" t="s">
        <v>286</v>
      </c>
      <c r="AX681" s="0" t="s">
        <v>810</v>
      </c>
      <c r="AY681" s="0" t="s">
        <v>2404</v>
      </c>
      <c r="AZ681" s="0" t="s">
        <v>2405</v>
      </c>
      <c r="BA681" s="0" t="s">
        <v>595</v>
      </c>
      <c r="BB681" s="0" t="str">
        <f t="shared" si="10"/>
        <v>CIHPbeMakurdi</v>
      </c>
    </row>
    <row r="682">
      <c r="AV682" s="0" t="s">
        <v>473</v>
      </c>
      <c r="AW682" s="0" t="s">
        <v>286</v>
      </c>
      <c r="AX682" s="0" t="s">
        <v>1018</v>
      </c>
      <c r="AY682" s="0" t="s">
        <v>2406</v>
      </c>
      <c r="AZ682" s="0" t="s">
        <v>2407</v>
      </c>
      <c r="BA682" s="0" t="s">
        <v>595</v>
      </c>
      <c r="BB682" s="0" t="str">
        <f t="shared" si="10"/>
        <v>CIHPbeObi</v>
      </c>
    </row>
    <row r="683">
      <c r="AV683" s="0" t="s">
        <v>473</v>
      </c>
      <c r="AW683" s="0" t="s">
        <v>286</v>
      </c>
      <c r="AX683" s="0" t="s">
        <v>1018</v>
      </c>
      <c r="AY683" s="0" t="s">
        <v>2408</v>
      </c>
      <c r="AZ683" s="0" t="s">
        <v>2409</v>
      </c>
      <c r="BA683" s="0" t="s">
        <v>595</v>
      </c>
      <c r="BB683" s="0" t="str">
        <f t="shared" si="10"/>
        <v>CIHPbeObi</v>
      </c>
    </row>
    <row r="684">
      <c r="AV684" s="0" t="s">
        <v>473</v>
      </c>
      <c r="AW684" s="0" t="s">
        <v>286</v>
      </c>
      <c r="AX684" s="0" t="s">
        <v>1018</v>
      </c>
      <c r="AY684" s="0" t="s">
        <v>2410</v>
      </c>
      <c r="AZ684" s="0" t="s">
        <v>2411</v>
      </c>
      <c r="BA684" s="0" t="s">
        <v>595</v>
      </c>
      <c r="BB684" s="0" t="str">
        <f t="shared" si="10"/>
        <v>CIHPbeObi</v>
      </c>
    </row>
    <row r="685">
      <c r="AV685" s="0" t="s">
        <v>473</v>
      </c>
      <c r="AW685" s="0" t="s">
        <v>286</v>
      </c>
      <c r="AX685" s="0" t="s">
        <v>1018</v>
      </c>
      <c r="AY685" s="0" t="s">
        <v>2412</v>
      </c>
      <c r="AZ685" s="0" t="s">
        <v>2413</v>
      </c>
      <c r="BA685" s="0" t="s">
        <v>595</v>
      </c>
      <c r="BB685" s="0" t="str">
        <f t="shared" si="10"/>
        <v>CIHPbeObi</v>
      </c>
    </row>
    <row r="686">
      <c r="AV686" s="0" t="s">
        <v>473</v>
      </c>
      <c r="AW686" s="0" t="s">
        <v>286</v>
      </c>
      <c r="AX686" s="0" t="s">
        <v>1018</v>
      </c>
      <c r="AY686" s="0" t="s">
        <v>2414</v>
      </c>
      <c r="AZ686" s="0" t="s">
        <v>2415</v>
      </c>
      <c r="BA686" s="0" t="s">
        <v>595</v>
      </c>
      <c r="BB686" s="0" t="str">
        <f t="shared" si="10"/>
        <v>CIHPbeObi</v>
      </c>
    </row>
    <row r="687">
      <c r="AV687" s="0" t="s">
        <v>473</v>
      </c>
      <c r="AW687" s="0" t="s">
        <v>286</v>
      </c>
      <c r="AX687" s="0" t="s">
        <v>1033</v>
      </c>
      <c r="AY687" s="0" t="s">
        <v>2416</v>
      </c>
      <c r="AZ687" s="0" t="s">
        <v>2417</v>
      </c>
      <c r="BA687" s="0" t="s">
        <v>595</v>
      </c>
      <c r="BB687" s="0" t="str">
        <f t="shared" si="10"/>
        <v>CIHPbeOgbadibo</v>
      </c>
    </row>
    <row r="688">
      <c r="AV688" s="0" t="s">
        <v>473</v>
      </c>
      <c r="AW688" s="0" t="s">
        <v>286</v>
      </c>
      <c r="AX688" s="0" t="s">
        <v>1046</v>
      </c>
      <c r="AY688" s="0" t="s">
        <v>2418</v>
      </c>
      <c r="AZ688" s="0" t="s">
        <v>2419</v>
      </c>
      <c r="BA688" s="0" t="s">
        <v>595</v>
      </c>
      <c r="BB688" s="0" t="str">
        <f t="shared" si="10"/>
        <v>CIHPbeOhimini</v>
      </c>
    </row>
    <row r="689">
      <c r="AV689" s="0" t="s">
        <v>473</v>
      </c>
      <c r="AW689" s="0" t="s">
        <v>286</v>
      </c>
      <c r="AX689" s="0" t="s">
        <v>1046</v>
      </c>
      <c r="AY689" s="0" t="s">
        <v>2420</v>
      </c>
      <c r="AZ689" s="0" t="s">
        <v>2421</v>
      </c>
      <c r="BA689" s="0" t="s">
        <v>595</v>
      </c>
      <c r="BB689" s="0" t="str">
        <f t="shared" si="10"/>
        <v>CIHPbeOhimini</v>
      </c>
    </row>
    <row r="690">
      <c r="AV690" s="0" t="s">
        <v>473</v>
      </c>
      <c r="AW690" s="0" t="s">
        <v>286</v>
      </c>
      <c r="AX690" s="0" t="s">
        <v>839</v>
      </c>
      <c r="AY690" s="0" t="s">
        <v>2422</v>
      </c>
      <c r="AZ690" s="0" t="s">
        <v>2423</v>
      </c>
      <c r="BA690" s="0" t="s">
        <v>595</v>
      </c>
      <c r="BB690" s="0" t="str">
        <f t="shared" si="10"/>
        <v>CIHPbeOkpokwu</v>
      </c>
    </row>
    <row r="691">
      <c r="AV691" s="0" t="s">
        <v>473</v>
      </c>
      <c r="AW691" s="0" t="s">
        <v>286</v>
      </c>
      <c r="AX691" s="0" t="s">
        <v>839</v>
      </c>
      <c r="AY691" s="0" t="s">
        <v>2424</v>
      </c>
      <c r="AZ691" s="0" t="s">
        <v>2425</v>
      </c>
      <c r="BA691" s="0" t="s">
        <v>595</v>
      </c>
      <c r="BB691" s="0" t="str">
        <f t="shared" si="10"/>
        <v>CIHPbeOkpokwu</v>
      </c>
    </row>
    <row r="692">
      <c r="AV692" s="0" t="s">
        <v>473</v>
      </c>
      <c r="AW692" s="0" t="s">
        <v>286</v>
      </c>
      <c r="AX692" s="0" t="s">
        <v>867</v>
      </c>
      <c r="AY692" s="0" t="s">
        <v>2426</v>
      </c>
      <c r="AZ692" s="0" t="s">
        <v>2427</v>
      </c>
      <c r="BA692" s="0" t="s">
        <v>595</v>
      </c>
      <c r="BB692" s="0" t="str">
        <f t="shared" si="10"/>
        <v>CIHPbeOtukpo</v>
      </c>
    </row>
    <row r="693">
      <c r="AV693" s="0" t="s">
        <v>473</v>
      </c>
      <c r="AW693" s="0" t="s">
        <v>286</v>
      </c>
      <c r="AX693" s="0" t="s">
        <v>867</v>
      </c>
      <c r="AY693" s="0" t="s">
        <v>2428</v>
      </c>
      <c r="AZ693" s="0" t="s">
        <v>2429</v>
      </c>
      <c r="BA693" s="0" t="s">
        <v>595</v>
      </c>
      <c r="BB693" s="0" t="str">
        <f t="shared" si="10"/>
        <v>CIHPbeOtukpo</v>
      </c>
    </row>
    <row r="694">
      <c r="AV694" s="0" t="s">
        <v>473</v>
      </c>
      <c r="AW694" s="0" t="s">
        <v>286</v>
      </c>
      <c r="AX694" s="0" t="s">
        <v>867</v>
      </c>
      <c r="AY694" s="0" t="s">
        <v>2430</v>
      </c>
      <c r="AZ694" s="0" t="s">
        <v>2431</v>
      </c>
      <c r="BA694" s="0" t="s">
        <v>595</v>
      </c>
      <c r="BB694" s="0" t="str">
        <f t="shared" si="10"/>
        <v>CIHPbeOtukpo</v>
      </c>
    </row>
    <row r="695">
      <c r="AV695" s="0" t="s">
        <v>473</v>
      </c>
      <c r="AW695" s="0" t="s">
        <v>286</v>
      </c>
      <c r="AX695" s="0" t="s">
        <v>867</v>
      </c>
      <c r="AY695" s="0" t="s">
        <v>2432</v>
      </c>
      <c r="AZ695" s="0" t="s">
        <v>2433</v>
      </c>
      <c r="BA695" s="0" t="s">
        <v>595</v>
      </c>
      <c r="BB695" s="0" t="str">
        <f t="shared" si="10"/>
        <v>CIHPbeOtukpo</v>
      </c>
    </row>
    <row r="696">
      <c r="AV696" s="0" t="s">
        <v>473</v>
      </c>
      <c r="AW696" s="0" t="s">
        <v>286</v>
      </c>
      <c r="AX696" s="0" t="s">
        <v>867</v>
      </c>
      <c r="AY696" s="0" t="s">
        <v>2434</v>
      </c>
      <c r="AZ696" s="0" t="s">
        <v>2435</v>
      </c>
      <c r="BA696" s="0" t="s">
        <v>595</v>
      </c>
      <c r="BB696" s="0" t="str">
        <f t="shared" si="10"/>
        <v>CIHPbeOtukpo</v>
      </c>
    </row>
    <row r="697">
      <c r="AV697" s="0" t="s">
        <v>473</v>
      </c>
      <c r="AW697" s="0" t="s">
        <v>286</v>
      </c>
      <c r="AX697" s="0" t="s">
        <v>867</v>
      </c>
      <c r="AY697" s="0" t="s">
        <v>2436</v>
      </c>
      <c r="AZ697" s="0" t="s">
        <v>2437</v>
      </c>
      <c r="BA697" s="0" t="s">
        <v>595</v>
      </c>
      <c r="BB697" s="0" t="str">
        <f t="shared" si="10"/>
        <v>CIHPbeOtukpo</v>
      </c>
    </row>
    <row r="698">
      <c r="AV698" s="0" t="s">
        <v>473</v>
      </c>
      <c r="AW698" s="0" t="s">
        <v>286</v>
      </c>
      <c r="AX698" s="0" t="s">
        <v>867</v>
      </c>
      <c r="AY698" s="0" t="s">
        <v>2438</v>
      </c>
      <c r="AZ698" s="0" t="s">
        <v>2439</v>
      </c>
      <c r="BA698" s="0" t="s">
        <v>595</v>
      </c>
      <c r="BB698" s="0" t="str">
        <f t="shared" si="10"/>
        <v>CIHPbeOtukpo</v>
      </c>
    </row>
    <row r="699">
      <c r="AV699" s="0" t="s">
        <v>473</v>
      </c>
      <c r="AW699" s="0" t="s">
        <v>286</v>
      </c>
      <c r="AX699" s="0" t="s">
        <v>867</v>
      </c>
      <c r="AY699" s="0" t="s">
        <v>2440</v>
      </c>
      <c r="AZ699" s="0" t="s">
        <v>2441</v>
      </c>
      <c r="BA699" s="0" t="s">
        <v>595</v>
      </c>
      <c r="BB699" s="0" t="str">
        <f t="shared" si="10"/>
        <v>CIHPbeOtukpo</v>
      </c>
    </row>
    <row r="700">
      <c r="AV700" s="0" t="s">
        <v>473</v>
      </c>
      <c r="AW700" s="0" t="s">
        <v>286</v>
      </c>
      <c r="AX700" s="0" t="s">
        <v>893</v>
      </c>
      <c r="AY700" s="0" t="s">
        <v>2442</v>
      </c>
      <c r="AZ700" s="0" t="s">
        <v>2443</v>
      </c>
      <c r="BA700" s="0" t="s">
        <v>595</v>
      </c>
      <c r="BB700" s="0" t="str">
        <f t="shared" si="10"/>
        <v>CIHPbeTarka</v>
      </c>
    </row>
    <row r="701">
      <c r="AV701" s="0" t="s">
        <v>473</v>
      </c>
      <c r="AW701" s="0" t="s">
        <v>286</v>
      </c>
      <c r="AX701" s="0" t="s">
        <v>893</v>
      </c>
      <c r="AY701" s="0" t="s">
        <v>2444</v>
      </c>
      <c r="AZ701" s="0" t="s">
        <v>2445</v>
      </c>
      <c r="BA701" s="0" t="s">
        <v>595</v>
      </c>
      <c r="BB701" s="0" t="str">
        <f t="shared" si="10"/>
        <v>CIHPbeTarka</v>
      </c>
    </row>
    <row r="702">
      <c r="AV702" s="0" t="s">
        <v>473</v>
      </c>
      <c r="AW702" s="0" t="s">
        <v>286</v>
      </c>
      <c r="AX702" s="0" t="s">
        <v>893</v>
      </c>
      <c r="AY702" s="0" t="s">
        <v>2446</v>
      </c>
      <c r="AZ702" s="0" t="s">
        <v>2447</v>
      </c>
      <c r="BA702" s="0" t="s">
        <v>595</v>
      </c>
      <c r="BB702" s="0" t="str">
        <f t="shared" si="10"/>
        <v>CIHPbeTarka</v>
      </c>
    </row>
    <row r="703">
      <c r="AV703" s="0" t="s">
        <v>473</v>
      </c>
      <c r="AW703" s="0" t="s">
        <v>286</v>
      </c>
      <c r="AX703" s="0" t="s">
        <v>893</v>
      </c>
      <c r="AY703" s="0" t="s">
        <v>2448</v>
      </c>
      <c r="AZ703" s="0" t="s">
        <v>2449</v>
      </c>
      <c r="BA703" s="0" t="s">
        <v>595</v>
      </c>
      <c r="BB703" s="0" t="str">
        <f t="shared" si="10"/>
        <v>CIHPbeTarka</v>
      </c>
    </row>
    <row r="704">
      <c r="AV704" s="0" t="s">
        <v>473</v>
      </c>
      <c r="AW704" s="0" t="s">
        <v>286</v>
      </c>
      <c r="AX704" s="0" t="s">
        <v>893</v>
      </c>
      <c r="AY704" s="0" t="s">
        <v>2450</v>
      </c>
      <c r="AZ704" s="0" t="s">
        <v>2451</v>
      </c>
      <c r="BA704" s="0" t="s">
        <v>595</v>
      </c>
      <c r="BB704" s="0" t="str">
        <f t="shared" si="10"/>
        <v>CIHPbeTarka</v>
      </c>
    </row>
    <row r="705">
      <c r="AV705" s="0" t="s">
        <v>473</v>
      </c>
      <c r="AW705" s="0" t="s">
        <v>286</v>
      </c>
      <c r="AX705" s="0" t="s">
        <v>893</v>
      </c>
      <c r="AY705" s="0" t="s">
        <v>2452</v>
      </c>
      <c r="AZ705" s="0" t="s">
        <v>2453</v>
      </c>
      <c r="BA705" s="0" t="s">
        <v>595</v>
      </c>
      <c r="BB705" s="0" t="str">
        <f t="shared" si="10"/>
        <v>CIHPbeTarka</v>
      </c>
    </row>
    <row r="706">
      <c r="AV706" s="0" t="s">
        <v>473</v>
      </c>
      <c r="AW706" s="0" t="s">
        <v>286</v>
      </c>
      <c r="AX706" s="0" t="s">
        <v>893</v>
      </c>
      <c r="AY706" s="0" t="s">
        <v>2454</v>
      </c>
      <c r="AZ706" s="0" t="s">
        <v>2455</v>
      </c>
      <c r="BA706" s="0" t="s">
        <v>595</v>
      </c>
      <c r="BB706" s="0" t="str">
        <f t="shared" si="10"/>
        <v>CIHPbeTarka</v>
      </c>
    </row>
    <row r="707">
      <c r="AV707" s="0" t="s">
        <v>473</v>
      </c>
      <c r="AW707" s="0" t="s">
        <v>286</v>
      </c>
      <c r="AX707" s="0" t="s">
        <v>893</v>
      </c>
      <c r="AY707" s="0" t="s">
        <v>2456</v>
      </c>
      <c r="AZ707" s="0" t="s">
        <v>2457</v>
      </c>
      <c r="BA707" s="0" t="s">
        <v>595</v>
      </c>
      <c r="BB707" s="0" t="str">
        <f ref="BB707:BB770" t="shared" si="11">SUBSTITUTE(SUBSTITUTE(BA707&amp;AX707," ",""),"-","")</f>
        <v>CIHPbeTarka</v>
      </c>
    </row>
    <row r="708">
      <c r="AV708" s="0" t="s">
        <v>473</v>
      </c>
      <c r="AW708" s="0" t="s">
        <v>286</v>
      </c>
      <c r="AX708" s="0" t="s">
        <v>893</v>
      </c>
      <c r="AY708" s="0" t="s">
        <v>2458</v>
      </c>
      <c r="AZ708" s="0" t="s">
        <v>2459</v>
      </c>
      <c r="BA708" s="0" t="s">
        <v>595</v>
      </c>
      <c r="BB708" s="0" t="str">
        <f t="shared" si="11"/>
        <v>CIHPbeTarka</v>
      </c>
    </row>
    <row r="709">
      <c r="AV709" s="0" t="s">
        <v>473</v>
      </c>
      <c r="AW709" s="0" t="s">
        <v>286</v>
      </c>
      <c r="AX709" s="0" t="s">
        <v>893</v>
      </c>
      <c r="AY709" s="0" t="s">
        <v>2460</v>
      </c>
      <c r="AZ709" s="0" t="s">
        <v>2461</v>
      </c>
      <c r="BA709" s="0" t="s">
        <v>595</v>
      </c>
      <c r="BB709" s="0" t="str">
        <f t="shared" si="11"/>
        <v>CIHPbeTarka</v>
      </c>
    </row>
    <row r="710">
      <c r="AV710" s="0" t="s">
        <v>473</v>
      </c>
      <c r="AW710" s="0" t="s">
        <v>286</v>
      </c>
      <c r="AX710" s="0" t="s">
        <v>893</v>
      </c>
      <c r="AY710" s="0" t="s">
        <v>2462</v>
      </c>
      <c r="AZ710" s="0" t="s">
        <v>2463</v>
      </c>
      <c r="BA710" s="0" t="s">
        <v>595</v>
      </c>
      <c r="BB710" s="0" t="str">
        <f t="shared" si="11"/>
        <v>CIHPbeTarka</v>
      </c>
    </row>
    <row r="711">
      <c r="AV711" s="0" t="s">
        <v>473</v>
      </c>
      <c r="AW711" s="0" t="s">
        <v>286</v>
      </c>
      <c r="AX711" s="0" t="s">
        <v>893</v>
      </c>
      <c r="AY711" s="0" t="s">
        <v>2464</v>
      </c>
      <c r="AZ711" s="0" t="s">
        <v>2465</v>
      </c>
      <c r="BA711" s="0" t="s">
        <v>595</v>
      </c>
      <c r="BB711" s="0" t="str">
        <f t="shared" si="11"/>
        <v>CIHPbeTarka</v>
      </c>
    </row>
    <row r="712">
      <c r="AV712" s="0" t="s">
        <v>473</v>
      </c>
      <c r="AW712" s="0" t="s">
        <v>286</v>
      </c>
      <c r="AX712" s="0" t="s">
        <v>893</v>
      </c>
      <c r="AY712" s="0" t="s">
        <v>2466</v>
      </c>
      <c r="AZ712" s="0" t="s">
        <v>2467</v>
      </c>
      <c r="BA712" s="0" t="s">
        <v>595</v>
      </c>
      <c r="BB712" s="0" t="str">
        <f t="shared" si="11"/>
        <v>CIHPbeTarka</v>
      </c>
    </row>
    <row r="713">
      <c r="AV713" s="0" t="s">
        <v>473</v>
      </c>
      <c r="AW713" s="0" t="s">
        <v>286</v>
      </c>
      <c r="AX713" s="0" t="s">
        <v>893</v>
      </c>
      <c r="AY713" s="0" t="s">
        <v>2468</v>
      </c>
      <c r="AZ713" s="0" t="s">
        <v>2469</v>
      </c>
      <c r="BA713" s="0" t="s">
        <v>595</v>
      </c>
      <c r="BB713" s="0" t="str">
        <f t="shared" si="11"/>
        <v>CIHPbeTarka</v>
      </c>
    </row>
    <row r="714">
      <c r="AV714" s="0" t="s">
        <v>473</v>
      </c>
      <c r="AW714" s="0" t="s">
        <v>286</v>
      </c>
      <c r="AX714" s="0" t="s">
        <v>893</v>
      </c>
      <c r="AY714" s="0" t="s">
        <v>2470</v>
      </c>
      <c r="AZ714" s="0" t="s">
        <v>2471</v>
      </c>
      <c r="BA714" s="0" t="s">
        <v>595</v>
      </c>
      <c r="BB714" s="0" t="str">
        <f t="shared" si="11"/>
        <v>CIHPbeTarka</v>
      </c>
    </row>
    <row r="715">
      <c r="AV715" s="0" t="s">
        <v>473</v>
      </c>
      <c r="AW715" s="0" t="s">
        <v>286</v>
      </c>
      <c r="AX715" s="0" t="s">
        <v>893</v>
      </c>
      <c r="AY715" s="0" t="s">
        <v>2472</v>
      </c>
      <c r="AZ715" s="0" t="s">
        <v>2473</v>
      </c>
      <c r="BA715" s="0" t="s">
        <v>595</v>
      </c>
      <c r="BB715" s="0" t="str">
        <f t="shared" si="11"/>
        <v>CIHPbeTarka</v>
      </c>
    </row>
    <row r="716">
      <c r="AV716" s="0" t="s">
        <v>473</v>
      </c>
      <c r="AW716" s="0" t="s">
        <v>286</v>
      </c>
      <c r="AX716" s="0" t="s">
        <v>893</v>
      </c>
      <c r="AY716" s="0" t="s">
        <v>2474</v>
      </c>
      <c r="AZ716" s="0" t="s">
        <v>2475</v>
      </c>
      <c r="BA716" s="0" t="s">
        <v>595</v>
      </c>
      <c r="BB716" s="0" t="str">
        <f t="shared" si="11"/>
        <v>CIHPbeTarka</v>
      </c>
    </row>
    <row r="717">
      <c r="AV717" s="0" t="s">
        <v>473</v>
      </c>
      <c r="AW717" s="0" t="s">
        <v>286</v>
      </c>
      <c r="AX717" s="0" t="s">
        <v>893</v>
      </c>
      <c r="AY717" s="0" t="s">
        <v>2476</v>
      </c>
      <c r="AZ717" s="0" t="s">
        <v>2477</v>
      </c>
      <c r="BA717" s="0" t="s">
        <v>595</v>
      </c>
      <c r="BB717" s="0" t="str">
        <f t="shared" si="11"/>
        <v>CIHPbeTarka</v>
      </c>
    </row>
    <row r="718">
      <c r="AV718" s="0" t="s">
        <v>473</v>
      </c>
      <c r="AW718" s="0" t="s">
        <v>286</v>
      </c>
      <c r="AX718" s="0" t="s">
        <v>893</v>
      </c>
      <c r="AY718" s="0" t="s">
        <v>2478</v>
      </c>
      <c r="AZ718" s="0" t="s">
        <v>2479</v>
      </c>
      <c r="BA718" s="0" t="s">
        <v>595</v>
      </c>
      <c r="BB718" s="0" t="str">
        <f t="shared" si="11"/>
        <v>CIHPbeTarka</v>
      </c>
    </row>
    <row r="719">
      <c r="AV719" s="0" t="s">
        <v>473</v>
      </c>
      <c r="AW719" s="0" t="s">
        <v>286</v>
      </c>
      <c r="AX719" s="0" t="s">
        <v>893</v>
      </c>
      <c r="AY719" s="0" t="s">
        <v>2480</v>
      </c>
      <c r="AZ719" s="0" t="s">
        <v>2481</v>
      </c>
      <c r="BA719" s="0" t="s">
        <v>595</v>
      </c>
      <c r="BB719" s="0" t="str">
        <f t="shared" si="11"/>
        <v>CIHPbeTarka</v>
      </c>
    </row>
    <row r="720">
      <c r="AV720" s="0" t="s">
        <v>473</v>
      </c>
      <c r="AW720" s="0" t="s">
        <v>286</v>
      </c>
      <c r="AX720" s="0" t="s">
        <v>918</v>
      </c>
      <c r="AY720" s="0" t="s">
        <v>2482</v>
      </c>
      <c r="AZ720" s="0" t="s">
        <v>2483</v>
      </c>
      <c r="BA720" s="0" t="s">
        <v>595</v>
      </c>
      <c r="BB720" s="0" t="str">
        <f t="shared" si="11"/>
        <v>CIHPbeUkum</v>
      </c>
    </row>
    <row r="721">
      <c r="AV721" s="0" t="s">
        <v>473</v>
      </c>
      <c r="AW721" s="0" t="s">
        <v>286</v>
      </c>
      <c r="AX721" s="0" t="s">
        <v>918</v>
      </c>
      <c r="AY721" s="0" t="s">
        <v>2484</v>
      </c>
      <c r="AZ721" s="0" t="s">
        <v>2485</v>
      </c>
      <c r="BA721" s="0" t="s">
        <v>595</v>
      </c>
      <c r="BB721" s="0" t="str">
        <f t="shared" si="11"/>
        <v>CIHPbeUkum</v>
      </c>
    </row>
    <row r="722">
      <c r="AV722" s="0" t="s">
        <v>473</v>
      </c>
      <c r="AW722" s="0" t="s">
        <v>286</v>
      </c>
      <c r="AX722" s="0" t="s">
        <v>918</v>
      </c>
      <c r="AY722" s="0" t="s">
        <v>2486</v>
      </c>
      <c r="AZ722" s="0" t="s">
        <v>2487</v>
      </c>
      <c r="BA722" s="0" t="s">
        <v>595</v>
      </c>
      <c r="BB722" s="0" t="str">
        <f t="shared" si="11"/>
        <v>CIHPbeUkum</v>
      </c>
    </row>
    <row r="723">
      <c r="AV723" s="0" t="s">
        <v>473</v>
      </c>
      <c r="AW723" s="0" t="s">
        <v>286</v>
      </c>
      <c r="AX723" s="0" t="s">
        <v>918</v>
      </c>
      <c r="AY723" s="0" t="s">
        <v>2488</v>
      </c>
      <c r="AZ723" s="0" t="s">
        <v>2489</v>
      </c>
      <c r="BA723" s="0" t="s">
        <v>595</v>
      </c>
      <c r="BB723" s="0" t="str">
        <f t="shared" si="11"/>
        <v>CIHPbeUkum</v>
      </c>
    </row>
    <row r="724">
      <c r="AV724" s="0" t="s">
        <v>473</v>
      </c>
      <c r="AW724" s="0" t="s">
        <v>286</v>
      </c>
      <c r="AX724" s="0" t="s">
        <v>918</v>
      </c>
      <c r="AY724" s="0" t="s">
        <v>2490</v>
      </c>
      <c r="AZ724" s="0" t="s">
        <v>2491</v>
      </c>
      <c r="BA724" s="0" t="s">
        <v>595</v>
      </c>
      <c r="BB724" s="0" t="str">
        <f t="shared" si="11"/>
        <v>CIHPbeUkum</v>
      </c>
    </row>
    <row r="725">
      <c r="AV725" s="0" t="s">
        <v>473</v>
      </c>
      <c r="AW725" s="0" t="s">
        <v>286</v>
      </c>
      <c r="AX725" s="0" t="s">
        <v>918</v>
      </c>
      <c r="AY725" s="0" t="s">
        <v>2492</v>
      </c>
      <c r="AZ725" s="0" t="s">
        <v>2493</v>
      </c>
      <c r="BA725" s="0" t="s">
        <v>595</v>
      </c>
      <c r="BB725" s="0" t="str">
        <f t="shared" si="11"/>
        <v>CIHPbeUkum</v>
      </c>
    </row>
    <row r="726">
      <c r="AV726" s="0" t="s">
        <v>473</v>
      </c>
      <c r="AW726" s="0" t="s">
        <v>286</v>
      </c>
      <c r="AX726" s="0" t="s">
        <v>918</v>
      </c>
      <c r="AY726" s="0" t="s">
        <v>2494</v>
      </c>
      <c r="AZ726" s="0" t="s">
        <v>2495</v>
      </c>
      <c r="BA726" s="0" t="s">
        <v>595</v>
      </c>
      <c r="BB726" s="0" t="str">
        <f t="shared" si="11"/>
        <v>CIHPbeUkum</v>
      </c>
    </row>
    <row r="727">
      <c r="AV727" s="0" t="s">
        <v>473</v>
      </c>
      <c r="AW727" s="0" t="s">
        <v>286</v>
      </c>
      <c r="AX727" s="0" t="s">
        <v>918</v>
      </c>
      <c r="AY727" s="0" t="s">
        <v>2496</v>
      </c>
      <c r="AZ727" s="0" t="s">
        <v>2497</v>
      </c>
      <c r="BA727" s="0" t="s">
        <v>595</v>
      </c>
      <c r="BB727" s="0" t="str">
        <f t="shared" si="11"/>
        <v>CIHPbeUkum</v>
      </c>
    </row>
    <row r="728">
      <c r="AV728" s="0" t="s">
        <v>473</v>
      </c>
      <c r="AW728" s="0" t="s">
        <v>286</v>
      </c>
      <c r="AX728" s="0" t="s">
        <v>918</v>
      </c>
      <c r="AY728" s="0" t="s">
        <v>2498</v>
      </c>
      <c r="AZ728" s="0" t="s">
        <v>2499</v>
      </c>
      <c r="BA728" s="0" t="s">
        <v>595</v>
      </c>
      <c r="BB728" s="0" t="str">
        <f t="shared" si="11"/>
        <v>CIHPbeUkum</v>
      </c>
    </row>
    <row r="729">
      <c r="AV729" s="0" t="s">
        <v>473</v>
      </c>
      <c r="AW729" s="0" t="s">
        <v>286</v>
      </c>
      <c r="AX729" s="0" t="s">
        <v>918</v>
      </c>
      <c r="AY729" s="0" t="s">
        <v>2500</v>
      </c>
      <c r="AZ729" s="0" t="s">
        <v>2501</v>
      </c>
      <c r="BA729" s="0" t="s">
        <v>595</v>
      </c>
      <c r="BB729" s="0" t="str">
        <f t="shared" si="11"/>
        <v>CIHPbeUkum</v>
      </c>
    </row>
    <row r="730">
      <c r="AV730" s="0" t="s">
        <v>473</v>
      </c>
      <c r="AW730" s="0" t="s">
        <v>286</v>
      </c>
      <c r="AX730" s="0" t="s">
        <v>918</v>
      </c>
      <c r="AY730" s="0" t="s">
        <v>2502</v>
      </c>
      <c r="AZ730" s="0" t="s">
        <v>2503</v>
      </c>
      <c r="BA730" s="0" t="s">
        <v>595</v>
      </c>
      <c r="BB730" s="0" t="str">
        <f t="shared" si="11"/>
        <v>CIHPbeUkum</v>
      </c>
    </row>
    <row r="731">
      <c r="AV731" s="0" t="s">
        <v>473</v>
      </c>
      <c r="AW731" s="0" t="s">
        <v>286</v>
      </c>
      <c r="AX731" s="0" t="s">
        <v>918</v>
      </c>
      <c r="AY731" s="0" t="s">
        <v>2504</v>
      </c>
      <c r="AZ731" s="0" t="s">
        <v>2505</v>
      </c>
      <c r="BA731" s="0" t="s">
        <v>595</v>
      </c>
      <c r="BB731" s="0" t="str">
        <f t="shared" si="11"/>
        <v>CIHPbeUkum</v>
      </c>
    </row>
    <row r="732">
      <c r="AV732" s="0" t="s">
        <v>473</v>
      </c>
      <c r="AW732" s="0" t="s">
        <v>286</v>
      </c>
      <c r="AX732" s="0" t="s">
        <v>918</v>
      </c>
      <c r="AY732" s="0" t="s">
        <v>2506</v>
      </c>
      <c r="AZ732" s="0" t="s">
        <v>2507</v>
      </c>
      <c r="BA732" s="0" t="s">
        <v>595</v>
      </c>
      <c r="BB732" s="0" t="str">
        <f t="shared" si="11"/>
        <v>CIHPbeUkum</v>
      </c>
    </row>
    <row r="733">
      <c r="AV733" s="0" t="s">
        <v>473</v>
      </c>
      <c r="AW733" s="0" t="s">
        <v>286</v>
      </c>
      <c r="AX733" s="0" t="s">
        <v>918</v>
      </c>
      <c r="AY733" s="0" t="s">
        <v>2508</v>
      </c>
      <c r="AZ733" s="0" t="s">
        <v>2509</v>
      </c>
      <c r="BA733" s="0" t="s">
        <v>595</v>
      </c>
      <c r="BB733" s="0" t="str">
        <f t="shared" si="11"/>
        <v>CIHPbeUkum</v>
      </c>
    </row>
    <row r="734">
      <c r="AV734" s="0" t="s">
        <v>473</v>
      </c>
      <c r="AW734" s="0" t="s">
        <v>286</v>
      </c>
      <c r="AX734" s="0" t="s">
        <v>918</v>
      </c>
      <c r="AY734" s="0" t="s">
        <v>2510</v>
      </c>
      <c r="AZ734" s="0" t="s">
        <v>2511</v>
      </c>
      <c r="BA734" s="0" t="s">
        <v>595</v>
      </c>
      <c r="BB734" s="0" t="str">
        <f t="shared" si="11"/>
        <v>CIHPbeUkum</v>
      </c>
    </row>
    <row r="735">
      <c r="AV735" s="0" t="s">
        <v>473</v>
      </c>
      <c r="AW735" s="0" t="s">
        <v>286</v>
      </c>
      <c r="AX735" s="0" t="s">
        <v>918</v>
      </c>
      <c r="AY735" s="0" t="s">
        <v>2512</v>
      </c>
      <c r="AZ735" s="0" t="s">
        <v>2513</v>
      </c>
      <c r="BA735" s="0" t="s">
        <v>595</v>
      </c>
      <c r="BB735" s="0" t="str">
        <f t="shared" si="11"/>
        <v>CIHPbeUkum</v>
      </c>
    </row>
    <row r="736">
      <c r="AV736" s="0" t="s">
        <v>473</v>
      </c>
      <c r="AW736" s="0" t="s">
        <v>286</v>
      </c>
      <c r="AX736" s="0" t="s">
        <v>965</v>
      </c>
      <c r="AY736" s="0" t="s">
        <v>2514</v>
      </c>
      <c r="AZ736" s="0" t="s">
        <v>2515</v>
      </c>
      <c r="BA736" s="0" t="s">
        <v>595</v>
      </c>
      <c r="BB736" s="0" t="str">
        <f t="shared" si="11"/>
        <v>CIHPbeVandeikya</v>
      </c>
    </row>
    <row r="737">
      <c r="AV737" s="0" t="s">
        <v>473</v>
      </c>
      <c r="AW737" s="0" t="s">
        <v>286</v>
      </c>
      <c r="AX737" s="0" t="s">
        <v>965</v>
      </c>
      <c r="AY737" s="0" t="s">
        <v>2516</v>
      </c>
      <c r="AZ737" s="0" t="s">
        <v>2517</v>
      </c>
      <c r="BA737" s="0" t="s">
        <v>595</v>
      </c>
      <c r="BB737" s="0" t="str">
        <f t="shared" si="11"/>
        <v>CIHPbeVandeikya</v>
      </c>
    </row>
    <row r="738">
      <c r="AV738" s="0" t="s">
        <v>473</v>
      </c>
      <c r="AW738" s="0" t="s">
        <v>286</v>
      </c>
      <c r="AX738" s="0" t="s">
        <v>965</v>
      </c>
      <c r="AY738" s="0" t="s">
        <v>2518</v>
      </c>
      <c r="AZ738" s="0" t="s">
        <v>2519</v>
      </c>
      <c r="BA738" s="0" t="s">
        <v>595</v>
      </c>
      <c r="BB738" s="0" t="str">
        <f t="shared" si="11"/>
        <v>CIHPbeVandeikya</v>
      </c>
    </row>
    <row r="739">
      <c r="AV739" s="0" t="s">
        <v>473</v>
      </c>
      <c r="AW739" s="0" t="s">
        <v>286</v>
      </c>
      <c r="AX739" s="0" t="s">
        <v>965</v>
      </c>
      <c r="AY739" s="0" t="s">
        <v>2520</v>
      </c>
      <c r="AZ739" s="0" t="s">
        <v>2521</v>
      </c>
      <c r="BA739" s="0" t="s">
        <v>595</v>
      </c>
      <c r="BB739" s="0" t="str">
        <f t="shared" si="11"/>
        <v>CIHPbeVandeikya</v>
      </c>
    </row>
    <row r="740">
      <c r="AV740" s="0" t="s">
        <v>473</v>
      </c>
      <c r="AW740" s="0" t="s">
        <v>286</v>
      </c>
      <c r="AX740" s="0" t="s">
        <v>965</v>
      </c>
      <c r="AY740" s="0" t="s">
        <v>2522</v>
      </c>
      <c r="AZ740" s="0" t="s">
        <v>2523</v>
      </c>
      <c r="BA740" s="0" t="s">
        <v>595</v>
      </c>
      <c r="BB740" s="0" t="str">
        <f t="shared" si="11"/>
        <v>CIHPbeVandeikya</v>
      </c>
    </row>
    <row r="741">
      <c r="AV741" s="0" t="s">
        <v>473</v>
      </c>
      <c r="AW741" s="0" t="s">
        <v>286</v>
      </c>
      <c r="AX741" s="0" t="s">
        <v>965</v>
      </c>
      <c r="AY741" s="0" t="s">
        <v>2524</v>
      </c>
      <c r="AZ741" s="0" t="s">
        <v>2525</v>
      </c>
      <c r="BA741" s="0" t="s">
        <v>595</v>
      </c>
      <c r="BB741" s="0" t="str">
        <f t="shared" si="11"/>
        <v>CIHPbeVandeikya</v>
      </c>
    </row>
    <row r="742">
      <c r="AV742" s="0" t="s">
        <v>473</v>
      </c>
      <c r="AW742" s="0" t="s">
        <v>286</v>
      </c>
      <c r="AX742" s="0" t="s">
        <v>965</v>
      </c>
      <c r="AY742" s="0" t="s">
        <v>2526</v>
      </c>
      <c r="AZ742" s="0" t="s">
        <v>2527</v>
      </c>
      <c r="BA742" s="0" t="s">
        <v>595</v>
      </c>
      <c r="BB742" s="0" t="str">
        <f t="shared" si="11"/>
        <v>CIHPbeVandeikya</v>
      </c>
    </row>
    <row r="743">
      <c r="AV743" s="0" t="s">
        <v>473</v>
      </c>
      <c r="AW743" s="0" t="s">
        <v>286</v>
      </c>
      <c r="AX743" s="0" t="s">
        <v>965</v>
      </c>
      <c r="AY743" s="0" t="s">
        <v>2528</v>
      </c>
      <c r="AZ743" s="0" t="s">
        <v>2529</v>
      </c>
      <c r="BA743" s="0" t="s">
        <v>595</v>
      </c>
      <c r="BB743" s="0" t="str">
        <f t="shared" si="11"/>
        <v>CIHPbeVandeikya</v>
      </c>
    </row>
    <row r="744">
      <c r="AV744" s="0" t="s">
        <v>473</v>
      </c>
      <c r="AW744" s="0" t="s">
        <v>286</v>
      </c>
      <c r="AX744" s="0" t="s">
        <v>965</v>
      </c>
      <c r="AY744" s="0" t="s">
        <v>2530</v>
      </c>
      <c r="AZ744" s="0" t="s">
        <v>2531</v>
      </c>
      <c r="BA744" s="0" t="s">
        <v>595</v>
      </c>
      <c r="BB744" s="0" t="str">
        <f t="shared" si="11"/>
        <v>CIHPbeVandeikya</v>
      </c>
    </row>
    <row r="745">
      <c r="AV745" s="0" t="s">
        <v>473</v>
      </c>
      <c r="AW745" s="0" t="s">
        <v>286</v>
      </c>
      <c r="AX745" s="0" t="s">
        <v>965</v>
      </c>
      <c r="AY745" s="0" t="s">
        <v>2532</v>
      </c>
      <c r="AZ745" s="0" t="s">
        <v>2533</v>
      </c>
      <c r="BA745" s="0" t="s">
        <v>595</v>
      </c>
      <c r="BB745" s="0" t="str">
        <f t="shared" si="11"/>
        <v>CIHPbeVandeikya</v>
      </c>
    </row>
    <row r="746">
      <c r="AV746" s="0" t="s">
        <v>473</v>
      </c>
      <c r="AW746" s="0" t="s">
        <v>286</v>
      </c>
      <c r="AX746" s="0" t="s">
        <v>965</v>
      </c>
      <c r="AY746" s="0" t="s">
        <v>2534</v>
      </c>
      <c r="AZ746" s="0" t="s">
        <v>2535</v>
      </c>
      <c r="BA746" s="0" t="s">
        <v>595</v>
      </c>
      <c r="BB746" s="0" t="str">
        <f t="shared" si="11"/>
        <v>CIHPbeVandeikya</v>
      </c>
    </row>
    <row r="747">
      <c r="AV747" s="0" t="s">
        <v>473</v>
      </c>
      <c r="AW747" s="0" t="s">
        <v>286</v>
      </c>
      <c r="AX747" s="0" t="s">
        <v>965</v>
      </c>
      <c r="AY747" s="0" t="s">
        <v>2536</v>
      </c>
      <c r="AZ747" s="0" t="s">
        <v>2537</v>
      </c>
      <c r="BA747" s="0" t="s">
        <v>595</v>
      </c>
      <c r="BB747" s="0" t="str">
        <f t="shared" si="11"/>
        <v>CIHPbeVandeikya</v>
      </c>
    </row>
    <row r="748">
      <c r="AV748" s="0" t="s">
        <v>473</v>
      </c>
      <c r="AW748" s="0" t="s">
        <v>286</v>
      </c>
      <c r="AX748" s="0" t="s">
        <v>965</v>
      </c>
      <c r="AY748" s="0" t="s">
        <v>2538</v>
      </c>
      <c r="AZ748" s="0" t="s">
        <v>2539</v>
      </c>
      <c r="BA748" s="0" t="s">
        <v>595</v>
      </c>
      <c r="BB748" s="0" t="str">
        <f t="shared" si="11"/>
        <v>CIHPbeVandeikya</v>
      </c>
    </row>
    <row r="749">
      <c r="AV749" s="0" t="s">
        <v>473</v>
      </c>
      <c r="AW749" s="0" t="s">
        <v>286</v>
      </c>
      <c r="AX749" s="0" t="s">
        <v>965</v>
      </c>
      <c r="AY749" s="0" t="s">
        <v>2540</v>
      </c>
      <c r="AZ749" s="0" t="s">
        <v>2541</v>
      </c>
      <c r="BA749" s="0" t="s">
        <v>595</v>
      </c>
      <c r="BB749" s="0" t="str">
        <f t="shared" si="11"/>
        <v>CIHPbeVandeikya</v>
      </c>
    </row>
    <row r="750">
      <c r="AV750" s="0" t="s">
        <v>473</v>
      </c>
      <c r="AW750" s="0" t="s">
        <v>286</v>
      </c>
      <c r="AX750" s="0" t="s">
        <v>965</v>
      </c>
      <c r="AY750" s="0" t="s">
        <v>2542</v>
      </c>
      <c r="AZ750" s="0" t="s">
        <v>2543</v>
      </c>
      <c r="BA750" s="0" t="s">
        <v>595</v>
      </c>
      <c r="BB750" s="0" t="str">
        <f t="shared" si="11"/>
        <v>CIHPbeVandeikya</v>
      </c>
    </row>
    <row r="751">
      <c r="AV751" s="0" t="s">
        <v>473</v>
      </c>
      <c r="AW751" s="0" t="s">
        <v>405</v>
      </c>
      <c r="AX751" s="0" t="s">
        <v>452</v>
      </c>
      <c r="AY751" s="0" t="s">
        <v>2544</v>
      </c>
      <c r="AZ751" s="0" t="s">
        <v>2545</v>
      </c>
      <c r="BA751" s="0" t="s">
        <v>595</v>
      </c>
      <c r="BB751" s="0" t="str">
        <f t="shared" si="11"/>
        <v>CIHPgoBalanga</v>
      </c>
    </row>
    <row r="752">
      <c r="AV752" s="0" t="s">
        <v>473</v>
      </c>
      <c r="AW752" s="0" t="s">
        <v>405</v>
      </c>
      <c r="AX752" s="0" t="s">
        <v>452</v>
      </c>
      <c r="AY752" s="0" t="s">
        <v>2546</v>
      </c>
      <c r="AZ752" s="0" t="s">
        <v>2547</v>
      </c>
      <c r="BA752" s="0" t="s">
        <v>595</v>
      </c>
      <c r="BB752" s="0" t="str">
        <f t="shared" si="11"/>
        <v>CIHPgoBalanga</v>
      </c>
    </row>
    <row r="753">
      <c r="AV753" s="0" t="s">
        <v>473</v>
      </c>
      <c r="AW753" s="0" t="s">
        <v>405</v>
      </c>
      <c r="AX753" s="0" t="s">
        <v>452</v>
      </c>
      <c r="AY753" s="0" t="s">
        <v>2548</v>
      </c>
      <c r="AZ753" s="0" t="s">
        <v>2549</v>
      </c>
      <c r="BA753" s="0" t="s">
        <v>595</v>
      </c>
      <c r="BB753" s="0" t="str">
        <f t="shared" si="11"/>
        <v>CIHPgoBalanga</v>
      </c>
    </row>
    <row r="754">
      <c r="AV754" s="0" t="s">
        <v>473</v>
      </c>
      <c r="AW754" s="0" t="s">
        <v>405</v>
      </c>
      <c r="AX754" s="0" t="s">
        <v>452</v>
      </c>
      <c r="AY754" s="0" t="s">
        <v>2550</v>
      </c>
      <c r="AZ754" s="0" t="s">
        <v>2551</v>
      </c>
      <c r="BA754" s="0" t="s">
        <v>595</v>
      </c>
      <c r="BB754" s="0" t="str">
        <f t="shared" si="11"/>
        <v>CIHPgoBalanga</v>
      </c>
    </row>
    <row r="755">
      <c r="AV755" s="0" t="s">
        <v>473</v>
      </c>
      <c r="AW755" s="0" t="s">
        <v>405</v>
      </c>
      <c r="AX755" s="0" t="s">
        <v>494</v>
      </c>
      <c r="AY755" s="0" t="s">
        <v>2552</v>
      </c>
      <c r="AZ755" s="0" t="s">
        <v>2553</v>
      </c>
      <c r="BA755" s="0" t="s">
        <v>595</v>
      </c>
      <c r="BB755" s="0" t="str">
        <f t="shared" si="11"/>
        <v>CIHPgoBilliri</v>
      </c>
    </row>
    <row r="756">
      <c r="AV756" s="0" t="s">
        <v>473</v>
      </c>
      <c r="AW756" s="0" t="s">
        <v>405</v>
      </c>
      <c r="AX756" s="0" t="s">
        <v>494</v>
      </c>
      <c r="AY756" s="0" t="s">
        <v>2554</v>
      </c>
      <c r="AZ756" s="0" t="s">
        <v>2555</v>
      </c>
      <c r="BA756" s="0" t="s">
        <v>595</v>
      </c>
      <c r="BB756" s="0" t="str">
        <f t="shared" si="11"/>
        <v>CIHPgoBilliri</v>
      </c>
    </row>
    <row r="757">
      <c r="AV757" s="0" t="s">
        <v>473</v>
      </c>
      <c r="AW757" s="0" t="s">
        <v>405</v>
      </c>
      <c r="AX757" s="0" t="s">
        <v>494</v>
      </c>
      <c r="AY757" s="0" t="s">
        <v>2556</v>
      </c>
      <c r="AZ757" s="0" t="s">
        <v>2557</v>
      </c>
      <c r="BA757" s="0" t="s">
        <v>595</v>
      </c>
      <c r="BB757" s="0" t="str">
        <f t="shared" si="11"/>
        <v>CIHPgoBilliri</v>
      </c>
    </row>
    <row r="758">
      <c r="AV758" s="0" t="s">
        <v>473</v>
      </c>
      <c r="AW758" s="0" t="s">
        <v>405</v>
      </c>
      <c r="AX758" s="0" t="s">
        <v>494</v>
      </c>
      <c r="AY758" s="0" t="s">
        <v>2558</v>
      </c>
      <c r="AZ758" s="0" t="s">
        <v>2559</v>
      </c>
      <c r="BA758" s="0" t="s">
        <v>595</v>
      </c>
      <c r="BB758" s="0" t="str">
        <f t="shared" si="11"/>
        <v>CIHPgoBilliri</v>
      </c>
    </row>
    <row r="759">
      <c r="AV759" s="0" t="s">
        <v>473</v>
      </c>
      <c r="AW759" s="0" t="s">
        <v>405</v>
      </c>
      <c r="AX759" s="0" t="s">
        <v>533</v>
      </c>
      <c r="AY759" s="0" t="s">
        <v>2560</v>
      </c>
      <c r="AZ759" s="0" t="s">
        <v>2561</v>
      </c>
      <c r="BA759" s="0" t="s">
        <v>595</v>
      </c>
      <c r="BB759" s="0" t="str">
        <f t="shared" si="11"/>
        <v>CIHPgoDukku</v>
      </c>
    </row>
    <row r="760">
      <c r="AV760" s="0" t="s">
        <v>473</v>
      </c>
      <c r="AW760" s="0" t="s">
        <v>405</v>
      </c>
      <c r="AX760" s="0" t="s">
        <v>533</v>
      </c>
      <c r="AY760" s="0" t="s">
        <v>2562</v>
      </c>
      <c r="AZ760" s="0" t="s">
        <v>2563</v>
      </c>
      <c r="BA760" s="0" t="s">
        <v>595</v>
      </c>
      <c r="BB760" s="0" t="str">
        <f t="shared" si="11"/>
        <v>CIHPgoDukku</v>
      </c>
    </row>
    <row r="761">
      <c r="AV761" s="0" t="s">
        <v>473</v>
      </c>
      <c r="AW761" s="0" t="s">
        <v>405</v>
      </c>
      <c r="AX761" s="0" t="s">
        <v>573</v>
      </c>
      <c r="AY761" s="0" t="s">
        <v>2564</v>
      </c>
      <c r="AZ761" s="0" t="s">
        <v>2565</v>
      </c>
      <c r="BA761" s="0" t="s">
        <v>595</v>
      </c>
      <c r="BB761" s="0" t="str">
        <f t="shared" si="11"/>
        <v>CIHPgoFunakaye</v>
      </c>
    </row>
    <row r="762">
      <c r="AV762" s="0" t="s">
        <v>473</v>
      </c>
      <c r="AW762" s="0" t="s">
        <v>405</v>
      </c>
      <c r="AX762" s="0" t="s">
        <v>573</v>
      </c>
      <c r="AY762" s="0" t="s">
        <v>2566</v>
      </c>
      <c r="AZ762" s="0" t="s">
        <v>2567</v>
      </c>
      <c r="BA762" s="0" t="s">
        <v>595</v>
      </c>
      <c r="BB762" s="0" t="str">
        <f t="shared" si="11"/>
        <v>CIHPgoFunakaye</v>
      </c>
    </row>
    <row r="763">
      <c r="AV763" s="0" t="s">
        <v>473</v>
      </c>
      <c r="AW763" s="0" t="s">
        <v>405</v>
      </c>
      <c r="AX763" s="0" t="s">
        <v>573</v>
      </c>
      <c r="AY763" s="0" t="s">
        <v>2568</v>
      </c>
      <c r="AZ763" s="0" t="s">
        <v>2569</v>
      </c>
      <c r="BA763" s="0" t="s">
        <v>595</v>
      </c>
      <c r="BB763" s="0" t="str">
        <f t="shared" si="11"/>
        <v>CIHPgoFunakaye</v>
      </c>
    </row>
    <row r="764">
      <c r="AV764" s="0" t="s">
        <v>473</v>
      </c>
      <c r="AW764" s="0" t="s">
        <v>405</v>
      </c>
      <c r="AX764" s="0" t="s">
        <v>611</v>
      </c>
      <c r="AY764" s="0" t="s">
        <v>2570</v>
      </c>
      <c r="AZ764" s="0" t="s">
        <v>2571</v>
      </c>
      <c r="BA764" s="0" t="s">
        <v>595</v>
      </c>
      <c r="BB764" s="0" t="str">
        <f t="shared" si="11"/>
        <v>CIHPgoGombe</v>
      </c>
    </row>
    <row r="765">
      <c r="AV765" s="0" t="s">
        <v>473</v>
      </c>
      <c r="AW765" s="0" t="s">
        <v>405</v>
      </c>
      <c r="AX765" s="0" t="s">
        <v>611</v>
      </c>
      <c r="AY765" s="0" t="s">
        <v>2572</v>
      </c>
      <c r="AZ765" s="0" t="s">
        <v>2573</v>
      </c>
      <c r="BA765" s="0" t="s">
        <v>595</v>
      </c>
      <c r="BB765" s="0" t="str">
        <f t="shared" si="11"/>
        <v>CIHPgoGombe</v>
      </c>
    </row>
    <row r="766">
      <c r="AV766" s="0" t="s">
        <v>473</v>
      </c>
      <c r="AW766" s="0" t="s">
        <v>405</v>
      </c>
      <c r="AX766" s="0" t="s">
        <v>611</v>
      </c>
      <c r="AY766" s="0" t="s">
        <v>2574</v>
      </c>
      <c r="AZ766" s="0" t="s">
        <v>2575</v>
      </c>
      <c r="BA766" s="0" t="s">
        <v>595</v>
      </c>
      <c r="BB766" s="0" t="str">
        <f t="shared" si="11"/>
        <v>CIHPgoGombe</v>
      </c>
    </row>
    <row r="767">
      <c r="AV767" s="0" t="s">
        <v>473</v>
      </c>
      <c r="AW767" s="0" t="s">
        <v>405</v>
      </c>
      <c r="AX767" s="0" t="s">
        <v>611</v>
      </c>
      <c r="AY767" s="0" t="s">
        <v>2576</v>
      </c>
      <c r="AZ767" s="0" t="s">
        <v>2577</v>
      </c>
      <c r="BA767" s="0" t="s">
        <v>595</v>
      </c>
      <c r="BB767" s="0" t="str">
        <f t="shared" si="11"/>
        <v>CIHPgoGombe</v>
      </c>
    </row>
    <row r="768">
      <c r="AV768" s="0" t="s">
        <v>473</v>
      </c>
      <c r="AW768" s="0" t="s">
        <v>405</v>
      </c>
      <c r="AX768" s="0" t="s">
        <v>611</v>
      </c>
      <c r="AY768" s="0" t="s">
        <v>2578</v>
      </c>
      <c r="AZ768" s="0" t="s">
        <v>2579</v>
      </c>
      <c r="BA768" s="0" t="s">
        <v>595</v>
      </c>
      <c r="BB768" s="0" t="str">
        <f t="shared" si="11"/>
        <v>CIHPgoGombe</v>
      </c>
    </row>
    <row r="769">
      <c r="AV769" s="0" t="s">
        <v>473</v>
      </c>
      <c r="AW769" s="0" t="s">
        <v>405</v>
      </c>
      <c r="AX769" s="0" t="s">
        <v>611</v>
      </c>
      <c r="AY769" s="0" t="s">
        <v>2580</v>
      </c>
      <c r="AZ769" s="0" t="s">
        <v>2581</v>
      </c>
      <c r="BA769" s="0" t="s">
        <v>595</v>
      </c>
      <c r="BB769" s="0" t="str">
        <f t="shared" si="11"/>
        <v>CIHPgoGombe</v>
      </c>
    </row>
    <row r="770">
      <c r="AV770" s="0" t="s">
        <v>473</v>
      </c>
      <c r="AW770" s="0" t="s">
        <v>405</v>
      </c>
      <c r="AX770" s="0" t="s">
        <v>611</v>
      </c>
      <c r="AY770" s="0" t="s">
        <v>2582</v>
      </c>
      <c r="AZ770" s="0" t="s">
        <v>2583</v>
      </c>
      <c r="BA770" s="0" t="s">
        <v>595</v>
      </c>
      <c r="BB770" s="0" t="str">
        <f t="shared" si="11"/>
        <v>CIHPgoGombe</v>
      </c>
    </row>
    <row r="771">
      <c r="AV771" s="0" t="s">
        <v>473</v>
      </c>
      <c r="AW771" s="0" t="s">
        <v>405</v>
      </c>
      <c r="AX771" s="0" t="s">
        <v>611</v>
      </c>
      <c r="AY771" s="0" t="s">
        <v>2584</v>
      </c>
      <c r="AZ771" s="0" t="s">
        <v>2585</v>
      </c>
      <c r="BA771" s="0" t="s">
        <v>595</v>
      </c>
      <c r="BB771" s="0" t="str">
        <f ref="BB771:BB834" t="shared" si="12">SUBSTITUTE(SUBSTITUTE(BA771&amp;AX771," ",""),"-","")</f>
        <v>CIHPgoGombe</v>
      </c>
    </row>
    <row r="772">
      <c r="AV772" s="0" t="s">
        <v>473</v>
      </c>
      <c r="AW772" s="0" t="s">
        <v>405</v>
      </c>
      <c r="AX772" s="0" t="s">
        <v>611</v>
      </c>
      <c r="AY772" s="0" t="s">
        <v>2586</v>
      </c>
      <c r="AZ772" s="0" t="s">
        <v>2587</v>
      </c>
      <c r="BA772" s="0" t="s">
        <v>595</v>
      </c>
      <c r="BB772" s="0" t="str">
        <f t="shared" si="12"/>
        <v>CIHPgoGombe</v>
      </c>
    </row>
    <row r="773">
      <c r="AV773" s="0" t="s">
        <v>473</v>
      </c>
      <c r="AW773" s="0" t="s">
        <v>405</v>
      </c>
      <c r="AX773" s="0" t="s">
        <v>611</v>
      </c>
      <c r="AY773" s="0" t="s">
        <v>2588</v>
      </c>
      <c r="AZ773" s="0" t="s">
        <v>2589</v>
      </c>
      <c r="BA773" s="0" t="s">
        <v>595</v>
      </c>
      <c r="BB773" s="0" t="str">
        <f t="shared" si="12"/>
        <v>CIHPgoGombe</v>
      </c>
    </row>
    <row r="774">
      <c r="AV774" s="0" t="s">
        <v>473</v>
      </c>
      <c r="AW774" s="0" t="s">
        <v>405</v>
      </c>
      <c r="AX774" s="0" t="s">
        <v>611</v>
      </c>
      <c r="AY774" s="0" t="s">
        <v>2590</v>
      </c>
      <c r="AZ774" s="0" t="s">
        <v>2591</v>
      </c>
      <c r="BA774" s="0" t="s">
        <v>595</v>
      </c>
      <c r="BB774" s="0" t="str">
        <f t="shared" si="12"/>
        <v>CIHPgoGombe</v>
      </c>
    </row>
    <row r="775">
      <c r="L775" s="58"/>
      <c r="M775" s="58"/>
      <c r="AV775" s="0" t="s">
        <v>473</v>
      </c>
      <c r="AW775" s="0" t="s">
        <v>405</v>
      </c>
      <c r="AX775" s="0" t="s">
        <v>611</v>
      </c>
      <c r="AY775" s="0" t="s">
        <v>2592</v>
      </c>
      <c r="AZ775" s="0" t="s">
        <v>2593</v>
      </c>
      <c r="BA775" s="0" t="s">
        <v>595</v>
      </c>
      <c r="BB775" s="0" t="str">
        <f t="shared" si="12"/>
        <v>CIHPgoGombe</v>
      </c>
    </row>
    <row r="776">
      <c r="AV776" s="0" t="s">
        <v>473</v>
      </c>
      <c r="AW776" s="0" t="s">
        <v>405</v>
      </c>
      <c r="AX776" s="0" t="s">
        <v>611</v>
      </c>
      <c r="AY776" s="0" t="s">
        <v>2594</v>
      </c>
      <c r="AZ776" s="0" t="s">
        <v>2595</v>
      </c>
      <c r="BA776" s="0" t="s">
        <v>595</v>
      </c>
      <c r="BB776" s="0" t="str">
        <f t="shared" si="12"/>
        <v>CIHPgoGombe</v>
      </c>
    </row>
    <row r="777">
      <c r="AV777" s="0" t="s">
        <v>473</v>
      </c>
      <c r="AW777" s="0" t="s">
        <v>405</v>
      </c>
      <c r="AX777" s="0" t="s">
        <v>611</v>
      </c>
      <c r="AY777" s="0" t="s">
        <v>2596</v>
      </c>
      <c r="AZ777" s="0" t="s">
        <v>2597</v>
      </c>
      <c r="BA777" s="0" t="s">
        <v>595</v>
      </c>
      <c r="BB777" s="0" t="str">
        <f t="shared" si="12"/>
        <v>CIHPgoGombe</v>
      </c>
    </row>
    <row r="778">
      <c r="AV778" s="0" t="s">
        <v>473</v>
      </c>
      <c r="AW778" s="0" t="s">
        <v>405</v>
      </c>
      <c r="AX778" s="0" t="s">
        <v>611</v>
      </c>
      <c r="AY778" s="0" t="s">
        <v>2598</v>
      </c>
      <c r="AZ778" s="0" t="s">
        <v>2599</v>
      </c>
      <c r="BA778" s="0" t="s">
        <v>595</v>
      </c>
      <c r="BB778" s="0" t="str">
        <f t="shared" si="12"/>
        <v>CIHPgoGombe</v>
      </c>
    </row>
    <row r="779">
      <c r="AV779" s="0" t="s">
        <v>473</v>
      </c>
      <c r="AW779" s="0" t="s">
        <v>405</v>
      </c>
      <c r="AX779" s="0" t="s">
        <v>650</v>
      </c>
      <c r="AY779" s="0" t="s">
        <v>2600</v>
      </c>
      <c r="AZ779" s="0" t="s">
        <v>2601</v>
      </c>
      <c r="BA779" s="0" t="s">
        <v>595</v>
      </c>
      <c r="BB779" s="0" t="str">
        <f t="shared" si="12"/>
        <v>CIHPgoKaltungo</v>
      </c>
    </row>
    <row r="780">
      <c r="AV780" s="0" t="s">
        <v>473</v>
      </c>
      <c r="AW780" s="0" t="s">
        <v>405</v>
      </c>
      <c r="AX780" s="0" t="s">
        <v>650</v>
      </c>
      <c r="AY780" s="0" t="s">
        <v>2602</v>
      </c>
      <c r="AZ780" s="0" t="s">
        <v>2603</v>
      </c>
      <c r="BA780" s="0" t="s">
        <v>595</v>
      </c>
      <c r="BB780" s="0" t="str">
        <f t="shared" si="12"/>
        <v>CIHPgoKaltungo</v>
      </c>
    </row>
    <row r="781">
      <c r="AV781" s="0" t="s">
        <v>473</v>
      </c>
      <c r="AW781" s="0" t="s">
        <v>405</v>
      </c>
      <c r="AX781" s="0" t="s">
        <v>650</v>
      </c>
      <c r="AY781" s="0" t="s">
        <v>2604</v>
      </c>
      <c r="AZ781" s="0" t="s">
        <v>2605</v>
      </c>
      <c r="BA781" s="0" t="s">
        <v>595</v>
      </c>
      <c r="BB781" s="0" t="str">
        <f t="shared" si="12"/>
        <v>CIHPgoKaltungo</v>
      </c>
    </row>
    <row r="782">
      <c r="AV782" s="0" t="s">
        <v>473</v>
      </c>
      <c r="AW782" s="0" t="s">
        <v>405</v>
      </c>
      <c r="AX782" s="0" t="s">
        <v>650</v>
      </c>
      <c r="AY782" s="0" t="s">
        <v>2606</v>
      </c>
      <c r="AZ782" s="0" t="s">
        <v>2607</v>
      </c>
      <c r="BA782" s="0" t="s">
        <v>595</v>
      </c>
      <c r="BB782" s="0" t="str">
        <f t="shared" si="12"/>
        <v>CIHPgoKaltungo</v>
      </c>
    </row>
    <row r="783">
      <c r="AV783" s="0" t="s">
        <v>473</v>
      </c>
      <c r="AW783" s="0" t="s">
        <v>405</v>
      </c>
      <c r="AX783" s="0" t="s">
        <v>650</v>
      </c>
      <c r="AY783" s="0" t="s">
        <v>2608</v>
      </c>
      <c r="AZ783" s="0" t="s">
        <v>2609</v>
      </c>
      <c r="BA783" s="0" t="s">
        <v>595</v>
      </c>
      <c r="BB783" s="0" t="str">
        <f t="shared" si="12"/>
        <v>CIHPgoKaltungo</v>
      </c>
    </row>
    <row r="784">
      <c r="AV784" s="0" t="s">
        <v>473</v>
      </c>
      <c r="AW784" s="0" t="s">
        <v>405</v>
      </c>
      <c r="AX784" s="0" t="s">
        <v>650</v>
      </c>
      <c r="AY784" s="0" t="s">
        <v>2610</v>
      </c>
      <c r="AZ784" s="0" t="s">
        <v>2611</v>
      </c>
      <c r="BA784" s="0" t="s">
        <v>595</v>
      </c>
      <c r="BB784" s="0" t="str">
        <f t="shared" si="12"/>
        <v>CIHPgoKaltungo</v>
      </c>
    </row>
    <row r="785">
      <c r="AV785" s="0" t="s">
        <v>473</v>
      </c>
      <c r="AW785" s="0" t="s">
        <v>405</v>
      </c>
      <c r="AX785" s="0" t="s">
        <v>650</v>
      </c>
      <c r="AY785" s="0" t="s">
        <v>2612</v>
      </c>
      <c r="AZ785" s="0" t="s">
        <v>2613</v>
      </c>
      <c r="BA785" s="0" t="s">
        <v>595</v>
      </c>
      <c r="BB785" s="0" t="str">
        <f t="shared" si="12"/>
        <v>CIHPgoKaltungo</v>
      </c>
    </row>
    <row r="786">
      <c r="AV786" s="0" t="s">
        <v>473</v>
      </c>
      <c r="AW786" s="0" t="s">
        <v>405</v>
      </c>
      <c r="AX786" s="0" t="s">
        <v>686</v>
      </c>
      <c r="AY786" s="0" t="s">
        <v>2614</v>
      </c>
      <c r="AZ786" s="0" t="s">
        <v>2615</v>
      </c>
      <c r="BA786" s="0" t="s">
        <v>595</v>
      </c>
      <c r="BB786" s="0" t="str">
        <f t="shared" si="12"/>
        <v>CIHPgoKwami</v>
      </c>
    </row>
    <row r="787">
      <c r="AV787" s="0" t="s">
        <v>473</v>
      </c>
      <c r="AW787" s="0" t="s">
        <v>405</v>
      </c>
      <c r="AX787" s="0" t="s">
        <v>686</v>
      </c>
      <c r="AY787" s="0" t="s">
        <v>2616</v>
      </c>
      <c r="AZ787" s="0" t="s">
        <v>2617</v>
      </c>
      <c r="BA787" s="0" t="s">
        <v>595</v>
      </c>
      <c r="BB787" s="0" t="str">
        <f t="shared" si="12"/>
        <v>CIHPgoKwami</v>
      </c>
    </row>
    <row r="788">
      <c r="AV788" s="0" t="s">
        <v>473</v>
      </c>
      <c r="AW788" s="0" t="s">
        <v>405</v>
      </c>
      <c r="AX788" s="0" t="s">
        <v>721</v>
      </c>
      <c r="AY788" s="0" t="s">
        <v>2618</v>
      </c>
      <c r="AZ788" s="0" t="s">
        <v>2619</v>
      </c>
      <c r="BA788" s="0" t="s">
        <v>595</v>
      </c>
      <c r="BB788" s="0" t="str">
        <f t="shared" si="12"/>
        <v>CIHPgoNafada</v>
      </c>
    </row>
    <row r="789">
      <c r="AV789" s="0" t="s">
        <v>473</v>
      </c>
      <c r="AW789" s="0" t="s">
        <v>405</v>
      </c>
      <c r="AX789" s="0" t="s">
        <v>754</v>
      </c>
      <c r="AY789" s="0" t="s">
        <v>2620</v>
      </c>
      <c r="AZ789" s="0" t="s">
        <v>2621</v>
      </c>
      <c r="BA789" s="0" t="s">
        <v>595</v>
      </c>
      <c r="BB789" s="0" t="str">
        <f t="shared" si="12"/>
        <v>CIHPgoShongom</v>
      </c>
    </row>
    <row r="790">
      <c r="AV790" s="0" t="s">
        <v>473</v>
      </c>
      <c r="AW790" s="0" t="s">
        <v>405</v>
      </c>
      <c r="AX790" s="0" t="s">
        <v>754</v>
      </c>
      <c r="AY790" s="0" t="s">
        <v>2622</v>
      </c>
      <c r="AZ790" s="0" t="s">
        <v>2623</v>
      </c>
      <c r="BA790" s="0" t="s">
        <v>595</v>
      </c>
      <c r="BB790" s="0" t="str">
        <f t="shared" si="12"/>
        <v>CIHPgoShongom</v>
      </c>
    </row>
    <row r="791">
      <c r="AV791" s="0" t="s">
        <v>473</v>
      </c>
      <c r="AW791" s="0" t="s">
        <v>408</v>
      </c>
      <c r="AX791" s="0" t="s">
        <v>455</v>
      </c>
      <c r="AY791" s="0" t="s">
        <v>2624</v>
      </c>
      <c r="AZ791" s="0" t="s">
        <v>2625</v>
      </c>
      <c r="BA791" s="0" t="s">
        <v>595</v>
      </c>
      <c r="BB791" s="0" t="str">
        <f t="shared" si="12"/>
        <v>CIHPkdChikun</v>
      </c>
    </row>
    <row r="792">
      <c r="AV792" s="0" t="s">
        <v>473</v>
      </c>
      <c r="AW792" s="0" t="s">
        <v>408</v>
      </c>
      <c r="AX792" s="0" t="s">
        <v>455</v>
      </c>
      <c r="AY792" s="0" t="s">
        <v>2626</v>
      </c>
      <c r="AZ792" s="0" t="s">
        <v>2627</v>
      </c>
      <c r="BA792" s="0" t="s">
        <v>595</v>
      </c>
      <c r="BB792" s="0" t="str">
        <f t="shared" si="12"/>
        <v>CIHPkdChikun</v>
      </c>
    </row>
    <row r="793">
      <c r="AV793" s="0" t="s">
        <v>473</v>
      </c>
      <c r="AW793" s="0" t="s">
        <v>408</v>
      </c>
      <c r="AX793" s="0" t="s">
        <v>455</v>
      </c>
      <c r="AY793" s="0" t="s">
        <v>2628</v>
      </c>
      <c r="AZ793" s="0" t="s">
        <v>2629</v>
      </c>
      <c r="BA793" s="0" t="s">
        <v>595</v>
      </c>
      <c r="BB793" s="0" t="str">
        <f t="shared" si="12"/>
        <v>CIHPkdChikun</v>
      </c>
    </row>
    <row r="794">
      <c r="AV794" s="0" t="s">
        <v>473</v>
      </c>
      <c r="AW794" s="0" t="s">
        <v>408</v>
      </c>
      <c r="AX794" s="0" t="s">
        <v>455</v>
      </c>
      <c r="AY794" s="0" t="s">
        <v>2630</v>
      </c>
      <c r="AZ794" s="0" t="s">
        <v>2631</v>
      </c>
      <c r="BA794" s="0" t="s">
        <v>595</v>
      </c>
      <c r="BB794" s="0" t="str">
        <f t="shared" si="12"/>
        <v>CIHPkdChikun</v>
      </c>
    </row>
    <row r="795">
      <c r="AV795" s="0" t="s">
        <v>473</v>
      </c>
      <c r="AW795" s="0" t="s">
        <v>408</v>
      </c>
      <c r="AX795" s="0" t="s">
        <v>455</v>
      </c>
      <c r="AY795" s="0" t="s">
        <v>2632</v>
      </c>
      <c r="AZ795" s="0" t="s">
        <v>2633</v>
      </c>
      <c r="BA795" s="0" t="s">
        <v>595</v>
      </c>
      <c r="BB795" s="0" t="str">
        <f t="shared" si="12"/>
        <v>CIHPkdChikun</v>
      </c>
    </row>
    <row r="796">
      <c r="AV796" s="0" t="s">
        <v>473</v>
      </c>
      <c r="AW796" s="0" t="s">
        <v>408</v>
      </c>
      <c r="AX796" s="0" t="s">
        <v>455</v>
      </c>
      <c r="AY796" s="0" t="s">
        <v>2634</v>
      </c>
      <c r="AZ796" s="0" t="s">
        <v>2635</v>
      </c>
      <c r="BA796" s="0" t="s">
        <v>595</v>
      </c>
      <c r="BB796" s="0" t="str">
        <f t="shared" si="12"/>
        <v>CIHPkdChikun</v>
      </c>
    </row>
    <row r="797">
      <c r="AV797" s="0" t="s">
        <v>473</v>
      </c>
      <c r="AW797" s="0" t="s">
        <v>408</v>
      </c>
      <c r="AX797" s="0" t="s">
        <v>724</v>
      </c>
      <c r="AY797" s="0" t="s">
        <v>2636</v>
      </c>
      <c r="AZ797" s="0" t="s">
        <v>2637</v>
      </c>
      <c r="BA797" s="0" t="s">
        <v>595</v>
      </c>
      <c r="BB797" s="0" t="str">
        <f t="shared" si="12"/>
        <v>CIHPkdIgabi</v>
      </c>
    </row>
    <row r="798">
      <c r="AV798" s="0" t="s">
        <v>473</v>
      </c>
      <c r="AW798" s="0" t="s">
        <v>408</v>
      </c>
      <c r="AX798" s="0" t="s">
        <v>757</v>
      </c>
      <c r="AY798" s="0" t="s">
        <v>2638</v>
      </c>
      <c r="AZ798" s="0" t="s">
        <v>2639</v>
      </c>
      <c r="BA798" s="0" t="s">
        <v>595</v>
      </c>
      <c r="BB798" s="0" t="str">
        <f t="shared" si="12"/>
        <v>CIHPkdJaba</v>
      </c>
    </row>
    <row r="799">
      <c r="AV799" s="0" t="s">
        <v>473</v>
      </c>
      <c r="AW799" s="0" t="s">
        <v>408</v>
      </c>
      <c r="AX799" s="0" t="s">
        <v>757</v>
      </c>
      <c r="AY799" s="0" t="s">
        <v>2640</v>
      </c>
      <c r="AZ799" s="0" t="s">
        <v>2641</v>
      </c>
      <c r="BA799" s="0" t="s">
        <v>595</v>
      </c>
      <c r="BB799" s="0" t="str">
        <f t="shared" si="12"/>
        <v>CIHPkdJaba</v>
      </c>
    </row>
    <row r="800">
      <c r="AV800" s="0" t="s">
        <v>473</v>
      </c>
      <c r="AW800" s="0" t="s">
        <v>408</v>
      </c>
      <c r="AX800" s="0" t="s">
        <v>757</v>
      </c>
      <c r="AY800" s="0" t="s">
        <v>2642</v>
      </c>
      <c r="AZ800" s="0" t="s">
        <v>2643</v>
      </c>
      <c r="BA800" s="0" t="s">
        <v>595</v>
      </c>
      <c r="BB800" s="0" t="str">
        <f t="shared" si="12"/>
        <v>CIHPkdJaba</v>
      </c>
    </row>
    <row r="801">
      <c r="AV801" s="0" t="s">
        <v>473</v>
      </c>
      <c r="AW801" s="0" t="s">
        <v>408</v>
      </c>
      <c r="AX801" s="0" t="s">
        <v>757</v>
      </c>
      <c r="AY801" s="0" t="s">
        <v>2644</v>
      </c>
      <c r="AZ801" s="0" t="s">
        <v>2645</v>
      </c>
      <c r="BA801" s="0" t="s">
        <v>595</v>
      </c>
      <c r="BB801" s="0" t="str">
        <f t="shared" si="12"/>
        <v>CIHPkdJaba</v>
      </c>
    </row>
    <row r="802">
      <c r="AV802" s="0" t="s">
        <v>473</v>
      </c>
      <c r="AW802" s="0" t="s">
        <v>408</v>
      </c>
      <c r="AX802" s="0" t="s">
        <v>757</v>
      </c>
      <c r="AY802" s="0" t="s">
        <v>2646</v>
      </c>
      <c r="AZ802" s="0" t="s">
        <v>2647</v>
      </c>
      <c r="BA802" s="0" t="s">
        <v>595</v>
      </c>
      <c r="BB802" s="0" t="str">
        <f t="shared" si="12"/>
        <v>CIHPkdJaba</v>
      </c>
    </row>
    <row r="803">
      <c r="AV803" s="0" t="s">
        <v>473</v>
      </c>
      <c r="AW803" s="0" t="s">
        <v>408</v>
      </c>
      <c r="AX803" s="0" t="s">
        <v>2017</v>
      </c>
      <c r="AY803" s="0" t="s">
        <v>2648</v>
      </c>
      <c r="AZ803" s="0" t="s">
        <v>2649</v>
      </c>
      <c r="BA803" s="0" t="s">
        <v>595</v>
      </c>
      <c r="BB803" s="0" t="str">
        <f t="shared" si="12"/>
        <v>CIHPkdJemaa</v>
      </c>
    </row>
    <row r="804">
      <c r="AV804" s="0" t="s">
        <v>473</v>
      </c>
      <c r="AW804" s="0" t="s">
        <v>408</v>
      </c>
      <c r="AX804" s="0" t="s">
        <v>2017</v>
      </c>
      <c r="AY804" s="0" t="s">
        <v>2650</v>
      </c>
      <c r="AZ804" s="0" t="s">
        <v>2651</v>
      </c>
      <c r="BA804" s="0" t="s">
        <v>595</v>
      </c>
      <c r="BB804" s="0" t="str">
        <f t="shared" si="12"/>
        <v>CIHPkdJemaa</v>
      </c>
    </row>
    <row r="805">
      <c r="AV805" s="0" t="s">
        <v>473</v>
      </c>
      <c r="AW805" s="0" t="s">
        <v>408</v>
      </c>
      <c r="AX805" s="0" t="s">
        <v>2017</v>
      </c>
      <c r="AY805" s="0" t="s">
        <v>2652</v>
      </c>
      <c r="AZ805" s="0" t="s">
        <v>2653</v>
      </c>
      <c r="BA805" s="0" t="s">
        <v>595</v>
      </c>
      <c r="BB805" s="0" t="str">
        <f t="shared" si="12"/>
        <v>CIHPkdJemaa</v>
      </c>
    </row>
    <row r="806">
      <c r="AV806" s="0" t="s">
        <v>473</v>
      </c>
      <c r="AW806" s="0" t="s">
        <v>408</v>
      </c>
      <c r="AX806" s="0" t="s">
        <v>2017</v>
      </c>
      <c r="AY806" s="0" t="s">
        <v>2654</v>
      </c>
      <c r="AZ806" s="0" t="s">
        <v>2655</v>
      </c>
      <c r="BA806" s="0" t="s">
        <v>595</v>
      </c>
      <c r="BB806" s="0" t="str">
        <f t="shared" si="12"/>
        <v>CIHPkdJemaa</v>
      </c>
    </row>
    <row r="807">
      <c r="AV807" s="0" t="s">
        <v>473</v>
      </c>
      <c r="AW807" s="0" t="s">
        <v>408</v>
      </c>
      <c r="AX807" s="0" t="s">
        <v>2017</v>
      </c>
      <c r="AY807" s="0" t="s">
        <v>2656</v>
      </c>
      <c r="AZ807" s="0" t="s">
        <v>2657</v>
      </c>
      <c r="BA807" s="0" t="s">
        <v>595</v>
      </c>
      <c r="BB807" s="0" t="str">
        <f t="shared" si="12"/>
        <v>CIHPkdJemaa</v>
      </c>
    </row>
    <row r="808">
      <c r="AV808" s="0" t="s">
        <v>473</v>
      </c>
      <c r="AW808" s="0" t="s">
        <v>408</v>
      </c>
      <c r="AX808" s="0" t="s">
        <v>2017</v>
      </c>
      <c r="AY808" s="0" t="s">
        <v>2658</v>
      </c>
      <c r="AZ808" s="0" t="s">
        <v>2659</v>
      </c>
      <c r="BA808" s="0" t="s">
        <v>595</v>
      </c>
      <c r="BB808" s="0" t="str">
        <f t="shared" si="12"/>
        <v>CIHPkdJemaa</v>
      </c>
    </row>
    <row r="809">
      <c r="AV809" s="0" t="s">
        <v>473</v>
      </c>
      <c r="AW809" s="0" t="s">
        <v>408</v>
      </c>
      <c r="AX809" s="0" t="s">
        <v>2017</v>
      </c>
      <c r="AY809" s="0" t="s">
        <v>2660</v>
      </c>
      <c r="AZ809" s="0" t="s">
        <v>2661</v>
      </c>
      <c r="BA809" s="0" t="s">
        <v>595</v>
      </c>
      <c r="BB809" s="0" t="str">
        <f t="shared" si="12"/>
        <v>CIHPkdJemaa</v>
      </c>
    </row>
    <row r="810">
      <c r="AV810" s="0" t="s">
        <v>473</v>
      </c>
      <c r="AW810" s="0" t="s">
        <v>408</v>
      </c>
      <c r="AX810" s="0" t="s">
        <v>2017</v>
      </c>
      <c r="AY810" s="0" t="s">
        <v>2662</v>
      </c>
      <c r="AZ810" s="0" t="s">
        <v>2663</v>
      </c>
      <c r="BA810" s="0" t="s">
        <v>595</v>
      </c>
      <c r="BB810" s="0" t="str">
        <f t="shared" si="12"/>
        <v>CIHPkdJemaa</v>
      </c>
    </row>
    <row r="811">
      <c r="AV811" s="0" t="s">
        <v>473</v>
      </c>
      <c r="AW811" s="0" t="s">
        <v>408</v>
      </c>
      <c r="AX811" s="0" t="s">
        <v>2017</v>
      </c>
      <c r="AY811" s="0" t="s">
        <v>2664</v>
      </c>
      <c r="AZ811" s="0" t="s">
        <v>2665</v>
      </c>
      <c r="BA811" s="0" t="s">
        <v>595</v>
      </c>
      <c r="BB811" s="0" t="str">
        <f t="shared" si="12"/>
        <v>CIHPkdJemaa</v>
      </c>
    </row>
    <row r="812">
      <c r="AV812" s="0" t="s">
        <v>473</v>
      </c>
      <c r="AW812" s="0" t="s">
        <v>408</v>
      </c>
      <c r="AX812" s="0" t="s">
        <v>2017</v>
      </c>
      <c r="AY812" s="0" t="s">
        <v>2666</v>
      </c>
      <c r="AZ812" s="0" t="s">
        <v>2667</v>
      </c>
      <c r="BA812" s="0" t="s">
        <v>595</v>
      </c>
      <c r="BB812" s="0" t="str">
        <f t="shared" si="12"/>
        <v>CIHPkdJemaa</v>
      </c>
    </row>
    <row r="813">
      <c r="AV813" s="0" t="s">
        <v>473</v>
      </c>
      <c r="AW813" s="0" t="s">
        <v>408</v>
      </c>
      <c r="AX813" s="0" t="s">
        <v>789</v>
      </c>
      <c r="AY813" s="0" t="s">
        <v>2668</v>
      </c>
      <c r="AZ813" s="0" t="s">
        <v>2669</v>
      </c>
      <c r="BA813" s="0" t="s">
        <v>595</v>
      </c>
      <c r="BB813" s="0" t="str">
        <f t="shared" si="12"/>
        <v>CIHPkdKachia</v>
      </c>
    </row>
    <row r="814">
      <c r="AV814" s="0" t="s">
        <v>473</v>
      </c>
      <c r="AW814" s="0" t="s">
        <v>408</v>
      </c>
      <c r="AX814" s="0" t="s">
        <v>789</v>
      </c>
      <c r="AY814" s="0" t="s">
        <v>2670</v>
      </c>
      <c r="AZ814" s="0" t="s">
        <v>2671</v>
      </c>
      <c r="BA814" s="0" t="s">
        <v>595</v>
      </c>
      <c r="BB814" s="0" t="str">
        <f t="shared" si="12"/>
        <v>CIHPkdKachia</v>
      </c>
    </row>
    <row r="815">
      <c r="AV815" s="0" t="s">
        <v>473</v>
      </c>
      <c r="AW815" s="0" t="s">
        <v>408</v>
      </c>
      <c r="AX815" s="0" t="s">
        <v>789</v>
      </c>
      <c r="AY815" s="0" t="s">
        <v>2672</v>
      </c>
      <c r="AZ815" s="0" t="s">
        <v>2673</v>
      </c>
      <c r="BA815" s="0" t="s">
        <v>595</v>
      </c>
      <c r="BB815" s="0" t="str">
        <f t="shared" si="12"/>
        <v>CIHPkdKachia</v>
      </c>
    </row>
    <row r="816">
      <c r="AV816" s="0" t="s">
        <v>473</v>
      </c>
      <c r="AW816" s="0" t="s">
        <v>408</v>
      </c>
      <c r="AX816" s="0" t="s">
        <v>819</v>
      </c>
      <c r="AY816" s="0" t="s">
        <v>2674</v>
      </c>
      <c r="AZ816" s="0" t="s">
        <v>2675</v>
      </c>
      <c r="BA816" s="0" t="s">
        <v>595</v>
      </c>
      <c r="BB816" s="0" t="str">
        <f t="shared" si="12"/>
        <v>CIHPkdKadunaNorth</v>
      </c>
    </row>
    <row r="817">
      <c r="AV817" s="0" t="s">
        <v>473</v>
      </c>
      <c r="AW817" s="0" t="s">
        <v>408</v>
      </c>
      <c r="AX817" s="0" t="s">
        <v>819</v>
      </c>
      <c r="AY817" s="0" t="s">
        <v>2676</v>
      </c>
      <c r="AZ817" s="0" t="s">
        <v>2677</v>
      </c>
      <c r="BA817" s="0" t="s">
        <v>595</v>
      </c>
      <c r="BB817" s="0" t="str">
        <f t="shared" si="12"/>
        <v>CIHPkdKadunaNorth</v>
      </c>
    </row>
    <row r="818">
      <c r="AV818" s="0" t="s">
        <v>473</v>
      </c>
      <c r="AW818" s="0" t="s">
        <v>408</v>
      </c>
      <c r="AX818" s="0" t="s">
        <v>819</v>
      </c>
      <c r="AY818" s="0" t="s">
        <v>2678</v>
      </c>
      <c r="AZ818" s="0" t="s">
        <v>2679</v>
      </c>
      <c r="BA818" s="0" t="s">
        <v>595</v>
      </c>
      <c r="BB818" s="0" t="str">
        <f t="shared" si="12"/>
        <v>CIHPkdKadunaNorth</v>
      </c>
    </row>
    <row r="819">
      <c r="AV819" s="0" t="s">
        <v>473</v>
      </c>
      <c r="AW819" s="0" t="s">
        <v>408</v>
      </c>
      <c r="AX819" s="0" t="s">
        <v>819</v>
      </c>
      <c r="AY819" s="0" t="s">
        <v>2680</v>
      </c>
      <c r="AZ819" s="0" t="s">
        <v>2681</v>
      </c>
      <c r="BA819" s="0" t="s">
        <v>595</v>
      </c>
      <c r="BB819" s="0" t="str">
        <f t="shared" si="12"/>
        <v>CIHPkdKadunaNorth</v>
      </c>
    </row>
    <row r="820">
      <c r="AV820" s="0" t="s">
        <v>473</v>
      </c>
      <c r="AW820" s="0" t="s">
        <v>408</v>
      </c>
      <c r="AX820" s="0" t="s">
        <v>819</v>
      </c>
      <c r="AY820" s="0" t="s">
        <v>2682</v>
      </c>
      <c r="AZ820" s="0" t="s">
        <v>2683</v>
      </c>
      <c r="BA820" s="0" t="s">
        <v>595</v>
      </c>
      <c r="BB820" s="0" t="str">
        <f t="shared" si="12"/>
        <v>CIHPkdKadunaNorth</v>
      </c>
    </row>
    <row r="821">
      <c r="AV821" s="0" t="s">
        <v>473</v>
      </c>
      <c r="AW821" s="0" t="s">
        <v>408</v>
      </c>
      <c r="AX821" s="0" t="s">
        <v>819</v>
      </c>
      <c r="AY821" s="0" t="s">
        <v>2684</v>
      </c>
      <c r="AZ821" s="0" t="s">
        <v>2685</v>
      </c>
      <c r="BA821" s="0" t="s">
        <v>595</v>
      </c>
      <c r="BB821" s="0" t="str">
        <f t="shared" si="12"/>
        <v>CIHPkdKadunaNorth</v>
      </c>
    </row>
    <row r="822">
      <c r="AV822" s="0" t="s">
        <v>473</v>
      </c>
      <c r="AW822" s="0" t="s">
        <v>408</v>
      </c>
      <c r="AX822" s="0" t="s">
        <v>819</v>
      </c>
      <c r="AY822" s="0" t="s">
        <v>2686</v>
      </c>
      <c r="AZ822" s="0" t="s">
        <v>2687</v>
      </c>
      <c r="BA822" s="0" t="s">
        <v>595</v>
      </c>
      <c r="BB822" s="0" t="str">
        <f t="shared" si="12"/>
        <v>CIHPkdKadunaNorth</v>
      </c>
    </row>
    <row r="823">
      <c r="AV823" s="0" t="s">
        <v>473</v>
      </c>
      <c r="AW823" s="0" t="s">
        <v>408</v>
      </c>
      <c r="AX823" s="0" t="s">
        <v>819</v>
      </c>
      <c r="AY823" s="0" t="s">
        <v>2688</v>
      </c>
      <c r="AZ823" s="0" t="s">
        <v>2689</v>
      </c>
      <c r="BA823" s="0" t="s">
        <v>595</v>
      </c>
      <c r="BB823" s="0" t="str">
        <f t="shared" si="12"/>
        <v>CIHPkdKadunaNorth</v>
      </c>
    </row>
    <row r="824">
      <c r="AV824" s="0" t="s">
        <v>473</v>
      </c>
      <c r="AW824" s="0" t="s">
        <v>408</v>
      </c>
      <c r="AX824" s="0" t="s">
        <v>536</v>
      </c>
      <c r="AY824" s="0" t="s">
        <v>2690</v>
      </c>
      <c r="AZ824" s="0" t="s">
        <v>2691</v>
      </c>
      <c r="BA824" s="0" t="s">
        <v>595</v>
      </c>
      <c r="BB824" s="0" t="str">
        <f t="shared" si="12"/>
        <v>CIHPkdKadunaSouth</v>
      </c>
    </row>
    <row r="825">
      <c r="AV825" s="0" t="s">
        <v>473</v>
      </c>
      <c r="AW825" s="0" t="s">
        <v>408</v>
      </c>
      <c r="AX825" s="0" t="s">
        <v>536</v>
      </c>
      <c r="AY825" s="0" t="s">
        <v>2692</v>
      </c>
      <c r="AZ825" s="0" t="s">
        <v>2693</v>
      </c>
      <c r="BA825" s="0" t="s">
        <v>595</v>
      </c>
      <c r="BB825" s="0" t="str">
        <f t="shared" si="12"/>
        <v>CIHPkdKadunaSouth</v>
      </c>
    </row>
    <row r="826">
      <c r="AV826" s="0" t="s">
        <v>473</v>
      </c>
      <c r="AW826" s="0" t="s">
        <v>408</v>
      </c>
      <c r="AX826" s="0" t="s">
        <v>536</v>
      </c>
      <c r="AY826" s="0" t="s">
        <v>2694</v>
      </c>
      <c r="AZ826" s="0" t="s">
        <v>2695</v>
      </c>
      <c r="BA826" s="0" t="s">
        <v>595</v>
      </c>
      <c r="BB826" s="0" t="str">
        <f t="shared" si="12"/>
        <v>CIHPkdKadunaSouth</v>
      </c>
    </row>
    <row r="827">
      <c r="AV827" s="0" t="s">
        <v>473</v>
      </c>
      <c r="AW827" s="0" t="s">
        <v>408</v>
      </c>
      <c r="AX827" s="0" t="s">
        <v>536</v>
      </c>
      <c r="AY827" s="0" t="s">
        <v>2696</v>
      </c>
      <c r="AZ827" s="0" t="s">
        <v>2697</v>
      </c>
      <c r="BA827" s="0" t="s">
        <v>595</v>
      </c>
      <c r="BB827" s="0" t="str">
        <f t="shared" si="12"/>
        <v>CIHPkdKadunaSouth</v>
      </c>
    </row>
    <row r="828">
      <c r="AV828" s="0" t="s">
        <v>473</v>
      </c>
      <c r="AW828" s="0" t="s">
        <v>408</v>
      </c>
      <c r="AX828" s="0" t="s">
        <v>536</v>
      </c>
      <c r="AY828" s="0" t="s">
        <v>2698</v>
      </c>
      <c r="AZ828" s="0" t="s">
        <v>2699</v>
      </c>
      <c r="BA828" s="0" t="s">
        <v>595</v>
      </c>
      <c r="BB828" s="0" t="str">
        <f t="shared" si="12"/>
        <v>CIHPkdKadunaSouth</v>
      </c>
    </row>
    <row r="829">
      <c r="AV829" s="0" t="s">
        <v>473</v>
      </c>
      <c r="AW829" s="0" t="s">
        <v>408</v>
      </c>
      <c r="AX829" s="0" t="s">
        <v>536</v>
      </c>
      <c r="AY829" s="0" t="s">
        <v>2700</v>
      </c>
      <c r="AZ829" s="0" t="s">
        <v>2701</v>
      </c>
      <c r="BA829" s="0" t="s">
        <v>595</v>
      </c>
      <c r="BB829" s="0" t="str">
        <f t="shared" si="12"/>
        <v>CIHPkdKadunaSouth</v>
      </c>
    </row>
    <row r="830">
      <c r="AV830" s="0" t="s">
        <v>473</v>
      </c>
      <c r="AW830" s="0" t="s">
        <v>408</v>
      </c>
      <c r="AX830" s="0" t="s">
        <v>536</v>
      </c>
      <c r="AY830" s="0" t="s">
        <v>2702</v>
      </c>
      <c r="AZ830" s="0" t="s">
        <v>2703</v>
      </c>
      <c r="BA830" s="0" t="s">
        <v>595</v>
      </c>
      <c r="BB830" s="0" t="str">
        <f t="shared" si="12"/>
        <v>CIHPkdKadunaSouth</v>
      </c>
    </row>
    <row r="831">
      <c r="AV831" s="0" t="s">
        <v>473</v>
      </c>
      <c r="AW831" s="0" t="s">
        <v>408</v>
      </c>
      <c r="AX831" s="0" t="s">
        <v>536</v>
      </c>
      <c r="AY831" s="0" t="s">
        <v>2704</v>
      </c>
      <c r="AZ831" s="0" t="s">
        <v>2705</v>
      </c>
      <c r="BA831" s="0" t="s">
        <v>595</v>
      </c>
      <c r="BB831" s="0" t="str">
        <f t="shared" si="12"/>
        <v>CIHPkdKadunaSouth</v>
      </c>
    </row>
    <row r="832">
      <c r="AV832" s="0" t="s">
        <v>473</v>
      </c>
      <c r="AW832" s="0" t="s">
        <v>408</v>
      </c>
      <c r="AX832" s="0" t="s">
        <v>536</v>
      </c>
      <c r="AY832" s="0" t="s">
        <v>2706</v>
      </c>
      <c r="AZ832" s="0" t="s">
        <v>2707</v>
      </c>
      <c r="BA832" s="0" t="s">
        <v>595</v>
      </c>
      <c r="BB832" s="0" t="str">
        <f t="shared" si="12"/>
        <v>CIHPkdKadunaSouth</v>
      </c>
    </row>
    <row r="833">
      <c r="AV833" s="0" t="s">
        <v>473</v>
      </c>
      <c r="AW833" s="0" t="s">
        <v>408</v>
      </c>
      <c r="AX833" s="0" t="s">
        <v>536</v>
      </c>
      <c r="AY833" s="0" t="s">
        <v>2708</v>
      </c>
      <c r="AZ833" s="0" t="s">
        <v>2709</v>
      </c>
      <c r="BA833" s="0" t="s">
        <v>595</v>
      </c>
      <c r="BB833" s="0" t="str">
        <f t="shared" si="12"/>
        <v>CIHPkdKadunaSouth</v>
      </c>
    </row>
    <row r="834">
      <c r="AV834" s="0" t="s">
        <v>473</v>
      </c>
      <c r="AW834" s="0" t="s">
        <v>408</v>
      </c>
      <c r="AX834" s="0" t="s">
        <v>536</v>
      </c>
      <c r="AY834" s="0" t="s">
        <v>2710</v>
      </c>
      <c r="AZ834" s="0" t="s">
        <v>2711</v>
      </c>
      <c r="BA834" s="0" t="s">
        <v>595</v>
      </c>
      <c r="BB834" s="0" t="str">
        <f t="shared" si="12"/>
        <v>CIHPkdKadunaSouth</v>
      </c>
    </row>
    <row r="835">
      <c r="AV835" s="0" t="s">
        <v>473</v>
      </c>
      <c r="AW835" s="0" t="s">
        <v>408</v>
      </c>
      <c r="AX835" s="0" t="s">
        <v>536</v>
      </c>
      <c r="AY835" s="0" t="s">
        <v>2712</v>
      </c>
      <c r="AZ835" s="0" t="s">
        <v>2713</v>
      </c>
      <c r="BA835" s="0" t="s">
        <v>595</v>
      </c>
      <c r="BB835" s="0" t="str">
        <f ref="BB835:BB898" t="shared" si="13">SUBSTITUTE(SUBSTITUTE(BA835&amp;AX835," ",""),"-","")</f>
        <v>CIHPkdKadunaSouth</v>
      </c>
    </row>
    <row r="836">
      <c r="AV836" s="0" t="s">
        <v>473</v>
      </c>
      <c r="AW836" s="0" t="s">
        <v>408</v>
      </c>
      <c r="AX836" s="0" t="s">
        <v>536</v>
      </c>
      <c r="AY836" s="0" t="s">
        <v>2714</v>
      </c>
      <c r="AZ836" s="0" t="s">
        <v>2715</v>
      </c>
      <c r="BA836" s="0" t="s">
        <v>595</v>
      </c>
      <c r="BB836" s="0" t="str">
        <f t="shared" si="13"/>
        <v>CIHPkdKadunaSouth</v>
      </c>
    </row>
    <row r="837">
      <c r="AV837" s="0" t="s">
        <v>473</v>
      </c>
      <c r="AW837" s="0" t="s">
        <v>408</v>
      </c>
      <c r="AX837" s="0" t="s">
        <v>847</v>
      </c>
      <c r="AY837" s="0" t="s">
        <v>2716</v>
      </c>
      <c r="AZ837" s="0" t="s">
        <v>2717</v>
      </c>
      <c r="BA837" s="0" t="s">
        <v>595</v>
      </c>
      <c r="BB837" s="0" t="str">
        <f t="shared" si="13"/>
        <v>CIHPkdKagarko</v>
      </c>
    </row>
    <row r="838">
      <c r="AV838" s="0" t="s">
        <v>473</v>
      </c>
      <c r="AW838" s="0" t="s">
        <v>408</v>
      </c>
      <c r="AX838" s="0" t="s">
        <v>847</v>
      </c>
      <c r="AY838" s="0" t="s">
        <v>2718</v>
      </c>
      <c r="AZ838" s="0" t="s">
        <v>2719</v>
      </c>
      <c r="BA838" s="0" t="s">
        <v>595</v>
      </c>
      <c r="BB838" s="0" t="str">
        <f t="shared" si="13"/>
        <v>CIHPkdKagarko</v>
      </c>
    </row>
    <row r="839">
      <c r="AV839" s="0" t="s">
        <v>473</v>
      </c>
      <c r="AW839" s="0" t="s">
        <v>408</v>
      </c>
      <c r="AX839" s="0" t="s">
        <v>875</v>
      </c>
      <c r="AY839" s="0" t="s">
        <v>2720</v>
      </c>
      <c r="AZ839" s="0" t="s">
        <v>2721</v>
      </c>
      <c r="BA839" s="0" t="s">
        <v>595</v>
      </c>
      <c r="BB839" s="0" t="str">
        <f t="shared" si="13"/>
        <v>CIHPkdKajuru</v>
      </c>
    </row>
    <row r="840">
      <c r="AV840" s="0" t="s">
        <v>473</v>
      </c>
      <c r="AW840" s="0" t="s">
        <v>408</v>
      </c>
      <c r="AX840" s="0" t="s">
        <v>900</v>
      </c>
      <c r="AY840" s="0" t="s">
        <v>2722</v>
      </c>
      <c r="AZ840" s="0" t="s">
        <v>2723</v>
      </c>
      <c r="BA840" s="0" t="s">
        <v>595</v>
      </c>
      <c r="BB840" s="0" t="str">
        <f t="shared" si="13"/>
        <v>CIHPkdKaura</v>
      </c>
    </row>
    <row r="841">
      <c r="AV841" s="0" t="s">
        <v>473</v>
      </c>
      <c r="AW841" s="0" t="s">
        <v>408</v>
      </c>
      <c r="AX841" s="0" t="s">
        <v>900</v>
      </c>
      <c r="AY841" s="0" t="s">
        <v>2724</v>
      </c>
      <c r="AZ841" s="0" t="s">
        <v>2725</v>
      </c>
      <c r="BA841" s="0" t="s">
        <v>595</v>
      </c>
      <c r="BB841" s="0" t="str">
        <f t="shared" si="13"/>
        <v>CIHPkdKaura</v>
      </c>
    </row>
    <row r="842">
      <c r="AV842" s="0" t="s">
        <v>473</v>
      </c>
      <c r="AW842" s="0" t="s">
        <v>408</v>
      </c>
      <c r="AX842" s="0" t="s">
        <v>900</v>
      </c>
      <c r="AY842" s="0" t="s">
        <v>2726</v>
      </c>
      <c r="AZ842" s="0" t="s">
        <v>2727</v>
      </c>
      <c r="BA842" s="0" t="s">
        <v>595</v>
      </c>
      <c r="BB842" s="0" t="str">
        <f t="shared" si="13"/>
        <v>CIHPkdKaura</v>
      </c>
    </row>
    <row r="843">
      <c r="AV843" s="0" t="s">
        <v>473</v>
      </c>
      <c r="AW843" s="0" t="s">
        <v>408</v>
      </c>
      <c r="AX843" s="0" t="s">
        <v>900</v>
      </c>
      <c r="AY843" s="0" t="s">
        <v>2728</v>
      </c>
      <c r="AZ843" s="0" t="s">
        <v>2729</v>
      </c>
      <c r="BA843" s="0" t="s">
        <v>595</v>
      </c>
      <c r="BB843" s="0" t="str">
        <f t="shared" si="13"/>
        <v>CIHPkdKaura</v>
      </c>
    </row>
    <row r="844">
      <c r="AV844" s="0" t="s">
        <v>473</v>
      </c>
      <c r="AW844" s="0" t="s">
        <v>408</v>
      </c>
      <c r="AX844" s="0" t="s">
        <v>900</v>
      </c>
      <c r="AY844" s="0" t="s">
        <v>2730</v>
      </c>
      <c r="AZ844" s="0" t="s">
        <v>2731</v>
      </c>
      <c r="BA844" s="0" t="s">
        <v>595</v>
      </c>
      <c r="BB844" s="0" t="str">
        <f t="shared" si="13"/>
        <v>CIHPkdKaura</v>
      </c>
    </row>
    <row r="845">
      <c r="AV845" s="0" t="s">
        <v>473</v>
      </c>
      <c r="AW845" s="0" t="s">
        <v>408</v>
      </c>
      <c r="AX845" s="0" t="s">
        <v>576</v>
      </c>
      <c r="AY845" s="0" t="s">
        <v>2732</v>
      </c>
      <c r="AZ845" s="0" t="s">
        <v>2733</v>
      </c>
      <c r="BA845" s="0" t="s">
        <v>595</v>
      </c>
      <c r="BB845" s="0" t="str">
        <f t="shared" si="13"/>
        <v>CIHPkdKubau</v>
      </c>
    </row>
    <row r="846">
      <c r="AV846" s="0" t="s">
        <v>473</v>
      </c>
      <c r="AW846" s="0" t="s">
        <v>408</v>
      </c>
      <c r="AX846" s="0" t="s">
        <v>653</v>
      </c>
      <c r="AY846" s="0" t="s">
        <v>2734</v>
      </c>
      <c r="AZ846" s="0" t="s">
        <v>2735</v>
      </c>
      <c r="BA846" s="0" t="s">
        <v>595</v>
      </c>
      <c r="BB846" s="0" t="str">
        <f t="shared" si="13"/>
        <v>CIHPkdSanga</v>
      </c>
    </row>
    <row r="847">
      <c r="AV847" s="0" t="s">
        <v>473</v>
      </c>
      <c r="AW847" s="0" t="s">
        <v>408</v>
      </c>
      <c r="AX847" s="0" t="s">
        <v>653</v>
      </c>
      <c r="AY847" s="0" t="s">
        <v>2736</v>
      </c>
      <c r="AZ847" s="0" t="s">
        <v>2737</v>
      </c>
      <c r="BA847" s="0" t="s">
        <v>595</v>
      </c>
      <c r="BB847" s="0" t="str">
        <f t="shared" si="13"/>
        <v>CIHPkdSanga</v>
      </c>
    </row>
    <row r="848">
      <c r="AV848" s="0" t="s">
        <v>473</v>
      </c>
      <c r="AW848" s="0" t="s">
        <v>408</v>
      </c>
      <c r="AX848" s="0" t="s">
        <v>653</v>
      </c>
      <c r="AY848" s="0" t="s">
        <v>2738</v>
      </c>
      <c r="AZ848" s="0" t="s">
        <v>2739</v>
      </c>
      <c r="BA848" s="0" t="s">
        <v>595</v>
      </c>
      <c r="BB848" s="0" t="str">
        <f t="shared" si="13"/>
        <v>CIHPkdSanga</v>
      </c>
    </row>
    <row r="849">
      <c r="AV849" s="0" t="s">
        <v>473</v>
      </c>
      <c r="AW849" s="0" t="s">
        <v>408</v>
      </c>
      <c r="AX849" s="0" t="s">
        <v>653</v>
      </c>
      <c r="AY849" s="0" t="s">
        <v>2740</v>
      </c>
      <c r="AZ849" s="0" t="s">
        <v>2741</v>
      </c>
      <c r="BA849" s="0" t="s">
        <v>595</v>
      </c>
      <c r="BB849" s="0" t="str">
        <f t="shared" si="13"/>
        <v>CIHPkdSanga</v>
      </c>
    </row>
    <row r="850">
      <c r="AV850" s="0" t="s">
        <v>473</v>
      </c>
      <c r="AW850" s="0" t="s">
        <v>408</v>
      </c>
      <c r="AX850" s="0" t="s">
        <v>653</v>
      </c>
      <c r="AY850" s="0" t="s">
        <v>2742</v>
      </c>
      <c r="AZ850" s="0" t="s">
        <v>2743</v>
      </c>
      <c r="BA850" s="0" t="s">
        <v>595</v>
      </c>
      <c r="BB850" s="0" t="str">
        <f t="shared" si="13"/>
        <v>CIHPkdSanga</v>
      </c>
    </row>
    <row r="851">
      <c r="AV851" s="0" t="s">
        <v>473</v>
      </c>
      <c r="AW851" s="0" t="s">
        <v>408</v>
      </c>
      <c r="AX851" s="0" t="s">
        <v>653</v>
      </c>
      <c r="AY851" s="0" t="s">
        <v>2744</v>
      </c>
      <c r="AZ851" s="0" t="s">
        <v>2745</v>
      </c>
      <c r="BA851" s="0" t="s">
        <v>595</v>
      </c>
      <c r="BB851" s="0" t="str">
        <f t="shared" si="13"/>
        <v>CIHPkdSanga</v>
      </c>
    </row>
    <row r="852">
      <c r="AV852" s="0" t="s">
        <v>473</v>
      </c>
      <c r="AW852" s="0" t="s">
        <v>408</v>
      </c>
      <c r="AX852" s="0" t="s">
        <v>653</v>
      </c>
      <c r="AY852" s="0" t="s">
        <v>2746</v>
      </c>
      <c r="AZ852" s="0" t="s">
        <v>2747</v>
      </c>
      <c r="BA852" s="0" t="s">
        <v>595</v>
      </c>
      <c r="BB852" s="0" t="str">
        <f t="shared" si="13"/>
        <v>CIHPkdSanga</v>
      </c>
    </row>
    <row r="853">
      <c r="AV853" s="0" t="s">
        <v>473</v>
      </c>
      <c r="AW853" s="0" t="s">
        <v>408</v>
      </c>
      <c r="AX853" s="0" t="s">
        <v>653</v>
      </c>
      <c r="AY853" s="0" t="s">
        <v>2748</v>
      </c>
      <c r="AZ853" s="0" t="s">
        <v>2749</v>
      </c>
      <c r="BA853" s="0" t="s">
        <v>595</v>
      </c>
      <c r="BB853" s="0" t="str">
        <f t="shared" si="13"/>
        <v>CIHPkdSanga</v>
      </c>
    </row>
    <row r="854">
      <c r="AV854" s="0" t="s">
        <v>473</v>
      </c>
      <c r="AW854" s="0" t="s">
        <v>408</v>
      </c>
      <c r="AX854" s="0" t="s">
        <v>925</v>
      </c>
      <c r="AY854" s="0" t="s">
        <v>2750</v>
      </c>
      <c r="AZ854" s="0" t="s">
        <v>2751</v>
      </c>
      <c r="BA854" s="0" t="s">
        <v>595</v>
      </c>
      <c r="BB854" s="0" t="str">
        <f t="shared" si="13"/>
        <v>CIHPkdSoba</v>
      </c>
    </row>
    <row r="855">
      <c r="AV855" s="0" t="s">
        <v>473</v>
      </c>
      <c r="AW855" s="0" t="s">
        <v>408</v>
      </c>
      <c r="AX855" s="0" t="s">
        <v>689</v>
      </c>
      <c r="AY855" s="0" t="s">
        <v>2752</v>
      </c>
      <c r="AZ855" s="0" t="s">
        <v>2753</v>
      </c>
      <c r="BA855" s="0" t="s">
        <v>595</v>
      </c>
      <c r="BB855" s="0" t="str">
        <f t="shared" si="13"/>
        <v>CIHPkdZangoKataf</v>
      </c>
    </row>
    <row r="856">
      <c r="AV856" s="0" t="s">
        <v>473</v>
      </c>
      <c r="AW856" s="0" t="s">
        <v>408</v>
      </c>
      <c r="AX856" s="0" t="s">
        <v>949</v>
      </c>
      <c r="AY856" s="0" t="s">
        <v>2754</v>
      </c>
      <c r="AZ856" s="0" t="s">
        <v>2755</v>
      </c>
      <c r="BA856" s="0" t="s">
        <v>595</v>
      </c>
      <c r="BB856" s="0" t="str">
        <f t="shared" si="13"/>
        <v>CIHPkdZaria</v>
      </c>
    </row>
    <row r="857">
      <c r="AV857" s="0" t="s">
        <v>473</v>
      </c>
      <c r="AW857" s="0" t="s">
        <v>408</v>
      </c>
      <c r="AX857" s="0" t="s">
        <v>949</v>
      </c>
      <c r="AY857" s="0" t="s">
        <v>2756</v>
      </c>
      <c r="AZ857" s="0" t="s">
        <v>2757</v>
      </c>
      <c r="BA857" s="0" t="s">
        <v>595</v>
      </c>
      <c r="BB857" s="0" t="str">
        <f t="shared" si="13"/>
        <v>CIHPkdZaria</v>
      </c>
    </row>
    <row r="858">
      <c r="AV858" s="0" t="s">
        <v>473</v>
      </c>
      <c r="AW858" s="0" t="s">
        <v>408</v>
      </c>
      <c r="AX858" s="0" t="s">
        <v>949</v>
      </c>
      <c r="AY858" s="0" t="s">
        <v>2758</v>
      </c>
      <c r="AZ858" s="0" t="s">
        <v>2759</v>
      </c>
      <c r="BA858" s="0" t="s">
        <v>595</v>
      </c>
      <c r="BB858" s="0" t="str">
        <f t="shared" si="13"/>
        <v>CIHPkdZaria</v>
      </c>
    </row>
    <row r="859">
      <c r="AV859" s="0" t="s">
        <v>473</v>
      </c>
      <c r="AW859" s="0" t="s">
        <v>412</v>
      </c>
      <c r="AX859" s="0" t="s">
        <v>1439</v>
      </c>
      <c r="AY859" s="0" t="s">
        <v>2760</v>
      </c>
      <c r="AZ859" s="0" t="s">
        <v>2761</v>
      </c>
      <c r="BA859" s="0" t="s">
        <v>595</v>
      </c>
      <c r="BB859" s="0" t="str">
        <f t="shared" si="13"/>
        <v>CIHPkoAdavi</v>
      </c>
    </row>
    <row r="860">
      <c r="AV860" s="0" t="s">
        <v>473</v>
      </c>
      <c r="AW860" s="0" t="s">
        <v>412</v>
      </c>
      <c r="AX860" s="0" t="s">
        <v>1439</v>
      </c>
      <c r="AY860" s="0" t="s">
        <v>2762</v>
      </c>
      <c r="AZ860" s="0" t="s">
        <v>2763</v>
      </c>
      <c r="BA860" s="0" t="s">
        <v>595</v>
      </c>
      <c r="BB860" s="0" t="str">
        <f t="shared" si="13"/>
        <v>CIHPkoAdavi</v>
      </c>
    </row>
    <row r="861">
      <c r="AV861" s="0" t="s">
        <v>473</v>
      </c>
      <c r="AW861" s="0" t="s">
        <v>412</v>
      </c>
      <c r="AX861" s="0" t="s">
        <v>617</v>
      </c>
      <c r="AY861" s="0" t="s">
        <v>2764</v>
      </c>
      <c r="AZ861" s="0" t="s">
        <v>2765</v>
      </c>
      <c r="BA861" s="0" t="s">
        <v>595</v>
      </c>
      <c r="BB861" s="0" t="str">
        <f t="shared" si="13"/>
        <v>CIHPkoAjaokuta</v>
      </c>
    </row>
    <row r="862">
      <c r="AV862" s="0" t="s">
        <v>473</v>
      </c>
      <c r="AW862" s="0" t="s">
        <v>412</v>
      </c>
      <c r="AX862" s="0" t="s">
        <v>655</v>
      </c>
      <c r="AY862" s="0" t="s">
        <v>2766</v>
      </c>
      <c r="AZ862" s="0" t="s">
        <v>2767</v>
      </c>
      <c r="BA862" s="0" t="s">
        <v>595</v>
      </c>
      <c r="BB862" s="0" t="str">
        <f t="shared" si="13"/>
        <v>CIHPkoAnkpa</v>
      </c>
    </row>
    <row r="863">
      <c r="AV863" s="0" t="s">
        <v>473</v>
      </c>
      <c r="AW863" s="0" t="s">
        <v>412</v>
      </c>
      <c r="AX863" s="0" t="s">
        <v>655</v>
      </c>
      <c r="AY863" s="0" t="s">
        <v>2768</v>
      </c>
      <c r="AZ863" s="0" t="s">
        <v>2769</v>
      </c>
      <c r="BA863" s="0" t="s">
        <v>595</v>
      </c>
      <c r="BB863" s="0" t="str">
        <f t="shared" si="13"/>
        <v>CIHPkoAnkpa</v>
      </c>
    </row>
    <row r="864">
      <c r="AV864" s="0" t="s">
        <v>473</v>
      </c>
      <c r="AW864" s="0" t="s">
        <v>412</v>
      </c>
      <c r="AX864" s="0" t="s">
        <v>655</v>
      </c>
      <c r="AY864" s="0" t="s">
        <v>2770</v>
      </c>
      <c r="AZ864" s="0" t="s">
        <v>2771</v>
      </c>
      <c r="BA864" s="0" t="s">
        <v>595</v>
      </c>
      <c r="BB864" s="0" t="str">
        <f t="shared" si="13"/>
        <v>CIHPkoAnkpa</v>
      </c>
    </row>
    <row r="865">
      <c r="AV865" s="0" t="s">
        <v>473</v>
      </c>
      <c r="AW865" s="0" t="s">
        <v>412</v>
      </c>
      <c r="AX865" s="0" t="s">
        <v>655</v>
      </c>
      <c r="AY865" s="0" t="s">
        <v>2772</v>
      </c>
      <c r="AZ865" s="0" t="s">
        <v>2773</v>
      </c>
      <c r="BA865" s="0" t="s">
        <v>595</v>
      </c>
      <c r="BB865" s="0" t="str">
        <f t="shared" si="13"/>
        <v>CIHPkoAnkpa</v>
      </c>
    </row>
    <row r="866">
      <c r="AV866" s="0" t="s">
        <v>473</v>
      </c>
      <c r="AW866" s="0" t="s">
        <v>412</v>
      </c>
      <c r="AX866" s="0" t="s">
        <v>655</v>
      </c>
      <c r="AY866" s="0" t="s">
        <v>2774</v>
      </c>
      <c r="AZ866" s="0" t="s">
        <v>2775</v>
      </c>
      <c r="BA866" s="0" t="s">
        <v>595</v>
      </c>
      <c r="BB866" s="0" t="str">
        <f t="shared" si="13"/>
        <v>CIHPkoAnkpa</v>
      </c>
    </row>
    <row r="867">
      <c r="AV867" s="0" t="s">
        <v>473</v>
      </c>
      <c r="AW867" s="0" t="s">
        <v>412</v>
      </c>
      <c r="AX867" s="0" t="s">
        <v>655</v>
      </c>
      <c r="AY867" s="0" t="s">
        <v>2776</v>
      </c>
      <c r="AZ867" s="0" t="s">
        <v>2777</v>
      </c>
      <c r="BA867" s="0" t="s">
        <v>595</v>
      </c>
      <c r="BB867" s="0" t="str">
        <f t="shared" si="13"/>
        <v>CIHPkoAnkpa</v>
      </c>
    </row>
    <row r="868">
      <c r="AV868" s="0" t="s">
        <v>473</v>
      </c>
      <c r="AW868" s="0" t="s">
        <v>412</v>
      </c>
      <c r="AX868" s="0" t="s">
        <v>655</v>
      </c>
      <c r="AY868" s="0" t="s">
        <v>2778</v>
      </c>
      <c r="AZ868" s="0" t="s">
        <v>2779</v>
      </c>
      <c r="BA868" s="0" t="s">
        <v>595</v>
      </c>
      <c r="BB868" s="0" t="str">
        <f t="shared" si="13"/>
        <v>CIHPkoAnkpa</v>
      </c>
    </row>
    <row r="869">
      <c r="AV869" s="0" t="s">
        <v>473</v>
      </c>
      <c r="AW869" s="0" t="s">
        <v>412</v>
      </c>
      <c r="AX869" s="0" t="s">
        <v>1298</v>
      </c>
      <c r="AY869" s="0" t="s">
        <v>2780</v>
      </c>
      <c r="AZ869" s="0" t="s">
        <v>2781</v>
      </c>
      <c r="BA869" s="0" t="s">
        <v>595</v>
      </c>
      <c r="BB869" s="0" t="str">
        <f t="shared" si="13"/>
        <v>CIHPkoDekina</v>
      </c>
    </row>
    <row r="870">
      <c r="AV870" s="0" t="s">
        <v>473</v>
      </c>
      <c r="AW870" s="0" t="s">
        <v>412</v>
      </c>
      <c r="AX870" s="0" t="s">
        <v>1298</v>
      </c>
      <c r="AY870" s="0" t="s">
        <v>2782</v>
      </c>
      <c r="AZ870" s="0" t="s">
        <v>2783</v>
      </c>
      <c r="BA870" s="0" t="s">
        <v>595</v>
      </c>
      <c r="BB870" s="0" t="str">
        <f t="shared" si="13"/>
        <v>CIHPkoDekina</v>
      </c>
    </row>
    <row r="871">
      <c r="AV871" s="0" t="s">
        <v>473</v>
      </c>
      <c r="AW871" s="0" t="s">
        <v>412</v>
      </c>
      <c r="AX871" s="0" t="s">
        <v>1298</v>
      </c>
      <c r="AY871" s="0" t="s">
        <v>2784</v>
      </c>
      <c r="AZ871" s="0" t="s">
        <v>2785</v>
      </c>
      <c r="BA871" s="0" t="s">
        <v>595</v>
      </c>
      <c r="BB871" s="0" t="str">
        <f t="shared" si="13"/>
        <v>CIHPkoDekina</v>
      </c>
    </row>
    <row r="872">
      <c r="AV872" s="0" t="s">
        <v>473</v>
      </c>
      <c r="AW872" s="0" t="s">
        <v>412</v>
      </c>
      <c r="AX872" s="0" t="s">
        <v>1298</v>
      </c>
      <c r="AY872" s="0" t="s">
        <v>2786</v>
      </c>
      <c r="AZ872" s="0" t="s">
        <v>2787</v>
      </c>
      <c r="BA872" s="0" t="s">
        <v>595</v>
      </c>
      <c r="BB872" s="0" t="str">
        <f t="shared" si="13"/>
        <v>CIHPkoDekina</v>
      </c>
    </row>
    <row r="873">
      <c r="AV873" s="0" t="s">
        <v>473</v>
      </c>
      <c r="AW873" s="0" t="s">
        <v>412</v>
      </c>
      <c r="AX873" s="0" t="s">
        <v>691</v>
      </c>
      <c r="AY873" s="0" t="s">
        <v>2788</v>
      </c>
      <c r="AZ873" s="0" t="s">
        <v>2789</v>
      </c>
      <c r="BA873" s="0" t="s">
        <v>595</v>
      </c>
      <c r="BB873" s="0" t="str">
        <f t="shared" si="13"/>
        <v>CIHPkoIbaji</v>
      </c>
    </row>
    <row r="874">
      <c r="AV874" s="0" t="s">
        <v>473</v>
      </c>
      <c r="AW874" s="0" t="s">
        <v>412</v>
      </c>
      <c r="AX874" s="0" t="s">
        <v>1301</v>
      </c>
      <c r="AY874" s="0" t="s">
        <v>2790</v>
      </c>
      <c r="AZ874" s="0" t="s">
        <v>2791</v>
      </c>
      <c r="BA874" s="0" t="s">
        <v>595</v>
      </c>
      <c r="BB874" s="0" t="str">
        <f t="shared" si="13"/>
        <v>CIHPkoIdah</v>
      </c>
    </row>
    <row r="875">
      <c r="AV875" s="0" t="s">
        <v>473</v>
      </c>
      <c r="AW875" s="0" t="s">
        <v>412</v>
      </c>
      <c r="AX875" s="0" t="s">
        <v>726</v>
      </c>
      <c r="AY875" s="0" t="s">
        <v>2792</v>
      </c>
      <c r="AZ875" s="0" t="s">
        <v>2793</v>
      </c>
      <c r="BA875" s="0" t="s">
        <v>595</v>
      </c>
      <c r="BB875" s="0" t="str">
        <f t="shared" si="13"/>
        <v>CIHPkoIgalamelaOdolu</v>
      </c>
    </row>
    <row r="876">
      <c r="AV876" s="0" t="s">
        <v>473</v>
      </c>
      <c r="AW876" s="0" t="s">
        <v>412</v>
      </c>
      <c r="AX876" s="0" t="s">
        <v>759</v>
      </c>
      <c r="AY876" s="0" t="s">
        <v>2794</v>
      </c>
      <c r="AZ876" s="0" t="s">
        <v>2795</v>
      </c>
      <c r="BA876" s="0" t="s">
        <v>595</v>
      </c>
      <c r="BB876" s="0" t="str">
        <f t="shared" si="13"/>
        <v>CIHPkoKogi</v>
      </c>
    </row>
    <row r="877">
      <c r="AV877" s="0" t="s">
        <v>473</v>
      </c>
      <c r="AW877" s="0" t="s">
        <v>412</v>
      </c>
      <c r="AX877" s="0" t="s">
        <v>759</v>
      </c>
      <c r="AY877" s="0" t="s">
        <v>2796</v>
      </c>
      <c r="AZ877" s="0" t="s">
        <v>2797</v>
      </c>
      <c r="BA877" s="0" t="s">
        <v>595</v>
      </c>
      <c r="BB877" s="0" t="str">
        <f t="shared" si="13"/>
        <v>CIHPkoKogi</v>
      </c>
    </row>
    <row r="878">
      <c r="AV878" s="0" t="s">
        <v>473</v>
      </c>
      <c r="AW878" s="0" t="s">
        <v>412</v>
      </c>
      <c r="AX878" s="0" t="s">
        <v>759</v>
      </c>
      <c r="AY878" s="0" t="s">
        <v>2798</v>
      </c>
      <c r="AZ878" s="0" t="s">
        <v>2799</v>
      </c>
      <c r="BA878" s="0" t="s">
        <v>595</v>
      </c>
      <c r="BB878" s="0" t="str">
        <f t="shared" si="13"/>
        <v>CIHPkoKogi</v>
      </c>
    </row>
    <row r="879">
      <c r="AV879" s="0" t="s">
        <v>473</v>
      </c>
      <c r="AW879" s="0" t="s">
        <v>412</v>
      </c>
      <c r="AX879" s="0" t="s">
        <v>791</v>
      </c>
      <c r="AY879" s="0" t="s">
        <v>2800</v>
      </c>
      <c r="AZ879" s="0" t="s">
        <v>2801</v>
      </c>
      <c r="BA879" s="0" t="s">
        <v>595</v>
      </c>
      <c r="BB879" s="0" t="str">
        <f t="shared" si="13"/>
        <v>CIHPkoLokoja</v>
      </c>
    </row>
    <row r="880">
      <c r="AV880" s="0" t="s">
        <v>473</v>
      </c>
      <c r="AW880" s="0" t="s">
        <v>412</v>
      </c>
      <c r="AX880" s="0" t="s">
        <v>791</v>
      </c>
      <c r="AY880" s="0" t="s">
        <v>2802</v>
      </c>
      <c r="AZ880" s="0" t="s">
        <v>2803</v>
      </c>
      <c r="BA880" s="0" t="s">
        <v>595</v>
      </c>
      <c r="BB880" s="0" t="str">
        <f t="shared" si="13"/>
        <v>CIHPkoLokoja</v>
      </c>
    </row>
    <row r="881">
      <c r="AV881" s="0" t="s">
        <v>473</v>
      </c>
      <c r="AW881" s="0" t="s">
        <v>412</v>
      </c>
      <c r="AX881" s="0" t="s">
        <v>821</v>
      </c>
      <c r="AY881" s="0" t="s">
        <v>2804</v>
      </c>
      <c r="AZ881" s="0" t="s">
        <v>2805</v>
      </c>
      <c r="BA881" s="0" t="s">
        <v>595</v>
      </c>
      <c r="BB881" s="0" t="str">
        <f t="shared" si="13"/>
        <v>CIHPkoOfu</v>
      </c>
    </row>
    <row r="882">
      <c r="AV882" s="0" t="s">
        <v>473</v>
      </c>
      <c r="AW882" s="0" t="s">
        <v>412</v>
      </c>
      <c r="AX882" s="0" t="s">
        <v>821</v>
      </c>
      <c r="AY882" s="0" t="s">
        <v>2806</v>
      </c>
      <c r="AZ882" s="0" t="s">
        <v>2807</v>
      </c>
      <c r="BA882" s="0" t="s">
        <v>595</v>
      </c>
      <c r="BB882" s="0" t="str">
        <f t="shared" si="13"/>
        <v>CIHPkoOfu</v>
      </c>
    </row>
    <row r="883">
      <c r="AV883" s="0" t="s">
        <v>473</v>
      </c>
      <c r="AW883" s="0" t="s">
        <v>412</v>
      </c>
      <c r="AX883" s="0" t="s">
        <v>849</v>
      </c>
      <c r="AY883" s="0" t="s">
        <v>2808</v>
      </c>
      <c r="AZ883" s="0" t="s">
        <v>2809</v>
      </c>
      <c r="BA883" s="0" t="s">
        <v>595</v>
      </c>
      <c r="BB883" s="0" t="str">
        <f t="shared" si="13"/>
        <v>CIHPkoOkehi</v>
      </c>
    </row>
    <row r="884">
      <c r="AV884" s="0" t="s">
        <v>473</v>
      </c>
      <c r="AW884" s="0" t="s">
        <v>412</v>
      </c>
      <c r="AX884" s="0" t="s">
        <v>849</v>
      </c>
      <c r="AY884" s="0" t="s">
        <v>2810</v>
      </c>
      <c r="AZ884" s="0" t="s">
        <v>2811</v>
      </c>
      <c r="BA884" s="0" t="s">
        <v>595</v>
      </c>
      <c r="BB884" s="0" t="str">
        <f t="shared" si="13"/>
        <v>CIHPkoOkehi</v>
      </c>
    </row>
    <row r="885">
      <c r="AV885" s="0" t="s">
        <v>473</v>
      </c>
      <c r="AW885" s="0" t="s">
        <v>412</v>
      </c>
      <c r="AX885" s="0" t="s">
        <v>459</v>
      </c>
      <c r="AY885" s="0" t="s">
        <v>2812</v>
      </c>
      <c r="AZ885" s="0" t="s">
        <v>2813</v>
      </c>
      <c r="BA885" s="0" t="s">
        <v>595</v>
      </c>
      <c r="BB885" s="0" t="str">
        <f t="shared" si="13"/>
        <v>CIHPkoOkene</v>
      </c>
    </row>
    <row r="886">
      <c r="AV886" s="0" t="s">
        <v>473</v>
      </c>
      <c r="AW886" s="0" t="s">
        <v>412</v>
      </c>
      <c r="AX886" s="0" t="s">
        <v>459</v>
      </c>
      <c r="AY886" s="0" t="s">
        <v>2814</v>
      </c>
      <c r="AZ886" s="0" t="s">
        <v>2815</v>
      </c>
      <c r="BA886" s="0" t="s">
        <v>595</v>
      </c>
      <c r="BB886" s="0" t="str">
        <f t="shared" si="13"/>
        <v>CIHPkoOkene</v>
      </c>
    </row>
    <row r="887">
      <c r="AV887" s="0" t="s">
        <v>473</v>
      </c>
      <c r="AW887" s="0" t="s">
        <v>412</v>
      </c>
      <c r="AX887" s="0" t="s">
        <v>459</v>
      </c>
      <c r="AY887" s="0" t="s">
        <v>2816</v>
      </c>
      <c r="AZ887" s="0" t="s">
        <v>2817</v>
      </c>
      <c r="BA887" s="0" t="s">
        <v>595</v>
      </c>
      <c r="BB887" s="0" t="str">
        <f t="shared" si="13"/>
        <v>CIHPkoOkene</v>
      </c>
    </row>
    <row r="888">
      <c r="AV888" s="0" t="s">
        <v>473</v>
      </c>
      <c r="AW888" s="0" t="s">
        <v>412</v>
      </c>
      <c r="AX888" s="0" t="s">
        <v>501</v>
      </c>
      <c r="AY888" s="0" t="s">
        <v>2818</v>
      </c>
      <c r="AZ888" s="0" t="s">
        <v>2819</v>
      </c>
      <c r="BA888" s="0" t="s">
        <v>595</v>
      </c>
      <c r="BB888" s="0" t="str">
        <f t="shared" si="13"/>
        <v>CIHPkoOlamaboro</v>
      </c>
    </row>
    <row r="889">
      <c r="AV889" s="0" t="s">
        <v>473</v>
      </c>
      <c r="AW889" s="0" t="s">
        <v>412</v>
      </c>
      <c r="AX889" s="0" t="s">
        <v>501</v>
      </c>
      <c r="AY889" s="0" t="s">
        <v>2820</v>
      </c>
      <c r="AZ889" s="0" t="s">
        <v>2821</v>
      </c>
      <c r="BA889" s="0" t="s">
        <v>595</v>
      </c>
      <c r="BB889" s="0" t="str">
        <f t="shared" si="13"/>
        <v>CIHPkoOlamaboro</v>
      </c>
    </row>
    <row r="890">
      <c r="AV890" s="0" t="s">
        <v>473</v>
      </c>
      <c r="AW890" s="0" t="s">
        <v>412</v>
      </c>
      <c r="AX890" s="0" t="s">
        <v>501</v>
      </c>
      <c r="AY890" s="0" t="s">
        <v>2822</v>
      </c>
      <c r="AZ890" s="0" t="s">
        <v>2823</v>
      </c>
      <c r="BA890" s="0" t="s">
        <v>595</v>
      </c>
      <c r="BB890" s="0" t="str">
        <f t="shared" si="13"/>
        <v>CIHPkoOlamaboro</v>
      </c>
    </row>
    <row r="891">
      <c r="AV891" s="0" t="s">
        <v>473</v>
      </c>
      <c r="AW891" s="0" t="s">
        <v>412</v>
      </c>
      <c r="AX891" s="0" t="s">
        <v>540</v>
      </c>
      <c r="AY891" s="0" t="s">
        <v>2824</v>
      </c>
      <c r="AZ891" s="0" t="s">
        <v>2825</v>
      </c>
      <c r="BA891" s="0" t="s">
        <v>595</v>
      </c>
      <c r="BB891" s="0" t="str">
        <f t="shared" si="13"/>
        <v>CIHPkoOmala</v>
      </c>
    </row>
    <row r="892">
      <c r="AV892" s="0" t="s">
        <v>473</v>
      </c>
      <c r="AW892" s="0" t="s">
        <v>412</v>
      </c>
      <c r="AX892" s="0" t="s">
        <v>540</v>
      </c>
      <c r="AY892" s="0" t="s">
        <v>2826</v>
      </c>
      <c r="AZ892" s="0" t="s">
        <v>2827</v>
      </c>
      <c r="BA892" s="0" t="s">
        <v>595</v>
      </c>
      <c r="BB892" s="0" t="str">
        <f t="shared" si="13"/>
        <v>CIHPkoOmala</v>
      </c>
    </row>
    <row r="893">
      <c r="AV893" s="0" t="s">
        <v>473</v>
      </c>
      <c r="AW893" s="0" t="s">
        <v>400</v>
      </c>
      <c r="AX893" s="0" t="s">
        <v>783</v>
      </c>
      <c r="AY893" s="0" t="s">
        <v>2828</v>
      </c>
      <c r="AZ893" s="0" t="s">
        <v>2829</v>
      </c>
      <c r="BA893" s="0" t="s">
        <v>634</v>
      </c>
      <c r="BB893" s="0" t="str">
        <f t="shared" si="13"/>
        <v>ECEWSebEzzaNorth</v>
      </c>
    </row>
    <row r="894">
      <c r="AV894" s="0" t="s">
        <v>473</v>
      </c>
      <c r="AW894" s="0" t="s">
        <v>400</v>
      </c>
      <c r="AX894" s="0" t="s">
        <v>813</v>
      </c>
      <c r="AY894" s="0" t="s">
        <v>2830</v>
      </c>
      <c r="AZ894" s="0" t="s">
        <v>2831</v>
      </c>
      <c r="BA894" s="0" t="s">
        <v>634</v>
      </c>
      <c r="BB894" s="0" t="str">
        <f t="shared" si="13"/>
        <v>ECEWSebEzzaSouth</v>
      </c>
    </row>
    <row r="895">
      <c r="AV895" s="0" t="s">
        <v>473</v>
      </c>
      <c r="AW895" s="0" t="s">
        <v>400</v>
      </c>
      <c r="AX895" s="0" t="s">
        <v>813</v>
      </c>
      <c r="AY895" s="0" t="s">
        <v>2832</v>
      </c>
      <c r="AZ895" s="0" t="s">
        <v>2833</v>
      </c>
      <c r="BA895" s="0" t="s">
        <v>634</v>
      </c>
      <c r="BB895" s="0" t="str">
        <f t="shared" si="13"/>
        <v>ECEWSebEzzaSouth</v>
      </c>
    </row>
    <row r="896">
      <c r="AV896" s="0" t="s">
        <v>473</v>
      </c>
      <c r="AW896" s="0" t="s">
        <v>400</v>
      </c>
      <c r="AX896" s="0" t="s">
        <v>813</v>
      </c>
      <c r="AY896" s="0" t="s">
        <v>2834</v>
      </c>
      <c r="AZ896" s="0" t="s">
        <v>2835</v>
      </c>
      <c r="BA896" s="0" t="s">
        <v>634</v>
      </c>
      <c r="BB896" s="0" t="str">
        <f t="shared" si="13"/>
        <v>ECEWSebEzzaSouth</v>
      </c>
    </row>
    <row r="897">
      <c r="AV897" s="0" t="s">
        <v>473</v>
      </c>
      <c r="AW897" s="0" t="s">
        <v>400</v>
      </c>
      <c r="AX897" s="0" t="s">
        <v>842</v>
      </c>
      <c r="AY897" s="0" t="s">
        <v>2836</v>
      </c>
      <c r="AZ897" s="0" t="s">
        <v>2837</v>
      </c>
      <c r="BA897" s="0" t="s">
        <v>634</v>
      </c>
      <c r="BB897" s="0" t="str">
        <f t="shared" si="13"/>
        <v>ECEWSebIkwo</v>
      </c>
    </row>
    <row r="898">
      <c r="AV898" s="0" t="s">
        <v>473</v>
      </c>
      <c r="AW898" s="0" t="s">
        <v>400</v>
      </c>
      <c r="AX898" s="0" t="s">
        <v>842</v>
      </c>
      <c r="AY898" s="0" t="s">
        <v>2838</v>
      </c>
      <c r="AZ898" s="0" t="s">
        <v>2839</v>
      </c>
      <c r="BA898" s="0" t="s">
        <v>634</v>
      </c>
      <c r="BB898" s="0" t="str">
        <f t="shared" si="13"/>
        <v>ECEWSebIkwo</v>
      </c>
    </row>
    <row r="899">
      <c r="AV899" s="0" t="s">
        <v>473</v>
      </c>
      <c r="AW899" s="0" t="s">
        <v>400</v>
      </c>
      <c r="AX899" s="0" t="s">
        <v>842</v>
      </c>
      <c r="AY899" s="0" t="s">
        <v>2840</v>
      </c>
      <c r="AZ899" s="0" t="s">
        <v>2841</v>
      </c>
      <c r="BA899" s="0" t="s">
        <v>634</v>
      </c>
      <c r="BB899" s="0" t="str">
        <f ref="BB899:BB962" t="shared" si="14">SUBSTITUTE(SUBSTITUTE(BA899&amp;AX899," ",""),"-","")</f>
        <v>ECEWSebIkwo</v>
      </c>
    </row>
    <row r="900">
      <c r="AV900" s="0" t="s">
        <v>473</v>
      </c>
      <c r="AW900" s="0" t="s">
        <v>400</v>
      </c>
      <c r="AX900" s="0" t="s">
        <v>870</v>
      </c>
      <c r="AY900" s="0" t="s">
        <v>2842</v>
      </c>
      <c r="AZ900" s="0" t="s">
        <v>2843</v>
      </c>
      <c r="BA900" s="0" t="s">
        <v>634</v>
      </c>
      <c r="BB900" s="0" t="str">
        <f t="shared" si="14"/>
        <v>ECEWSebIshielu</v>
      </c>
    </row>
    <row r="901">
      <c r="AV901" s="0" t="s">
        <v>473</v>
      </c>
      <c r="AW901" s="0" t="s">
        <v>400</v>
      </c>
      <c r="AX901" s="0" t="s">
        <v>870</v>
      </c>
      <c r="AY901" s="0" t="s">
        <v>2844</v>
      </c>
      <c r="AZ901" s="0" t="s">
        <v>2845</v>
      </c>
      <c r="BA901" s="0" t="s">
        <v>634</v>
      </c>
      <c r="BB901" s="0" t="str">
        <f t="shared" si="14"/>
        <v>ECEWSebIshielu</v>
      </c>
    </row>
    <row r="902">
      <c r="AV902" s="0" t="s">
        <v>473</v>
      </c>
      <c r="AW902" s="0" t="s">
        <v>403</v>
      </c>
      <c r="AX902" s="0" t="s">
        <v>844</v>
      </c>
      <c r="AY902" s="0" t="s">
        <v>2846</v>
      </c>
      <c r="AZ902" s="0" t="s">
        <v>2847</v>
      </c>
      <c r="BA902" s="0" t="s">
        <v>634</v>
      </c>
      <c r="BB902" s="0" t="str">
        <f t="shared" si="14"/>
        <v>ECEWSenAninri</v>
      </c>
    </row>
    <row r="903">
      <c r="AV903" s="0" t="s">
        <v>473</v>
      </c>
      <c r="AW903" s="0" t="s">
        <v>403</v>
      </c>
      <c r="AX903" s="0" t="s">
        <v>844</v>
      </c>
      <c r="AY903" s="0" t="s">
        <v>2848</v>
      </c>
      <c r="AZ903" s="0" t="s">
        <v>2849</v>
      </c>
      <c r="BA903" s="0" t="s">
        <v>634</v>
      </c>
      <c r="BB903" s="0" t="str">
        <f t="shared" si="14"/>
        <v>ECEWSenAninri</v>
      </c>
    </row>
    <row r="904">
      <c r="AV904" s="0" t="s">
        <v>473</v>
      </c>
      <c r="AW904" s="0" t="s">
        <v>403</v>
      </c>
      <c r="AX904" s="0" t="s">
        <v>844</v>
      </c>
      <c r="AY904" s="0" t="s">
        <v>2850</v>
      </c>
      <c r="AZ904" s="0" t="s">
        <v>2851</v>
      </c>
      <c r="BA904" s="0" t="s">
        <v>634</v>
      </c>
      <c r="BB904" s="0" t="str">
        <f t="shared" si="14"/>
        <v>ECEWSenAninri</v>
      </c>
    </row>
    <row r="905">
      <c r="AV905" s="0" t="s">
        <v>473</v>
      </c>
      <c r="AW905" s="0" t="s">
        <v>403</v>
      </c>
      <c r="AX905" s="0" t="s">
        <v>844</v>
      </c>
      <c r="AY905" s="0" t="s">
        <v>2852</v>
      </c>
      <c r="AZ905" s="0" t="s">
        <v>2853</v>
      </c>
      <c r="BA905" s="0" t="s">
        <v>634</v>
      </c>
      <c r="BB905" s="0" t="str">
        <f t="shared" si="14"/>
        <v>ECEWSenAninri</v>
      </c>
    </row>
    <row r="906">
      <c r="AV906" s="0" t="s">
        <v>473</v>
      </c>
      <c r="AW906" s="0" t="s">
        <v>403</v>
      </c>
      <c r="AX906" s="0" t="s">
        <v>844</v>
      </c>
      <c r="AY906" s="0" t="s">
        <v>2854</v>
      </c>
      <c r="AZ906" s="0" t="s">
        <v>2855</v>
      </c>
      <c r="BA906" s="0" t="s">
        <v>634</v>
      </c>
      <c r="BB906" s="0" t="str">
        <f t="shared" si="14"/>
        <v>ECEWSenAninri</v>
      </c>
    </row>
    <row r="907">
      <c r="AV907" s="0" t="s">
        <v>473</v>
      </c>
      <c r="AW907" s="0" t="s">
        <v>403</v>
      </c>
      <c r="AX907" s="0" t="s">
        <v>844</v>
      </c>
      <c r="AY907" s="0" t="s">
        <v>2856</v>
      </c>
      <c r="AZ907" s="0" t="s">
        <v>2857</v>
      </c>
      <c r="BA907" s="0" t="s">
        <v>634</v>
      </c>
      <c r="BB907" s="0" t="str">
        <f t="shared" si="14"/>
        <v>ECEWSenAninri</v>
      </c>
    </row>
    <row r="908">
      <c r="AV908" s="0" t="s">
        <v>473</v>
      </c>
      <c r="AW908" s="0" t="s">
        <v>403</v>
      </c>
      <c r="AX908" s="0" t="s">
        <v>844</v>
      </c>
      <c r="AY908" s="0" t="s">
        <v>2858</v>
      </c>
      <c r="AZ908" s="0" t="s">
        <v>2859</v>
      </c>
      <c r="BA908" s="0" t="s">
        <v>634</v>
      </c>
      <c r="BB908" s="0" t="str">
        <f t="shared" si="14"/>
        <v>ECEWSenAninri</v>
      </c>
    </row>
    <row r="909">
      <c r="AV909" s="0" t="s">
        <v>473</v>
      </c>
      <c r="AW909" s="0" t="s">
        <v>403</v>
      </c>
      <c r="AX909" s="0" t="s">
        <v>872</v>
      </c>
      <c r="AY909" s="0" t="s">
        <v>2860</v>
      </c>
      <c r="AZ909" s="0" t="s">
        <v>2861</v>
      </c>
      <c r="BA909" s="0" t="s">
        <v>634</v>
      </c>
      <c r="BB909" s="0" t="str">
        <f t="shared" si="14"/>
        <v>ECEWSenAwgu</v>
      </c>
    </row>
    <row r="910">
      <c r="AV910" s="0" t="s">
        <v>473</v>
      </c>
      <c r="AW910" s="0" t="s">
        <v>403</v>
      </c>
      <c r="AX910" s="0" t="s">
        <v>872</v>
      </c>
      <c r="AY910" s="0" t="s">
        <v>2862</v>
      </c>
      <c r="AZ910" s="0" t="s">
        <v>2863</v>
      </c>
      <c r="BA910" s="0" t="s">
        <v>634</v>
      </c>
      <c r="BB910" s="0" t="str">
        <f t="shared" si="14"/>
        <v>ECEWSenAwgu</v>
      </c>
    </row>
    <row r="911">
      <c r="AV911" s="0" t="s">
        <v>473</v>
      </c>
      <c r="AW911" s="0" t="s">
        <v>403</v>
      </c>
      <c r="AX911" s="0" t="s">
        <v>872</v>
      </c>
      <c r="AY911" s="0" t="s">
        <v>2864</v>
      </c>
      <c r="AZ911" s="0" t="s">
        <v>2865</v>
      </c>
      <c r="BA911" s="0" t="s">
        <v>634</v>
      </c>
      <c r="BB911" s="0" t="str">
        <f t="shared" si="14"/>
        <v>ECEWSenAwgu</v>
      </c>
    </row>
    <row r="912">
      <c r="AV912" s="0" t="s">
        <v>473</v>
      </c>
      <c r="AW912" s="0" t="s">
        <v>403</v>
      </c>
      <c r="AX912" s="0" t="s">
        <v>872</v>
      </c>
      <c r="AY912" s="0" t="s">
        <v>2866</v>
      </c>
      <c r="AZ912" s="0" t="s">
        <v>2867</v>
      </c>
      <c r="BA912" s="0" t="s">
        <v>634</v>
      </c>
      <c r="BB912" s="0" t="str">
        <f t="shared" si="14"/>
        <v>ECEWSenAwgu</v>
      </c>
    </row>
    <row r="913">
      <c r="AV913" s="0" t="s">
        <v>473</v>
      </c>
      <c r="AW913" s="0" t="s">
        <v>403</v>
      </c>
      <c r="AX913" s="0" t="s">
        <v>897</v>
      </c>
      <c r="AY913" s="0" t="s">
        <v>2868</v>
      </c>
      <c r="AZ913" s="0" t="s">
        <v>2869</v>
      </c>
      <c r="BA913" s="0" t="s">
        <v>634</v>
      </c>
      <c r="BB913" s="0" t="str">
        <f t="shared" si="14"/>
        <v>ECEWSenEzeagu</v>
      </c>
    </row>
    <row r="914">
      <c r="AV914" s="0" t="s">
        <v>473</v>
      </c>
      <c r="AW914" s="0" t="s">
        <v>403</v>
      </c>
      <c r="AX914" s="0" t="s">
        <v>897</v>
      </c>
      <c r="AY914" s="0" t="s">
        <v>2870</v>
      </c>
      <c r="AZ914" s="0" t="s">
        <v>2871</v>
      </c>
      <c r="BA914" s="0" t="s">
        <v>634</v>
      </c>
      <c r="BB914" s="0" t="str">
        <f t="shared" si="14"/>
        <v>ECEWSenEzeagu</v>
      </c>
    </row>
    <row r="915">
      <c r="AV915" s="0" t="s">
        <v>473</v>
      </c>
      <c r="AW915" s="0" t="s">
        <v>403</v>
      </c>
      <c r="AX915" s="0" t="s">
        <v>922</v>
      </c>
      <c r="AY915" s="0" t="s">
        <v>2872</v>
      </c>
      <c r="AZ915" s="0" t="s">
        <v>2873</v>
      </c>
      <c r="BA915" s="0" t="s">
        <v>634</v>
      </c>
      <c r="BB915" s="0" t="str">
        <f t="shared" si="14"/>
        <v>ECEWSenOjiRiver</v>
      </c>
    </row>
    <row r="916">
      <c r="AV916" s="0" t="s">
        <v>473</v>
      </c>
      <c r="AW916" s="0" t="s">
        <v>403</v>
      </c>
      <c r="AX916" s="0" t="s">
        <v>922</v>
      </c>
      <c r="AY916" s="0" t="s">
        <v>2874</v>
      </c>
      <c r="AZ916" s="0" t="s">
        <v>2875</v>
      </c>
      <c r="BA916" s="0" t="s">
        <v>634</v>
      </c>
      <c r="BB916" s="0" t="str">
        <f t="shared" si="14"/>
        <v>ECEWSenOjiRiver</v>
      </c>
    </row>
    <row r="917">
      <c r="AV917" s="0" t="s">
        <v>473</v>
      </c>
      <c r="AW917" s="0" t="s">
        <v>403</v>
      </c>
      <c r="AX917" s="0" t="s">
        <v>922</v>
      </c>
      <c r="AY917" s="0" t="s">
        <v>2876</v>
      </c>
      <c r="AZ917" s="0" t="s">
        <v>2877</v>
      </c>
      <c r="BA917" s="0" t="s">
        <v>634</v>
      </c>
      <c r="BB917" s="0" t="str">
        <f t="shared" si="14"/>
        <v>ECEWSenOjiRiver</v>
      </c>
    </row>
    <row r="918">
      <c r="AV918" s="0" t="s">
        <v>473</v>
      </c>
      <c r="AW918" s="0" t="s">
        <v>403</v>
      </c>
      <c r="AX918" s="0" t="s">
        <v>922</v>
      </c>
      <c r="AY918" s="0" t="s">
        <v>2878</v>
      </c>
      <c r="AZ918" s="0" t="s">
        <v>2879</v>
      </c>
      <c r="BA918" s="0" t="s">
        <v>634</v>
      </c>
      <c r="BB918" s="0" t="str">
        <f t="shared" si="14"/>
        <v>ECEWSenOjiRiver</v>
      </c>
    </row>
    <row r="919">
      <c r="AV919" s="0" t="s">
        <v>473</v>
      </c>
      <c r="AW919" s="0" t="s">
        <v>403</v>
      </c>
      <c r="AX919" s="0" t="s">
        <v>946</v>
      </c>
      <c r="AY919" s="0" t="s">
        <v>2880</v>
      </c>
      <c r="AZ919" s="0" t="s">
        <v>2881</v>
      </c>
      <c r="BA919" s="0" t="s">
        <v>634</v>
      </c>
      <c r="BB919" s="0" t="str">
        <f t="shared" si="14"/>
        <v>ECEWSenUdi</v>
      </c>
    </row>
    <row r="920">
      <c r="AV920" s="0" t="s">
        <v>473</v>
      </c>
      <c r="AW920" s="0" t="s">
        <v>403</v>
      </c>
      <c r="AX920" s="0" t="s">
        <v>946</v>
      </c>
      <c r="AY920" s="0" t="s">
        <v>2882</v>
      </c>
      <c r="AZ920" s="0" t="s">
        <v>2883</v>
      </c>
      <c r="BA920" s="0" t="s">
        <v>634</v>
      </c>
      <c r="BB920" s="0" t="str">
        <f t="shared" si="14"/>
        <v>ECEWSenUdi</v>
      </c>
    </row>
    <row r="921">
      <c r="AV921" s="0" t="s">
        <v>473</v>
      </c>
      <c r="AW921" s="0" t="s">
        <v>403</v>
      </c>
      <c r="AX921" s="0" t="s">
        <v>946</v>
      </c>
      <c r="AY921" s="0" t="s">
        <v>2884</v>
      </c>
      <c r="AZ921" s="0" t="s">
        <v>2885</v>
      </c>
      <c r="BA921" s="0" t="s">
        <v>634</v>
      </c>
      <c r="BB921" s="0" t="str">
        <f t="shared" si="14"/>
        <v>ECEWSenUdi</v>
      </c>
    </row>
    <row r="922">
      <c r="AV922" s="0" t="s">
        <v>473</v>
      </c>
      <c r="AW922" s="0" t="s">
        <v>403</v>
      </c>
      <c r="AX922" s="0" t="s">
        <v>946</v>
      </c>
      <c r="AY922" s="0" t="s">
        <v>2886</v>
      </c>
      <c r="AZ922" s="0" t="s">
        <v>2887</v>
      </c>
      <c r="BA922" s="0" t="s">
        <v>634</v>
      </c>
      <c r="BB922" s="0" t="str">
        <f t="shared" si="14"/>
        <v>ECEWSenUdi</v>
      </c>
    </row>
    <row r="923">
      <c r="AV923" s="0" t="s">
        <v>473</v>
      </c>
      <c r="AW923" s="0" t="s">
        <v>403</v>
      </c>
      <c r="AX923" s="0" t="s">
        <v>946</v>
      </c>
      <c r="AY923" s="0" t="s">
        <v>2888</v>
      </c>
      <c r="AZ923" s="0" t="s">
        <v>2889</v>
      </c>
      <c r="BA923" s="0" t="s">
        <v>634</v>
      </c>
      <c r="BB923" s="0" t="str">
        <f t="shared" si="14"/>
        <v>ECEWSenUdi</v>
      </c>
    </row>
    <row r="924">
      <c r="AV924" s="0" t="s">
        <v>473</v>
      </c>
      <c r="AW924" s="0" t="s">
        <v>403</v>
      </c>
      <c r="AX924" s="0" t="s">
        <v>946</v>
      </c>
      <c r="AY924" s="0" t="s">
        <v>2890</v>
      </c>
      <c r="AZ924" s="0" t="s">
        <v>2891</v>
      </c>
      <c r="BA924" s="0" t="s">
        <v>634</v>
      </c>
      <c r="BB924" s="0" t="str">
        <f t="shared" si="14"/>
        <v>ECEWSenUdi</v>
      </c>
    </row>
    <row r="925">
      <c r="AV925" s="0" t="s">
        <v>473</v>
      </c>
      <c r="AW925" s="0" t="s">
        <v>403</v>
      </c>
      <c r="AX925" s="0" t="s">
        <v>946</v>
      </c>
      <c r="AY925" s="0" t="s">
        <v>2892</v>
      </c>
      <c r="AZ925" s="0" t="s">
        <v>2893</v>
      </c>
      <c r="BA925" s="0" t="s">
        <v>634</v>
      </c>
      <c r="BB925" s="0" t="str">
        <f t="shared" si="14"/>
        <v>ECEWSenUdi</v>
      </c>
    </row>
    <row r="926">
      <c r="AV926" s="0" t="s">
        <v>473</v>
      </c>
      <c r="AW926" s="0" t="s">
        <v>403</v>
      </c>
      <c r="AX926" s="0" t="s">
        <v>946</v>
      </c>
      <c r="AY926" s="0" t="s">
        <v>2894</v>
      </c>
      <c r="AZ926" s="0" t="s">
        <v>2895</v>
      </c>
      <c r="BA926" s="0" t="s">
        <v>634</v>
      </c>
      <c r="BB926" s="0" t="str">
        <f t="shared" si="14"/>
        <v>ECEWSenUdi</v>
      </c>
    </row>
    <row r="927">
      <c r="AV927" s="0" t="s">
        <v>473</v>
      </c>
      <c r="AW927" s="0" t="s">
        <v>403</v>
      </c>
      <c r="AX927" s="0" t="s">
        <v>946</v>
      </c>
      <c r="AY927" s="0" t="s">
        <v>2896</v>
      </c>
      <c r="AZ927" s="0" t="s">
        <v>2897</v>
      </c>
      <c r="BA927" s="0" t="s">
        <v>634</v>
      </c>
      <c r="BB927" s="0" t="str">
        <f t="shared" si="14"/>
        <v>ECEWSenUdi</v>
      </c>
    </row>
    <row r="928">
      <c r="AV928" s="0" t="s">
        <v>473</v>
      </c>
      <c r="AW928" s="0" t="s">
        <v>403</v>
      </c>
      <c r="AX928" s="0" t="s">
        <v>946</v>
      </c>
      <c r="AY928" s="0" t="s">
        <v>2898</v>
      </c>
      <c r="AZ928" s="0" t="s">
        <v>2899</v>
      </c>
      <c r="BA928" s="0" t="s">
        <v>634</v>
      </c>
      <c r="BB928" s="0" t="str">
        <f t="shared" si="14"/>
        <v>ECEWSenUdi</v>
      </c>
    </row>
    <row r="929">
      <c r="AV929" s="0" t="s">
        <v>473</v>
      </c>
      <c r="AW929" s="0" t="s">
        <v>406</v>
      </c>
      <c r="AX929" s="0" t="s">
        <v>1048</v>
      </c>
      <c r="AY929" s="0" t="s">
        <v>2900</v>
      </c>
      <c r="AZ929" s="0" t="s">
        <v>2901</v>
      </c>
      <c r="BA929" s="0" t="s">
        <v>634</v>
      </c>
      <c r="BB929" s="0" t="str">
        <f t="shared" si="14"/>
        <v>ECEWSimEhimeMbano</v>
      </c>
    </row>
    <row r="930">
      <c r="AV930" s="0" t="s">
        <v>473</v>
      </c>
      <c r="AW930" s="0" t="s">
        <v>406</v>
      </c>
      <c r="AX930" s="0" t="s">
        <v>1048</v>
      </c>
      <c r="AY930" s="0" t="s">
        <v>2902</v>
      </c>
      <c r="AZ930" s="0" t="s">
        <v>2903</v>
      </c>
      <c r="BA930" s="0" t="s">
        <v>634</v>
      </c>
      <c r="BB930" s="0" t="str">
        <f t="shared" si="14"/>
        <v>ECEWSimEhimeMbano</v>
      </c>
    </row>
    <row r="931">
      <c r="AV931" s="0" t="s">
        <v>473</v>
      </c>
      <c r="AW931" s="0" t="s">
        <v>406</v>
      </c>
      <c r="AX931" s="0" t="s">
        <v>1048</v>
      </c>
      <c r="AY931" s="0" t="s">
        <v>2904</v>
      </c>
      <c r="AZ931" s="0" t="s">
        <v>2905</v>
      </c>
      <c r="BA931" s="0" t="s">
        <v>634</v>
      </c>
      <c r="BB931" s="0" t="str">
        <f t="shared" si="14"/>
        <v>ECEWSimEhimeMbano</v>
      </c>
    </row>
    <row r="932">
      <c r="AV932" s="0" t="s">
        <v>473</v>
      </c>
      <c r="AW932" s="0" t="s">
        <v>406</v>
      </c>
      <c r="AX932" s="0" t="s">
        <v>1048</v>
      </c>
      <c r="AY932" s="0" t="s">
        <v>2906</v>
      </c>
      <c r="AZ932" s="0" t="s">
        <v>2907</v>
      </c>
      <c r="BA932" s="0" t="s">
        <v>634</v>
      </c>
      <c r="BB932" s="0" t="str">
        <f t="shared" si="14"/>
        <v>ECEWSimEhimeMbano</v>
      </c>
    </row>
    <row r="933">
      <c r="AV933" s="0" t="s">
        <v>473</v>
      </c>
      <c r="AW933" s="0" t="s">
        <v>406</v>
      </c>
      <c r="AX933" s="0" t="s">
        <v>1059</v>
      </c>
      <c r="AY933" s="0" t="s">
        <v>2908</v>
      </c>
      <c r="AZ933" s="0" t="s">
        <v>2909</v>
      </c>
      <c r="BA933" s="0" t="s">
        <v>634</v>
      </c>
      <c r="BB933" s="0" t="str">
        <f t="shared" si="14"/>
        <v>ECEWSimIhitte</v>
      </c>
    </row>
    <row r="934">
      <c r="AV934" s="0" t="s">
        <v>473</v>
      </c>
      <c r="AW934" s="0" t="s">
        <v>406</v>
      </c>
      <c r="AX934" s="0" t="s">
        <v>1059</v>
      </c>
      <c r="AY934" s="0" t="s">
        <v>2908</v>
      </c>
      <c r="AZ934" s="0" t="s">
        <v>2910</v>
      </c>
      <c r="BA934" s="0" t="s">
        <v>634</v>
      </c>
      <c r="BB934" s="0" t="str">
        <f t="shared" si="14"/>
        <v>ECEWSimIhitte</v>
      </c>
    </row>
    <row r="935">
      <c r="AV935" s="0" t="s">
        <v>473</v>
      </c>
      <c r="AW935" s="0" t="s">
        <v>406</v>
      </c>
      <c r="AX935" s="0" t="s">
        <v>1059</v>
      </c>
      <c r="AY935" s="0" t="s">
        <v>2908</v>
      </c>
      <c r="AZ935" s="0" t="s">
        <v>2911</v>
      </c>
      <c r="BA935" s="0" t="s">
        <v>634</v>
      </c>
      <c r="BB935" s="0" t="str">
        <f t="shared" si="14"/>
        <v>ECEWSimIhitte</v>
      </c>
    </row>
    <row r="936">
      <c r="AV936" s="0" t="s">
        <v>473</v>
      </c>
      <c r="AW936" s="0" t="s">
        <v>406</v>
      </c>
      <c r="AX936" s="0" t="s">
        <v>1069</v>
      </c>
      <c r="AY936" s="0" t="s">
        <v>2912</v>
      </c>
      <c r="AZ936" s="0" t="s">
        <v>2913</v>
      </c>
      <c r="BA936" s="0" t="s">
        <v>634</v>
      </c>
      <c r="BB936" s="0" t="str">
        <f t="shared" si="14"/>
        <v>ECEWSimIsialaMbano</v>
      </c>
    </row>
    <row r="937">
      <c r="AV937" s="0" t="s">
        <v>473</v>
      </c>
      <c r="AW937" s="0" t="s">
        <v>406</v>
      </c>
      <c r="AX937" s="0" t="s">
        <v>1077</v>
      </c>
      <c r="AY937" s="0" t="s">
        <v>2914</v>
      </c>
      <c r="AZ937" s="0" t="s">
        <v>2915</v>
      </c>
      <c r="BA937" s="0" t="s">
        <v>634</v>
      </c>
      <c r="BB937" s="0" t="str">
        <f t="shared" si="14"/>
        <v>ECEWSimObowo</v>
      </c>
    </row>
    <row r="938">
      <c r="AV938" s="0" t="s">
        <v>473</v>
      </c>
      <c r="AW938" s="0" t="s">
        <v>406</v>
      </c>
      <c r="AX938" s="0" t="s">
        <v>1077</v>
      </c>
      <c r="AY938" s="0" t="s">
        <v>2916</v>
      </c>
      <c r="AZ938" s="0" t="s">
        <v>2917</v>
      </c>
      <c r="BA938" s="0" t="s">
        <v>634</v>
      </c>
      <c r="BB938" s="0" t="str">
        <f t="shared" si="14"/>
        <v>ECEWSimObowo</v>
      </c>
    </row>
    <row r="939">
      <c r="AV939" s="0" t="s">
        <v>473</v>
      </c>
      <c r="AW939" s="0" t="s">
        <v>406</v>
      </c>
      <c r="AX939" s="0" t="s">
        <v>1085</v>
      </c>
      <c r="AY939" s="0" t="s">
        <v>2918</v>
      </c>
      <c r="AZ939" s="0" t="s">
        <v>2919</v>
      </c>
      <c r="BA939" s="0" t="s">
        <v>634</v>
      </c>
      <c r="BB939" s="0" t="str">
        <f t="shared" si="14"/>
        <v>ECEWSimOkigwe</v>
      </c>
    </row>
    <row r="940">
      <c r="AV940" s="0" t="s">
        <v>473</v>
      </c>
      <c r="AW940" s="0" t="s">
        <v>406</v>
      </c>
      <c r="AX940" s="0" t="s">
        <v>1085</v>
      </c>
      <c r="AY940" s="0" t="s">
        <v>2920</v>
      </c>
      <c r="AZ940" s="0" t="s">
        <v>2921</v>
      </c>
      <c r="BA940" s="0" t="s">
        <v>634</v>
      </c>
      <c r="BB940" s="0" t="str">
        <f t="shared" si="14"/>
        <v>ECEWSimOkigwe</v>
      </c>
    </row>
    <row r="941">
      <c r="AV941" s="0" t="s">
        <v>473</v>
      </c>
      <c r="AW941" s="0" t="s">
        <v>406</v>
      </c>
      <c r="AX941" s="0" t="s">
        <v>1085</v>
      </c>
      <c r="AY941" s="0" t="s">
        <v>2922</v>
      </c>
      <c r="AZ941" s="0" t="s">
        <v>2923</v>
      </c>
      <c r="BA941" s="0" t="s">
        <v>634</v>
      </c>
      <c r="BB941" s="0" t="str">
        <f t="shared" si="14"/>
        <v>ECEWSimOkigwe</v>
      </c>
    </row>
    <row r="942">
      <c r="AV942" s="0" t="s">
        <v>473</v>
      </c>
      <c r="AW942" s="0" t="s">
        <v>406</v>
      </c>
      <c r="AX942" s="0" t="s">
        <v>1092</v>
      </c>
      <c r="AY942" s="0" t="s">
        <v>2924</v>
      </c>
      <c r="AZ942" s="0" t="s">
        <v>2925</v>
      </c>
      <c r="BA942" s="0" t="s">
        <v>634</v>
      </c>
      <c r="BB942" s="0" t="str">
        <f t="shared" si="14"/>
        <v>ECEWSimOnuimo</v>
      </c>
    </row>
    <row r="943">
      <c r="AV943" s="0" t="s">
        <v>473</v>
      </c>
      <c r="AW943" s="0" t="s">
        <v>406</v>
      </c>
      <c r="AX943" s="0" t="s">
        <v>1092</v>
      </c>
      <c r="AY943" s="0" t="s">
        <v>2926</v>
      </c>
      <c r="AZ943" s="0" t="s">
        <v>2927</v>
      </c>
      <c r="BA943" s="0" t="s">
        <v>634</v>
      </c>
      <c r="BB943" s="0" t="str">
        <f t="shared" si="14"/>
        <v>ECEWSimOnuimo</v>
      </c>
    </row>
    <row r="944">
      <c r="AV944" s="0" t="s">
        <v>473</v>
      </c>
      <c r="AW944" s="0" t="s">
        <v>405</v>
      </c>
      <c r="AX944" s="0" t="s">
        <v>786</v>
      </c>
      <c r="AY944" s="0" t="s">
        <v>2928</v>
      </c>
      <c r="AZ944" s="0" t="s">
        <v>2929</v>
      </c>
      <c r="BA944" s="0" t="s">
        <v>672</v>
      </c>
      <c r="BB944" s="0" t="str">
        <f t="shared" si="14"/>
        <v>FGHINgoAkko</v>
      </c>
    </row>
    <row r="945">
      <c r="AV945" s="0" t="s">
        <v>473</v>
      </c>
      <c r="AW945" s="0" t="s">
        <v>405</v>
      </c>
      <c r="AX945" s="0" t="s">
        <v>786</v>
      </c>
      <c r="AY945" s="0" t="s">
        <v>2930</v>
      </c>
      <c r="AZ945" s="0" t="s">
        <v>2931</v>
      </c>
      <c r="BA945" s="0" t="s">
        <v>672</v>
      </c>
      <c r="BB945" s="0" t="str">
        <f t="shared" si="14"/>
        <v>FGHINgoAkko</v>
      </c>
    </row>
    <row r="946">
      <c r="AV946" s="0" t="s">
        <v>473</v>
      </c>
      <c r="AW946" s="0" t="s">
        <v>405</v>
      </c>
      <c r="AX946" s="0" t="s">
        <v>786</v>
      </c>
      <c r="AY946" s="0" t="s">
        <v>2932</v>
      </c>
      <c r="AZ946" s="0" t="s">
        <v>2933</v>
      </c>
      <c r="BA946" s="0" t="s">
        <v>672</v>
      </c>
      <c r="BB946" s="0" t="str">
        <f t="shared" si="14"/>
        <v>FGHINgoAkko</v>
      </c>
    </row>
    <row r="947">
      <c r="AV947" s="0" t="s">
        <v>473</v>
      </c>
      <c r="AW947" s="0" t="s">
        <v>405</v>
      </c>
      <c r="AX947" s="0" t="s">
        <v>786</v>
      </c>
      <c r="AY947" s="0" t="s">
        <v>2934</v>
      </c>
      <c r="AZ947" s="0" t="s">
        <v>2935</v>
      </c>
      <c r="BA947" s="0" t="s">
        <v>672</v>
      </c>
      <c r="BB947" s="0" t="str">
        <f t="shared" si="14"/>
        <v>FGHINgoAkko</v>
      </c>
    </row>
    <row r="948">
      <c r="AV948" s="0" t="s">
        <v>473</v>
      </c>
      <c r="AW948" s="0" t="s">
        <v>405</v>
      </c>
      <c r="AX948" s="0" t="s">
        <v>786</v>
      </c>
      <c r="AY948" s="0" t="s">
        <v>2936</v>
      </c>
      <c r="AZ948" s="0" t="s">
        <v>2937</v>
      </c>
      <c r="BA948" s="0" t="s">
        <v>672</v>
      </c>
      <c r="BB948" s="0" t="str">
        <f t="shared" si="14"/>
        <v>FGHINgoAkko</v>
      </c>
    </row>
    <row r="949">
      <c r="AV949" s="0" t="s">
        <v>473</v>
      </c>
      <c r="AW949" s="0" t="s">
        <v>405</v>
      </c>
      <c r="AX949" s="0" t="s">
        <v>786</v>
      </c>
      <c r="AY949" s="0" t="s">
        <v>2938</v>
      </c>
      <c r="AZ949" s="0" t="s">
        <v>2939</v>
      </c>
      <c r="BA949" s="0" t="s">
        <v>672</v>
      </c>
      <c r="BB949" s="0" t="str">
        <f t="shared" si="14"/>
        <v>FGHINgoAkko</v>
      </c>
    </row>
    <row r="950">
      <c r="AV950" s="0" t="s">
        <v>473</v>
      </c>
      <c r="AW950" s="0" t="s">
        <v>405</v>
      </c>
      <c r="AX950" s="0" t="s">
        <v>786</v>
      </c>
      <c r="AY950" s="0" t="s">
        <v>2940</v>
      </c>
      <c r="AZ950" s="0" t="s">
        <v>2941</v>
      </c>
      <c r="BA950" s="0" t="s">
        <v>672</v>
      </c>
      <c r="BB950" s="0" t="str">
        <f t="shared" si="14"/>
        <v>FGHINgoAkko</v>
      </c>
    </row>
    <row r="951">
      <c r="AV951" s="0" t="s">
        <v>473</v>
      </c>
      <c r="AW951" s="0" t="s">
        <v>405</v>
      </c>
      <c r="AX951" s="0" t="s">
        <v>786</v>
      </c>
      <c r="AY951" s="0" t="s">
        <v>2942</v>
      </c>
      <c r="AZ951" s="0" t="s">
        <v>2943</v>
      </c>
      <c r="BA951" s="0" t="s">
        <v>672</v>
      </c>
      <c r="BB951" s="0" t="str">
        <f t="shared" si="14"/>
        <v>FGHINgoAkko</v>
      </c>
    </row>
    <row r="952">
      <c r="AV952" s="0" t="s">
        <v>473</v>
      </c>
      <c r="AW952" s="0" t="s">
        <v>405</v>
      </c>
      <c r="AX952" s="0" t="s">
        <v>786</v>
      </c>
      <c r="AY952" s="0" t="s">
        <v>2944</v>
      </c>
      <c r="AZ952" s="0" t="s">
        <v>2945</v>
      </c>
      <c r="BA952" s="0" t="s">
        <v>672</v>
      </c>
      <c r="BB952" s="0" t="str">
        <f t="shared" si="14"/>
        <v>FGHINgoAkko</v>
      </c>
    </row>
    <row r="953">
      <c r="AV953" s="0" t="s">
        <v>473</v>
      </c>
      <c r="AW953" s="0" t="s">
        <v>405</v>
      </c>
      <c r="AX953" s="0" t="s">
        <v>786</v>
      </c>
      <c r="AY953" s="0" t="s">
        <v>2946</v>
      </c>
      <c r="AZ953" s="0" t="s">
        <v>2947</v>
      </c>
      <c r="BA953" s="0" t="s">
        <v>672</v>
      </c>
      <c r="BB953" s="0" t="str">
        <f t="shared" si="14"/>
        <v>FGHINgoAkko</v>
      </c>
    </row>
    <row r="954">
      <c r="AV954" s="0" t="s">
        <v>473</v>
      </c>
      <c r="AW954" s="0" t="s">
        <v>405</v>
      </c>
      <c r="AX954" s="0" t="s">
        <v>786</v>
      </c>
      <c r="AY954" s="0" t="s">
        <v>2948</v>
      </c>
      <c r="AZ954" s="0" t="s">
        <v>2949</v>
      </c>
      <c r="BA954" s="0" t="s">
        <v>672</v>
      </c>
      <c r="BB954" s="0" t="str">
        <f t="shared" si="14"/>
        <v>FGHINgoAkko</v>
      </c>
    </row>
    <row r="955">
      <c r="AV955" s="0" t="s">
        <v>473</v>
      </c>
      <c r="AW955" s="0" t="s">
        <v>405</v>
      </c>
      <c r="AX955" s="0" t="s">
        <v>816</v>
      </c>
      <c r="AY955" s="0" t="s">
        <v>2950</v>
      </c>
      <c r="AZ955" s="0" t="s">
        <v>2951</v>
      </c>
      <c r="BA955" s="0" t="s">
        <v>672</v>
      </c>
      <c r="BB955" s="0" t="str">
        <f t="shared" si="14"/>
        <v>FGHINgoYamaltu</v>
      </c>
    </row>
    <row r="956">
      <c r="AV956" s="0" t="s">
        <v>473</v>
      </c>
      <c r="AW956" s="0" t="s">
        <v>405</v>
      </c>
      <c r="AX956" s="0" t="s">
        <v>816</v>
      </c>
      <c r="AY956" s="0" t="s">
        <v>2950</v>
      </c>
      <c r="AZ956" s="0" t="s">
        <v>2952</v>
      </c>
      <c r="BA956" s="0" t="s">
        <v>672</v>
      </c>
      <c r="BB956" s="0" t="str">
        <f t="shared" si="14"/>
        <v>FGHINgoYamaltu</v>
      </c>
    </row>
    <row r="957">
      <c r="AV957" s="0" t="s">
        <v>473</v>
      </c>
      <c r="AW957" s="0" t="s">
        <v>405</v>
      </c>
      <c r="AX957" s="0" t="s">
        <v>816</v>
      </c>
      <c r="AY957" s="0" t="s">
        <v>2950</v>
      </c>
      <c r="AZ957" s="0" t="s">
        <v>2953</v>
      </c>
      <c r="BA957" s="0" t="s">
        <v>672</v>
      </c>
      <c r="BB957" s="0" t="str">
        <f t="shared" si="14"/>
        <v>FGHINgoYamaltu</v>
      </c>
    </row>
    <row r="958">
      <c r="AV958" s="0" t="s">
        <v>473</v>
      </c>
      <c r="AW958" s="0" t="s">
        <v>405</v>
      </c>
      <c r="AX958" s="0" t="s">
        <v>816</v>
      </c>
      <c r="AY958" s="0" t="s">
        <v>2950</v>
      </c>
      <c r="AZ958" s="0" t="s">
        <v>2954</v>
      </c>
      <c r="BA958" s="0" t="s">
        <v>672</v>
      </c>
      <c r="BB958" s="0" t="str">
        <f t="shared" si="14"/>
        <v>FGHINgoYamaltu</v>
      </c>
    </row>
    <row r="959">
      <c r="AV959" s="0" t="s">
        <v>473</v>
      </c>
      <c r="AW959" s="0" t="s">
        <v>405</v>
      </c>
      <c r="AX959" s="0" t="s">
        <v>816</v>
      </c>
      <c r="AY959" s="0" t="s">
        <v>2950</v>
      </c>
      <c r="AZ959" s="0" t="s">
        <v>2955</v>
      </c>
      <c r="BA959" s="0" t="s">
        <v>672</v>
      </c>
      <c r="BB959" s="0" t="str">
        <f t="shared" si="14"/>
        <v>FGHINgoYamaltu</v>
      </c>
    </row>
    <row r="960">
      <c r="AV960" s="0" t="s">
        <v>473</v>
      </c>
      <c r="AW960" s="0" t="s">
        <v>405</v>
      </c>
      <c r="AX960" s="0" t="s">
        <v>816</v>
      </c>
      <c r="AY960" s="0" t="s">
        <v>2950</v>
      </c>
      <c r="AZ960" s="0" t="s">
        <v>2956</v>
      </c>
      <c r="BA960" s="0" t="s">
        <v>672</v>
      </c>
      <c r="BB960" s="0" t="str">
        <f t="shared" si="14"/>
        <v>FGHINgoYamaltu</v>
      </c>
    </row>
    <row r="961">
      <c r="AV961" s="0" t="s">
        <v>473</v>
      </c>
      <c r="AW961" s="0" t="s">
        <v>405</v>
      </c>
      <c r="AX961" s="0" t="s">
        <v>816</v>
      </c>
      <c r="AY961" s="0" t="s">
        <v>2950</v>
      </c>
      <c r="AZ961" s="0" t="s">
        <v>2957</v>
      </c>
      <c r="BA961" s="0" t="s">
        <v>672</v>
      </c>
      <c r="BB961" s="0" t="str">
        <f t="shared" si="14"/>
        <v>FGHINgoYamaltu</v>
      </c>
    </row>
    <row r="962">
      <c r="AV962" s="0" t="s">
        <v>473</v>
      </c>
      <c r="AW962" s="0" t="s">
        <v>405</v>
      </c>
      <c r="AX962" s="0" t="s">
        <v>816</v>
      </c>
      <c r="AY962" s="0" t="s">
        <v>2950</v>
      </c>
      <c r="AZ962" s="0" t="s">
        <v>2958</v>
      </c>
      <c r="BA962" s="0" t="s">
        <v>672</v>
      </c>
      <c r="BB962" s="0" t="str">
        <f t="shared" si="14"/>
        <v>FGHINgoYamaltu</v>
      </c>
    </row>
    <row r="963">
      <c r="AV963" s="0" t="s">
        <v>473</v>
      </c>
      <c r="AW963" s="0" t="s">
        <v>405</v>
      </c>
      <c r="AX963" s="0" t="s">
        <v>816</v>
      </c>
      <c r="AY963" s="0" t="s">
        <v>2950</v>
      </c>
      <c r="AZ963" s="0" t="s">
        <v>2959</v>
      </c>
      <c r="BA963" s="0" t="s">
        <v>672</v>
      </c>
      <c r="BB963" s="0" t="str">
        <f ref="BB963:BB1026" t="shared" si="15">SUBSTITUTE(SUBSTITUTE(BA963&amp;AX963," ",""),"-","")</f>
        <v>FGHINgoYamaltu</v>
      </c>
    </row>
    <row r="964">
      <c r="AV964" s="0" t="s">
        <v>473</v>
      </c>
      <c r="AW964" s="0" t="s">
        <v>405</v>
      </c>
      <c r="AX964" s="0" t="s">
        <v>816</v>
      </c>
      <c r="AY964" s="0" t="s">
        <v>2950</v>
      </c>
      <c r="AZ964" s="0" t="s">
        <v>2960</v>
      </c>
      <c r="BA964" s="0" t="s">
        <v>672</v>
      </c>
      <c r="BB964" s="0" t="str">
        <f t="shared" si="15"/>
        <v>FGHINgoYamaltu</v>
      </c>
    </row>
    <row r="965">
      <c r="AV965" s="0" t="s">
        <v>473</v>
      </c>
      <c r="AW965" s="0" t="s">
        <v>405</v>
      </c>
      <c r="AX965" s="0" t="s">
        <v>816</v>
      </c>
      <c r="AY965" s="0" t="s">
        <v>2950</v>
      </c>
      <c r="AZ965" s="0" t="s">
        <v>2961</v>
      </c>
      <c r="BA965" s="0" t="s">
        <v>672</v>
      </c>
      <c r="BB965" s="0" t="str">
        <f t="shared" si="15"/>
        <v>FGHINgoYamaltu</v>
      </c>
    </row>
    <row r="966">
      <c r="AV966" s="0" t="s">
        <v>473</v>
      </c>
      <c r="AW966" s="0" t="s">
        <v>405</v>
      </c>
      <c r="AX966" s="0" t="s">
        <v>816</v>
      </c>
      <c r="AY966" s="0" t="s">
        <v>2950</v>
      </c>
      <c r="AZ966" s="0" t="s">
        <v>2962</v>
      </c>
      <c r="BA966" s="0" t="s">
        <v>672</v>
      </c>
      <c r="BB966" s="0" t="str">
        <f t="shared" si="15"/>
        <v>FGHINgoYamaltu</v>
      </c>
    </row>
    <row r="967">
      <c r="AV967" s="0" t="s">
        <v>473</v>
      </c>
      <c r="AW967" s="0" t="s">
        <v>408</v>
      </c>
      <c r="AX967" s="0" t="s">
        <v>971</v>
      </c>
      <c r="AY967" s="0" t="s">
        <v>2963</v>
      </c>
      <c r="AZ967" s="0" t="s">
        <v>2964</v>
      </c>
      <c r="BA967" s="0" t="s">
        <v>672</v>
      </c>
      <c r="BB967" s="0" t="str">
        <f t="shared" si="15"/>
        <v>FGHINkdBirninGwari</v>
      </c>
    </row>
    <row r="968">
      <c r="AV968" s="0" t="s">
        <v>473</v>
      </c>
      <c r="AW968" s="0" t="s">
        <v>408</v>
      </c>
      <c r="AX968" s="0" t="s">
        <v>971</v>
      </c>
      <c r="AY968" s="0" t="s">
        <v>2965</v>
      </c>
      <c r="AZ968" s="0" t="s">
        <v>2966</v>
      </c>
      <c r="BA968" s="0" t="s">
        <v>672</v>
      </c>
      <c r="BB968" s="0" t="str">
        <f t="shared" si="15"/>
        <v>FGHINkdBirninGwari</v>
      </c>
    </row>
    <row r="969">
      <c r="AV969" s="0" t="s">
        <v>473</v>
      </c>
      <c r="AW969" s="0" t="s">
        <v>408</v>
      </c>
      <c r="AX969" s="0" t="s">
        <v>971</v>
      </c>
      <c r="AY969" s="0" t="s">
        <v>2967</v>
      </c>
      <c r="AZ969" s="0" t="s">
        <v>2968</v>
      </c>
      <c r="BA969" s="0" t="s">
        <v>672</v>
      </c>
      <c r="BB969" s="0" t="str">
        <f t="shared" si="15"/>
        <v>FGHINkdBirninGwari</v>
      </c>
    </row>
    <row r="970">
      <c r="AV970" s="0" t="s">
        <v>473</v>
      </c>
      <c r="AW970" s="0" t="s">
        <v>408</v>
      </c>
      <c r="AX970" s="0" t="s">
        <v>971</v>
      </c>
      <c r="AY970" s="0" t="s">
        <v>2969</v>
      </c>
      <c r="AZ970" s="0" t="s">
        <v>2970</v>
      </c>
      <c r="BA970" s="0" t="s">
        <v>672</v>
      </c>
      <c r="BB970" s="0" t="str">
        <f t="shared" si="15"/>
        <v>FGHINkdBirninGwari</v>
      </c>
    </row>
    <row r="971">
      <c r="AV971" s="0" t="s">
        <v>473</v>
      </c>
      <c r="AW971" s="0" t="s">
        <v>408</v>
      </c>
      <c r="AX971" s="0" t="s">
        <v>971</v>
      </c>
      <c r="AY971" s="0" t="s">
        <v>2971</v>
      </c>
      <c r="AZ971" s="0" t="s">
        <v>2972</v>
      </c>
      <c r="BA971" s="0" t="s">
        <v>672</v>
      </c>
      <c r="BB971" s="0" t="str">
        <f t="shared" si="15"/>
        <v>FGHINkdBirninGwari</v>
      </c>
    </row>
    <row r="972">
      <c r="AV972" s="0" t="s">
        <v>473</v>
      </c>
      <c r="AW972" s="0" t="s">
        <v>408</v>
      </c>
      <c r="AX972" s="0" t="s">
        <v>971</v>
      </c>
      <c r="AY972" s="0" t="s">
        <v>2973</v>
      </c>
      <c r="AZ972" s="0" t="s">
        <v>2974</v>
      </c>
      <c r="BA972" s="0" t="s">
        <v>672</v>
      </c>
      <c r="BB972" s="0" t="str">
        <f t="shared" si="15"/>
        <v>FGHINkdBirninGwari</v>
      </c>
    </row>
    <row r="973">
      <c r="AV973" s="0" t="s">
        <v>473</v>
      </c>
      <c r="AW973" s="0" t="s">
        <v>408</v>
      </c>
      <c r="AX973" s="0" t="s">
        <v>971</v>
      </c>
      <c r="AY973" s="0" t="s">
        <v>2975</v>
      </c>
      <c r="AZ973" s="0" t="s">
        <v>2976</v>
      </c>
      <c r="BA973" s="0" t="s">
        <v>672</v>
      </c>
      <c r="BB973" s="0" t="str">
        <f t="shared" si="15"/>
        <v>FGHINkdBirninGwari</v>
      </c>
    </row>
    <row r="974">
      <c r="AV974" s="0" t="s">
        <v>473</v>
      </c>
      <c r="AW974" s="0" t="s">
        <v>408</v>
      </c>
      <c r="AX974" s="0" t="s">
        <v>971</v>
      </c>
      <c r="AY974" s="0" t="s">
        <v>2977</v>
      </c>
      <c r="AZ974" s="0" t="s">
        <v>2978</v>
      </c>
      <c r="BA974" s="0" t="s">
        <v>672</v>
      </c>
      <c r="BB974" s="0" t="str">
        <f t="shared" si="15"/>
        <v>FGHINkdBirninGwari</v>
      </c>
    </row>
    <row r="975">
      <c r="AV975" s="0" t="s">
        <v>473</v>
      </c>
      <c r="AW975" s="0" t="s">
        <v>408</v>
      </c>
      <c r="AX975" s="0" t="s">
        <v>971</v>
      </c>
      <c r="AY975" s="0" t="s">
        <v>2979</v>
      </c>
      <c r="AZ975" s="0" t="s">
        <v>2980</v>
      </c>
      <c r="BA975" s="0" t="s">
        <v>672</v>
      </c>
      <c r="BB975" s="0" t="str">
        <f t="shared" si="15"/>
        <v>FGHINkdBirninGwari</v>
      </c>
    </row>
    <row r="976">
      <c r="AV976" s="0" t="s">
        <v>473</v>
      </c>
      <c r="AW976" s="0" t="s">
        <v>408</v>
      </c>
      <c r="AX976" s="0" t="s">
        <v>971</v>
      </c>
      <c r="AY976" s="0" t="s">
        <v>2981</v>
      </c>
      <c r="AZ976" s="0" t="s">
        <v>2982</v>
      </c>
      <c r="BA976" s="0" t="s">
        <v>672</v>
      </c>
      <c r="BB976" s="0" t="str">
        <f t="shared" si="15"/>
        <v>FGHINkdBirninGwari</v>
      </c>
    </row>
    <row r="977">
      <c r="AV977" s="0" t="s">
        <v>473</v>
      </c>
      <c r="AW977" s="0" t="s">
        <v>408</v>
      </c>
      <c r="AX977" s="0" t="s">
        <v>990</v>
      </c>
      <c r="AY977" s="0" t="s">
        <v>2983</v>
      </c>
      <c r="AZ977" s="0" t="s">
        <v>2984</v>
      </c>
      <c r="BA977" s="0" t="s">
        <v>672</v>
      </c>
      <c r="BB977" s="0" t="str">
        <f t="shared" si="15"/>
        <v>FGHINkdGiwa</v>
      </c>
    </row>
    <row r="978">
      <c r="AV978" s="0" t="s">
        <v>473</v>
      </c>
      <c r="AW978" s="0" t="s">
        <v>408</v>
      </c>
      <c r="AX978" s="0" t="s">
        <v>990</v>
      </c>
      <c r="AY978" s="0" t="s">
        <v>2985</v>
      </c>
      <c r="AZ978" s="0" t="s">
        <v>2986</v>
      </c>
      <c r="BA978" s="0" t="s">
        <v>672</v>
      </c>
      <c r="BB978" s="0" t="str">
        <f t="shared" si="15"/>
        <v>FGHINkdGiwa</v>
      </c>
    </row>
    <row r="979">
      <c r="AV979" s="0" t="s">
        <v>473</v>
      </c>
      <c r="AW979" s="0" t="s">
        <v>408</v>
      </c>
      <c r="AX979" s="0" t="s">
        <v>1006</v>
      </c>
      <c r="AY979" s="0" t="s">
        <v>2987</v>
      </c>
      <c r="AZ979" s="0" t="s">
        <v>2988</v>
      </c>
      <c r="BA979" s="0" t="s">
        <v>672</v>
      </c>
      <c r="BB979" s="0" t="str">
        <f t="shared" si="15"/>
        <v>FGHINkdKauru</v>
      </c>
    </row>
    <row r="980">
      <c r="AV980" s="0" t="s">
        <v>473</v>
      </c>
      <c r="AW980" s="0" t="s">
        <v>408</v>
      </c>
      <c r="AX980" s="0" t="s">
        <v>1006</v>
      </c>
      <c r="AY980" s="0" t="s">
        <v>2989</v>
      </c>
      <c r="AZ980" s="0" t="s">
        <v>2990</v>
      </c>
      <c r="BA980" s="0" t="s">
        <v>672</v>
      </c>
      <c r="BB980" s="0" t="str">
        <f t="shared" si="15"/>
        <v>FGHINkdKauru</v>
      </c>
    </row>
    <row r="981">
      <c r="AV981" s="0" t="s">
        <v>473</v>
      </c>
      <c r="AW981" s="0" t="s">
        <v>408</v>
      </c>
      <c r="AX981" s="0" t="s">
        <v>1006</v>
      </c>
      <c r="AY981" s="0" t="s">
        <v>2991</v>
      </c>
      <c r="AZ981" s="0" t="s">
        <v>2992</v>
      </c>
      <c r="BA981" s="0" t="s">
        <v>672</v>
      </c>
      <c r="BB981" s="0" t="str">
        <f t="shared" si="15"/>
        <v>FGHINkdKauru</v>
      </c>
    </row>
    <row r="982">
      <c r="AV982" s="0" t="s">
        <v>473</v>
      </c>
      <c r="AW982" s="0" t="s">
        <v>408</v>
      </c>
      <c r="AX982" s="0" t="s">
        <v>1006</v>
      </c>
      <c r="AY982" s="0" t="s">
        <v>2993</v>
      </c>
      <c r="AZ982" s="0" t="s">
        <v>2994</v>
      </c>
      <c r="BA982" s="0" t="s">
        <v>672</v>
      </c>
      <c r="BB982" s="0" t="str">
        <f t="shared" si="15"/>
        <v>FGHINkdKauru</v>
      </c>
    </row>
    <row r="983">
      <c r="AV983" s="0" t="s">
        <v>473</v>
      </c>
      <c r="AW983" s="0" t="s">
        <v>408</v>
      </c>
      <c r="AX983" s="0" t="s">
        <v>1006</v>
      </c>
      <c r="AY983" s="0" t="s">
        <v>2995</v>
      </c>
      <c r="AZ983" s="0" t="s">
        <v>2996</v>
      </c>
      <c r="BA983" s="0" t="s">
        <v>672</v>
      </c>
      <c r="BB983" s="0" t="str">
        <f t="shared" si="15"/>
        <v>FGHINkdKauru</v>
      </c>
    </row>
    <row r="984">
      <c r="AV984" s="0" t="s">
        <v>473</v>
      </c>
      <c r="AW984" s="0" t="s">
        <v>408</v>
      </c>
      <c r="AX984" s="0" t="s">
        <v>1006</v>
      </c>
      <c r="AY984" s="0" t="s">
        <v>2997</v>
      </c>
      <c r="AZ984" s="0" t="s">
        <v>2998</v>
      </c>
      <c r="BA984" s="0" t="s">
        <v>672</v>
      </c>
      <c r="BB984" s="0" t="str">
        <f t="shared" si="15"/>
        <v>FGHINkdKauru</v>
      </c>
    </row>
    <row r="985">
      <c r="AV985" s="0" t="s">
        <v>473</v>
      </c>
      <c r="AW985" s="0" t="s">
        <v>408</v>
      </c>
      <c r="AX985" s="0" t="s">
        <v>614</v>
      </c>
      <c r="AY985" s="0" t="s">
        <v>2999</v>
      </c>
      <c r="AZ985" s="0" t="s">
        <v>3000</v>
      </c>
      <c r="BA985" s="0" t="s">
        <v>672</v>
      </c>
      <c r="BB985" s="0" t="str">
        <f t="shared" si="15"/>
        <v>FGHINkdLere</v>
      </c>
    </row>
    <row r="986">
      <c r="AV986" s="0" t="s">
        <v>473</v>
      </c>
      <c r="AW986" s="0" t="s">
        <v>408</v>
      </c>
      <c r="AX986" s="0" t="s">
        <v>614</v>
      </c>
      <c r="AY986" s="0" t="s">
        <v>3001</v>
      </c>
      <c r="AZ986" s="0" t="s">
        <v>3002</v>
      </c>
      <c r="BA986" s="0" t="s">
        <v>672</v>
      </c>
      <c r="BB986" s="0" t="str">
        <f t="shared" si="15"/>
        <v>FGHINkdLere</v>
      </c>
    </row>
    <row r="987">
      <c r="AV987" s="0" t="s">
        <v>473</v>
      </c>
      <c r="AW987" s="0" t="s">
        <v>408</v>
      </c>
      <c r="AX987" s="0" t="s">
        <v>614</v>
      </c>
      <c r="AY987" s="0" t="s">
        <v>3003</v>
      </c>
      <c r="AZ987" s="0" t="s">
        <v>3004</v>
      </c>
      <c r="BA987" s="0" t="s">
        <v>672</v>
      </c>
      <c r="BB987" s="0" t="str">
        <f t="shared" si="15"/>
        <v>FGHINkdLere</v>
      </c>
    </row>
    <row r="988">
      <c r="AV988" s="0" t="s">
        <v>473</v>
      </c>
      <c r="AW988" s="0" t="s">
        <v>408</v>
      </c>
      <c r="AX988" s="0" t="s">
        <v>614</v>
      </c>
      <c r="AY988" s="0" t="s">
        <v>2146</v>
      </c>
      <c r="AZ988" s="0" t="s">
        <v>3005</v>
      </c>
      <c r="BA988" s="0" t="s">
        <v>672</v>
      </c>
      <c r="BB988" s="0" t="str">
        <f t="shared" si="15"/>
        <v>FGHINkdLere</v>
      </c>
    </row>
    <row r="989">
      <c r="AV989" s="0" t="s">
        <v>473</v>
      </c>
      <c r="AW989" s="0" t="s">
        <v>408</v>
      </c>
      <c r="AX989" s="0" t="s">
        <v>614</v>
      </c>
      <c r="AY989" s="0" t="s">
        <v>3006</v>
      </c>
      <c r="AZ989" s="0" t="s">
        <v>3007</v>
      </c>
      <c r="BA989" s="0" t="s">
        <v>672</v>
      </c>
      <c r="BB989" s="0" t="str">
        <f t="shared" si="15"/>
        <v>FGHINkdLere</v>
      </c>
    </row>
    <row r="990">
      <c r="AV990" s="0" t="s">
        <v>473</v>
      </c>
      <c r="AW990" s="0" t="s">
        <v>408</v>
      </c>
      <c r="AX990" s="0" t="s">
        <v>614</v>
      </c>
      <c r="AY990" s="0" t="s">
        <v>3008</v>
      </c>
      <c r="AZ990" s="0" t="s">
        <v>3009</v>
      </c>
      <c r="BA990" s="0" t="s">
        <v>672</v>
      </c>
      <c r="BB990" s="0" t="str">
        <f t="shared" si="15"/>
        <v>FGHINkdLere</v>
      </c>
    </row>
    <row r="991">
      <c r="AV991" s="0" t="s">
        <v>473</v>
      </c>
      <c r="AW991" s="0" t="s">
        <v>408</v>
      </c>
      <c r="AX991" s="0" t="s">
        <v>614</v>
      </c>
      <c r="AY991" s="0" t="s">
        <v>3010</v>
      </c>
      <c r="AZ991" s="0" t="s">
        <v>3011</v>
      </c>
      <c r="BA991" s="0" t="s">
        <v>672</v>
      </c>
      <c r="BB991" s="0" t="str">
        <f t="shared" si="15"/>
        <v>FGHINkdLere</v>
      </c>
    </row>
    <row r="992">
      <c r="AV992" s="0" t="s">
        <v>473</v>
      </c>
      <c r="AW992" s="0" t="s">
        <v>408</v>
      </c>
      <c r="AX992" s="0" t="s">
        <v>614</v>
      </c>
      <c r="AY992" s="0" t="s">
        <v>3012</v>
      </c>
      <c r="AZ992" s="0" t="s">
        <v>3013</v>
      </c>
      <c r="BA992" s="0" t="s">
        <v>672</v>
      </c>
      <c r="BB992" s="0" t="str">
        <f t="shared" si="15"/>
        <v>FGHINkdLere</v>
      </c>
    </row>
    <row r="993">
      <c r="AV993" s="0" t="s">
        <v>473</v>
      </c>
      <c r="AW993" s="0" t="s">
        <v>408</v>
      </c>
      <c r="AX993" s="0" t="s">
        <v>614</v>
      </c>
      <c r="AY993" s="0" t="s">
        <v>3014</v>
      </c>
      <c r="AZ993" s="0" t="s">
        <v>3015</v>
      </c>
      <c r="BA993" s="0" t="s">
        <v>672</v>
      </c>
      <c r="BB993" s="0" t="str">
        <f t="shared" si="15"/>
        <v>FGHINkdLere</v>
      </c>
    </row>
    <row r="994">
      <c r="AV994" s="0" t="s">
        <v>473</v>
      </c>
      <c r="AW994" s="0" t="s">
        <v>408</v>
      </c>
      <c r="AX994" s="0" t="s">
        <v>614</v>
      </c>
      <c r="AY994" s="0" t="s">
        <v>3016</v>
      </c>
      <c r="AZ994" s="0" t="s">
        <v>3017</v>
      </c>
      <c r="BA994" s="0" t="s">
        <v>672</v>
      </c>
      <c r="BB994" s="0" t="str">
        <f t="shared" si="15"/>
        <v>FGHINkdLere</v>
      </c>
    </row>
    <row r="995">
      <c r="AV995" s="0" t="s">
        <v>473</v>
      </c>
      <c r="AW995" s="0" t="s">
        <v>408</v>
      </c>
      <c r="AX995" s="0" t="s">
        <v>614</v>
      </c>
      <c r="AY995" s="0" t="s">
        <v>3018</v>
      </c>
      <c r="AZ995" s="0" t="s">
        <v>3019</v>
      </c>
      <c r="BA995" s="0" t="s">
        <v>672</v>
      </c>
      <c r="BB995" s="0" t="str">
        <f t="shared" si="15"/>
        <v>FGHINkdLere</v>
      </c>
    </row>
    <row r="996">
      <c r="AV996" s="0" t="s">
        <v>473</v>
      </c>
      <c r="AW996" s="0" t="s">
        <v>408</v>
      </c>
      <c r="AX996" s="0" t="s">
        <v>1022</v>
      </c>
      <c r="AY996" s="0" t="s">
        <v>3020</v>
      </c>
      <c r="AZ996" s="0" t="s">
        <v>3021</v>
      </c>
      <c r="BA996" s="0" t="s">
        <v>672</v>
      </c>
      <c r="BB996" s="0" t="str">
        <f t="shared" si="15"/>
        <v>FGHINkdMakarfi</v>
      </c>
    </row>
    <row r="997">
      <c r="AV997" s="0" t="s">
        <v>473</v>
      </c>
      <c r="AW997" s="0" t="s">
        <v>408</v>
      </c>
      <c r="AX997" s="0" t="s">
        <v>1022</v>
      </c>
      <c r="AY997" s="0" t="s">
        <v>3022</v>
      </c>
      <c r="AZ997" s="0" t="s">
        <v>3023</v>
      </c>
      <c r="BA997" s="0" t="s">
        <v>672</v>
      </c>
      <c r="BB997" s="0" t="str">
        <f t="shared" si="15"/>
        <v>FGHINkdMakarfi</v>
      </c>
    </row>
    <row r="998">
      <c r="AV998" s="0" t="s">
        <v>473</v>
      </c>
      <c r="AW998" s="0" t="s">
        <v>408</v>
      </c>
      <c r="AX998" s="0" t="s">
        <v>1022</v>
      </c>
      <c r="AY998" s="0" t="s">
        <v>3024</v>
      </c>
      <c r="AZ998" s="0" t="s">
        <v>3025</v>
      </c>
      <c r="BA998" s="0" t="s">
        <v>672</v>
      </c>
      <c r="BB998" s="0" t="str">
        <f t="shared" si="15"/>
        <v>FGHINkdMakarfi</v>
      </c>
    </row>
    <row r="999">
      <c r="AV999" s="0" t="s">
        <v>473</v>
      </c>
      <c r="AW999" s="0" t="s">
        <v>408</v>
      </c>
      <c r="AX999" s="0" t="s">
        <v>1022</v>
      </c>
      <c r="AY999" s="0" t="s">
        <v>3026</v>
      </c>
      <c r="AZ999" s="0" t="s">
        <v>3027</v>
      </c>
      <c r="BA999" s="0" t="s">
        <v>672</v>
      </c>
      <c r="BB999" s="0" t="str">
        <f t="shared" si="15"/>
        <v>FGHINkdMakarfi</v>
      </c>
    </row>
    <row r="1000">
      <c r="AV1000" s="0" t="s">
        <v>473</v>
      </c>
      <c r="AW1000" s="0" t="s">
        <v>408</v>
      </c>
      <c r="AX1000" s="0" t="s">
        <v>1022</v>
      </c>
      <c r="AY1000" s="0" t="s">
        <v>3028</v>
      </c>
      <c r="AZ1000" s="0" t="s">
        <v>3029</v>
      </c>
      <c r="BA1000" s="0" t="s">
        <v>672</v>
      </c>
      <c r="BB1000" s="0" t="str">
        <f t="shared" si="15"/>
        <v>FGHINkdMakarfi</v>
      </c>
    </row>
    <row r="1001">
      <c r="AV1001" s="0" t="s">
        <v>473</v>
      </c>
      <c r="AW1001" s="0" t="s">
        <v>408</v>
      </c>
      <c r="AX1001" s="0" t="s">
        <v>1022</v>
      </c>
      <c r="AY1001" s="0" t="s">
        <v>3030</v>
      </c>
      <c r="AZ1001" s="0" t="s">
        <v>3031</v>
      </c>
      <c r="BA1001" s="0" t="s">
        <v>672</v>
      </c>
      <c r="BB1001" s="0" t="str">
        <f t="shared" si="15"/>
        <v>FGHINkdMakarfi</v>
      </c>
    </row>
    <row r="1002">
      <c r="AV1002" s="0" t="s">
        <v>473</v>
      </c>
      <c r="AW1002" s="0" t="s">
        <v>408</v>
      </c>
      <c r="AX1002" s="0" t="s">
        <v>1022</v>
      </c>
      <c r="AY1002" s="0" t="s">
        <v>3032</v>
      </c>
      <c r="AZ1002" s="0" t="s">
        <v>3033</v>
      </c>
      <c r="BA1002" s="0" t="s">
        <v>672</v>
      </c>
      <c r="BB1002" s="0" t="str">
        <f t="shared" si="15"/>
        <v>FGHINkdMakarfi</v>
      </c>
    </row>
    <row r="1003">
      <c r="AV1003" s="0" t="s">
        <v>473</v>
      </c>
      <c r="AW1003" s="0" t="s">
        <v>408</v>
      </c>
      <c r="AX1003" s="0" t="s">
        <v>1022</v>
      </c>
      <c r="AY1003" s="0" t="s">
        <v>3034</v>
      </c>
      <c r="AZ1003" s="0" t="s">
        <v>3035</v>
      </c>
      <c r="BA1003" s="0" t="s">
        <v>672</v>
      </c>
      <c r="BB1003" s="0" t="str">
        <f t="shared" si="15"/>
        <v>FGHINkdMakarfi</v>
      </c>
    </row>
    <row r="1004">
      <c r="AV1004" s="0" t="s">
        <v>473</v>
      </c>
      <c r="AW1004" s="0" t="s">
        <v>408</v>
      </c>
      <c r="AX1004" s="0" t="s">
        <v>1037</v>
      </c>
      <c r="AY1004" s="0" t="s">
        <v>3036</v>
      </c>
      <c r="AZ1004" s="0" t="s">
        <v>3037</v>
      </c>
      <c r="BA1004" s="0" t="s">
        <v>672</v>
      </c>
      <c r="BB1004" s="0" t="str">
        <f t="shared" si="15"/>
        <v>FGHINkdSabonGari</v>
      </c>
    </row>
    <row r="1005">
      <c r="AV1005" s="0" t="s">
        <v>473</v>
      </c>
      <c r="AW1005" s="0" t="s">
        <v>409</v>
      </c>
      <c r="AX1005" s="0" t="s">
        <v>456</v>
      </c>
      <c r="AY1005" s="0" t="s">
        <v>3038</v>
      </c>
      <c r="AZ1005" s="0" t="s">
        <v>3039</v>
      </c>
      <c r="BA1005" s="0" t="s">
        <v>672</v>
      </c>
      <c r="BB1005" s="0" t="str">
        <f t="shared" si="15"/>
        <v>FGHINknGezawa</v>
      </c>
    </row>
    <row r="1006">
      <c r="AV1006" s="0" t="s">
        <v>473</v>
      </c>
      <c r="AW1006" s="0" t="s">
        <v>409</v>
      </c>
      <c r="AX1006" s="0" t="s">
        <v>498</v>
      </c>
      <c r="AY1006" s="0" t="s">
        <v>3040</v>
      </c>
      <c r="AZ1006" s="0" t="s">
        <v>3041</v>
      </c>
      <c r="BA1006" s="0" t="s">
        <v>672</v>
      </c>
      <c r="BB1006" s="0" t="str">
        <f t="shared" si="15"/>
        <v>FGHINknNassarawa</v>
      </c>
    </row>
    <row r="1007">
      <c r="AV1007" s="0" t="s">
        <v>473</v>
      </c>
      <c r="AW1007" s="0" t="s">
        <v>409</v>
      </c>
      <c r="AX1007" s="0" t="s">
        <v>537</v>
      </c>
      <c r="AY1007" s="0" t="s">
        <v>3042</v>
      </c>
      <c r="AZ1007" s="0" t="s">
        <v>3043</v>
      </c>
      <c r="BA1007" s="0" t="s">
        <v>672</v>
      </c>
      <c r="BB1007" s="0" t="str">
        <f t="shared" si="15"/>
        <v>FGHINknTarauni</v>
      </c>
    </row>
    <row r="1008">
      <c r="AV1008" s="0" t="s">
        <v>473</v>
      </c>
      <c r="AW1008" s="0" t="s">
        <v>412</v>
      </c>
      <c r="AX1008" s="0" t="s">
        <v>579</v>
      </c>
      <c r="AY1008" s="0" t="s">
        <v>3044</v>
      </c>
      <c r="AZ1008" s="0" t="s">
        <v>3045</v>
      </c>
      <c r="BA1008" s="0" t="s">
        <v>672</v>
      </c>
      <c r="BB1008" s="0" t="str">
        <f t="shared" si="15"/>
        <v>FGHINkoIjumu</v>
      </c>
    </row>
    <row r="1009">
      <c r="AV1009" s="0" t="s">
        <v>473</v>
      </c>
      <c r="AW1009" s="0" t="s">
        <v>412</v>
      </c>
      <c r="AX1009" s="0" t="s">
        <v>579</v>
      </c>
      <c r="AY1009" s="0" t="s">
        <v>3046</v>
      </c>
      <c r="AZ1009" s="0" t="s">
        <v>3047</v>
      </c>
      <c r="BA1009" s="0" t="s">
        <v>672</v>
      </c>
      <c r="BB1009" s="0" t="str">
        <f t="shared" si="15"/>
        <v>FGHINkoIjumu</v>
      </c>
    </row>
    <row r="1010">
      <c r="AV1010" s="0" t="s">
        <v>473</v>
      </c>
      <c r="AW1010" s="0" t="s">
        <v>412</v>
      </c>
      <c r="AX1010" s="0" t="s">
        <v>1304</v>
      </c>
      <c r="AY1010" s="0" t="s">
        <v>2042</v>
      </c>
      <c r="AZ1010" s="0" t="s">
        <v>3048</v>
      </c>
      <c r="BA1010" s="0" t="s">
        <v>672</v>
      </c>
      <c r="BB1010" s="0" t="str">
        <f t="shared" si="15"/>
        <v>FGHINkoKabba</v>
      </c>
    </row>
    <row r="1011">
      <c r="AV1011" s="0" t="s">
        <v>473</v>
      </c>
      <c r="AW1011" s="0" t="s">
        <v>286</v>
      </c>
      <c r="AX1011" s="0" t="s">
        <v>679</v>
      </c>
      <c r="AY1011" s="0" t="s">
        <v>3049</v>
      </c>
      <c r="AZ1011" s="0" t="s">
        <v>3050</v>
      </c>
      <c r="BA1011" s="0" t="s">
        <v>708</v>
      </c>
      <c r="BB1011" s="0" t="str">
        <f t="shared" si="15"/>
        <v>IHVNbeKatsinaAla</v>
      </c>
    </row>
    <row r="1012">
      <c r="AV1012" s="0" t="s">
        <v>473</v>
      </c>
      <c r="AW1012" s="0" t="s">
        <v>286</v>
      </c>
      <c r="AX1012" s="0" t="s">
        <v>679</v>
      </c>
      <c r="AY1012" s="0" t="s">
        <v>3051</v>
      </c>
      <c r="AZ1012" s="0" t="s">
        <v>3052</v>
      </c>
      <c r="BA1012" s="0" t="s">
        <v>708</v>
      </c>
      <c r="BB1012" s="0" t="str">
        <f t="shared" si="15"/>
        <v>IHVNbeKatsinaAla</v>
      </c>
    </row>
    <row r="1013">
      <c r="AV1013" s="0" t="s">
        <v>473</v>
      </c>
      <c r="AW1013" s="0" t="s">
        <v>286</v>
      </c>
      <c r="AX1013" s="0" t="s">
        <v>679</v>
      </c>
      <c r="AY1013" s="0" t="s">
        <v>3053</v>
      </c>
      <c r="AZ1013" s="0" t="s">
        <v>3054</v>
      </c>
      <c r="BA1013" s="0" t="s">
        <v>708</v>
      </c>
      <c r="BB1013" s="0" t="str">
        <f t="shared" si="15"/>
        <v>IHVNbeKatsinaAla</v>
      </c>
    </row>
    <row r="1014">
      <c r="AV1014" s="0" t="s">
        <v>473</v>
      </c>
      <c r="AW1014" s="0" t="s">
        <v>286</v>
      </c>
      <c r="AX1014" s="0" t="s">
        <v>679</v>
      </c>
      <c r="AY1014" s="0" t="s">
        <v>3055</v>
      </c>
      <c r="AZ1014" s="0" t="s">
        <v>3056</v>
      </c>
      <c r="BA1014" s="0" t="s">
        <v>708</v>
      </c>
      <c r="BB1014" s="0" t="str">
        <f t="shared" si="15"/>
        <v>IHVNbeKatsinaAla</v>
      </c>
    </row>
    <row r="1015">
      <c r="AV1015" s="0" t="s">
        <v>473</v>
      </c>
      <c r="AW1015" s="0" t="s">
        <v>286</v>
      </c>
      <c r="AX1015" s="0" t="s">
        <v>679</v>
      </c>
      <c r="AY1015" s="0" t="s">
        <v>3057</v>
      </c>
      <c r="AZ1015" s="0" t="s">
        <v>3058</v>
      </c>
      <c r="BA1015" s="0" t="s">
        <v>708</v>
      </c>
      <c r="BB1015" s="0" t="str">
        <f t="shared" si="15"/>
        <v>IHVNbeKatsinaAla</v>
      </c>
    </row>
    <row r="1016">
      <c r="AV1016" s="0" t="s">
        <v>473</v>
      </c>
      <c r="AW1016" s="0" t="s">
        <v>286</v>
      </c>
      <c r="AX1016" s="0" t="s">
        <v>679</v>
      </c>
      <c r="AY1016" s="0" t="s">
        <v>3059</v>
      </c>
      <c r="AZ1016" s="0" t="s">
        <v>3060</v>
      </c>
      <c r="BA1016" s="0" t="s">
        <v>708</v>
      </c>
      <c r="BB1016" s="0" t="str">
        <f t="shared" si="15"/>
        <v>IHVNbeKatsinaAla</v>
      </c>
    </row>
    <row r="1017">
      <c r="AV1017" s="0" t="s">
        <v>473</v>
      </c>
      <c r="AW1017" s="0" t="s">
        <v>286</v>
      </c>
      <c r="AX1017" s="0" t="s">
        <v>679</v>
      </c>
      <c r="AY1017" s="0" t="s">
        <v>3061</v>
      </c>
      <c r="AZ1017" s="0" t="s">
        <v>3062</v>
      </c>
      <c r="BA1017" s="0" t="s">
        <v>708</v>
      </c>
      <c r="BB1017" s="0" t="str">
        <f t="shared" si="15"/>
        <v>IHVNbeKatsinaAla</v>
      </c>
    </row>
    <row r="1018">
      <c r="AV1018" s="0" t="s">
        <v>473</v>
      </c>
      <c r="AW1018" s="0" t="s">
        <v>286</v>
      </c>
      <c r="AX1018" s="0" t="s">
        <v>679</v>
      </c>
      <c r="AY1018" s="0" t="s">
        <v>3063</v>
      </c>
      <c r="AZ1018" s="0" t="s">
        <v>3064</v>
      </c>
      <c r="BA1018" s="0" t="s">
        <v>708</v>
      </c>
      <c r="BB1018" s="0" t="str">
        <f t="shared" si="15"/>
        <v>IHVNbeKatsinaAla</v>
      </c>
    </row>
    <row r="1019">
      <c r="AV1019" s="0" t="s">
        <v>473</v>
      </c>
      <c r="AW1019" s="0" t="s">
        <v>286</v>
      </c>
      <c r="AX1019" s="0" t="s">
        <v>679</v>
      </c>
      <c r="AY1019" s="0" t="s">
        <v>3065</v>
      </c>
      <c r="AZ1019" s="0" t="s">
        <v>3066</v>
      </c>
      <c r="BA1019" s="0" t="s">
        <v>708</v>
      </c>
      <c r="BB1019" s="0" t="str">
        <f t="shared" si="15"/>
        <v>IHVNbeKatsinaAla</v>
      </c>
    </row>
    <row r="1020">
      <c r="AV1020" s="0" t="s">
        <v>473</v>
      </c>
      <c r="AW1020" s="0" t="s">
        <v>286</v>
      </c>
      <c r="AX1020" s="0" t="s">
        <v>679</v>
      </c>
      <c r="AY1020" s="0" t="s">
        <v>3067</v>
      </c>
      <c r="AZ1020" s="0" t="s">
        <v>3068</v>
      </c>
      <c r="BA1020" s="0" t="s">
        <v>708</v>
      </c>
      <c r="BB1020" s="0" t="str">
        <f t="shared" si="15"/>
        <v>IHVNbeKatsinaAla</v>
      </c>
    </row>
    <row r="1021">
      <c r="AV1021" s="0" t="s">
        <v>473</v>
      </c>
      <c r="AW1021" s="0" t="s">
        <v>286</v>
      </c>
      <c r="AX1021" s="0" t="s">
        <v>679</v>
      </c>
      <c r="AY1021" s="0" t="s">
        <v>3069</v>
      </c>
      <c r="AZ1021" s="0" t="s">
        <v>3070</v>
      </c>
      <c r="BA1021" s="0" t="s">
        <v>708</v>
      </c>
      <c r="BB1021" s="0" t="str">
        <f t="shared" si="15"/>
        <v>IHVNbeKatsinaAla</v>
      </c>
    </row>
    <row r="1022">
      <c r="AV1022" s="0" t="s">
        <v>473</v>
      </c>
      <c r="AW1022" s="0" t="s">
        <v>286</v>
      </c>
      <c r="AX1022" s="0" t="s">
        <v>679</v>
      </c>
      <c r="AY1022" s="0" t="s">
        <v>3071</v>
      </c>
      <c r="AZ1022" s="0" t="s">
        <v>3072</v>
      </c>
      <c r="BA1022" s="0" t="s">
        <v>708</v>
      </c>
      <c r="BB1022" s="0" t="str">
        <f t="shared" si="15"/>
        <v>IHVNbeKatsinaAla</v>
      </c>
    </row>
    <row r="1023">
      <c r="AV1023" s="0" t="s">
        <v>473</v>
      </c>
      <c r="AW1023" s="0" t="s">
        <v>286</v>
      </c>
      <c r="AX1023" s="0" t="s">
        <v>679</v>
      </c>
      <c r="AY1023" s="0" t="s">
        <v>3073</v>
      </c>
      <c r="AZ1023" s="0" t="s">
        <v>3074</v>
      </c>
      <c r="BA1023" s="0" t="s">
        <v>708</v>
      </c>
      <c r="BB1023" s="0" t="str">
        <f t="shared" si="15"/>
        <v>IHVNbeKatsinaAla</v>
      </c>
    </row>
    <row r="1024">
      <c r="AV1024" s="0" t="s">
        <v>473</v>
      </c>
      <c r="AW1024" s="0" t="s">
        <v>286</v>
      </c>
      <c r="AX1024" s="0" t="s">
        <v>715</v>
      </c>
      <c r="AY1024" s="0" t="s">
        <v>3075</v>
      </c>
      <c r="AZ1024" s="0" t="s">
        <v>3076</v>
      </c>
      <c r="BA1024" s="0" t="s">
        <v>708</v>
      </c>
      <c r="BB1024" s="0" t="str">
        <f t="shared" si="15"/>
        <v>IHVNbeKonshisha</v>
      </c>
    </row>
    <row r="1025">
      <c r="AV1025" s="0" t="s">
        <v>473</v>
      </c>
      <c r="AW1025" s="0" t="s">
        <v>286</v>
      </c>
      <c r="AX1025" s="0" t="s">
        <v>715</v>
      </c>
      <c r="AY1025" s="0" t="s">
        <v>3077</v>
      </c>
      <c r="AZ1025" s="0" t="s">
        <v>3078</v>
      </c>
      <c r="BA1025" s="0" t="s">
        <v>708</v>
      </c>
      <c r="BB1025" s="0" t="str">
        <f t="shared" si="15"/>
        <v>IHVNbeKonshisha</v>
      </c>
    </row>
    <row r="1026">
      <c r="AV1026" s="0" t="s">
        <v>473</v>
      </c>
      <c r="AW1026" s="0" t="s">
        <v>286</v>
      </c>
      <c r="AX1026" s="0" t="s">
        <v>715</v>
      </c>
      <c r="AY1026" s="0" t="s">
        <v>3079</v>
      </c>
      <c r="AZ1026" s="0" t="s">
        <v>3080</v>
      </c>
      <c r="BA1026" s="0" t="s">
        <v>708</v>
      </c>
      <c r="BB1026" s="0" t="str">
        <f t="shared" si="15"/>
        <v>IHVNbeKonshisha</v>
      </c>
    </row>
    <row r="1027">
      <c r="AV1027" s="0" t="s">
        <v>473</v>
      </c>
      <c r="AW1027" s="0" t="s">
        <v>286</v>
      </c>
      <c r="AX1027" s="0" t="s">
        <v>715</v>
      </c>
      <c r="AY1027" s="0" t="s">
        <v>3081</v>
      </c>
      <c r="AZ1027" s="0" t="s">
        <v>3082</v>
      </c>
      <c r="BA1027" s="0" t="s">
        <v>708</v>
      </c>
      <c r="BB1027" s="0" t="str">
        <f ref="BB1027:BB1090" t="shared" si="16">SUBSTITUTE(SUBSTITUTE(BA1027&amp;AX1027," ",""),"-","")</f>
        <v>IHVNbeKonshisha</v>
      </c>
    </row>
    <row r="1028">
      <c r="AV1028" s="0" t="s">
        <v>473</v>
      </c>
      <c r="AW1028" s="0" t="s">
        <v>286</v>
      </c>
      <c r="AX1028" s="0" t="s">
        <v>715</v>
      </c>
      <c r="AY1028" s="0" t="s">
        <v>3083</v>
      </c>
      <c r="AZ1028" s="0" t="s">
        <v>3084</v>
      </c>
      <c r="BA1028" s="0" t="s">
        <v>708</v>
      </c>
      <c r="BB1028" s="0" t="str">
        <f t="shared" si="16"/>
        <v>IHVNbeKonshisha</v>
      </c>
    </row>
    <row r="1029">
      <c r="AV1029" s="0" t="s">
        <v>473</v>
      </c>
      <c r="AW1029" s="0" t="s">
        <v>286</v>
      </c>
      <c r="AX1029" s="0" t="s">
        <v>715</v>
      </c>
      <c r="AY1029" s="0" t="s">
        <v>3085</v>
      </c>
      <c r="AZ1029" s="0" t="s">
        <v>3086</v>
      </c>
      <c r="BA1029" s="0" t="s">
        <v>708</v>
      </c>
      <c r="BB1029" s="0" t="str">
        <f t="shared" si="16"/>
        <v>IHVNbeKonshisha</v>
      </c>
    </row>
    <row r="1030">
      <c r="AV1030" s="0" t="s">
        <v>473</v>
      </c>
      <c r="AW1030" s="0" t="s">
        <v>286</v>
      </c>
      <c r="AX1030" s="0" t="s">
        <v>715</v>
      </c>
      <c r="AY1030" s="0" t="s">
        <v>3087</v>
      </c>
      <c r="AZ1030" s="0" t="s">
        <v>3088</v>
      </c>
      <c r="BA1030" s="0" t="s">
        <v>708</v>
      </c>
      <c r="BB1030" s="0" t="str">
        <f t="shared" si="16"/>
        <v>IHVNbeKonshisha</v>
      </c>
    </row>
    <row r="1031">
      <c r="AV1031" s="0" t="s">
        <v>473</v>
      </c>
      <c r="AW1031" s="0" t="s">
        <v>286</v>
      </c>
      <c r="AX1031" s="0" t="s">
        <v>715</v>
      </c>
      <c r="AY1031" s="0" t="s">
        <v>3089</v>
      </c>
      <c r="AZ1031" s="0" t="s">
        <v>3090</v>
      </c>
      <c r="BA1031" s="0" t="s">
        <v>708</v>
      </c>
      <c r="BB1031" s="0" t="str">
        <f t="shared" si="16"/>
        <v>IHVNbeKonshisha</v>
      </c>
    </row>
    <row r="1032">
      <c r="AV1032" s="0" t="s">
        <v>473</v>
      </c>
      <c r="AW1032" s="0" t="s">
        <v>286</v>
      </c>
      <c r="AX1032" s="0" t="s">
        <v>715</v>
      </c>
      <c r="AY1032" s="0" t="s">
        <v>3091</v>
      </c>
      <c r="AZ1032" s="0" t="s">
        <v>3092</v>
      </c>
      <c r="BA1032" s="0" t="s">
        <v>708</v>
      </c>
      <c r="BB1032" s="0" t="str">
        <f t="shared" si="16"/>
        <v>IHVNbeKonshisha</v>
      </c>
    </row>
    <row r="1033">
      <c r="AV1033" s="0" t="s">
        <v>473</v>
      </c>
      <c r="AW1033" s="0" t="s">
        <v>286</v>
      </c>
      <c r="AX1033" s="0" t="s">
        <v>715</v>
      </c>
      <c r="AY1033" s="0" t="s">
        <v>3093</v>
      </c>
      <c r="AZ1033" s="0" t="s">
        <v>3094</v>
      </c>
      <c r="BA1033" s="0" t="s">
        <v>708</v>
      </c>
      <c r="BB1033" s="0" t="str">
        <f t="shared" si="16"/>
        <v>IHVNbeKonshisha</v>
      </c>
    </row>
    <row r="1034">
      <c r="AV1034" s="0" t="s">
        <v>473</v>
      </c>
      <c r="AW1034" s="0" t="s">
        <v>286</v>
      </c>
      <c r="AX1034" s="0" t="s">
        <v>715</v>
      </c>
      <c r="AY1034" s="0" t="s">
        <v>3095</v>
      </c>
      <c r="AZ1034" s="0" t="s">
        <v>3096</v>
      </c>
      <c r="BA1034" s="0" t="s">
        <v>708</v>
      </c>
      <c r="BB1034" s="0" t="str">
        <f t="shared" si="16"/>
        <v>IHVNbeKonshisha</v>
      </c>
    </row>
    <row r="1035">
      <c r="AV1035" s="0" t="s">
        <v>473</v>
      </c>
      <c r="AW1035" s="0" t="s">
        <v>286</v>
      </c>
      <c r="AX1035" s="0" t="s">
        <v>715</v>
      </c>
      <c r="AY1035" s="0" t="s">
        <v>3097</v>
      </c>
      <c r="AZ1035" s="0" t="s">
        <v>3098</v>
      </c>
      <c r="BA1035" s="0" t="s">
        <v>708</v>
      </c>
      <c r="BB1035" s="0" t="str">
        <f t="shared" si="16"/>
        <v>IHVNbeKonshisha</v>
      </c>
    </row>
    <row r="1036">
      <c r="AV1036" s="0" t="s">
        <v>473</v>
      </c>
      <c r="AW1036" s="0" t="s">
        <v>286</v>
      </c>
      <c r="AX1036" s="0" t="s">
        <v>715</v>
      </c>
      <c r="AY1036" s="0" t="s">
        <v>3099</v>
      </c>
      <c r="AZ1036" s="0" t="s">
        <v>3100</v>
      </c>
      <c r="BA1036" s="0" t="s">
        <v>708</v>
      </c>
      <c r="BB1036" s="0" t="str">
        <f t="shared" si="16"/>
        <v>IHVNbeKonshisha</v>
      </c>
    </row>
    <row r="1037">
      <c r="AV1037" s="0" t="s">
        <v>473</v>
      </c>
      <c r="AW1037" s="0" t="s">
        <v>286</v>
      </c>
      <c r="AX1037" s="0" t="s">
        <v>715</v>
      </c>
      <c r="AY1037" s="0" t="s">
        <v>3101</v>
      </c>
      <c r="AZ1037" s="0" t="s">
        <v>3102</v>
      </c>
      <c r="BA1037" s="0" t="s">
        <v>708</v>
      </c>
      <c r="BB1037" s="0" t="str">
        <f t="shared" si="16"/>
        <v>IHVNbeKonshisha</v>
      </c>
    </row>
    <row r="1038">
      <c r="AV1038" s="0" t="s">
        <v>473</v>
      </c>
      <c r="AW1038" s="0" t="s">
        <v>286</v>
      </c>
      <c r="AX1038" s="0" t="s">
        <v>715</v>
      </c>
      <c r="AY1038" s="0" t="s">
        <v>3103</v>
      </c>
      <c r="AZ1038" s="0" t="s">
        <v>3104</v>
      </c>
      <c r="BA1038" s="0" t="s">
        <v>708</v>
      </c>
      <c r="BB1038" s="0" t="str">
        <f t="shared" si="16"/>
        <v>IHVNbeKonshisha</v>
      </c>
    </row>
    <row r="1039">
      <c r="AV1039" s="0" t="s">
        <v>473</v>
      </c>
      <c r="AW1039" s="0" t="s">
        <v>286</v>
      </c>
      <c r="AX1039" s="0" t="s">
        <v>715</v>
      </c>
      <c r="AY1039" s="0" t="s">
        <v>3105</v>
      </c>
      <c r="AZ1039" s="0" t="s">
        <v>3106</v>
      </c>
      <c r="BA1039" s="0" t="s">
        <v>708</v>
      </c>
      <c r="BB1039" s="0" t="str">
        <f t="shared" si="16"/>
        <v>IHVNbeKonshisha</v>
      </c>
    </row>
    <row r="1040">
      <c r="AV1040" s="0" t="s">
        <v>473</v>
      </c>
      <c r="AW1040" s="0" t="s">
        <v>286</v>
      </c>
      <c r="AX1040" s="0" t="s">
        <v>715</v>
      </c>
      <c r="AY1040" s="0" t="s">
        <v>3107</v>
      </c>
      <c r="AZ1040" s="0" t="s">
        <v>3108</v>
      </c>
      <c r="BA1040" s="0" t="s">
        <v>708</v>
      </c>
      <c r="BB1040" s="0" t="str">
        <f t="shared" si="16"/>
        <v>IHVNbeKonshisha</v>
      </c>
    </row>
    <row r="1041">
      <c r="AV1041" s="0" t="s">
        <v>473</v>
      </c>
      <c r="AW1041" s="0" t="s">
        <v>286</v>
      </c>
      <c r="AX1041" s="0" t="s">
        <v>715</v>
      </c>
      <c r="AY1041" s="0" t="s">
        <v>3109</v>
      </c>
      <c r="AZ1041" s="0" t="s">
        <v>3110</v>
      </c>
      <c r="BA1041" s="0" t="s">
        <v>708</v>
      </c>
      <c r="BB1041" s="0" t="str">
        <f t="shared" si="16"/>
        <v>IHVNbeKonshisha</v>
      </c>
    </row>
    <row r="1042">
      <c r="AV1042" s="0" t="s">
        <v>473</v>
      </c>
      <c r="AW1042" s="0" t="s">
        <v>286</v>
      </c>
      <c r="AX1042" s="0" t="s">
        <v>715</v>
      </c>
      <c r="AY1042" s="0" t="s">
        <v>3111</v>
      </c>
      <c r="AZ1042" s="0" t="s">
        <v>3112</v>
      </c>
      <c r="BA1042" s="0" t="s">
        <v>708</v>
      </c>
      <c r="BB1042" s="0" t="str">
        <f t="shared" si="16"/>
        <v>IHVNbeKonshisha</v>
      </c>
    </row>
    <row r="1043">
      <c r="AV1043" s="0" t="s">
        <v>473</v>
      </c>
      <c r="AW1043" s="0" t="s">
        <v>286</v>
      </c>
      <c r="AX1043" s="0" t="s">
        <v>715</v>
      </c>
      <c r="AY1043" s="0" t="s">
        <v>3113</v>
      </c>
      <c r="AZ1043" s="0" t="s">
        <v>3114</v>
      </c>
      <c r="BA1043" s="0" t="s">
        <v>708</v>
      </c>
      <c r="BB1043" s="0" t="str">
        <f t="shared" si="16"/>
        <v>IHVNbeKonshisha</v>
      </c>
    </row>
    <row r="1044">
      <c r="AV1044" s="0" t="s">
        <v>473</v>
      </c>
      <c r="AW1044" s="0" t="s">
        <v>286</v>
      </c>
      <c r="AX1044" s="0" t="s">
        <v>715</v>
      </c>
      <c r="AY1044" s="0" t="s">
        <v>3115</v>
      </c>
      <c r="AZ1044" s="0" t="s">
        <v>3116</v>
      </c>
      <c r="BA1044" s="0" t="s">
        <v>708</v>
      </c>
      <c r="BB1044" s="0" t="str">
        <f t="shared" si="16"/>
        <v>IHVNbeKonshisha</v>
      </c>
    </row>
    <row r="1045">
      <c r="AV1045" s="0" t="s">
        <v>473</v>
      </c>
      <c r="AW1045" s="0" t="s">
        <v>286</v>
      </c>
      <c r="AX1045" s="0" t="s">
        <v>715</v>
      </c>
      <c r="AY1045" s="0" t="s">
        <v>3117</v>
      </c>
      <c r="AZ1045" s="0" t="s">
        <v>3118</v>
      </c>
      <c r="BA1045" s="0" t="s">
        <v>708</v>
      </c>
      <c r="BB1045" s="0" t="str">
        <f t="shared" si="16"/>
        <v>IHVNbeKonshisha</v>
      </c>
    </row>
    <row r="1046">
      <c r="AV1046" s="0" t="s">
        <v>473</v>
      </c>
      <c r="AW1046" s="0" t="s">
        <v>286</v>
      </c>
      <c r="AX1046" s="0" t="s">
        <v>715</v>
      </c>
      <c r="AY1046" s="0" t="s">
        <v>3119</v>
      </c>
      <c r="AZ1046" s="0" t="s">
        <v>3120</v>
      </c>
      <c r="BA1046" s="0" t="s">
        <v>708</v>
      </c>
      <c r="BB1046" s="0" t="str">
        <f t="shared" si="16"/>
        <v>IHVNbeKonshisha</v>
      </c>
    </row>
    <row r="1047">
      <c r="AV1047" s="0" t="s">
        <v>473</v>
      </c>
      <c r="AW1047" s="0" t="s">
        <v>286</v>
      </c>
      <c r="AX1047" s="0" t="s">
        <v>715</v>
      </c>
      <c r="AY1047" s="0" t="s">
        <v>3121</v>
      </c>
      <c r="AZ1047" s="0" t="s">
        <v>3122</v>
      </c>
      <c r="BA1047" s="0" t="s">
        <v>708</v>
      </c>
      <c r="BB1047" s="0" t="str">
        <f t="shared" si="16"/>
        <v>IHVNbeKonshisha</v>
      </c>
    </row>
    <row r="1048">
      <c r="AV1048" s="0" t="s">
        <v>473</v>
      </c>
      <c r="AW1048" s="0" t="s">
        <v>286</v>
      </c>
      <c r="AX1048" s="0" t="s">
        <v>715</v>
      </c>
      <c r="AY1048" s="0" t="s">
        <v>3123</v>
      </c>
      <c r="AZ1048" s="0" t="s">
        <v>3124</v>
      </c>
      <c r="BA1048" s="0" t="s">
        <v>708</v>
      </c>
      <c r="BB1048" s="0" t="str">
        <f t="shared" si="16"/>
        <v>IHVNbeKonshisha</v>
      </c>
    </row>
    <row r="1049">
      <c r="AV1049" s="0" t="s">
        <v>473</v>
      </c>
      <c r="AW1049" s="0" t="s">
        <v>286</v>
      </c>
      <c r="AX1049" s="0" t="s">
        <v>715</v>
      </c>
      <c r="AY1049" s="0" t="s">
        <v>3125</v>
      </c>
      <c r="AZ1049" s="0" t="s">
        <v>3126</v>
      </c>
      <c r="BA1049" s="0" t="s">
        <v>708</v>
      </c>
      <c r="BB1049" s="0" t="str">
        <f t="shared" si="16"/>
        <v>IHVNbeKonshisha</v>
      </c>
    </row>
    <row r="1050">
      <c r="AV1050" s="0" t="s">
        <v>473</v>
      </c>
      <c r="AW1050" s="0" t="s">
        <v>286</v>
      </c>
      <c r="AX1050" s="0" t="s">
        <v>715</v>
      </c>
      <c r="AY1050" s="0" t="s">
        <v>3127</v>
      </c>
      <c r="AZ1050" s="0" t="s">
        <v>3128</v>
      </c>
      <c r="BA1050" s="0" t="s">
        <v>708</v>
      </c>
      <c r="BB1050" s="0" t="str">
        <f t="shared" si="16"/>
        <v>IHVNbeKonshisha</v>
      </c>
    </row>
    <row r="1051">
      <c r="AV1051" s="0" t="s">
        <v>473</v>
      </c>
      <c r="AW1051" s="0" t="s">
        <v>286</v>
      </c>
      <c r="AX1051" s="0" t="s">
        <v>715</v>
      </c>
      <c r="AY1051" s="0" t="s">
        <v>3129</v>
      </c>
      <c r="AZ1051" s="0" t="s">
        <v>3130</v>
      </c>
      <c r="BA1051" s="0" t="s">
        <v>708</v>
      </c>
      <c r="BB1051" s="0" t="str">
        <f t="shared" si="16"/>
        <v>IHVNbeKonshisha</v>
      </c>
    </row>
    <row r="1052">
      <c r="AV1052" s="0" t="s">
        <v>473</v>
      </c>
      <c r="AW1052" s="0" t="s">
        <v>286</v>
      </c>
      <c r="AX1052" s="0" t="s">
        <v>715</v>
      </c>
      <c r="AY1052" s="0" t="s">
        <v>3131</v>
      </c>
      <c r="AZ1052" s="0" t="s">
        <v>3132</v>
      </c>
      <c r="BA1052" s="0" t="s">
        <v>708</v>
      </c>
      <c r="BB1052" s="0" t="str">
        <f t="shared" si="16"/>
        <v>IHVNbeKonshisha</v>
      </c>
    </row>
    <row r="1053">
      <c r="AV1053" s="0" t="s">
        <v>473</v>
      </c>
      <c r="AW1053" s="0" t="s">
        <v>286</v>
      </c>
      <c r="AX1053" s="0" t="s">
        <v>715</v>
      </c>
      <c r="AY1053" s="0" t="s">
        <v>3133</v>
      </c>
      <c r="AZ1053" s="0" t="s">
        <v>3134</v>
      </c>
      <c r="BA1053" s="0" t="s">
        <v>708</v>
      </c>
      <c r="BB1053" s="0" t="str">
        <f t="shared" si="16"/>
        <v>IHVNbeKonshisha</v>
      </c>
    </row>
    <row r="1054">
      <c r="AV1054" s="0" t="s">
        <v>473</v>
      </c>
      <c r="AW1054" s="0" t="s">
        <v>286</v>
      </c>
      <c r="AX1054" s="0" t="s">
        <v>715</v>
      </c>
      <c r="AY1054" s="0" t="s">
        <v>3135</v>
      </c>
      <c r="AZ1054" s="0" t="s">
        <v>3136</v>
      </c>
      <c r="BA1054" s="0" t="s">
        <v>708</v>
      </c>
      <c r="BB1054" s="0" t="str">
        <f t="shared" si="16"/>
        <v>IHVNbeKonshisha</v>
      </c>
    </row>
    <row r="1055">
      <c r="AV1055" s="0" t="s">
        <v>473</v>
      </c>
      <c r="AW1055" s="0" t="s">
        <v>286</v>
      </c>
      <c r="AX1055" s="0" t="s">
        <v>715</v>
      </c>
      <c r="AY1055" s="0" t="s">
        <v>3137</v>
      </c>
      <c r="AZ1055" s="0" t="s">
        <v>3138</v>
      </c>
      <c r="BA1055" s="0" t="s">
        <v>708</v>
      </c>
      <c r="BB1055" s="0" t="str">
        <f t="shared" si="16"/>
        <v>IHVNbeKonshisha</v>
      </c>
    </row>
    <row r="1056">
      <c r="AV1056" s="0" t="s">
        <v>473</v>
      </c>
      <c r="AW1056" s="0" t="s">
        <v>286</v>
      </c>
      <c r="AX1056" s="0" t="s">
        <v>715</v>
      </c>
      <c r="AY1056" s="0" t="s">
        <v>3139</v>
      </c>
      <c r="AZ1056" s="0" t="s">
        <v>3140</v>
      </c>
      <c r="BA1056" s="0" t="s">
        <v>708</v>
      </c>
      <c r="BB1056" s="0" t="str">
        <f t="shared" si="16"/>
        <v>IHVNbeKonshisha</v>
      </c>
    </row>
    <row r="1057">
      <c r="AV1057" s="0" t="s">
        <v>473</v>
      </c>
      <c r="AW1057" s="0" t="s">
        <v>286</v>
      </c>
      <c r="AX1057" s="0" t="s">
        <v>715</v>
      </c>
      <c r="AY1057" s="0" t="s">
        <v>3141</v>
      </c>
      <c r="AZ1057" s="0" t="s">
        <v>3142</v>
      </c>
      <c r="BA1057" s="0" t="s">
        <v>708</v>
      </c>
      <c r="BB1057" s="0" t="str">
        <f t="shared" si="16"/>
        <v>IHVNbeKonshisha</v>
      </c>
    </row>
    <row r="1058">
      <c r="AV1058" s="0" t="s">
        <v>473</v>
      </c>
      <c r="AW1058" s="0" t="s">
        <v>286</v>
      </c>
      <c r="AX1058" s="0" t="s">
        <v>715</v>
      </c>
      <c r="AY1058" s="0" t="s">
        <v>3143</v>
      </c>
      <c r="AZ1058" s="0" t="s">
        <v>3144</v>
      </c>
      <c r="BA1058" s="0" t="s">
        <v>708</v>
      </c>
      <c r="BB1058" s="0" t="str">
        <f t="shared" si="16"/>
        <v>IHVNbeKonshisha</v>
      </c>
    </row>
    <row r="1059">
      <c r="AV1059" s="0" t="s">
        <v>473</v>
      </c>
      <c r="AW1059" s="0" t="s">
        <v>286</v>
      </c>
      <c r="AX1059" s="0" t="s">
        <v>715</v>
      </c>
      <c r="AY1059" s="0" t="s">
        <v>3145</v>
      </c>
      <c r="AZ1059" s="0" t="s">
        <v>3146</v>
      </c>
      <c r="BA1059" s="0" t="s">
        <v>708</v>
      </c>
      <c r="BB1059" s="0" t="str">
        <f t="shared" si="16"/>
        <v>IHVNbeKonshisha</v>
      </c>
    </row>
    <row r="1060">
      <c r="AV1060" s="0" t="s">
        <v>473</v>
      </c>
      <c r="AW1060" s="0" t="s">
        <v>286</v>
      </c>
      <c r="AX1060" s="0" t="s">
        <v>715</v>
      </c>
      <c r="AY1060" s="0" t="s">
        <v>3147</v>
      </c>
      <c r="AZ1060" s="0" t="s">
        <v>3148</v>
      </c>
      <c r="BA1060" s="0" t="s">
        <v>708</v>
      </c>
      <c r="BB1060" s="0" t="str">
        <f t="shared" si="16"/>
        <v>IHVNbeKonshisha</v>
      </c>
    </row>
    <row r="1061">
      <c r="AV1061" s="0" t="s">
        <v>473</v>
      </c>
      <c r="AW1061" s="0" t="s">
        <v>286</v>
      </c>
      <c r="AX1061" s="0" t="s">
        <v>715</v>
      </c>
      <c r="AY1061" s="0" t="s">
        <v>3149</v>
      </c>
      <c r="AZ1061" s="0" t="s">
        <v>3150</v>
      </c>
      <c r="BA1061" s="0" t="s">
        <v>708</v>
      </c>
      <c r="BB1061" s="0" t="str">
        <f t="shared" si="16"/>
        <v>IHVNbeKonshisha</v>
      </c>
    </row>
    <row r="1062">
      <c r="AV1062" s="0" t="s">
        <v>473</v>
      </c>
      <c r="AW1062" s="0" t="s">
        <v>286</v>
      </c>
      <c r="AX1062" s="0" t="s">
        <v>715</v>
      </c>
      <c r="AY1062" s="0" t="s">
        <v>3151</v>
      </c>
      <c r="AZ1062" s="0" t="s">
        <v>3152</v>
      </c>
      <c r="BA1062" s="0" t="s">
        <v>708</v>
      </c>
      <c r="BB1062" s="0" t="str">
        <f t="shared" si="16"/>
        <v>IHVNbeKonshisha</v>
      </c>
    </row>
    <row r="1063">
      <c r="AV1063" s="0" t="s">
        <v>473</v>
      </c>
      <c r="AW1063" s="0" t="s">
        <v>286</v>
      </c>
      <c r="AX1063" s="0" t="s">
        <v>715</v>
      </c>
      <c r="AY1063" s="0" t="s">
        <v>3153</v>
      </c>
      <c r="AZ1063" s="0" t="s">
        <v>3154</v>
      </c>
      <c r="BA1063" s="0" t="s">
        <v>708</v>
      </c>
      <c r="BB1063" s="0" t="str">
        <f t="shared" si="16"/>
        <v>IHVNbeKonshisha</v>
      </c>
    </row>
    <row r="1064">
      <c r="AV1064" s="0" t="s">
        <v>473</v>
      </c>
      <c r="AW1064" s="0" t="s">
        <v>286</v>
      </c>
      <c r="AX1064" s="0" t="s">
        <v>715</v>
      </c>
      <c r="AY1064" s="0" t="s">
        <v>3155</v>
      </c>
      <c r="AZ1064" s="0" t="s">
        <v>3156</v>
      </c>
      <c r="BA1064" s="0" t="s">
        <v>708</v>
      </c>
      <c r="BB1064" s="0" t="str">
        <f t="shared" si="16"/>
        <v>IHVNbeKonshisha</v>
      </c>
    </row>
    <row r="1065">
      <c r="AV1065" s="0" t="s">
        <v>473</v>
      </c>
      <c r="AW1065" s="0" t="s">
        <v>286</v>
      </c>
      <c r="AX1065" s="0" t="s">
        <v>715</v>
      </c>
      <c r="AY1065" s="0" t="s">
        <v>3157</v>
      </c>
      <c r="AZ1065" s="0" t="s">
        <v>3158</v>
      </c>
      <c r="BA1065" s="0" t="s">
        <v>708</v>
      </c>
      <c r="BB1065" s="0" t="str">
        <f t="shared" si="16"/>
        <v>IHVNbeKonshisha</v>
      </c>
    </row>
    <row r="1066">
      <c r="AV1066" s="0" t="s">
        <v>473</v>
      </c>
      <c r="AW1066" s="0" t="s">
        <v>286</v>
      </c>
      <c r="AX1066" s="0" t="s">
        <v>715</v>
      </c>
      <c r="AY1066" s="0" t="s">
        <v>3159</v>
      </c>
      <c r="AZ1066" s="0" t="s">
        <v>3160</v>
      </c>
      <c r="BA1066" s="0" t="s">
        <v>708</v>
      </c>
      <c r="BB1066" s="0" t="str">
        <f t="shared" si="16"/>
        <v>IHVNbeKonshisha</v>
      </c>
    </row>
    <row r="1067">
      <c r="AV1067" s="0" t="s">
        <v>473</v>
      </c>
      <c r="AW1067" s="0" t="s">
        <v>286</v>
      </c>
      <c r="AX1067" s="0" t="s">
        <v>715</v>
      </c>
      <c r="AY1067" s="0" t="s">
        <v>3161</v>
      </c>
      <c r="AZ1067" s="0" t="s">
        <v>3162</v>
      </c>
      <c r="BA1067" s="0" t="s">
        <v>708</v>
      </c>
      <c r="BB1067" s="0" t="str">
        <f t="shared" si="16"/>
        <v>IHVNbeKonshisha</v>
      </c>
    </row>
    <row r="1068">
      <c r="AV1068" s="0" t="s">
        <v>473</v>
      </c>
      <c r="AW1068" s="0" t="s">
        <v>286</v>
      </c>
      <c r="AX1068" s="0" t="s">
        <v>715</v>
      </c>
      <c r="AY1068" s="0" t="s">
        <v>3163</v>
      </c>
      <c r="AZ1068" s="0" t="s">
        <v>3164</v>
      </c>
      <c r="BA1068" s="0" t="s">
        <v>708</v>
      </c>
      <c r="BB1068" s="0" t="str">
        <f t="shared" si="16"/>
        <v>IHVNbeKonshisha</v>
      </c>
    </row>
    <row r="1069">
      <c r="AV1069" s="0" t="s">
        <v>473</v>
      </c>
      <c r="AW1069" s="0" t="s">
        <v>286</v>
      </c>
      <c r="AX1069" s="0" t="s">
        <v>715</v>
      </c>
      <c r="AY1069" s="0" t="s">
        <v>3165</v>
      </c>
      <c r="AZ1069" s="0" t="s">
        <v>3166</v>
      </c>
      <c r="BA1069" s="0" t="s">
        <v>708</v>
      </c>
      <c r="BB1069" s="0" t="str">
        <f t="shared" si="16"/>
        <v>IHVNbeKonshisha</v>
      </c>
    </row>
    <row r="1070">
      <c r="AV1070" s="0" t="s">
        <v>473</v>
      </c>
      <c r="AW1070" s="0" t="s">
        <v>286</v>
      </c>
      <c r="AX1070" s="0" t="s">
        <v>715</v>
      </c>
      <c r="AY1070" s="0" t="s">
        <v>3167</v>
      </c>
      <c r="AZ1070" s="0" t="s">
        <v>3168</v>
      </c>
      <c r="BA1070" s="0" t="s">
        <v>708</v>
      </c>
      <c r="BB1070" s="0" t="str">
        <f t="shared" si="16"/>
        <v>IHVNbeKonshisha</v>
      </c>
    </row>
    <row r="1071">
      <c r="AV1071" s="0" t="s">
        <v>473</v>
      </c>
      <c r="AW1071" s="0" t="s">
        <v>286</v>
      </c>
      <c r="AX1071" s="0" t="s">
        <v>810</v>
      </c>
      <c r="AY1071" s="0" t="s">
        <v>3169</v>
      </c>
      <c r="AZ1071" s="0" t="s">
        <v>3170</v>
      </c>
      <c r="BA1071" s="0" t="s">
        <v>708</v>
      </c>
      <c r="BB1071" s="0" t="str">
        <f t="shared" si="16"/>
        <v>IHVNbeMakurdi</v>
      </c>
    </row>
    <row r="1072">
      <c r="AV1072" s="0" t="s">
        <v>473</v>
      </c>
      <c r="AW1072" s="0" t="s">
        <v>286</v>
      </c>
      <c r="AX1072" s="0" t="s">
        <v>810</v>
      </c>
      <c r="AY1072" s="0" t="s">
        <v>3171</v>
      </c>
      <c r="AZ1072" s="0" t="s">
        <v>3172</v>
      </c>
      <c r="BA1072" s="0" t="s">
        <v>708</v>
      </c>
      <c r="BB1072" s="0" t="str">
        <f t="shared" si="16"/>
        <v>IHVNbeMakurdi</v>
      </c>
    </row>
    <row r="1073">
      <c r="AV1073" s="0" t="s">
        <v>473</v>
      </c>
      <c r="AW1073" s="0" t="s">
        <v>286</v>
      </c>
      <c r="AX1073" s="0" t="s">
        <v>810</v>
      </c>
      <c r="AY1073" s="0" t="s">
        <v>3173</v>
      </c>
      <c r="AZ1073" s="0" t="s">
        <v>3174</v>
      </c>
      <c r="BA1073" s="0" t="s">
        <v>708</v>
      </c>
      <c r="BB1073" s="0" t="str">
        <f t="shared" si="16"/>
        <v>IHVNbeMakurdi</v>
      </c>
    </row>
    <row r="1074">
      <c r="AV1074" s="0" t="s">
        <v>473</v>
      </c>
      <c r="AW1074" s="0" t="s">
        <v>286</v>
      </c>
      <c r="AX1074" s="0" t="s">
        <v>810</v>
      </c>
      <c r="AY1074" s="0" t="s">
        <v>3175</v>
      </c>
      <c r="AZ1074" s="0" t="s">
        <v>3176</v>
      </c>
      <c r="BA1074" s="0" t="s">
        <v>708</v>
      </c>
      <c r="BB1074" s="0" t="str">
        <f t="shared" si="16"/>
        <v>IHVNbeMakurdi</v>
      </c>
    </row>
    <row r="1075">
      <c r="AV1075" s="0" t="s">
        <v>473</v>
      </c>
      <c r="AW1075" s="0" t="s">
        <v>286</v>
      </c>
      <c r="AX1075" s="0" t="s">
        <v>810</v>
      </c>
      <c r="AY1075" s="0" t="s">
        <v>3177</v>
      </c>
      <c r="AZ1075" s="0" t="s">
        <v>3178</v>
      </c>
      <c r="BA1075" s="0" t="s">
        <v>708</v>
      </c>
      <c r="BB1075" s="0" t="str">
        <f t="shared" si="16"/>
        <v>IHVNbeMakurdi</v>
      </c>
    </row>
    <row r="1076">
      <c r="AV1076" s="0" t="s">
        <v>473</v>
      </c>
      <c r="AW1076" s="0" t="s">
        <v>286</v>
      </c>
      <c r="AX1076" s="0" t="s">
        <v>810</v>
      </c>
      <c r="AY1076" s="0" t="s">
        <v>3179</v>
      </c>
      <c r="AZ1076" s="0" t="s">
        <v>3180</v>
      </c>
      <c r="BA1076" s="0" t="s">
        <v>708</v>
      </c>
      <c r="BB1076" s="0" t="str">
        <f t="shared" si="16"/>
        <v>IHVNbeMakurdi</v>
      </c>
    </row>
    <row r="1077">
      <c r="AV1077" s="0" t="s">
        <v>473</v>
      </c>
      <c r="AW1077" s="0" t="s">
        <v>286</v>
      </c>
      <c r="AX1077" s="0" t="s">
        <v>810</v>
      </c>
      <c r="AY1077" s="0" t="s">
        <v>3181</v>
      </c>
      <c r="AZ1077" s="0" t="s">
        <v>3182</v>
      </c>
      <c r="BA1077" s="0" t="s">
        <v>708</v>
      </c>
      <c r="BB1077" s="0" t="str">
        <f t="shared" si="16"/>
        <v>IHVNbeMakurdi</v>
      </c>
    </row>
    <row r="1078">
      <c r="AV1078" s="0" t="s">
        <v>473</v>
      </c>
      <c r="AW1078" s="0" t="s">
        <v>286</v>
      </c>
      <c r="AX1078" s="0" t="s">
        <v>810</v>
      </c>
      <c r="AY1078" s="0" t="s">
        <v>3183</v>
      </c>
      <c r="AZ1078" s="0" t="s">
        <v>3184</v>
      </c>
      <c r="BA1078" s="0" t="s">
        <v>708</v>
      </c>
      <c r="BB1078" s="0" t="str">
        <f t="shared" si="16"/>
        <v>IHVNbeMakurdi</v>
      </c>
    </row>
    <row r="1079">
      <c r="AV1079" s="0" t="s">
        <v>473</v>
      </c>
      <c r="AW1079" s="0" t="s">
        <v>286</v>
      </c>
      <c r="AX1079" s="0" t="s">
        <v>810</v>
      </c>
      <c r="AY1079" s="0" t="s">
        <v>3185</v>
      </c>
      <c r="AZ1079" s="0" t="s">
        <v>3186</v>
      </c>
      <c r="BA1079" s="0" t="s">
        <v>708</v>
      </c>
      <c r="BB1079" s="0" t="str">
        <f t="shared" si="16"/>
        <v>IHVNbeMakurdi</v>
      </c>
    </row>
    <row r="1080">
      <c r="AV1080" s="0" t="s">
        <v>473</v>
      </c>
      <c r="AW1080" s="0" t="s">
        <v>286</v>
      </c>
      <c r="AX1080" s="0" t="s">
        <v>810</v>
      </c>
      <c r="AY1080" s="0" t="s">
        <v>3187</v>
      </c>
      <c r="AZ1080" s="0" t="s">
        <v>3188</v>
      </c>
      <c r="BA1080" s="0" t="s">
        <v>708</v>
      </c>
      <c r="BB1080" s="0" t="str">
        <f t="shared" si="16"/>
        <v>IHVNbeMakurdi</v>
      </c>
    </row>
    <row r="1081">
      <c r="AV1081" s="0" t="s">
        <v>473</v>
      </c>
      <c r="AW1081" s="0" t="s">
        <v>286</v>
      </c>
      <c r="AX1081" s="0" t="s">
        <v>810</v>
      </c>
      <c r="AY1081" s="0" t="s">
        <v>3189</v>
      </c>
      <c r="AZ1081" s="0" t="s">
        <v>3190</v>
      </c>
      <c r="BA1081" s="0" t="s">
        <v>708</v>
      </c>
      <c r="BB1081" s="0" t="str">
        <f t="shared" si="16"/>
        <v>IHVNbeMakurdi</v>
      </c>
    </row>
    <row r="1082">
      <c r="AV1082" s="0" t="s">
        <v>473</v>
      </c>
      <c r="AW1082" s="0" t="s">
        <v>286</v>
      </c>
      <c r="AX1082" s="0" t="s">
        <v>810</v>
      </c>
      <c r="AY1082" s="0" t="s">
        <v>3191</v>
      </c>
      <c r="AZ1082" s="0" t="s">
        <v>3192</v>
      </c>
      <c r="BA1082" s="0" t="s">
        <v>708</v>
      </c>
      <c r="BB1082" s="0" t="str">
        <f t="shared" si="16"/>
        <v>IHVNbeMakurdi</v>
      </c>
    </row>
    <row r="1083">
      <c r="AV1083" s="0" t="s">
        <v>473</v>
      </c>
      <c r="AW1083" s="0" t="s">
        <v>286</v>
      </c>
      <c r="AX1083" s="0" t="s">
        <v>810</v>
      </c>
      <c r="AY1083" s="0" t="s">
        <v>3193</v>
      </c>
      <c r="AZ1083" s="0" t="s">
        <v>3194</v>
      </c>
      <c r="BA1083" s="0" t="s">
        <v>708</v>
      </c>
      <c r="BB1083" s="0" t="str">
        <f t="shared" si="16"/>
        <v>IHVNbeMakurdi</v>
      </c>
    </row>
    <row r="1084">
      <c r="AV1084" s="0" t="s">
        <v>473</v>
      </c>
      <c r="AW1084" s="0" t="s">
        <v>286</v>
      </c>
      <c r="AX1084" s="0" t="s">
        <v>810</v>
      </c>
      <c r="AY1084" s="0" t="s">
        <v>3195</v>
      </c>
      <c r="AZ1084" s="0" t="s">
        <v>3196</v>
      </c>
      <c r="BA1084" s="0" t="s">
        <v>708</v>
      </c>
      <c r="BB1084" s="0" t="str">
        <f t="shared" si="16"/>
        <v>IHVNbeMakurdi</v>
      </c>
    </row>
    <row r="1085">
      <c r="AV1085" s="0" t="s">
        <v>473</v>
      </c>
      <c r="AW1085" s="0" t="s">
        <v>286</v>
      </c>
      <c r="AX1085" s="0" t="s">
        <v>810</v>
      </c>
      <c r="AY1085" s="0" t="s">
        <v>3197</v>
      </c>
      <c r="AZ1085" s="0" t="s">
        <v>3198</v>
      </c>
      <c r="BA1085" s="0" t="s">
        <v>708</v>
      </c>
      <c r="BB1085" s="0" t="str">
        <f t="shared" si="16"/>
        <v>IHVNbeMakurdi</v>
      </c>
    </row>
    <row r="1086">
      <c r="AV1086" s="0" t="s">
        <v>473</v>
      </c>
      <c r="AW1086" s="0" t="s">
        <v>286</v>
      </c>
      <c r="AX1086" s="0" t="s">
        <v>1057</v>
      </c>
      <c r="AY1086" s="0" t="s">
        <v>3199</v>
      </c>
      <c r="AZ1086" s="0" t="s">
        <v>3200</v>
      </c>
      <c r="BA1086" s="0" t="s">
        <v>708</v>
      </c>
      <c r="BB1086" s="0" t="str">
        <f t="shared" si="16"/>
        <v>IHVNbeOju</v>
      </c>
    </row>
    <row r="1087">
      <c r="AV1087" s="0" t="s">
        <v>473</v>
      </c>
      <c r="AW1087" s="0" t="s">
        <v>286</v>
      </c>
      <c r="AX1087" s="0" t="s">
        <v>1057</v>
      </c>
      <c r="AY1087" s="0" t="s">
        <v>3201</v>
      </c>
      <c r="AZ1087" s="0" t="s">
        <v>3202</v>
      </c>
      <c r="BA1087" s="0" t="s">
        <v>708</v>
      </c>
      <c r="BB1087" s="0" t="str">
        <f t="shared" si="16"/>
        <v>IHVNbeOju</v>
      </c>
    </row>
    <row r="1088">
      <c r="AV1088" s="0" t="s">
        <v>473</v>
      </c>
      <c r="AW1088" s="0" t="s">
        <v>286</v>
      </c>
      <c r="AX1088" s="0" t="s">
        <v>942</v>
      </c>
      <c r="AY1088" s="0" t="s">
        <v>3203</v>
      </c>
      <c r="AZ1088" s="0" t="s">
        <v>3204</v>
      </c>
      <c r="BA1088" s="0" t="s">
        <v>708</v>
      </c>
      <c r="BB1088" s="0" t="str">
        <f t="shared" si="16"/>
        <v>IHVNbeUshongo</v>
      </c>
    </row>
    <row r="1089">
      <c r="AV1089" s="0" t="s">
        <v>473</v>
      </c>
      <c r="AW1089" s="0" t="s">
        <v>286</v>
      </c>
      <c r="AX1089" s="0" t="s">
        <v>942</v>
      </c>
      <c r="AY1089" s="0" t="s">
        <v>3205</v>
      </c>
      <c r="AZ1089" s="0" t="s">
        <v>3206</v>
      </c>
      <c r="BA1089" s="0" t="s">
        <v>708</v>
      </c>
      <c r="BB1089" s="0" t="str">
        <f t="shared" si="16"/>
        <v>IHVNbeUshongo</v>
      </c>
    </row>
    <row r="1090">
      <c r="AV1090" s="0" t="s">
        <v>473</v>
      </c>
      <c r="AW1090" s="0" t="s">
        <v>286</v>
      </c>
      <c r="AX1090" s="0" t="s">
        <v>942</v>
      </c>
      <c r="AY1090" s="0" t="s">
        <v>3207</v>
      </c>
      <c r="AZ1090" s="0" t="s">
        <v>3208</v>
      </c>
      <c r="BA1090" s="0" t="s">
        <v>708</v>
      </c>
      <c r="BB1090" s="0" t="str">
        <f t="shared" si="16"/>
        <v>IHVNbeUshongo</v>
      </c>
    </row>
    <row r="1091">
      <c r="AV1091" s="0" t="s">
        <v>473</v>
      </c>
      <c r="AW1091" s="0" t="s">
        <v>286</v>
      </c>
      <c r="AX1091" s="0" t="s">
        <v>942</v>
      </c>
      <c r="AY1091" s="0" t="s">
        <v>2204</v>
      </c>
      <c r="AZ1091" s="0" t="s">
        <v>3209</v>
      </c>
      <c r="BA1091" s="0" t="s">
        <v>708</v>
      </c>
      <c r="BB1091" s="0" t="str">
        <f ref="BB1091:BB1154" t="shared" si="17">SUBSTITUTE(SUBSTITUTE(BA1091&amp;AX1091," ",""),"-","")</f>
        <v>IHVNbeUshongo</v>
      </c>
    </row>
    <row r="1092">
      <c r="AV1092" s="0" t="s">
        <v>473</v>
      </c>
      <c r="AW1092" s="0" t="s">
        <v>286</v>
      </c>
      <c r="AX1092" s="0" t="s">
        <v>942</v>
      </c>
      <c r="AY1092" s="0" t="s">
        <v>3210</v>
      </c>
      <c r="AZ1092" s="0" t="s">
        <v>3211</v>
      </c>
      <c r="BA1092" s="0" t="s">
        <v>708</v>
      </c>
      <c r="BB1092" s="0" t="str">
        <f t="shared" si="17"/>
        <v>IHVNbeUshongo</v>
      </c>
    </row>
    <row r="1093">
      <c r="AV1093" s="0" t="s">
        <v>473</v>
      </c>
      <c r="AW1093" s="0" t="s">
        <v>286</v>
      </c>
      <c r="AX1093" s="0" t="s">
        <v>942</v>
      </c>
      <c r="AY1093" s="0" t="s">
        <v>3212</v>
      </c>
      <c r="AZ1093" s="0" t="s">
        <v>3213</v>
      </c>
      <c r="BA1093" s="0" t="s">
        <v>708</v>
      </c>
      <c r="BB1093" s="0" t="str">
        <f t="shared" si="17"/>
        <v>IHVNbeUshongo</v>
      </c>
    </row>
    <row r="1094">
      <c r="AV1094" s="0" t="s">
        <v>473</v>
      </c>
      <c r="AW1094" s="0" t="s">
        <v>286</v>
      </c>
      <c r="AX1094" s="0" t="s">
        <v>942</v>
      </c>
      <c r="AY1094" s="0" t="s">
        <v>3214</v>
      </c>
      <c r="AZ1094" s="0" t="s">
        <v>3215</v>
      </c>
      <c r="BA1094" s="0" t="s">
        <v>708</v>
      </c>
      <c r="BB1094" s="0" t="str">
        <f t="shared" si="17"/>
        <v>IHVNbeUshongo</v>
      </c>
    </row>
    <row r="1095">
      <c r="AV1095" s="0" t="s">
        <v>473</v>
      </c>
      <c r="AW1095" s="0" t="s">
        <v>286</v>
      </c>
      <c r="AX1095" s="0" t="s">
        <v>942</v>
      </c>
      <c r="AY1095" s="0" t="s">
        <v>3216</v>
      </c>
      <c r="AZ1095" s="0" t="s">
        <v>3217</v>
      </c>
      <c r="BA1095" s="0" t="s">
        <v>708</v>
      </c>
      <c r="BB1095" s="0" t="str">
        <f t="shared" si="17"/>
        <v>IHVNbeUshongo</v>
      </c>
    </row>
    <row r="1096">
      <c r="AV1096" s="0" t="s">
        <v>473</v>
      </c>
      <c r="AW1096" s="0" t="s">
        <v>286</v>
      </c>
      <c r="AX1096" s="0" t="s">
        <v>942</v>
      </c>
      <c r="AY1096" s="0" t="s">
        <v>3218</v>
      </c>
      <c r="AZ1096" s="0" t="s">
        <v>3219</v>
      </c>
      <c r="BA1096" s="0" t="s">
        <v>708</v>
      </c>
      <c r="BB1096" s="0" t="str">
        <f t="shared" si="17"/>
        <v>IHVNbeUshongo</v>
      </c>
    </row>
    <row r="1097">
      <c r="AV1097" s="0" t="s">
        <v>473</v>
      </c>
      <c r="AW1097" s="0" t="s">
        <v>286</v>
      </c>
      <c r="AX1097" s="0" t="s">
        <v>942</v>
      </c>
      <c r="AY1097" s="0" t="s">
        <v>3220</v>
      </c>
      <c r="AZ1097" s="0" t="s">
        <v>3221</v>
      </c>
      <c r="BA1097" s="0" t="s">
        <v>708</v>
      </c>
      <c r="BB1097" s="0" t="str">
        <f t="shared" si="17"/>
        <v>IHVNbeUshongo</v>
      </c>
    </row>
    <row r="1098">
      <c r="AV1098" s="0" t="s">
        <v>473</v>
      </c>
      <c r="AW1098" s="0" t="s">
        <v>286</v>
      </c>
      <c r="AX1098" s="0" t="s">
        <v>942</v>
      </c>
      <c r="AY1098" s="0" t="s">
        <v>3222</v>
      </c>
      <c r="AZ1098" s="0" t="s">
        <v>3223</v>
      </c>
      <c r="BA1098" s="0" t="s">
        <v>708</v>
      </c>
      <c r="BB1098" s="0" t="str">
        <f t="shared" si="17"/>
        <v>IHVNbeUshongo</v>
      </c>
    </row>
    <row r="1099">
      <c r="AV1099" s="0" t="s">
        <v>473</v>
      </c>
      <c r="AW1099" s="0" t="s">
        <v>286</v>
      </c>
      <c r="AX1099" s="0" t="s">
        <v>942</v>
      </c>
      <c r="AY1099" s="0" t="s">
        <v>3224</v>
      </c>
      <c r="AZ1099" s="0" t="s">
        <v>3225</v>
      </c>
      <c r="BA1099" s="0" t="s">
        <v>708</v>
      </c>
      <c r="BB1099" s="0" t="str">
        <f t="shared" si="17"/>
        <v>IHVNbeUshongo</v>
      </c>
    </row>
    <row r="1100">
      <c r="AV1100" s="0" t="s">
        <v>473</v>
      </c>
      <c r="AW1100" s="0" t="s">
        <v>286</v>
      </c>
      <c r="AX1100" s="0" t="s">
        <v>942</v>
      </c>
      <c r="AY1100" s="0" t="s">
        <v>3226</v>
      </c>
      <c r="AZ1100" s="0" t="s">
        <v>3227</v>
      </c>
      <c r="BA1100" s="0" t="s">
        <v>708</v>
      </c>
      <c r="BB1100" s="0" t="str">
        <f t="shared" si="17"/>
        <v>IHVNbeUshongo</v>
      </c>
    </row>
    <row r="1101">
      <c r="AV1101" s="0" t="s">
        <v>473</v>
      </c>
      <c r="AW1101" s="0" t="s">
        <v>286</v>
      </c>
      <c r="AX1101" s="0" t="s">
        <v>942</v>
      </c>
      <c r="AY1101" s="0" t="s">
        <v>3228</v>
      </c>
      <c r="AZ1101" s="0" t="s">
        <v>3229</v>
      </c>
      <c r="BA1101" s="0" t="s">
        <v>708</v>
      </c>
      <c r="BB1101" s="0" t="str">
        <f t="shared" si="17"/>
        <v>IHVNbeUshongo</v>
      </c>
    </row>
    <row r="1102">
      <c r="AV1102" s="0" t="s">
        <v>473</v>
      </c>
      <c r="AW1102" s="0" t="s">
        <v>286</v>
      </c>
      <c r="AX1102" s="0" t="s">
        <v>942</v>
      </c>
      <c r="AY1102" s="0" t="s">
        <v>3230</v>
      </c>
      <c r="AZ1102" s="0" t="s">
        <v>3231</v>
      </c>
      <c r="BA1102" s="0" t="s">
        <v>708</v>
      </c>
      <c r="BB1102" s="0" t="str">
        <f t="shared" si="17"/>
        <v>IHVNbeUshongo</v>
      </c>
    </row>
    <row r="1103">
      <c r="AV1103" s="0" t="s">
        <v>473</v>
      </c>
      <c r="AW1103" s="0" t="s">
        <v>286</v>
      </c>
      <c r="AX1103" s="0" t="s">
        <v>942</v>
      </c>
      <c r="AY1103" s="0" t="s">
        <v>3232</v>
      </c>
      <c r="AZ1103" s="0" t="s">
        <v>3233</v>
      </c>
      <c r="BA1103" s="0" t="s">
        <v>708</v>
      </c>
      <c r="BB1103" s="0" t="str">
        <f t="shared" si="17"/>
        <v>IHVNbeUshongo</v>
      </c>
    </row>
    <row r="1104">
      <c r="AV1104" s="0" t="s">
        <v>473</v>
      </c>
      <c r="AW1104" s="0" t="s">
        <v>286</v>
      </c>
      <c r="AX1104" s="0" t="s">
        <v>942</v>
      </c>
      <c r="AY1104" s="0" t="s">
        <v>3234</v>
      </c>
      <c r="AZ1104" s="0" t="s">
        <v>3235</v>
      </c>
      <c r="BA1104" s="0" t="s">
        <v>708</v>
      </c>
      <c r="BB1104" s="0" t="str">
        <f t="shared" si="17"/>
        <v>IHVNbeUshongo</v>
      </c>
    </row>
    <row r="1105">
      <c r="AV1105" s="0" t="s">
        <v>473</v>
      </c>
      <c r="AW1105" s="0" t="s">
        <v>286</v>
      </c>
      <c r="AX1105" s="0" t="s">
        <v>942</v>
      </c>
      <c r="AY1105" s="0" t="s">
        <v>3236</v>
      </c>
      <c r="AZ1105" s="0" t="s">
        <v>3237</v>
      </c>
      <c r="BA1105" s="0" t="s">
        <v>708</v>
      </c>
      <c r="BB1105" s="0" t="str">
        <f t="shared" si="17"/>
        <v>IHVNbeUshongo</v>
      </c>
    </row>
    <row r="1106">
      <c r="AV1106" s="0" t="s">
        <v>473</v>
      </c>
      <c r="AW1106" s="0" t="s">
        <v>286</v>
      </c>
      <c r="AX1106" s="0" t="s">
        <v>942</v>
      </c>
      <c r="AY1106" s="0" t="s">
        <v>3238</v>
      </c>
      <c r="AZ1106" s="0" t="s">
        <v>3239</v>
      </c>
      <c r="BA1106" s="0" t="s">
        <v>708</v>
      </c>
      <c r="BB1106" s="0" t="str">
        <f t="shared" si="17"/>
        <v>IHVNbeUshongo</v>
      </c>
    </row>
    <row r="1107">
      <c r="AV1107" s="0" t="s">
        <v>473</v>
      </c>
      <c r="AW1107" s="0" t="s">
        <v>286</v>
      </c>
      <c r="AX1107" s="0" t="s">
        <v>942</v>
      </c>
      <c r="AY1107" s="0" t="s">
        <v>3240</v>
      </c>
      <c r="AZ1107" s="0" t="s">
        <v>3241</v>
      </c>
      <c r="BA1107" s="0" t="s">
        <v>708</v>
      </c>
      <c r="BB1107" s="0" t="str">
        <f t="shared" si="17"/>
        <v>IHVNbeUshongo</v>
      </c>
    </row>
    <row r="1108">
      <c r="AV1108" s="0" t="s">
        <v>473</v>
      </c>
      <c r="AW1108" s="0" t="s">
        <v>286</v>
      </c>
      <c r="AX1108" s="0" t="s">
        <v>942</v>
      </c>
      <c r="AY1108" s="0" t="s">
        <v>3242</v>
      </c>
      <c r="AZ1108" s="0" t="s">
        <v>3243</v>
      </c>
      <c r="BA1108" s="0" t="s">
        <v>708</v>
      </c>
      <c r="BB1108" s="0" t="str">
        <f t="shared" si="17"/>
        <v>IHVNbeUshongo</v>
      </c>
    </row>
    <row r="1109">
      <c r="AV1109" s="0" t="s">
        <v>473</v>
      </c>
      <c r="AW1109" s="0" t="s">
        <v>286</v>
      </c>
      <c r="AX1109" s="0" t="s">
        <v>942</v>
      </c>
      <c r="AY1109" s="0" t="s">
        <v>3244</v>
      </c>
      <c r="AZ1109" s="0" t="s">
        <v>3245</v>
      </c>
      <c r="BA1109" s="0" t="s">
        <v>708</v>
      </c>
      <c r="BB1109" s="0" t="str">
        <f t="shared" si="17"/>
        <v>IHVNbeUshongo</v>
      </c>
    </row>
    <row r="1110">
      <c r="AV1110" s="0" t="s">
        <v>473</v>
      </c>
      <c r="AW1110" s="0" t="s">
        <v>286</v>
      </c>
      <c r="AX1110" s="0" t="s">
        <v>942</v>
      </c>
      <c r="AY1110" s="0" t="s">
        <v>3246</v>
      </c>
      <c r="AZ1110" s="0" t="s">
        <v>3247</v>
      </c>
      <c r="BA1110" s="0" t="s">
        <v>708</v>
      </c>
      <c r="BB1110" s="0" t="str">
        <f t="shared" si="17"/>
        <v>IHVNbeUshongo</v>
      </c>
    </row>
    <row r="1111">
      <c r="AV1111" s="0" t="s">
        <v>473</v>
      </c>
      <c r="AW1111" s="0" t="s">
        <v>286</v>
      </c>
      <c r="AX1111" s="0" t="s">
        <v>942</v>
      </c>
      <c r="AY1111" s="0" t="s">
        <v>3248</v>
      </c>
      <c r="AZ1111" s="0" t="s">
        <v>3249</v>
      </c>
      <c r="BA1111" s="0" t="s">
        <v>708</v>
      </c>
      <c r="BB1111" s="0" t="str">
        <f t="shared" si="17"/>
        <v>IHVNbeUshongo</v>
      </c>
    </row>
    <row r="1112">
      <c r="AV1112" s="0" t="s">
        <v>473</v>
      </c>
      <c r="AW1112" s="0" t="s">
        <v>286</v>
      </c>
      <c r="AX1112" s="0" t="s">
        <v>942</v>
      </c>
      <c r="AY1112" s="0" t="s">
        <v>3250</v>
      </c>
      <c r="AZ1112" s="0" t="s">
        <v>3251</v>
      </c>
      <c r="BA1112" s="0" t="s">
        <v>708</v>
      </c>
      <c r="BB1112" s="0" t="str">
        <f t="shared" si="17"/>
        <v>IHVNbeUshongo</v>
      </c>
    </row>
    <row r="1113">
      <c r="AV1113" s="0" t="s">
        <v>473</v>
      </c>
      <c r="AW1113" s="0" t="s">
        <v>286</v>
      </c>
      <c r="AX1113" s="0" t="s">
        <v>942</v>
      </c>
      <c r="AY1113" s="0" t="s">
        <v>3252</v>
      </c>
      <c r="AZ1113" s="0" t="s">
        <v>3253</v>
      </c>
      <c r="BA1113" s="0" t="s">
        <v>708</v>
      </c>
      <c r="BB1113" s="0" t="str">
        <f t="shared" si="17"/>
        <v>IHVNbeUshongo</v>
      </c>
    </row>
    <row r="1114">
      <c r="AV1114" s="0" t="s">
        <v>473</v>
      </c>
      <c r="AW1114" s="0" t="s">
        <v>286</v>
      </c>
      <c r="AX1114" s="0" t="s">
        <v>942</v>
      </c>
      <c r="AY1114" s="0" t="s">
        <v>3254</v>
      </c>
      <c r="AZ1114" s="0" t="s">
        <v>3255</v>
      </c>
      <c r="BA1114" s="0" t="s">
        <v>708</v>
      </c>
      <c r="BB1114" s="0" t="str">
        <f t="shared" si="17"/>
        <v>IHVNbeUshongo</v>
      </c>
    </row>
    <row r="1115">
      <c r="AV1115" s="0" t="s">
        <v>473</v>
      </c>
      <c r="AW1115" s="0" t="s">
        <v>286</v>
      </c>
      <c r="AX1115" s="0" t="s">
        <v>942</v>
      </c>
      <c r="AY1115" s="0" t="s">
        <v>3256</v>
      </c>
      <c r="AZ1115" s="0" t="s">
        <v>3257</v>
      </c>
      <c r="BA1115" s="0" t="s">
        <v>708</v>
      </c>
      <c r="BB1115" s="0" t="str">
        <f t="shared" si="17"/>
        <v>IHVNbeUshongo</v>
      </c>
    </row>
    <row r="1116">
      <c r="AV1116" s="0" t="s">
        <v>473</v>
      </c>
      <c r="AW1116" s="0" t="s">
        <v>286</v>
      </c>
      <c r="AX1116" s="0" t="s">
        <v>942</v>
      </c>
      <c r="AY1116" s="0" t="s">
        <v>3258</v>
      </c>
      <c r="AZ1116" s="0" t="s">
        <v>3259</v>
      </c>
      <c r="BA1116" s="0" t="s">
        <v>708</v>
      </c>
      <c r="BB1116" s="0" t="str">
        <f t="shared" si="17"/>
        <v>IHVNbeUshongo</v>
      </c>
    </row>
    <row r="1117">
      <c r="AV1117" s="0" t="s">
        <v>473</v>
      </c>
      <c r="AW1117" s="0" t="s">
        <v>286</v>
      </c>
      <c r="AX1117" s="0" t="s">
        <v>942</v>
      </c>
      <c r="AY1117" s="0" t="s">
        <v>3260</v>
      </c>
      <c r="AZ1117" s="0" t="s">
        <v>3261</v>
      </c>
      <c r="BA1117" s="0" t="s">
        <v>708</v>
      </c>
      <c r="BB1117" s="0" t="str">
        <f t="shared" si="17"/>
        <v>IHVNbeUshongo</v>
      </c>
    </row>
    <row r="1118">
      <c r="AV1118" s="0" t="s">
        <v>473</v>
      </c>
      <c r="AW1118" s="0" t="s">
        <v>286</v>
      </c>
      <c r="AX1118" s="0" t="s">
        <v>942</v>
      </c>
      <c r="AY1118" s="0" t="s">
        <v>3262</v>
      </c>
      <c r="AZ1118" s="0" t="s">
        <v>3263</v>
      </c>
      <c r="BA1118" s="0" t="s">
        <v>708</v>
      </c>
      <c r="BB1118" s="0" t="str">
        <f t="shared" si="17"/>
        <v>IHVNbeUshongo</v>
      </c>
    </row>
    <row r="1119">
      <c r="AV1119" s="0" t="s">
        <v>473</v>
      </c>
      <c r="AW1119" s="0" t="s">
        <v>286</v>
      </c>
      <c r="AX1119" s="0" t="s">
        <v>942</v>
      </c>
      <c r="AY1119" s="0" t="s">
        <v>3264</v>
      </c>
      <c r="AZ1119" s="0" t="s">
        <v>3265</v>
      </c>
      <c r="BA1119" s="0" t="s">
        <v>708</v>
      </c>
      <c r="BB1119" s="0" t="str">
        <f t="shared" si="17"/>
        <v>IHVNbeUshongo</v>
      </c>
    </row>
    <row r="1120">
      <c r="AV1120" s="0" t="s">
        <v>473</v>
      </c>
      <c r="AW1120" s="0" t="s">
        <v>399</v>
      </c>
      <c r="AX1120" s="0" t="s">
        <v>488</v>
      </c>
      <c r="AY1120" s="0" t="s">
        <v>3266</v>
      </c>
      <c r="AZ1120" s="0" t="s">
        <v>3267</v>
      </c>
      <c r="BA1120" s="0" t="s">
        <v>708</v>
      </c>
      <c r="BB1120" s="0" t="str">
        <f t="shared" si="17"/>
        <v>IHVNdeEthiopeEast</v>
      </c>
    </row>
    <row r="1121">
      <c r="AV1121" s="0" t="s">
        <v>473</v>
      </c>
      <c r="AW1121" s="0" t="s">
        <v>399</v>
      </c>
      <c r="AX1121" s="0" t="s">
        <v>605</v>
      </c>
      <c r="AY1121" s="0" t="s">
        <v>3268</v>
      </c>
      <c r="AZ1121" s="0" t="s">
        <v>3269</v>
      </c>
      <c r="BA1121" s="0" t="s">
        <v>708</v>
      </c>
      <c r="BB1121" s="0" t="str">
        <f t="shared" si="17"/>
        <v>IHVNdeIkaSouth</v>
      </c>
    </row>
    <row r="1122">
      <c r="AV1122" s="0" t="s">
        <v>473</v>
      </c>
      <c r="AW1122" s="0" t="s">
        <v>399</v>
      </c>
      <c r="AX1122" s="0" t="s">
        <v>644</v>
      </c>
      <c r="AY1122" s="0" t="s">
        <v>3270</v>
      </c>
      <c r="AZ1122" s="0" t="s">
        <v>3271</v>
      </c>
      <c r="BA1122" s="0" t="s">
        <v>708</v>
      </c>
      <c r="BB1122" s="0" t="str">
        <f t="shared" si="17"/>
        <v>IHVNdeOshimiliSouth</v>
      </c>
    </row>
    <row r="1123">
      <c r="AV1123" s="0" t="s">
        <v>473</v>
      </c>
      <c r="AW1123" s="0" t="s">
        <v>399</v>
      </c>
      <c r="AX1123" s="0" t="s">
        <v>644</v>
      </c>
      <c r="AY1123" s="0" t="s">
        <v>3272</v>
      </c>
      <c r="AZ1123" s="0" t="s">
        <v>3273</v>
      </c>
      <c r="BA1123" s="0" t="s">
        <v>708</v>
      </c>
      <c r="BB1123" s="0" t="str">
        <f t="shared" si="17"/>
        <v>IHVNdeOshimiliSouth</v>
      </c>
    </row>
    <row r="1124">
      <c r="AV1124" s="0" t="s">
        <v>473</v>
      </c>
      <c r="AW1124" s="0" t="s">
        <v>399</v>
      </c>
      <c r="AX1124" s="0" t="s">
        <v>682</v>
      </c>
      <c r="AY1124" s="0" t="s">
        <v>3274</v>
      </c>
      <c r="AZ1124" s="0" t="s">
        <v>3275</v>
      </c>
      <c r="BA1124" s="0" t="s">
        <v>708</v>
      </c>
      <c r="BB1124" s="0" t="str">
        <f t="shared" si="17"/>
        <v>IHVNdeUvwie</v>
      </c>
    </row>
    <row r="1125">
      <c r="AV1125" s="0" t="s">
        <v>473</v>
      </c>
      <c r="AW1125" s="0" t="s">
        <v>402</v>
      </c>
      <c r="AX1125" s="0" t="s">
        <v>449</v>
      </c>
      <c r="AY1125" s="0" t="s">
        <v>3276</v>
      </c>
      <c r="AZ1125" s="0" t="s">
        <v>3277</v>
      </c>
      <c r="BA1125" s="0" t="s">
        <v>708</v>
      </c>
      <c r="BB1125" s="0" t="str">
        <f t="shared" si="17"/>
        <v>IHVNekAdoEkiti</v>
      </c>
    </row>
    <row r="1126">
      <c r="AV1126" s="0" t="s">
        <v>473</v>
      </c>
      <c r="AW1126" s="0" t="s">
        <v>402</v>
      </c>
      <c r="AX1126" s="0" t="s">
        <v>449</v>
      </c>
      <c r="AY1126" s="0" t="s">
        <v>3278</v>
      </c>
      <c r="AZ1126" s="0" t="s">
        <v>3279</v>
      </c>
      <c r="BA1126" s="0" t="s">
        <v>708</v>
      </c>
      <c r="BB1126" s="0" t="str">
        <f t="shared" si="17"/>
        <v>IHVNekAdoEkiti</v>
      </c>
    </row>
    <row r="1127">
      <c r="AV1127" s="0" t="s">
        <v>473</v>
      </c>
      <c r="AW1127" s="0" t="s">
        <v>402</v>
      </c>
      <c r="AX1127" s="0" t="s">
        <v>491</v>
      </c>
      <c r="AY1127" s="0" t="s">
        <v>3280</v>
      </c>
      <c r="AZ1127" s="0" t="s">
        <v>3281</v>
      </c>
      <c r="BA1127" s="0" t="s">
        <v>708</v>
      </c>
      <c r="BB1127" s="0" t="str">
        <f t="shared" si="17"/>
        <v>IHVNekEkitiEast</v>
      </c>
    </row>
    <row r="1128">
      <c r="AV1128" s="0" t="s">
        <v>473</v>
      </c>
      <c r="AW1128" s="0" t="s">
        <v>402</v>
      </c>
      <c r="AX1128" s="0" t="s">
        <v>530</v>
      </c>
      <c r="AY1128" s="0" t="s">
        <v>3282</v>
      </c>
      <c r="AZ1128" s="0" t="s">
        <v>3283</v>
      </c>
      <c r="BA1128" s="0" t="s">
        <v>708</v>
      </c>
      <c r="BB1128" s="0" t="str">
        <f t="shared" si="17"/>
        <v>IHVNekIdoOsi</v>
      </c>
    </row>
    <row r="1129">
      <c r="AV1129" s="0" t="s">
        <v>473</v>
      </c>
      <c r="AW1129" s="0" t="s">
        <v>402</v>
      </c>
      <c r="AX1129" s="0" t="s">
        <v>570</v>
      </c>
      <c r="AY1129" s="0" t="s">
        <v>3284</v>
      </c>
      <c r="AZ1129" s="0" t="s">
        <v>3285</v>
      </c>
      <c r="BA1129" s="0" t="s">
        <v>708</v>
      </c>
      <c r="BB1129" s="0" t="str">
        <f t="shared" si="17"/>
        <v>IHVNekIlejemeje</v>
      </c>
    </row>
    <row r="1130">
      <c r="AV1130" s="0" t="s">
        <v>473</v>
      </c>
      <c r="AW1130" s="0" t="s">
        <v>402</v>
      </c>
      <c r="AX1130" s="0" t="s">
        <v>608</v>
      </c>
      <c r="AY1130" s="0" t="s">
        <v>3286</v>
      </c>
      <c r="AZ1130" s="0" t="s">
        <v>3287</v>
      </c>
      <c r="BA1130" s="0" t="s">
        <v>708</v>
      </c>
      <c r="BB1130" s="0" t="str">
        <f t="shared" si="17"/>
        <v>IHVNekIrepodun</v>
      </c>
    </row>
    <row r="1131">
      <c r="AV1131" s="0" t="s">
        <v>473</v>
      </c>
      <c r="AW1131" s="0" t="s">
        <v>402</v>
      </c>
      <c r="AX1131" s="0" t="s">
        <v>647</v>
      </c>
      <c r="AY1131" s="0" t="s">
        <v>3288</v>
      </c>
      <c r="AZ1131" s="0" t="s">
        <v>3289</v>
      </c>
      <c r="BA1131" s="0" t="s">
        <v>708</v>
      </c>
      <c r="BB1131" s="0" t="str">
        <f t="shared" si="17"/>
        <v>IHVNekOye</v>
      </c>
    </row>
    <row r="1132">
      <c r="AV1132" s="0" t="s">
        <v>473</v>
      </c>
      <c r="AW1132" s="0" t="s">
        <v>404</v>
      </c>
      <c r="AX1132" s="0" t="s">
        <v>532</v>
      </c>
      <c r="AY1132" s="0" t="s">
        <v>3290</v>
      </c>
      <c r="AZ1132" s="0" t="s">
        <v>3291</v>
      </c>
      <c r="BA1132" s="0" t="s">
        <v>708</v>
      </c>
      <c r="BB1132" s="0" t="str">
        <f t="shared" si="17"/>
        <v>IHVNfcAbaji</v>
      </c>
    </row>
    <row r="1133">
      <c r="AV1133" s="0" t="s">
        <v>473</v>
      </c>
      <c r="AW1133" s="0" t="s">
        <v>404</v>
      </c>
      <c r="AX1133" s="0" t="s">
        <v>532</v>
      </c>
      <c r="AY1133" s="0" t="s">
        <v>3292</v>
      </c>
      <c r="AZ1133" s="0" t="s">
        <v>3293</v>
      </c>
      <c r="BA1133" s="0" t="s">
        <v>708</v>
      </c>
      <c r="BB1133" s="0" t="str">
        <f t="shared" si="17"/>
        <v>IHVNfcAbaji</v>
      </c>
    </row>
    <row r="1134">
      <c r="AV1134" s="0" t="s">
        <v>473</v>
      </c>
      <c r="AW1134" s="0" t="s">
        <v>404</v>
      </c>
      <c r="AX1134" s="0" t="s">
        <v>451</v>
      </c>
      <c r="AY1134" s="0" t="s">
        <v>3294</v>
      </c>
      <c r="AZ1134" s="0" t="s">
        <v>3295</v>
      </c>
      <c r="BA1134" s="0" t="s">
        <v>708</v>
      </c>
      <c r="BB1134" s="0" t="str">
        <f t="shared" si="17"/>
        <v>IHVNfcAbujaMunicipalAreaCouncil</v>
      </c>
    </row>
    <row r="1135">
      <c r="AV1135" s="0" t="s">
        <v>473</v>
      </c>
      <c r="AW1135" s="0" t="s">
        <v>404</v>
      </c>
      <c r="AX1135" s="0" t="s">
        <v>451</v>
      </c>
      <c r="AY1135" s="0" t="s">
        <v>3296</v>
      </c>
      <c r="AZ1135" s="0" t="s">
        <v>3297</v>
      </c>
      <c r="BA1135" s="0" t="s">
        <v>708</v>
      </c>
      <c r="BB1135" s="0" t="str">
        <f t="shared" si="17"/>
        <v>IHVNfcAbujaMunicipalAreaCouncil</v>
      </c>
    </row>
    <row r="1136">
      <c r="AV1136" s="0" t="s">
        <v>473</v>
      </c>
      <c r="AW1136" s="0" t="s">
        <v>404</v>
      </c>
      <c r="AX1136" s="0" t="s">
        <v>451</v>
      </c>
      <c r="AY1136" s="0" t="s">
        <v>3298</v>
      </c>
      <c r="AZ1136" s="0" t="s">
        <v>3299</v>
      </c>
      <c r="BA1136" s="0" t="s">
        <v>708</v>
      </c>
      <c r="BB1136" s="0" t="str">
        <f t="shared" si="17"/>
        <v>IHVNfcAbujaMunicipalAreaCouncil</v>
      </c>
    </row>
    <row r="1137">
      <c r="AV1137" s="0" t="s">
        <v>473</v>
      </c>
      <c r="AW1137" s="0" t="s">
        <v>404</v>
      </c>
      <c r="AX1137" s="0" t="s">
        <v>451</v>
      </c>
      <c r="AY1137" s="0" t="s">
        <v>3300</v>
      </c>
      <c r="AZ1137" s="0" t="s">
        <v>3301</v>
      </c>
      <c r="BA1137" s="0" t="s">
        <v>708</v>
      </c>
      <c r="BB1137" s="0" t="str">
        <f t="shared" si="17"/>
        <v>IHVNfcAbujaMunicipalAreaCouncil</v>
      </c>
    </row>
    <row r="1138">
      <c r="AV1138" s="0" t="s">
        <v>473</v>
      </c>
      <c r="AW1138" s="0" t="s">
        <v>404</v>
      </c>
      <c r="AX1138" s="0" t="s">
        <v>451</v>
      </c>
      <c r="AY1138" s="0" t="s">
        <v>3302</v>
      </c>
      <c r="AZ1138" s="0" t="s">
        <v>3303</v>
      </c>
      <c r="BA1138" s="0" t="s">
        <v>708</v>
      </c>
      <c r="BB1138" s="0" t="str">
        <f t="shared" si="17"/>
        <v>IHVNfcAbujaMunicipalAreaCouncil</v>
      </c>
    </row>
    <row r="1139">
      <c r="AV1139" s="0" t="s">
        <v>473</v>
      </c>
      <c r="AW1139" s="0" t="s">
        <v>404</v>
      </c>
      <c r="AX1139" s="0" t="s">
        <v>451</v>
      </c>
      <c r="AY1139" s="0" t="s">
        <v>3304</v>
      </c>
      <c r="AZ1139" s="0" t="s">
        <v>3305</v>
      </c>
      <c r="BA1139" s="0" t="s">
        <v>708</v>
      </c>
      <c r="BB1139" s="0" t="str">
        <f t="shared" si="17"/>
        <v>IHVNfcAbujaMunicipalAreaCouncil</v>
      </c>
    </row>
    <row r="1140">
      <c r="AV1140" s="0" t="s">
        <v>473</v>
      </c>
      <c r="AW1140" s="0" t="s">
        <v>404</v>
      </c>
      <c r="AX1140" s="0" t="s">
        <v>451</v>
      </c>
      <c r="AY1140" s="0" t="s">
        <v>3306</v>
      </c>
      <c r="AZ1140" s="0" t="s">
        <v>3307</v>
      </c>
      <c r="BA1140" s="0" t="s">
        <v>708</v>
      </c>
      <c r="BB1140" s="0" t="str">
        <f t="shared" si="17"/>
        <v>IHVNfcAbujaMunicipalAreaCouncil</v>
      </c>
    </row>
    <row r="1141">
      <c r="AV1141" s="0" t="s">
        <v>473</v>
      </c>
      <c r="AW1141" s="0" t="s">
        <v>404</v>
      </c>
      <c r="AX1141" s="0" t="s">
        <v>451</v>
      </c>
      <c r="AY1141" s="0" t="s">
        <v>3308</v>
      </c>
      <c r="AZ1141" s="0" t="s">
        <v>3309</v>
      </c>
      <c r="BA1141" s="0" t="s">
        <v>708</v>
      </c>
      <c r="BB1141" s="0" t="str">
        <f t="shared" si="17"/>
        <v>IHVNfcAbujaMunicipalAreaCouncil</v>
      </c>
    </row>
    <row r="1142">
      <c r="AV1142" s="0" t="s">
        <v>473</v>
      </c>
      <c r="AW1142" s="0" t="s">
        <v>404</v>
      </c>
      <c r="AX1142" s="0" t="s">
        <v>451</v>
      </c>
      <c r="AY1142" s="0" t="s">
        <v>3310</v>
      </c>
      <c r="AZ1142" s="0" t="s">
        <v>3311</v>
      </c>
      <c r="BA1142" s="0" t="s">
        <v>708</v>
      </c>
      <c r="BB1142" s="0" t="str">
        <f t="shared" si="17"/>
        <v>IHVNfcAbujaMunicipalAreaCouncil</v>
      </c>
    </row>
    <row r="1143">
      <c r="AV1143" s="0" t="s">
        <v>473</v>
      </c>
      <c r="AW1143" s="0" t="s">
        <v>404</v>
      </c>
      <c r="AX1143" s="0" t="s">
        <v>451</v>
      </c>
      <c r="AY1143" s="0" t="s">
        <v>3312</v>
      </c>
      <c r="AZ1143" s="0" t="s">
        <v>3313</v>
      </c>
      <c r="BA1143" s="0" t="s">
        <v>708</v>
      </c>
      <c r="BB1143" s="0" t="str">
        <f t="shared" si="17"/>
        <v>IHVNfcAbujaMunicipalAreaCouncil</v>
      </c>
    </row>
    <row r="1144">
      <c r="AV1144" s="0" t="s">
        <v>473</v>
      </c>
      <c r="AW1144" s="0" t="s">
        <v>404</v>
      </c>
      <c r="AX1144" s="0" t="s">
        <v>451</v>
      </c>
      <c r="AY1144" s="0" t="s">
        <v>3314</v>
      </c>
      <c r="AZ1144" s="0" t="s">
        <v>3315</v>
      </c>
      <c r="BA1144" s="0" t="s">
        <v>708</v>
      </c>
      <c r="BB1144" s="0" t="str">
        <f t="shared" si="17"/>
        <v>IHVNfcAbujaMunicipalAreaCouncil</v>
      </c>
    </row>
    <row r="1145">
      <c r="AV1145" s="0" t="s">
        <v>473</v>
      </c>
      <c r="AW1145" s="0" t="s">
        <v>404</v>
      </c>
      <c r="AX1145" s="0" t="s">
        <v>451</v>
      </c>
      <c r="AY1145" s="0" t="s">
        <v>3316</v>
      </c>
      <c r="AZ1145" s="0" t="s">
        <v>3317</v>
      </c>
      <c r="BA1145" s="0" t="s">
        <v>708</v>
      </c>
      <c r="BB1145" s="0" t="str">
        <f t="shared" si="17"/>
        <v>IHVNfcAbujaMunicipalAreaCouncil</v>
      </c>
    </row>
    <row r="1146">
      <c r="AV1146" s="0" t="s">
        <v>473</v>
      </c>
      <c r="AW1146" s="0" t="s">
        <v>404</v>
      </c>
      <c r="AX1146" s="0" t="s">
        <v>451</v>
      </c>
      <c r="AY1146" s="0" t="s">
        <v>3318</v>
      </c>
      <c r="AZ1146" s="0" t="s">
        <v>3319</v>
      </c>
      <c r="BA1146" s="0" t="s">
        <v>708</v>
      </c>
      <c r="BB1146" s="0" t="str">
        <f t="shared" si="17"/>
        <v>IHVNfcAbujaMunicipalAreaCouncil</v>
      </c>
    </row>
    <row r="1147">
      <c r="AV1147" s="0" t="s">
        <v>473</v>
      </c>
      <c r="AW1147" s="0" t="s">
        <v>404</v>
      </c>
      <c r="AX1147" s="0" t="s">
        <v>451</v>
      </c>
      <c r="AY1147" s="0" t="s">
        <v>3320</v>
      </c>
      <c r="AZ1147" s="0" t="s">
        <v>3321</v>
      </c>
      <c r="BA1147" s="0" t="s">
        <v>708</v>
      </c>
      <c r="BB1147" s="0" t="str">
        <f t="shared" si="17"/>
        <v>IHVNfcAbujaMunicipalAreaCouncil</v>
      </c>
    </row>
    <row r="1148">
      <c r="AV1148" s="0" t="s">
        <v>473</v>
      </c>
      <c r="AW1148" s="0" t="s">
        <v>404</v>
      </c>
      <c r="AX1148" s="0" t="s">
        <v>451</v>
      </c>
      <c r="AY1148" s="0" t="s">
        <v>3322</v>
      </c>
      <c r="AZ1148" s="0" t="s">
        <v>3323</v>
      </c>
      <c r="BA1148" s="0" t="s">
        <v>708</v>
      </c>
      <c r="BB1148" s="0" t="str">
        <f t="shared" si="17"/>
        <v>IHVNfcAbujaMunicipalAreaCouncil</v>
      </c>
    </row>
    <row r="1149">
      <c r="AV1149" s="0" t="s">
        <v>473</v>
      </c>
      <c r="AW1149" s="0" t="s">
        <v>404</v>
      </c>
      <c r="AX1149" s="0" t="s">
        <v>451</v>
      </c>
      <c r="AY1149" s="0" t="s">
        <v>3324</v>
      </c>
      <c r="AZ1149" s="0" t="s">
        <v>3325</v>
      </c>
      <c r="BA1149" s="0" t="s">
        <v>708</v>
      </c>
      <c r="BB1149" s="0" t="str">
        <f t="shared" si="17"/>
        <v>IHVNfcAbujaMunicipalAreaCouncil</v>
      </c>
    </row>
    <row r="1150">
      <c r="AV1150" s="0" t="s">
        <v>473</v>
      </c>
      <c r="AW1150" s="0" t="s">
        <v>404</v>
      </c>
      <c r="AX1150" s="0" t="s">
        <v>451</v>
      </c>
      <c r="AY1150" s="0" t="s">
        <v>3326</v>
      </c>
      <c r="AZ1150" s="0" t="s">
        <v>3327</v>
      </c>
      <c r="BA1150" s="0" t="s">
        <v>708</v>
      </c>
      <c r="BB1150" s="0" t="str">
        <f t="shared" si="17"/>
        <v>IHVNfcAbujaMunicipalAreaCouncil</v>
      </c>
    </row>
    <row r="1151">
      <c r="AV1151" s="0" t="s">
        <v>473</v>
      </c>
      <c r="AW1151" s="0" t="s">
        <v>404</v>
      </c>
      <c r="AX1151" s="0" t="s">
        <v>451</v>
      </c>
      <c r="AY1151" s="0" t="s">
        <v>3328</v>
      </c>
      <c r="AZ1151" s="0" t="s">
        <v>3329</v>
      </c>
      <c r="BA1151" s="0" t="s">
        <v>708</v>
      </c>
      <c r="BB1151" s="0" t="str">
        <f t="shared" si="17"/>
        <v>IHVNfcAbujaMunicipalAreaCouncil</v>
      </c>
    </row>
    <row r="1152">
      <c r="AV1152" s="0" t="s">
        <v>473</v>
      </c>
      <c r="AW1152" s="0" t="s">
        <v>404</v>
      </c>
      <c r="AX1152" s="0" t="s">
        <v>451</v>
      </c>
      <c r="AY1152" s="0" t="s">
        <v>3330</v>
      </c>
      <c r="AZ1152" s="0" t="s">
        <v>3331</v>
      </c>
      <c r="BA1152" s="0" t="s">
        <v>708</v>
      </c>
      <c r="BB1152" s="0" t="str">
        <f t="shared" si="17"/>
        <v>IHVNfcAbujaMunicipalAreaCouncil</v>
      </c>
    </row>
    <row r="1153">
      <c r="AV1153" s="0" t="s">
        <v>473</v>
      </c>
      <c r="AW1153" s="0" t="s">
        <v>404</v>
      </c>
      <c r="AX1153" s="0" t="s">
        <v>451</v>
      </c>
      <c r="AY1153" s="0" t="s">
        <v>3332</v>
      </c>
      <c r="AZ1153" s="0" t="s">
        <v>3333</v>
      </c>
      <c r="BA1153" s="0" t="s">
        <v>708</v>
      </c>
      <c r="BB1153" s="0" t="str">
        <f t="shared" si="17"/>
        <v>IHVNfcAbujaMunicipalAreaCouncil</v>
      </c>
    </row>
    <row r="1154">
      <c r="AV1154" s="0" t="s">
        <v>473</v>
      </c>
      <c r="AW1154" s="0" t="s">
        <v>404</v>
      </c>
      <c r="AX1154" s="0" t="s">
        <v>451</v>
      </c>
      <c r="AY1154" s="0" t="s">
        <v>3334</v>
      </c>
      <c r="AZ1154" s="0" t="s">
        <v>3335</v>
      </c>
      <c r="BA1154" s="0" t="s">
        <v>708</v>
      </c>
      <c r="BB1154" s="0" t="str">
        <f t="shared" si="17"/>
        <v>IHVNfcAbujaMunicipalAreaCouncil</v>
      </c>
    </row>
    <row r="1155">
      <c r="AV1155" s="0" t="s">
        <v>473</v>
      </c>
      <c r="AW1155" s="0" t="s">
        <v>404</v>
      </c>
      <c r="AX1155" s="0" t="s">
        <v>451</v>
      </c>
      <c r="AY1155" s="0" t="s">
        <v>3336</v>
      </c>
      <c r="AZ1155" s="0" t="s">
        <v>3337</v>
      </c>
      <c r="BA1155" s="0" t="s">
        <v>708</v>
      </c>
      <c r="BB1155" s="0" t="str">
        <f ref="BB1155:BB1218" t="shared" si="18">SUBSTITUTE(SUBSTITUTE(BA1155&amp;AX1155," ",""),"-","")</f>
        <v>IHVNfcAbujaMunicipalAreaCouncil</v>
      </c>
    </row>
    <row r="1156">
      <c r="AV1156" s="0" t="s">
        <v>473</v>
      </c>
      <c r="AW1156" s="0" t="s">
        <v>404</v>
      </c>
      <c r="AX1156" s="0" t="s">
        <v>451</v>
      </c>
      <c r="AY1156" s="0" t="s">
        <v>3338</v>
      </c>
      <c r="AZ1156" s="0" t="s">
        <v>3339</v>
      </c>
      <c r="BA1156" s="0" t="s">
        <v>708</v>
      </c>
      <c r="BB1156" s="0" t="str">
        <f t="shared" si="18"/>
        <v>IHVNfcAbujaMunicipalAreaCouncil</v>
      </c>
    </row>
    <row r="1157">
      <c r="AV1157" s="0" t="s">
        <v>473</v>
      </c>
      <c r="AW1157" s="0" t="s">
        <v>404</v>
      </c>
      <c r="AX1157" s="0" t="s">
        <v>451</v>
      </c>
      <c r="AY1157" s="0" t="s">
        <v>3340</v>
      </c>
      <c r="AZ1157" s="0" t="s">
        <v>3341</v>
      </c>
      <c r="BA1157" s="0" t="s">
        <v>708</v>
      </c>
      <c r="BB1157" s="0" t="str">
        <f t="shared" si="18"/>
        <v>IHVNfcAbujaMunicipalAreaCouncil</v>
      </c>
    </row>
    <row r="1158">
      <c r="AV1158" s="0" t="s">
        <v>473</v>
      </c>
      <c r="AW1158" s="0" t="s">
        <v>404</v>
      </c>
      <c r="AX1158" s="0" t="s">
        <v>451</v>
      </c>
      <c r="AY1158" s="0" t="s">
        <v>3342</v>
      </c>
      <c r="AZ1158" s="0" t="s">
        <v>3343</v>
      </c>
      <c r="BA1158" s="0" t="s">
        <v>708</v>
      </c>
      <c r="BB1158" s="0" t="str">
        <f t="shared" si="18"/>
        <v>IHVNfcAbujaMunicipalAreaCouncil</v>
      </c>
    </row>
    <row r="1159">
      <c r="AV1159" s="0" t="s">
        <v>473</v>
      </c>
      <c r="AW1159" s="0" t="s">
        <v>404</v>
      </c>
      <c r="AX1159" s="0" t="s">
        <v>451</v>
      </c>
      <c r="AY1159" s="0" t="s">
        <v>3344</v>
      </c>
      <c r="AZ1159" s="0" t="s">
        <v>3345</v>
      </c>
      <c r="BA1159" s="0" t="s">
        <v>708</v>
      </c>
      <c r="BB1159" s="0" t="str">
        <f t="shared" si="18"/>
        <v>IHVNfcAbujaMunicipalAreaCouncil</v>
      </c>
    </row>
    <row r="1160">
      <c r="AV1160" s="0" t="s">
        <v>473</v>
      </c>
      <c r="AW1160" s="0" t="s">
        <v>404</v>
      </c>
      <c r="AX1160" s="0" t="s">
        <v>451</v>
      </c>
      <c r="AY1160" s="0" t="s">
        <v>3346</v>
      </c>
      <c r="AZ1160" s="0" t="s">
        <v>3347</v>
      </c>
      <c r="BA1160" s="0" t="s">
        <v>708</v>
      </c>
      <c r="BB1160" s="0" t="str">
        <f t="shared" si="18"/>
        <v>IHVNfcAbujaMunicipalAreaCouncil</v>
      </c>
    </row>
    <row r="1161">
      <c r="AV1161" s="0" t="s">
        <v>473</v>
      </c>
      <c r="AW1161" s="0" t="s">
        <v>404</v>
      </c>
      <c r="AX1161" s="0" t="s">
        <v>451</v>
      </c>
      <c r="AY1161" s="0" t="s">
        <v>3348</v>
      </c>
      <c r="AZ1161" s="0" t="s">
        <v>3349</v>
      </c>
      <c r="BA1161" s="0" t="s">
        <v>708</v>
      </c>
      <c r="BB1161" s="0" t="str">
        <f t="shared" si="18"/>
        <v>IHVNfcAbujaMunicipalAreaCouncil</v>
      </c>
    </row>
    <row r="1162">
      <c r="AV1162" s="0" t="s">
        <v>473</v>
      </c>
      <c r="AW1162" s="0" t="s">
        <v>404</v>
      </c>
      <c r="AX1162" s="0" t="s">
        <v>451</v>
      </c>
      <c r="AY1162" s="0" t="s">
        <v>3350</v>
      </c>
      <c r="AZ1162" s="0" t="s">
        <v>3351</v>
      </c>
      <c r="BA1162" s="0" t="s">
        <v>708</v>
      </c>
      <c r="BB1162" s="0" t="str">
        <f t="shared" si="18"/>
        <v>IHVNfcAbujaMunicipalAreaCouncil</v>
      </c>
    </row>
    <row r="1163">
      <c r="AV1163" s="0" t="s">
        <v>473</v>
      </c>
      <c r="AW1163" s="0" t="s">
        <v>404</v>
      </c>
      <c r="AX1163" s="0" t="s">
        <v>451</v>
      </c>
      <c r="AY1163" s="0" t="s">
        <v>3352</v>
      </c>
      <c r="AZ1163" s="0" t="s">
        <v>3353</v>
      </c>
      <c r="BA1163" s="0" t="s">
        <v>708</v>
      </c>
      <c r="BB1163" s="0" t="str">
        <f t="shared" si="18"/>
        <v>IHVNfcAbujaMunicipalAreaCouncil</v>
      </c>
    </row>
    <row r="1164">
      <c r="AV1164" s="0" t="s">
        <v>473</v>
      </c>
      <c r="AW1164" s="0" t="s">
        <v>404</v>
      </c>
      <c r="AX1164" s="0" t="s">
        <v>451</v>
      </c>
      <c r="AY1164" s="0" t="s">
        <v>3354</v>
      </c>
      <c r="AZ1164" s="0" t="s">
        <v>3355</v>
      </c>
      <c r="BA1164" s="0" t="s">
        <v>708</v>
      </c>
      <c r="BB1164" s="0" t="str">
        <f t="shared" si="18"/>
        <v>IHVNfcAbujaMunicipalAreaCouncil</v>
      </c>
    </row>
    <row r="1165">
      <c r="AV1165" s="0" t="s">
        <v>473</v>
      </c>
      <c r="AW1165" s="0" t="s">
        <v>404</v>
      </c>
      <c r="AX1165" s="0" t="s">
        <v>451</v>
      </c>
      <c r="AY1165" s="0" t="s">
        <v>3356</v>
      </c>
      <c r="AZ1165" s="0" t="s">
        <v>3357</v>
      </c>
      <c r="BA1165" s="0" t="s">
        <v>708</v>
      </c>
      <c r="BB1165" s="0" t="str">
        <f t="shared" si="18"/>
        <v>IHVNfcAbujaMunicipalAreaCouncil</v>
      </c>
    </row>
    <row r="1166">
      <c r="AV1166" s="0" t="s">
        <v>473</v>
      </c>
      <c r="AW1166" s="0" t="s">
        <v>404</v>
      </c>
      <c r="AX1166" s="0" t="s">
        <v>451</v>
      </c>
      <c r="AY1166" s="0" t="s">
        <v>3358</v>
      </c>
      <c r="AZ1166" s="0" t="s">
        <v>3359</v>
      </c>
      <c r="BA1166" s="0" t="s">
        <v>708</v>
      </c>
      <c r="BB1166" s="0" t="str">
        <f t="shared" si="18"/>
        <v>IHVNfcAbujaMunicipalAreaCouncil</v>
      </c>
    </row>
    <row r="1167">
      <c r="AV1167" s="0" t="s">
        <v>473</v>
      </c>
      <c r="AW1167" s="0" t="s">
        <v>404</v>
      </c>
      <c r="AX1167" s="0" t="s">
        <v>451</v>
      </c>
      <c r="AY1167" s="0" t="s">
        <v>3360</v>
      </c>
      <c r="AZ1167" s="0" t="s">
        <v>3361</v>
      </c>
      <c r="BA1167" s="0" t="s">
        <v>708</v>
      </c>
      <c r="BB1167" s="0" t="str">
        <f t="shared" si="18"/>
        <v>IHVNfcAbujaMunicipalAreaCouncil</v>
      </c>
    </row>
    <row r="1168">
      <c r="AV1168" s="0" t="s">
        <v>473</v>
      </c>
      <c r="AW1168" s="0" t="s">
        <v>404</v>
      </c>
      <c r="AX1168" s="0" t="s">
        <v>451</v>
      </c>
      <c r="AY1168" s="0" t="s">
        <v>3362</v>
      </c>
      <c r="AZ1168" s="0" t="s">
        <v>3363</v>
      </c>
      <c r="BA1168" s="0" t="s">
        <v>708</v>
      </c>
      <c r="BB1168" s="0" t="str">
        <f t="shared" si="18"/>
        <v>IHVNfcAbujaMunicipalAreaCouncil</v>
      </c>
    </row>
    <row r="1169">
      <c r="AV1169" s="0" t="s">
        <v>473</v>
      </c>
      <c r="AW1169" s="0" t="s">
        <v>404</v>
      </c>
      <c r="AX1169" s="0" t="s">
        <v>451</v>
      </c>
      <c r="AY1169" s="0" t="s">
        <v>3364</v>
      </c>
      <c r="AZ1169" s="0" t="s">
        <v>3365</v>
      </c>
      <c r="BA1169" s="0" t="s">
        <v>708</v>
      </c>
      <c r="BB1169" s="0" t="str">
        <f t="shared" si="18"/>
        <v>IHVNfcAbujaMunicipalAreaCouncil</v>
      </c>
    </row>
    <row r="1170">
      <c r="AV1170" s="0" t="s">
        <v>473</v>
      </c>
      <c r="AW1170" s="0" t="s">
        <v>404</v>
      </c>
      <c r="AX1170" s="0" t="s">
        <v>451</v>
      </c>
      <c r="AY1170" s="0" t="s">
        <v>3366</v>
      </c>
      <c r="AZ1170" s="0" t="s">
        <v>3367</v>
      </c>
      <c r="BA1170" s="0" t="s">
        <v>708</v>
      </c>
      <c r="BB1170" s="0" t="str">
        <f t="shared" si="18"/>
        <v>IHVNfcAbujaMunicipalAreaCouncil</v>
      </c>
    </row>
    <row r="1171">
      <c r="AV1171" s="0" t="s">
        <v>473</v>
      </c>
      <c r="AW1171" s="0" t="s">
        <v>404</v>
      </c>
      <c r="AX1171" s="0" t="s">
        <v>451</v>
      </c>
      <c r="AY1171" s="0" t="s">
        <v>3368</v>
      </c>
      <c r="AZ1171" s="0" t="s">
        <v>3369</v>
      </c>
      <c r="BA1171" s="0" t="s">
        <v>708</v>
      </c>
      <c r="BB1171" s="0" t="str">
        <f t="shared" si="18"/>
        <v>IHVNfcAbujaMunicipalAreaCouncil</v>
      </c>
    </row>
    <row r="1172">
      <c r="AV1172" s="0" t="s">
        <v>473</v>
      </c>
      <c r="AW1172" s="0" t="s">
        <v>404</v>
      </c>
      <c r="AX1172" s="0" t="s">
        <v>451</v>
      </c>
      <c r="AY1172" s="0" t="s">
        <v>3370</v>
      </c>
      <c r="AZ1172" s="0" t="s">
        <v>3371</v>
      </c>
      <c r="BA1172" s="0" t="s">
        <v>708</v>
      </c>
      <c r="BB1172" s="0" t="str">
        <f t="shared" si="18"/>
        <v>IHVNfcAbujaMunicipalAreaCouncil</v>
      </c>
    </row>
    <row r="1173">
      <c r="AV1173" s="0" t="s">
        <v>473</v>
      </c>
      <c r="AW1173" s="0" t="s">
        <v>404</v>
      </c>
      <c r="AX1173" s="0" t="s">
        <v>451</v>
      </c>
      <c r="AY1173" s="0" t="s">
        <v>3372</v>
      </c>
      <c r="AZ1173" s="0" t="s">
        <v>3373</v>
      </c>
      <c r="BA1173" s="0" t="s">
        <v>708</v>
      </c>
      <c r="BB1173" s="0" t="str">
        <f t="shared" si="18"/>
        <v>IHVNfcAbujaMunicipalAreaCouncil</v>
      </c>
    </row>
    <row r="1174">
      <c r="AV1174" s="0" t="s">
        <v>473</v>
      </c>
      <c r="AW1174" s="0" t="s">
        <v>404</v>
      </c>
      <c r="AX1174" s="0" t="s">
        <v>451</v>
      </c>
      <c r="AY1174" s="0" t="s">
        <v>3374</v>
      </c>
      <c r="AZ1174" s="0" t="s">
        <v>3375</v>
      </c>
      <c r="BA1174" s="0" t="s">
        <v>708</v>
      </c>
      <c r="BB1174" s="0" t="str">
        <f t="shared" si="18"/>
        <v>IHVNfcAbujaMunicipalAreaCouncil</v>
      </c>
    </row>
    <row r="1175">
      <c r="AV1175" s="0" t="s">
        <v>473</v>
      </c>
      <c r="AW1175" s="0" t="s">
        <v>404</v>
      </c>
      <c r="AX1175" s="0" t="s">
        <v>451</v>
      </c>
      <c r="AY1175" s="0" t="s">
        <v>3376</v>
      </c>
      <c r="AZ1175" s="0" t="s">
        <v>3377</v>
      </c>
      <c r="BA1175" s="0" t="s">
        <v>708</v>
      </c>
      <c r="BB1175" s="0" t="str">
        <f t="shared" si="18"/>
        <v>IHVNfcAbujaMunicipalAreaCouncil</v>
      </c>
    </row>
    <row r="1176">
      <c r="AV1176" s="0" t="s">
        <v>473</v>
      </c>
      <c r="AW1176" s="0" t="s">
        <v>404</v>
      </c>
      <c r="AX1176" s="0" t="s">
        <v>451</v>
      </c>
      <c r="AY1176" s="0" t="s">
        <v>3378</v>
      </c>
      <c r="AZ1176" s="0" t="s">
        <v>3379</v>
      </c>
      <c r="BA1176" s="0" t="s">
        <v>708</v>
      </c>
      <c r="BB1176" s="0" t="str">
        <f t="shared" si="18"/>
        <v>IHVNfcAbujaMunicipalAreaCouncil</v>
      </c>
    </row>
    <row r="1177">
      <c r="AV1177" s="0" t="s">
        <v>473</v>
      </c>
      <c r="AW1177" s="0" t="s">
        <v>404</v>
      </c>
      <c r="AX1177" s="0" t="s">
        <v>451</v>
      </c>
      <c r="AY1177" s="0" t="s">
        <v>3380</v>
      </c>
      <c r="AZ1177" s="0" t="s">
        <v>3381</v>
      </c>
      <c r="BA1177" s="0" t="s">
        <v>708</v>
      </c>
      <c r="BB1177" s="0" t="str">
        <f t="shared" si="18"/>
        <v>IHVNfcAbujaMunicipalAreaCouncil</v>
      </c>
    </row>
    <row r="1178">
      <c r="AV1178" s="0" t="s">
        <v>473</v>
      </c>
      <c r="AW1178" s="0" t="s">
        <v>404</v>
      </c>
      <c r="AX1178" s="0" t="s">
        <v>451</v>
      </c>
      <c r="AY1178" s="0" t="s">
        <v>3382</v>
      </c>
      <c r="AZ1178" s="0" t="s">
        <v>3383</v>
      </c>
      <c r="BA1178" s="0" t="s">
        <v>708</v>
      </c>
      <c r="BB1178" s="0" t="str">
        <f t="shared" si="18"/>
        <v>IHVNfcAbujaMunicipalAreaCouncil</v>
      </c>
    </row>
    <row r="1179">
      <c r="AV1179" s="0" t="s">
        <v>473</v>
      </c>
      <c r="AW1179" s="0" t="s">
        <v>404</v>
      </c>
      <c r="AX1179" s="0" t="s">
        <v>451</v>
      </c>
      <c r="AY1179" s="0" t="s">
        <v>3384</v>
      </c>
      <c r="AZ1179" s="0" t="s">
        <v>3385</v>
      </c>
      <c r="BA1179" s="0" t="s">
        <v>708</v>
      </c>
      <c r="BB1179" s="0" t="str">
        <f t="shared" si="18"/>
        <v>IHVNfcAbujaMunicipalAreaCouncil</v>
      </c>
    </row>
    <row r="1180">
      <c r="AV1180" s="0" t="s">
        <v>473</v>
      </c>
      <c r="AW1180" s="0" t="s">
        <v>404</v>
      </c>
      <c r="AX1180" s="0" t="s">
        <v>451</v>
      </c>
      <c r="AY1180" s="0" t="s">
        <v>3386</v>
      </c>
      <c r="AZ1180" s="0" t="s">
        <v>3387</v>
      </c>
      <c r="BA1180" s="0" t="s">
        <v>708</v>
      </c>
      <c r="BB1180" s="0" t="str">
        <f t="shared" si="18"/>
        <v>IHVNfcAbujaMunicipalAreaCouncil</v>
      </c>
    </row>
    <row r="1181">
      <c r="AV1181" s="0" t="s">
        <v>473</v>
      </c>
      <c r="AW1181" s="0" t="s">
        <v>404</v>
      </c>
      <c r="AX1181" s="0" t="s">
        <v>451</v>
      </c>
      <c r="AY1181" s="0" t="s">
        <v>3388</v>
      </c>
      <c r="AZ1181" s="0" t="s">
        <v>3389</v>
      </c>
      <c r="BA1181" s="0" t="s">
        <v>708</v>
      </c>
      <c r="BB1181" s="0" t="str">
        <f t="shared" si="18"/>
        <v>IHVNfcAbujaMunicipalAreaCouncil</v>
      </c>
    </row>
    <row r="1182">
      <c r="AV1182" s="0" t="s">
        <v>473</v>
      </c>
      <c r="AW1182" s="0" t="s">
        <v>404</v>
      </c>
      <c r="AX1182" s="0" t="s">
        <v>451</v>
      </c>
      <c r="AY1182" s="0" t="s">
        <v>3390</v>
      </c>
      <c r="AZ1182" s="0" t="s">
        <v>3391</v>
      </c>
      <c r="BA1182" s="0" t="s">
        <v>708</v>
      </c>
      <c r="BB1182" s="0" t="str">
        <f t="shared" si="18"/>
        <v>IHVNfcAbujaMunicipalAreaCouncil</v>
      </c>
    </row>
    <row r="1183">
      <c r="AV1183" s="0" t="s">
        <v>473</v>
      </c>
      <c r="AW1183" s="0" t="s">
        <v>404</v>
      </c>
      <c r="AX1183" s="0" t="s">
        <v>451</v>
      </c>
      <c r="AY1183" s="0" t="s">
        <v>3392</v>
      </c>
      <c r="AZ1183" s="0" t="s">
        <v>3393</v>
      </c>
      <c r="BA1183" s="0" t="s">
        <v>708</v>
      </c>
      <c r="BB1183" s="0" t="str">
        <f t="shared" si="18"/>
        <v>IHVNfcAbujaMunicipalAreaCouncil</v>
      </c>
    </row>
    <row r="1184">
      <c r="AV1184" s="0" t="s">
        <v>473</v>
      </c>
      <c r="AW1184" s="0" t="s">
        <v>404</v>
      </c>
      <c r="AX1184" s="0" t="s">
        <v>451</v>
      </c>
      <c r="AY1184" s="0" t="s">
        <v>3394</v>
      </c>
      <c r="AZ1184" s="0" t="s">
        <v>3395</v>
      </c>
      <c r="BA1184" s="0" t="s">
        <v>708</v>
      </c>
      <c r="BB1184" s="0" t="str">
        <f t="shared" si="18"/>
        <v>IHVNfcAbujaMunicipalAreaCouncil</v>
      </c>
    </row>
    <row r="1185">
      <c r="AV1185" s="0" t="s">
        <v>473</v>
      </c>
      <c r="AW1185" s="0" t="s">
        <v>404</v>
      </c>
      <c r="AX1185" s="0" t="s">
        <v>451</v>
      </c>
      <c r="AY1185" s="0" t="s">
        <v>3396</v>
      </c>
      <c r="AZ1185" s="0" t="s">
        <v>3397</v>
      </c>
      <c r="BA1185" s="0" t="s">
        <v>708</v>
      </c>
      <c r="BB1185" s="0" t="str">
        <f t="shared" si="18"/>
        <v>IHVNfcAbujaMunicipalAreaCouncil</v>
      </c>
    </row>
    <row r="1186">
      <c r="AV1186" s="0" t="s">
        <v>473</v>
      </c>
      <c r="AW1186" s="0" t="s">
        <v>404</v>
      </c>
      <c r="AX1186" s="0" t="s">
        <v>451</v>
      </c>
      <c r="AY1186" s="0" t="s">
        <v>3398</v>
      </c>
      <c r="AZ1186" s="0" t="s">
        <v>3399</v>
      </c>
      <c r="BA1186" s="0" t="s">
        <v>708</v>
      </c>
      <c r="BB1186" s="0" t="str">
        <f t="shared" si="18"/>
        <v>IHVNfcAbujaMunicipalAreaCouncil</v>
      </c>
    </row>
    <row r="1187">
      <c r="AV1187" s="0" t="s">
        <v>473</v>
      </c>
      <c r="AW1187" s="0" t="s">
        <v>404</v>
      </c>
      <c r="AX1187" s="0" t="s">
        <v>451</v>
      </c>
      <c r="AY1187" s="0" t="s">
        <v>3400</v>
      </c>
      <c r="AZ1187" s="0" t="s">
        <v>3401</v>
      </c>
      <c r="BA1187" s="0" t="s">
        <v>708</v>
      </c>
      <c r="BB1187" s="0" t="str">
        <f t="shared" si="18"/>
        <v>IHVNfcAbujaMunicipalAreaCouncil</v>
      </c>
    </row>
    <row r="1188">
      <c r="AV1188" s="0" t="s">
        <v>473</v>
      </c>
      <c r="AW1188" s="0" t="s">
        <v>404</v>
      </c>
      <c r="AX1188" s="0" t="s">
        <v>451</v>
      </c>
      <c r="AY1188" s="0" t="s">
        <v>3402</v>
      </c>
      <c r="AZ1188" s="0" t="s">
        <v>3403</v>
      </c>
      <c r="BA1188" s="0" t="s">
        <v>708</v>
      </c>
      <c r="BB1188" s="0" t="str">
        <f t="shared" si="18"/>
        <v>IHVNfcAbujaMunicipalAreaCouncil</v>
      </c>
    </row>
    <row r="1189">
      <c r="AV1189" s="0" t="s">
        <v>473</v>
      </c>
      <c r="AW1189" s="0" t="s">
        <v>404</v>
      </c>
      <c r="AX1189" s="0" t="s">
        <v>451</v>
      </c>
      <c r="AY1189" s="0" t="s">
        <v>3404</v>
      </c>
      <c r="AZ1189" s="0" t="s">
        <v>3405</v>
      </c>
      <c r="BA1189" s="0" t="s">
        <v>708</v>
      </c>
      <c r="BB1189" s="0" t="str">
        <f t="shared" si="18"/>
        <v>IHVNfcAbujaMunicipalAreaCouncil</v>
      </c>
    </row>
    <row r="1190">
      <c r="AV1190" s="0" t="s">
        <v>473</v>
      </c>
      <c r="AW1190" s="0" t="s">
        <v>404</v>
      </c>
      <c r="AX1190" s="0" t="s">
        <v>451</v>
      </c>
      <c r="AY1190" s="0" t="s">
        <v>3406</v>
      </c>
      <c r="AZ1190" s="0" t="s">
        <v>3407</v>
      </c>
      <c r="BA1190" s="0" t="s">
        <v>708</v>
      </c>
      <c r="BB1190" s="0" t="str">
        <f t="shared" si="18"/>
        <v>IHVNfcAbujaMunicipalAreaCouncil</v>
      </c>
    </row>
    <row r="1191">
      <c r="AV1191" s="0" t="s">
        <v>473</v>
      </c>
      <c r="AW1191" s="0" t="s">
        <v>404</v>
      </c>
      <c r="AX1191" s="0" t="s">
        <v>451</v>
      </c>
      <c r="AY1191" s="0" t="s">
        <v>3408</v>
      </c>
      <c r="AZ1191" s="0" t="s">
        <v>3409</v>
      </c>
      <c r="BA1191" s="0" t="s">
        <v>708</v>
      </c>
      <c r="BB1191" s="0" t="str">
        <f t="shared" si="18"/>
        <v>IHVNfcAbujaMunicipalAreaCouncil</v>
      </c>
    </row>
    <row r="1192">
      <c r="AV1192" s="0" t="s">
        <v>473</v>
      </c>
      <c r="AW1192" s="0" t="s">
        <v>404</v>
      </c>
      <c r="AX1192" s="0" t="s">
        <v>451</v>
      </c>
      <c r="AY1192" s="0" t="s">
        <v>3410</v>
      </c>
      <c r="AZ1192" s="0" t="s">
        <v>3411</v>
      </c>
      <c r="BA1192" s="0" t="s">
        <v>708</v>
      </c>
      <c r="BB1192" s="0" t="str">
        <f t="shared" si="18"/>
        <v>IHVNfcAbujaMunicipalAreaCouncil</v>
      </c>
    </row>
    <row r="1193">
      <c r="AV1193" s="0" t="s">
        <v>473</v>
      </c>
      <c r="AW1193" s="0" t="s">
        <v>404</v>
      </c>
      <c r="AX1193" s="0" t="s">
        <v>451</v>
      </c>
      <c r="AY1193" s="0" t="s">
        <v>3412</v>
      </c>
      <c r="AZ1193" s="0" t="s">
        <v>3413</v>
      </c>
      <c r="BA1193" s="0" t="s">
        <v>708</v>
      </c>
      <c r="BB1193" s="0" t="str">
        <f t="shared" si="18"/>
        <v>IHVNfcAbujaMunicipalAreaCouncil</v>
      </c>
    </row>
    <row r="1194">
      <c r="AV1194" s="0" t="s">
        <v>473</v>
      </c>
      <c r="AW1194" s="0" t="s">
        <v>404</v>
      </c>
      <c r="AX1194" s="0" t="s">
        <v>451</v>
      </c>
      <c r="AY1194" s="0" t="s">
        <v>3414</v>
      </c>
      <c r="AZ1194" s="0" t="s">
        <v>3415</v>
      </c>
      <c r="BA1194" s="0" t="s">
        <v>708</v>
      </c>
      <c r="BB1194" s="0" t="str">
        <f t="shared" si="18"/>
        <v>IHVNfcAbujaMunicipalAreaCouncil</v>
      </c>
    </row>
    <row r="1195">
      <c r="AV1195" s="0" t="s">
        <v>473</v>
      </c>
      <c r="AW1195" s="0" t="s">
        <v>404</v>
      </c>
      <c r="AX1195" s="0" t="s">
        <v>451</v>
      </c>
      <c r="AY1195" s="0" t="s">
        <v>3416</v>
      </c>
      <c r="AZ1195" s="0" t="s">
        <v>3417</v>
      </c>
      <c r="BA1195" s="0" t="s">
        <v>708</v>
      </c>
      <c r="BB1195" s="0" t="str">
        <f t="shared" si="18"/>
        <v>IHVNfcAbujaMunicipalAreaCouncil</v>
      </c>
    </row>
    <row r="1196">
      <c r="AV1196" s="0" t="s">
        <v>473</v>
      </c>
      <c r="AW1196" s="0" t="s">
        <v>404</v>
      </c>
      <c r="AX1196" s="0" t="s">
        <v>451</v>
      </c>
      <c r="AY1196" s="0" t="s">
        <v>3418</v>
      </c>
      <c r="AZ1196" s="0" t="s">
        <v>3419</v>
      </c>
      <c r="BA1196" s="0" t="s">
        <v>708</v>
      </c>
      <c r="BB1196" s="0" t="str">
        <f t="shared" si="18"/>
        <v>IHVNfcAbujaMunicipalAreaCouncil</v>
      </c>
    </row>
    <row r="1197">
      <c r="AV1197" s="0" t="s">
        <v>473</v>
      </c>
      <c r="AW1197" s="0" t="s">
        <v>404</v>
      </c>
      <c r="AX1197" s="0" t="s">
        <v>451</v>
      </c>
      <c r="AY1197" s="0" t="s">
        <v>3420</v>
      </c>
      <c r="AZ1197" s="0" t="s">
        <v>3421</v>
      </c>
      <c r="BA1197" s="0" t="s">
        <v>708</v>
      </c>
      <c r="BB1197" s="0" t="str">
        <f t="shared" si="18"/>
        <v>IHVNfcAbujaMunicipalAreaCouncil</v>
      </c>
    </row>
    <row r="1198">
      <c r="AV1198" s="0" t="s">
        <v>473</v>
      </c>
      <c r="AW1198" s="0" t="s">
        <v>404</v>
      </c>
      <c r="AX1198" s="0" t="s">
        <v>451</v>
      </c>
      <c r="AY1198" s="0" t="s">
        <v>3422</v>
      </c>
      <c r="AZ1198" s="0" t="s">
        <v>3423</v>
      </c>
      <c r="BA1198" s="0" t="s">
        <v>708</v>
      </c>
      <c r="BB1198" s="0" t="str">
        <f t="shared" si="18"/>
        <v>IHVNfcAbujaMunicipalAreaCouncil</v>
      </c>
    </row>
    <row r="1199">
      <c r="AV1199" s="0" t="s">
        <v>473</v>
      </c>
      <c r="AW1199" s="0" t="s">
        <v>404</v>
      </c>
      <c r="AX1199" s="0" t="s">
        <v>451</v>
      </c>
      <c r="AY1199" s="0" t="s">
        <v>3424</v>
      </c>
      <c r="AZ1199" s="0" t="s">
        <v>3425</v>
      </c>
      <c r="BA1199" s="0" t="s">
        <v>708</v>
      </c>
      <c r="BB1199" s="0" t="str">
        <f t="shared" si="18"/>
        <v>IHVNfcAbujaMunicipalAreaCouncil</v>
      </c>
    </row>
    <row r="1200">
      <c r="AV1200" s="0" t="s">
        <v>473</v>
      </c>
      <c r="AW1200" s="0" t="s">
        <v>404</v>
      </c>
      <c r="AX1200" s="0" t="s">
        <v>451</v>
      </c>
      <c r="AY1200" s="0" t="s">
        <v>3426</v>
      </c>
      <c r="AZ1200" s="0" t="s">
        <v>3427</v>
      </c>
      <c r="BA1200" s="0" t="s">
        <v>708</v>
      </c>
      <c r="BB1200" s="0" t="str">
        <f t="shared" si="18"/>
        <v>IHVNfcAbujaMunicipalAreaCouncil</v>
      </c>
    </row>
    <row r="1201">
      <c r="AV1201" s="0" t="s">
        <v>473</v>
      </c>
      <c r="AW1201" s="0" t="s">
        <v>404</v>
      </c>
      <c r="AX1201" s="0" t="s">
        <v>451</v>
      </c>
      <c r="AY1201" s="0" t="s">
        <v>3428</v>
      </c>
      <c r="AZ1201" s="0" t="s">
        <v>3429</v>
      </c>
      <c r="BA1201" s="0" t="s">
        <v>708</v>
      </c>
      <c r="BB1201" s="0" t="str">
        <f t="shared" si="18"/>
        <v>IHVNfcAbujaMunicipalAreaCouncil</v>
      </c>
    </row>
    <row r="1202">
      <c r="AV1202" s="0" t="s">
        <v>473</v>
      </c>
      <c r="AW1202" s="0" t="s">
        <v>404</v>
      </c>
      <c r="AX1202" s="0" t="s">
        <v>451</v>
      </c>
      <c r="AY1202" s="0" t="s">
        <v>3430</v>
      </c>
      <c r="AZ1202" s="0" t="s">
        <v>3431</v>
      </c>
      <c r="BA1202" s="0" t="s">
        <v>708</v>
      </c>
      <c r="BB1202" s="0" t="str">
        <f t="shared" si="18"/>
        <v>IHVNfcAbujaMunicipalAreaCouncil</v>
      </c>
    </row>
    <row r="1203">
      <c r="AV1203" s="0" t="s">
        <v>473</v>
      </c>
      <c r="AW1203" s="0" t="s">
        <v>404</v>
      </c>
      <c r="AX1203" s="0" t="s">
        <v>451</v>
      </c>
      <c r="AY1203" s="0" t="s">
        <v>3432</v>
      </c>
      <c r="AZ1203" s="0" t="s">
        <v>3433</v>
      </c>
      <c r="BA1203" s="0" t="s">
        <v>708</v>
      </c>
      <c r="BB1203" s="0" t="str">
        <f t="shared" si="18"/>
        <v>IHVNfcAbujaMunicipalAreaCouncil</v>
      </c>
    </row>
    <row r="1204">
      <c r="AV1204" s="0" t="s">
        <v>473</v>
      </c>
      <c r="AW1204" s="0" t="s">
        <v>404</v>
      </c>
      <c r="AX1204" s="0" t="s">
        <v>451</v>
      </c>
      <c r="AY1204" s="0" t="s">
        <v>3434</v>
      </c>
      <c r="AZ1204" s="0" t="s">
        <v>3435</v>
      </c>
      <c r="BA1204" s="0" t="s">
        <v>708</v>
      </c>
      <c r="BB1204" s="0" t="str">
        <f t="shared" si="18"/>
        <v>IHVNfcAbujaMunicipalAreaCouncil</v>
      </c>
    </row>
    <row r="1205">
      <c r="AV1205" s="0" t="s">
        <v>473</v>
      </c>
      <c r="AW1205" s="0" t="s">
        <v>404</v>
      </c>
      <c r="AX1205" s="0" t="s">
        <v>451</v>
      </c>
      <c r="AY1205" s="0" t="s">
        <v>3436</v>
      </c>
      <c r="AZ1205" s="0" t="s">
        <v>3437</v>
      </c>
      <c r="BA1205" s="0" t="s">
        <v>708</v>
      </c>
      <c r="BB1205" s="0" t="str">
        <f t="shared" si="18"/>
        <v>IHVNfcAbujaMunicipalAreaCouncil</v>
      </c>
    </row>
    <row r="1206">
      <c r="AV1206" s="0" t="s">
        <v>473</v>
      </c>
      <c r="AW1206" s="0" t="s">
        <v>404</v>
      </c>
      <c r="AX1206" s="0" t="s">
        <v>451</v>
      </c>
      <c r="AY1206" s="0" t="s">
        <v>3438</v>
      </c>
      <c r="AZ1206" s="0" t="s">
        <v>3439</v>
      </c>
      <c r="BA1206" s="0" t="s">
        <v>708</v>
      </c>
      <c r="BB1206" s="0" t="str">
        <f t="shared" si="18"/>
        <v>IHVNfcAbujaMunicipalAreaCouncil</v>
      </c>
    </row>
    <row r="1207">
      <c r="AV1207" s="0" t="s">
        <v>473</v>
      </c>
      <c r="AW1207" s="0" t="s">
        <v>404</v>
      </c>
      <c r="AX1207" s="0" t="s">
        <v>451</v>
      </c>
      <c r="AY1207" s="0" t="s">
        <v>3440</v>
      </c>
      <c r="AZ1207" s="0" t="s">
        <v>3441</v>
      </c>
      <c r="BA1207" s="0" t="s">
        <v>708</v>
      </c>
      <c r="BB1207" s="0" t="str">
        <f t="shared" si="18"/>
        <v>IHVNfcAbujaMunicipalAreaCouncil</v>
      </c>
    </row>
    <row r="1208">
      <c r="AV1208" s="0" t="s">
        <v>473</v>
      </c>
      <c r="AW1208" s="0" t="s">
        <v>404</v>
      </c>
      <c r="AX1208" s="0" t="s">
        <v>451</v>
      </c>
      <c r="AY1208" s="0" t="s">
        <v>3442</v>
      </c>
      <c r="AZ1208" s="0" t="s">
        <v>3443</v>
      </c>
      <c r="BA1208" s="0" t="s">
        <v>708</v>
      </c>
      <c r="BB1208" s="0" t="str">
        <f t="shared" si="18"/>
        <v>IHVNfcAbujaMunicipalAreaCouncil</v>
      </c>
    </row>
    <row r="1209">
      <c r="AV1209" s="0" t="s">
        <v>473</v>
      </c>
      <c r="AW1209" s="0" t="s">
        <v>404</v>
      </c>
      <c r="AX1209" s="0" t="s">
        <v>451</v>
      </c>
      <c r="AY1209" s="0" t="s">
        <v>3444</v>
      </c>
      <c r="AZ1209" s="0" t="s">
        <v>3445</v>
      </c>
      <c r="BA1209" s="0" t="s">
        <v>708</v>
      </c>
      <c r="BB1209" s="0" t="str">
        <f t="shared" si="18"/>
        <v>IHVNfcAbujaMunicipalAreaCouncil</v>
      </c>
    </row>
    <row r="1210">
      <c r="AV1210" s="0" t="s">
        <v>473</v>
      </c>
      <c r="AW1210" s="0" t="s">
        <v>404</v>
      </c>
      <c r="AX1210" s="0" t="s">
        <v>451</v>
      </c>
      <c r="AY1210" s="0" t="s">
        <v>3446</v>
      </c>
      <c r="AZ1210" s="0" t="s">
        <v>3447</v>
      </c>
      <c r="BA1210" s="0" t="s">
        <v>708</v>
      </c>
      <c r="BB1210" s="0" t="str">
        <f t="shared" si="18"/>
        <v>IHVNfcAbujaMunicipalAreaCouncil</v>
      </c>
    </row>
    <row r="1211">
      <c r="AV1211" s="0" t="s">
        <v>473</v>
      </c>
      <c r="AW1211" s="0" t="s">
        <v>404</v>
      </c>
      <c r="AX1211" s="0" t="s">
        <v>451</v>
      </c>
      <c r="AY1211" s="0" t="s">
        <v>3448</v>
      </c>
      <c r="AZ1211" s="0" t="s">
        <v>3449</v>
      </c>
      <c r="BA1211" s="0" t="s">
        <v>708</v>
      </c>
      <c r="BB1211" s="0" t="str">
        <f t="shared" si="18"/>
        <v>IHVNfcAbujaMunicipalAreaCouncil</v>
      </c>
    </row>
    <row r="1212">
      <c r="AV1212" s="0" t="s">
        <v>473</v>
      </c>
      <c r="AW1212" s="0" t="s">
        <v>404</v>
      </c>
      <c r="AX1212" s="0" t="s">
        <v>451</v>
      </c>
      <c r="AY1212" s="0" t="s">
        <v>3450</v>
      </c>
      <c r="AZ1212" s="0" t="s">
        <v>3451</v>
      </c>
      <c r="BA1212" s="0" t="s">
        <v>708</v>
      </c>
      <c r="BB1212" s="0" t="str">
        <f t="shared" si="18"/>
        <v>IHVNfcAbujaMunicipalAreaCouncil</v>
      </c>
    </row>
    <row r="1213">
      <c r="AV1213" s="0" t="s">
        <v>473</v>
      </c>
      <c r="AW1213" s="0" t="s">
        <v>404</v>
      </c>
      <c r="AX1213" s="0" t="s">
        <v>451</v>
      </c>
      <c r="AY1213" s="0" t="s">
        <v>3452</v>
      </c>
      <c r="AZ1213" s="0" t="s">
        <v>3453</v>
      </c>
      <c r="BA1213" s="0" t="s">
        <v>708</v>
      </c>
      <c r="BB1213" s="0" t="str">
        <f t="shared" si="18"/>
        <v>IHVNfcAbujaMunicipalAreaCouncil</v>
      </c>
    </row>
    <row r="1214">
      <c r="AV1214" s="0" t="s">
        <v>473</v>
      </c>
      <c r="AW1214" s="0" t="s">
        <v>404</v>
      </c>
      <c r="AX1214" s="0" t="s">
        <v>451</v>
      </c>
      <c r="AY1214" s="0" t="s">
        <v>3454</v>
      </c>
      <c r="AZ1214" s="0" t="s">
        <v>3455</v>
      </c>
      <c r="BA1214" s="0" t="s">
        <v>708</v>
      </c>
      <c r="BB1214" s="0" t="str">
        <f t="shared" si="18"/>
        <v>IHVNfcAbujaMunicipalAreaCouncil</v>
      </c>
    </row>
    <row r="1215">
      <c r="AV1215" s="0" t="s">
        <v>473</v>
      </c>
      <c r="AW1215" s="0" t="s">
        <v>404</v>
      </c>
      <c r="AX1215" s="0" t="s">
        <v>451</v>
      </c>
      <c r="AY1215" s="0" t="s">
        <v>3456</v>
      </c>
      <c r="AZ1215" s="0" t="s">
        <v>3457</v>
      </c>
      <c r="BA1215" s="0" t="s">
        <v>708</v>
      </c>
      <c r="BB1215" s="0" t="str">
        <f t="shared" si="18"/>
        <v>IHVNfcAbujaMunicipalAreaCouncil</v>
      </c>
    </row>
    <row r="1216">
      <c r="AV1216" s="0" t="s">
        <v>473</v>
      </c>
      <c r="AW1216" s="0" t="s">
        <v>404</v>
      </c>
      <c r="AX1216" s="0" t="s">
        <v>451</v>
      </c>
      <c r="AY1216" s="0" t="s">
        <v>3458</v>
      </c>
      <c r="AZ1216" s="0" t="s">
        <v>3459</v>
      </c>
      <c r="BA1216" s="0" t="s">
        <v>708</v>
      </c>
      <c r="BB1216" s="0" t="str">
        <f t="shared" si="18"/>
        <v>IHVNfcAbujaMunicipalAreaCouncil</v>
      </c>
    </row>
    <row r="1217">
      <c r="AV1217" s="0" t="s">
        <v>473</v>
      </c>
      <c r="AW1217" s="0" t="s">
        <v>404</v>
      </c>
      <c r="AX1217" s="0" t="s">
        <v>451</v>
      </c>
      <c r="AY1217" s="0" t="s">
        <v>3460</v>
      </c>
      <c r="AZ1217" s="0" t="s">
        <v>3461</v>
      </c>
      <c r="BA1217" s="0" t="s">
        <v>708</v>
      </c>
      <c r="BB1217" s="0" t="str">
        <f t="shared" si="18"/>
        <v>IHVNfcAbujaMunicipalAreaCouncil</v>
      </c>
    </row>
    <row r="1218">
      <c r="AV1218" s="0" t="s">
        <v>473</v>
      </c>
      <c r="AW1218" s="0" t="s">
        <v>404</v>
      </c>
      <c r="AX1218" s="0" t="s">
        <v>451</v>
      </c>
      <c r="AY1218" s="0" t="s">
        <v>3462</v>
      </c>
      <c r="AZ1218" s="0" t="s">
        <v>3463</v>
      </c>
      <c r="BA1218" s="0" t="s">
        <v>708</v>
      </c>
      <c r="BB1218" s="0" t="str">
        <f t="shared" si="18"/>
        <v>IHVNfcAbujaMunicipalAreaCouncil</v>
      </c>
    </row>
    <row r="1219">
      <c r="AV1219" s="0" t="s">
        <v>473</v>
      </c>
      <c r="AW1219" s="0" t="s">
        <v>404</v>
      </c>
      <c r="AX1219" s="0" t="s">
        <v>451</v>
      </c>
      <c r="AY1219" s="0" t="s">
        <v>3464</v>
      </c>
      <c r="AZ1219" s="0" t="s">
        <v>3465</v>
      </c>
      <c r="BA1219" s="0" t="s">
        <v>708</v>
      </c>
      <c r="BB1219" s="0" t="str">
        <f ref="BB1219:BB1282" t="shared" si="19">SUBSTITUTE(SUBSTITUTE(BA1219&amp;AX1219," ",""),"-","")</f>
        <v>IHVNfcAbujaMunicipalAreaCouncil</v>
      </c>
    </row>
    <row r="1220">
      <c r="AV1220" s="0" t="s">
        <v>473</v>
      </c>
      <c r="AW1220" s="0" t="s">
        <v>404</v>
      </c>
      <c r="AX1220" s="0" t="s">
        <v>451</v>
      </c>
      <c r="AY1220" s="0" t="s">
        <v>3466</v>
      </c>
      <c r="AZ1220" s="0" t="s">
        <v>3467</v>
      </c>
      <c r="BA1220" s="0" t="s">
        <v>708</v>
      </c>
      <c r="BB1220" s="0" t="str">
        <f t="shared" si="19"/>
        <v>IHVNfcAbujaMunicipalAreaCouncil</v>
      </c>
    </row>
    <row r="1221">
      <c r="AV1221" s="0" t="s">
        <v>473</v>
      </c>
      <c r="AW1221" s="0" t="s">
        <v>404</v>
      </c>
      <c r="AX1221" s="0" t="s">
        <v>451</v>
      </c>
      <c r="AY1221" s="0" t="s">
        <v>3468</v>
      </c>
      <c r="AZ1221" s="0" t="s">
        <v>3469</v>
      </c>
      <c r="BA1221" s="0" t="s">
        <v>708</v>
      </c>
      <c r="BB1221" s="0" t="str">
        <f t="shared" si="19"/>
        <v>IHVNfcAbujaMunicipalAreaCouncil</v>
      </c>
    </row>
    <row r="1222">
      <c r="AV1222" s="0" t="s">
        <v>473</v>
      </c>
      <c r="AW1222" s="0" t="s">
        <v>404</v>
      </c>
      <c r="AX1222" s="0" t="s">
        <v>451</v>
      </c>
      <c r="AY1222" s="0" t="s">
        <v>3470</v>
      </c>
      <c r="AZ1222" s="0" t="s">
        <v>3471</v>
      </c>
      <c r="BA1222" s="0" t="s">
        <v>708</v>
      </c>
      <c r="BB1222" s="0" t="str">
        <f t="shared" si="19"/>
        <v>IHVNfcAbujaMunicipalAreaCouncil</v>
      </c>
    </row>
    <row r="1223">
      <c r="AV1223" s="0" t="s">
        <v>473</v>
      </c>
      <c r="AW1223" s="0" t="s">
        <v>404</v>
      </c>
      <c r="AX1223" s="0" t="s">
        <v>451</v>
      </c>
      <c r="AY1223" s="0" t="s">
        <v>3472</v>
      </c>
      <c r="AZ1223" s="0" t="s">
        <v>3473</v>
      </c>
      <c r="BA1223" s="0" t="s">
        <v>708</v>
      </c>
      <c r="BB1223" s="0" t="str">
        <f t="shared" si="19"/>
        <v>IHVNfcAbujaMunicipalAreaCouncil</v>
      </c>
    </row>
    <row r="1224">
      <c r="AV1224" s="0" t="s">
        <v>473</v>
      </c>
      <c r="AW1224" s="0" t="s">
        <v>404</v>
      </c>
      <c r="AX1224" s="0" t="s">
        <v>451</v>
      </c>
      <c r="AY1224" s="0" t="s">
        <v>3474</v>
      </c>
      <c r="AZ1224" s="0" t="s">
        <v>3475</v>
      </c>
      <c r="BA1224" s="0" t="s">
        <v>708</v>
      </c>
      <c r="BB1224" s="0" t="str">
        <f t="shared" si="19"/>
        <v>IHVNfcAbujaMunicipalAreaCouncil</v>
      </c>
    </row>
    <row r="1225">
      <c r="AV1225" s="0" t="s">
        <v>473</v>
      </c>
      <c r="AW1225" s="0" t="s">
        <v>404</v>
      </c>
      <c r="AX1225" s="0" t="s">
        <v>451</v>
      </c>
      <c r="AY1225" s="0" t="s">
        <v>3476</v>
      </c>
      <c r="AZ1225" s="0" t="s">
        <v>3477</v>
      </c>
      <c r="BA1225" s="0" t="s">
        <v>708</v>
      </c>
      <c r="BB1225" s="0" t="str">
        <f t="shared" si="19"/>
        <v>IHVNfcAbujaMunicipalAreaCouncil</v>
      </c>
    </row>
    <row r="1226">
      <c r="AV1226" s="0" t="s">
        <v>473</v>
      </c>
      <c r="AW1226" s="0" t="s">
        <v>404</v>
      </c>
      <c r="AX1226" s="0" t="s">
        <v>493</v>
      </c>
      <c r="AY1226" s="0" t="s">
        <v>3478</v>
      </c>
      <c r="AZ1226" s="0" t="s">
        <v>3479</v>
      </c>
      <c r="BA1226" s="0" t="s">
        <v>708</v>
      </c>
      <c r="BB1226" s="0" t="str">
        <f t="shared" si="19"/>
        <v>IHVNfcBwari</v>
      </c>
    </row>
    <row r="1227">
      <c r="AV1227" s="0" t="s">
        <v>473</v>
      </c>
      <c r="AW1227" s="0" t="s">
        <v>404</v>
      </c>
      <c r="AX1227" s="0" t="s">
        <v>493</v>
      </c>
      <c r="AY1227" s="0" t="s">
        <v>3480</v>
      </c>
      <c r="AZ1227" s="0" t="s">
        <v>3481</v>
      </c>
      <c r="BA1227" s="0" t="s">
        <v>708</v>
      </c>
      <c r="BB1227" s="0" t="str">
        <f t="shared" si="19"/>
        <v>IHVNfcBwari</v>
      </c>
    </row>
    <row r="1228">
      <c r="AV1228" s="0" t="s">
        <v>473</v>
      </c>
      <c r="AW1228" s="0" t="s">
        <v>404</v>
      </c>
      <c r="AX1228" s="0" t="s">
        <v>493</v>
      </c>
      <c r="AY1228" s="0" t="s">
        <v>3482</v>
      </c>
      <c r="AZ1228" s="0" t="s">
        <v>3483</v>
      </c>
      <c r="BA1228" s="0" t="s">
        <v>708</v>
      </c>
      <c r="BB1228" s="0" t="str">
        <f t="shared" si="19"/>
        <v>IHVNfcBwari</v>
      </c>
    </row>
    <row r="1229">
      <c r="AV1229" s="0" t="s">
        <v>473</v>
      </c>
      <c r="AW1229" s="0" t="s">
        <v>404</v>
      </c>
      <c r="AX1229" s="0" t="s">
        <v>493</v>
      </c>
      <c r="AY1229" s="0" t="s">
        <v>3484</v>
      </c>
      <c r="AZ1229" s="0" t="s">
        <v>3485</v>
      </c>
      <c r="BA1229" s="0" t="s">
        <v>708</v>
      </c>
      <c r="BB1229" s="0" t="str">
        <f t="shared" si="19"/>
        <v>IHVNfcBwari</v>
      </c>
    </row>
    <row r="1230">
      <c r="AV1230" s="0" t="s">
        <v>473</v>
      </c>
      <c r="AW1230" s="0" t="s">
        <v>404</v>
      </c>
      <c r="AX1230" s="0" t="s">
        <v>493</v>
      </c>
      <c r="AY1230" s="0" t="s">
        <v>3486</v>
      </c>
      <c r="AZ1230" s="0" t="s">
        <v>3487</v>
      </c>
      <c r="BA1230" s="0" t="s">
        <v>708</v>
      </c>
      <c r="BB1230" s="0" t="str">
        <f t="shared" si="19"/>
        <v>IHVNfcBwari</v>
      </c>
    </row>
    <row r="1231">
      <c r="AV1231" s="0" t="s">
        <v>473</v>
      </c>
      <c r="AW1231" s="0" t="s">
        <v>404</v>
      </c>
      <c r="AX1231" s="0" t="s">
        <v>493</v>
      </c>
      <c r="AY1231" s="0" t="s">
        <v>3488</v>
      </c>
      <c r="AZ1231" s="0" t="s">
        <v>3489</v>
      </c>
      <c r="BA1231" s="0" t="s">
        <v>708</v>
      </c>
      <c r="BB1231" s="0" t="str">
        <f t="shared" si="19"/>
        <v>IHVNfcBwari</v>
      </c>
    </row>
    <row r="1232">
      <c r="AV1232" s="0" t="s">
        <v>473</v>
      </c>
      <c r="AW1232" s="0" t="s">
        <v>404</v>
      </c>
      <c r="AX1232" s="0" t="s">
        <v>493</v>
      </c>
      <c r="AY1232" s="0" t="s">
        <v>3490</v>
      </c>
      <c r="AZ1232" s="0" t="s">
        <v>3491</v>
      </c>
      <c r="BA1232" s="0" t="s">
        <v>708</v>
      </c>
      <c r="BB1232" s="0" t="str">
        <f t="shared" si="19"/>
        <v>IHVNfcBwari</v>
      </c>
    </row>
    <row r="1233">
      <c r="AV1233" s="0" t="s">
        <v>473</v>
      </c>
      <c r="AW1233" s="0" t="s">
        <v>404</v>
      </c>
      <c r="AX1233" s="0" t="s">
        <v>493</v>
      </c>
      <c r="AY1233" s="0" t="s">
        <v>3492</v>
      </c>
      <c r="AZ1233" s="0" t="s">
        <v>3493</v>
      </c>
      <c r="BA1233" s="0" t="s">
        <v>708</v>
      </c>
      <c r="BB1233" s="0" t="str">
        <f t="shared" si="19"/>
        <v>IHVNfcBwari</v>
      </c>
    </row>
    <row r="1234">
      <c r="AV1234" s="0" t="s">
        <v>473</v>
      </c>
      <c r="AW1234" s="0" t="s">
        <v>404</v>
      </c>
      <c r="AX1234" s="0" t="s">
        <v>493</v>
      </c>
      <c r="AY1234" s="0" t="s">
        <v>3494</v>
      </c>
      <c r="AZ1234" s="0" t="s">
        <v>3495</v>
      </c>
      <c r="BA1234" s="0" t="s">
        <v>708</v>
      </c>
      <c r="BB1234" s="0" t="str">
        <f t="shared" si="19"/>
        <v>IHVNfcBwari</v>
      </c>
    </row>
    <row r="1235">
      <c r="AV1235" s="0" t="s">
        <v>473</v>
      </c>
      <c r="AW1235" s="0" t="s">
        <v>404</v>
      </c>
      <c r="AX1235" s="0" t="s">
        <v>493</v>
      </c>
      <c r="AY1235" s="0" t="s">
        <v>3496</v>
      </c>
      <c r="AZ1235" s="0" t="s">
        <v>3497</v>
      </c>
      <c r="BA1235" s="0" t="s">
        <v>708</v>
      </c>
      <c r="BB1235" s="0" t="str">
        <f t="shared" si="19"/>
        <v>IHVNfcBwari</v>
      </c>
    </row>
    <row r="1236">
      <c r="AV1236" s="0" t="s">
        <v>473</v>
      </c>
      <c r="AW1236" s="0" t="s">
        <v>404</v>
      </c>
      <c r="AX1236" s="0" t="s">
        <v>493</v>
      </c>
      <c r="AY1236" s="0" t="s">
        <v>3498</v>
      </c>
      <c r="AZ1236" s="0" t="s">
        <v>3499</v>
      </c>
      <c r="BA1236" s="0" t="s">
        <v>708</v>
      </c>
      <c r="BB1236" s="0" t="str">
        <f t="shared" si="19"/>
        <v>IHVNfcBwari</v>
      </c>
    </row>
    <row r="1237">
      <c r="AV1237" s="0" t="s">
        <v>473</v>
      </c>
      <c r="AW1237" s="0" t="s">
        <v>404</v>
      </c>
      <c r="AX1237" s="0" t="s">
        <v>493</v>
      </c>
      <c r="AY1237" s="0" t="s">
        <v>3500</v>
      </c>
      <c r="AZ1237" s="0" t="s">
        <v>3501</v>
      </c>
      <c r="BA1237" s="0" t="s">
        <v>708</v>
      </c>
      <c r="BB1237" s="0" t="str">
        <f t="shared" si="19"/>
        <v>IHVNfcBwari</v>
      </c>
    </row>
    <row r="1238">
      <c r="AV1238" s="0" t="s">
        <v>473</v>
      </c>
      <c r="AW1238" s="0" t="s">
        <v>404</v>
      </c>
      <c r="AX1238" s="0" t="s">
        <v>493</v>
      </c>
      <c r="AY1238" s="0" t="s">
        <v>3502</v>
      </c>
      <c r="AZ1238" s="0" t="s">
        <v>3503</v>
      </c>
      <c r="BA1238" s="0" t="s">
        <v>708</v>
      </c>
      <c r="BB1238" s="0" t="str">
        <f t="shared" si="19"/>
        <v>IHVNfcBwari</v>
      </c>
    </row>
    <row r="1239">
      <c r="AV1239" s="0" t="s">
        <v>473</v>
      </c>
      <c r="AW1239" s="0" t="s">
        <v>404</v>
      </c>
      <c r="AX1239" s="0" t="s">
        <v>493</v>
      </c>
      <c r="AY1239" s="0" t="s">
        <v>3504</v>
      </c>
      <c r="AZ1239" s="0" t="s">
        <v>3505</v>
      </c>
      <c r="BA1239" s="0" t="s">
        <v>708</v>
      </c>
      <c r="BB1239" s="0" t="str">
        <f t="shared" si="19"/>
        <v>IHVNfcBwari</v>
      </c>
    </row>
    <row r="1240">
      <c r="AV1240" s="0" t="s">
        <v>473</v>
      </c>
      <c r="AW1240" s="0" t="s">
        <v>404</v>
      </c>
      <c r="AX1240" s="0" t="s">
        <v>493</v>
      </c>
      <c r="AY1240" s="0" t="s">
        <v>3506</v>
      </c>
      <c r="AZ1240" s="0" t="s">
        <v>3507</v>
      </c>
      <c r="BA1240" s="0" t="s">
        <v>708</v>
      </c>
      <c r="BB1240" s="0" t="str">
        <f t="shared" si="19"/>
        <v>IHVNfcBwari</v>
      </c>
    </row>
    <row r="1241">
      <c r="AV1241" s="0" t="s">
        <v>473</v>
      </c>
      <c r="AW1241" s="0" t="s">
        <v>404</v>
      </c>
      <c r="AX1241" s="0" t="s">
        <v>493</v>
      </c>
      <c r="AY1241" s="0" t="s">
        <v>3508</v>
      </c>
      <c r="AZ1241" s="0" t="s">
        <v>3509</v>
      </c>
      <c r="BA1241" s="0" t="s">
        <v>708</v>
      </c>
      <c r="BB1241" s="0" t="str">
        <f t="shared" si="19"/>
        <v>IHVNfcBwari</v>
      </c>
    </row>
    <row r="1242">
      <c r="AV1242" s="0" t="s">
        <v>473</v>
      </c>
      <c r="AW1242" s="0" t="s">
        <v>404</v>
      </c>
      <c r="AX1242" s="0" t="s">
        <v>493</v>
      </c>
      <c r="AY1242" s="0" t="s">
        <v>3510</v>
      </c>
      <c r="AZ1242" s="0" t="s">
        <v>3511</v>
      </c>
      <c r="BA1242" s="0" t="s">
        <v>708</v>
      </c>
      <c r="BB1242" s="0" t="str">
        <f t="shared" si="19"/>
        <v>IHVNfcBwari</v>
      </c>
    </row>
    <row r="1243">
      <c r="AV1243" s="0" t="s">
        <v>473</v>
      </c>
      <c r="AW1243" s="0" t="s">
        <v>404</v>
      </c>
      <c r="AX1243" s="0" t="s">
        <v>493</v>
      </c>
      <c r="AY1243" s="0" t="s">
        <v>3512</v>
      </c>
      <c r="AZ1243" s="0" t="s">
        <v>3513</v>
      </c>
      <c r="BA1243" s="0" t="s">
        <v>708</v>
      </c>
      <c r="BB1243" s="0" t="str">
        <f t="shared" si="19"/>
        <v>IHVNfcBwari</v>
      </c>
    </row>
    <row r="1244">
      <c r="AV1244" s="0" t="s">
        <v>473</v>
      </c>
      <c r="AW1244" s="0" t="s">
        <v>404</v>
      </c>
      <c r="AX1244" s="0" t="s">
        <v>493</v>
      </c>
      <c r="AY1244" s="0" t="s">
        <v>3514</v>
      </c>
      <c r="AZ1244" s="0" t="s">
        <v>3515</v>
      </c>
      <c r="BA1244" s="0" t="s">
        <v>708</v>
      </c>
      <c r="BB1244" s="0" t="str">
        <f t="shared" si="19"/>
        <v>IHVNfcBwari</v>
      </c>
    </row>
    <row r="1245">
      <c r="AV1245" s="0" t="s">
        <v>473</v>
      </c>
      <c r="AW1245" s="0" t="s">
        <v>404</v>
      </c>
      <c r="AX1245" s="0" t="s">
        <v>493</v>
      </c>
      <c r="AY1245" s="0" t="s">
        <v>3516</v>
      </c>
      <c r="AZ1245" s="0" t="s">
        <v>3517</v>
      </c>
      <c r="BA1245" s="0" t="s">
        <v>708</v>
      </c>
      <c r="BB1245" s="0" t="str">
        <f t="shared" si="19"/>
        <v>IHVNfcBwari</v>
      </c>
    </row>
    <row r="1246">
      <c r="AV1246" s="0" t="s">
        <v>473</v>
      </c>
      <c r="AW1246" s="0" t="s">
        <v>404</v>
      </c>
      <c r="AX1246" s="0" t="s">
        <v>493</v>
      </c>
      <c r="AY1246" s="0" t="s">
        <v>3518</v>
      </c>
      <c r="AZ1246" s="0" t="s">
        <v>3519</v>
      </c>
      <c r="BA1246" s="0" t="s">
        <v>708</v>
      </c>
      <c r="BB1246" s="0" t="str">
        <f t="shared" si="19"/>
        <v>IHVNfcBwari</v>
      </c>
    </row>
    <row r="1247">
      <c r="AV1247" s="0" t="s">
        <v>473</v>
      </c>
      <c r="AW1247" s="0" t="s">
        <v>404</v>
      </c>
      <c r="AX1247" s="0" t="s">
        <v>493</v>
      </c>
      <c r="AY1247" s="0" t="s">
        <v>3520</v>
      </c>
      <c r="AZ1247" s="0" t="s">
        <v>3521</v>
      </c>
      <c r="BA1247" s="0" t="s">
        <v>708</v>
      </c>
      <c r="BB1247" s="0" t="str">
        <f t="shared" si="19"/>
        <v>IHVNfcBwari</v>
      </c>
    </row>
    <row r="1248">
      <c r="AV1248" s="0" t="s">
        <v>473</v>
      </c>
      <c r="AW1248" s="0" t="s">
        <v>404</v>
      </c>
      <c r="AX1248" s="0" t="s">
        <v>493</v>
      </c>
      <c r="AY1248" s="0" t="s">
        <v>3522</v>
      </c>
      <c r="AZ1248" s="0" t="s">
        <v>3523</v>
      </c>
      <c r="BA1248" s="0" t="s">
        <v>708</v>
      </c>
      <c r="BB1248" s="0" t="str">
        <f t="shared" si="19"/>
        <v>IHVNfcBwari</v>
      </c>
    </row>
    <row r="1249">
      <c r="AV1249" s="0" t="s">
        <v>473</v>
      </c>
      <c r="AW1249" s="0" t="s">
        <v>404</v>
      </c>
      <c r="AX1249" s="0" t="s">
        <v>493</v>
      </c>
      <c r="AY1249" s="0" t="s">
        <v>3524</v>
      </c>
      <c r="AZ1249" s="0" t="s">
        <v>3525</v>
      </c>
      <c r="BA1249" s="0" t="s">
        <v>708</v>
      </c>
      <c r="BB1249" s="0" t="str">
        <f t="shared" si="19"/>
        <v>IHVNfcBwari</v>
      </c>
    </row>
    <row r="1250">
      <c r="AV1250" s="0" t="s">
        <v>473</v>
      </c>
      <c r="AW1250" s="0" t="s">
        <v>404</v>
      </c>
      <c r="AX1250" s="0" t="s">
        <v>493</v>
      </c>
      <c r="AY1250" s="0" t="s">
        <v>3526</v>
      </c>
      <c r="AZ1250" s="0" t="s">
        <v>3527</v>
      </c>
      <c r="BA1250" s="0" t="s">
        <v>708</v>
      </c>
      <c r="BB1250" s="0" t="str">
        <f t="shared" si="19"/>
        <v>IHVNfcBwari</v>
      </c>
    </row>
    <row r="1251">
      <c r="AV1251" s="0" t="s">
        <v>473</v>
      </c>
      <c r="AW1251" s="0" t="s">
        <v>404</v>
      </c>
      <c r="AX1251" s="0" t="s">
        <v>493</v>
      </c>
      <c r="AY1251" s="0" t="s">
        <v>3528</v>
      </c>
      <c r="AZ1251" s="0" t="s">
        <v>3529</v>
      </c>
      <c r="BA1251" s="0" t="s">
        <v>708</v>
      </c>
      <c r="BB1251" s="0" t="str">
        <f t="shared" si="19"/>
        <v>IHVNfcBwari</v>
      </c>
    </row>
    <row r="1252">
      <c r="AV1252" s="0" t="s">
        <v>473</v>
      </c>
      <c r="AW1252" s="0" t="s">
        <v>404</v>
      </c>
      <c r="AX1252" s="0" t="s">
        <v>493</v>
      </c>
      <c r="AY1252" s="0" t="s">
        <v>3530</v>
      </c>
      <c r="AZ1252" s="0" t="s">
        <v>3531</v>
      </c>
      <c r="BA1252" s="0" t="s">
        <v>708</v>
      </c>
      <c r="BB1252" s="0" t="str">
        <f t="shared" si="19"/>
        <v>IHVNfcBwari</v>
      </c>
    </row>
    <row r="1253">
      <c r="AV1253" s="0" t="s">
        <v>473</v>
      </c>
      <c r="AW1253" s="0" t="s">
        <v>404</v>
      </c>
      <c r="AX1253" s="0" t="s">
        <v>493</v>
      </c>
      <c r="AY1253" s="0" t="s">
        <v>3532</v>
      </c>
      <c r="AZ1253" s="0" t="s">
        <v>3533</v>
      </c>
      <c r="BA1253" s="0" t="s">
        <v>708</v>
      </c>
      <c r="BB1253" s="0" t="str">
        <f t="shared" si="19"/>
        <v>IHVNfcBwari</v>
      </c>
    </row>
    <row r="1254">
      <c r="AV1254" s="0" t="s">
        <v>473</v>
      </c>
      <c r="AW1254" s="0" t="s">
        <v>404</v>
      </c>
      <c r="AX1254" s="0" t="s">
        <v>493</v>
      </c>
      <c r="AY1254" s="0" t="s">
        <v>3534</v>
      </c>
      <c r="AZ1254" s="0" t="s">
        <v>3535</v>
      </c>
      <c r="BA1254" s="0" t="s">
        <v>708</v>
      </c>
      <c r="BB1254" s="0" t="str">
        <f t="shared" si="19"/>
        <v>IHVNfcBwari</v>
      </c>
    </row>
    <row r="1255">
      <c r="AV1255" s="0" t="s">
        <v>473</v>
      </c>
      <c r="AW1255" s="0" t="s">
        <v>404</v>
      </c>
      <c r="AX1255" s="0" t="s">
        <v>493</v>
      </c>
      <c r="AY1255" s="0" t="s">
        <v>3536</v>
      </c>
      <c r="AZ1255" s="0" t="s">
        <v>3537</v>
      </c>
      <c r="BA1255" s="0" t="s">
        <v>708</v>
      </c>
      <c r="BB1255" s="0" t="str">
        <f t="shared" si="19"/>
        <v>IHVNfcBwari</v>
      </c>
    </row>
    <row r="1256">
      <c r="AV1256" s="0" t="s">
        <v>473</v>
      </c>
      <c r="AW1256" s="0" t="s">
        <v>404</v>
      </c>
      <c r="AX1256" s="0" t="s">
        <v>493</v>
      </c>
      <c r="AY1256" s="0" t="s">
        <v>3538</v>
      </c>
      <c r="AZ1256" s="0" t="s">
        <v>3539</v>
      </c>
      <c r="BA1256" s="0" t="s">
        <v>708</v>
      </c>
      <c r="BB1256" s="0" t="str">
        <f t="shared" si="19"/>
        <v>IHVNfcBwari</v>
      </c>
    </row>
    <row r="1257">
      <c r="AV1257" s="0" t="s">
        <v>473</v>
      </c>
      <c r="AW1257" s="0" t="s">
        <v>404</v>
      </c>
      <c r="AX1257" s="0" t="s">
        <v>493</v>
      </c>
      <c r="AY1257" s="0" t="s">
        <v>3540</v>
      </c>
      <c r="AZ1257" s="0" t="s">
        <v>3541</v>
      </c>
      <c r="BA1257" s="0" t="s">
        <v>708</v>
      </c>
      <c r="BB1257" s="0" t="str">
        <f t="shared" si="19"/>
        <v>IHVNfcBwari</v>
      </c>
    </row>
    <row r="1258">
      <c r="AV1258" s="0" t="s">
        <v>473</v>
      </c>
      <c r="AW1258" s="0" t="s">
        <v>404</v>
      </c>
      <c r="AX1258" s="0" t="s">
        <v>493</v>
      </c>
      <c r="AY1258" s="0" t="s">
        <v>3542</v>
      </c>
      <c r="AZ1258" s="0" t="s">
        <v>3543</v>
      </c>
      <c r="BA1258" s="0" t="s">
        <v>708</v>
      </c>
      <c r="BB1258" s="0" t="str">
        <f t="shared" si="19"/>
        <v>IHVNfcBwari</v>
      </c>
    </row>
    <row r="1259">
      <c r="AV1259" s="0" t="s">
        <v>473</v>
      </c>
      <c r="AW1259" s="0" t="s">
        <v>404</v>
      </c>
      <c r="AX1259" s="0" t="s">
        <v>493</v>
      </c>
      <c r="AY1259" s="0" t="s">
        <v>3544</v>
      </c>
      <c r="AZ1259" s="0" t="s">
        <v>3545</v>
      </c>
      <c r="BA1259" s="0" t="s">
        <v>708</v>
      </c>
      <c r="BB1259" s="0" t="str">
        <f t="shared" si="19"/>
        <v>IHVNfcBwari</v>
      </c>
    </row>
    <row r="1260">
      <c r="AV1260" s="0" t="s">
        <v>473</v>
      </c>
      <c r="AW1260" s="0" t="s">
        <v>404</v>
      </c>
      <c r="AX1260" s="0" t="s">
        <v>493</v>
      </c>
      <c r="AY1260" s="0" t="s">
        <v>3546</v>
      </c>
      <c r="AZ1260" s="0" t="s">
        <v>3547</v>
      </c>
      <c r="BA1260" s="0" t="s">
        <v>708</v>
      </c>
      <c r="BB1260" s="0" t="str">
        <f t="shared" si="19"/>
        <v>IHVNfcBwari</v>
      </c>
    </row>
    <row r="1261">
      <c r="AV1261" s="0" t="s">
        <v>473</v>
      </c>
      <c r="AW1261" s="0" t="s">
        <v>404</v>
      </c>
      <c r="AX1261" s="0" t="s">
        <v>493</v>
      </c>
      <c r="AY1261" s="0" t="s">
        <v>3548</v>
      </c>
      <c r="AZ1261" s="0" t="s">
        <v>3549</v>
      </c>
      <c r="BA1261" s="0" t="s">
        <v>708</v>
      </c>
      <c r="BB1261" s="0" t="str">
        <f t="shared" si="19"/>
        <v>IHVNfcBwari</v>
      </c>
    </row>
    <row r="1262">
      <c r="AV1262" s="0" t="s">
        <v>473</v>
      </c>
      <c r="AW1262" s="0" t="s">
        <v>404</v>
      </c>
      <c r="AX1262" s="0" t="s">
        <v>493</v>
      </c>
      <c r="AY1262" s="0" t="s">
        <v>3550</v>
      </c>
      <c r="AZ1262" s="0" t="s">
        <v>3551</v>
      </c>
      <c r="BA1262" s="0" t="s">
        <v>708</v>
      </c>
      <c r="BB1262" s="0" t="str">
        <f t="shared" si="19"/>
        <v>IHVNfcBwari</v>
      </c>
    </row>
    <row r="1263">
      <c r="AV1263" s="0" t="s">
        <v>473</v>
      </c>
      <c r="AW1263" s="0" t="s">
        <v>404</v>
      </c>
      <c r="AX1263" s="0" t="s">
        <v>493</v>
      </c>
      <c r="AY1263" s="0" t="s">
        <v>3552</v>
      </c>
      <c r="AZ1263" s="0" t="s">
        <v>3553</v>
      </c>
      <c r="BA1263" s="0" t="s">
        <v>708</v>
      </c>
      <c r="BB1263" s="0" t="str">
        <f t="shared" si="19"/>
        <v>IHVNfcBwari</v>
      </c>
    </row>
    <row r="1264">
      <c r="AV1264" s="0" t="s">
        <v>473</v>
      </c>
      <c r="AW1264" s="0" t="s">
        <v>404</v>
      </c>
      <c r="AX1264" s="0" t="s">
        <v>493</v>
      </c>
      <c r="AY1264" s="0" t="s">
        <v>3554</v>
      </c>
      <c r="AZ1264" s="0" t="s">
        <v>3555</v>
      </c>
      <c r="BA1264" s="0" t="s">
        <v>708</v>
      </c>
      <c r="BB1264" s="0" t="str">
        <f t="shared" si="19"/>
        <v>IHVNfcBwari</v>
      </c>
    </row>
    <row r="1265">
      <c r="AV1265" s="0" t="s">
        <v>473</v>
      </c>
      <c r="AW1265" s="0" t="s">
        <v>404</v>
      </c>
      <c r="AX1265" s="0" t="s">
        <v>493</v>
      </c>
      <c r="AY1265" s="0" t="s">
        <v>3556</v>
      </c>
      <c r="AZ1265" s="0" t="s">
        <v>3557</v>
      </c>
      <c r="BA1265" s="0" t="s">
        <v>708</v>
      </c>
      <c r="BB1265" s="0" t="str">
        <f t="shared" si="19"/>
        <v>IHVNfcBwari</v>
      </c>
    </row>
    <row r="1266">
      <c r="AV1266" s="0" t="s">
        <v>473</v>
      </c>
      <c r="AW1266" s="0" t="s">
        <v>404</v>
      </c>
      <c r="AX1266" s="0" t="s">
        <v>493</v>
      </c>
      <c r="AY1266" s="0" t="s">
        <v>3558</v>
      </c>
      <c r="AZ1266" s="0" t="s">
        <v>3559</v>
      </c>
      <c r="BA1266" s="0" t="s">
        <v>708</v>
      </c>
      <c r="BB1266" s="0" t="str">
        <f t="shared" si="19"/>
        <v>IHVNfcBwari</v>
      </c>
    </row>
    <row r="1267">
      <c r="AV1267" s="0" t="s">
        <v>473</v>
      </c>
      <c r="AW1267" s="0" t="s">
        <v>404</v>
      </c>
      <c r="AX1267" s="0" t="s">
        <v>493</v>
      </c>
      <c r="AY1267" s="0" t="s">
        <v>3560</v>
      </c>
      <c r="AZ1267" s="0" t="s">
        <v>3561</v>
      </c>
      <c r="BA1267" s="0" t="s">
        <v>708</v>
      </c>
      <c r="BB1267" s="0" t="str">
        <f t="shared" si="19"/>
        <v>IHVNfcBwari</v>
      </c>
    </row>
    <row r="1268">
      <c r="AV1268" s="0" t="s">
        <v>473</v>
      </c>
      <c r="AW1268" s="0" t="s">
        <v>404</v>
      </c>
      <c r="AX1268" s="0" t="s">
        <v>493</v>
      </c>
      <c r="AY1268" s="0" t="s">
        <v>3562</v>
      </c>
      <c r="AZ1268" s="0" t="s">
        <v>3563</v>
      </c>
      <c r="BA1268" s="0" t="s">
        <v>708</v>
      </c>
      <c r="BB1268" s="0" t="str">
        <f t="shared" si="19"/>
        <v>IHVNfcBwari</v>
      </c>
    </row>
    <row r="1269">
      <c r="AV1269" s="0" t="s">
        <v>473</v>
      </c>
      <c r="AW1269" s="0" t="s">
        <v>404</v>
      </c>
      <c r="AX1269" s="0" t="s">
        <v>493</v>
      </c>
      <c r="AY1269" s="0" t="s">
        <v>3564</v>
      </c>
      <c r="AZ1269" s="0" t="s">
        <v>3565</v>
      </c>
      <c r="BA1269" s="0" t="s">
        <v>708</v>
      </c>
      <c r="BB1269" s="0" t="str">
        <f t="shared" si="19"/>
        <v>IHVNfcBwari</v>
      </c>
    </row>
    <row r="1270">
      <c r="AV1270" s="0" t="s">
        <v>473</v>
      </c>
      <c r="AW1270" s="0" t="s">
        <v>404</v>
      </c>
      <c r="AX1270" s="0" t="s">
        <v>493</v>
      </c>
      <c r="AY1270" s="0" t="s">
        <v>3566</v>
      </c>
      <c r="AZ1270" s="0" t="s">
        <v>3567</v>
      </c>
      <c r="BA1270" s="0" t="s">
        <v>708</v>
      </c>
      <c r="BB1270" s="0" t="str">
        <f t="shared" si="19"/>
        <v>IHVNfcBwari</v>
      </c>
    </row>
    <row r="1271">
      <c r="AV1271" s="0" t="s">
        <v>473</v>
      </c>
      <c r="AW1271" s="0" t="s">
        <v>404</v>
      </c>
      <c r="AX1271" s="0" t="s">
        <v>493</v>
      </c>
      <c r="AY1271" s="0" t="s">
        <v>3568</v>
      </c>
      <c r="AZ1271" s="0" t="s">
        <v>3569</v>
      </c>
      <c r="BA1271" s="0" t="s">
        <v>708</v>
      </c>
      <c r="BB1271" s="0" t="str">
        <f t="shared" si="19"/>
        <v>IHVNfcBwari</v>
      </c>
    </row>
    <row r="1272">
      <c r="AV1272" s="0" t="s">
        <v>473</v>
      </c>
      <c r="AW1272" s="0" t="s">
        <v>404</v>
      </c>
      <c r="AX1272" s="0" t="s">
        <v>572</v>
      </c>
      <c r="AY1272" s="0" t="s">
        <v>3570</v>
      </c>
      <c r="AZ1272" s="0" t="s">
        <v>3571</v>
      </c>
      <c r="BA1272" s="0" t="s">
        <v>708</v>
      </c>
      <c r="BB1272" s="0" t="str">
        <f t="shared" si="19"/>
        <v>IHVNfcGwagwalada</v>
      </c>
    </row>
    <row r="1273">
      <c r="AV1273" s="0" t="s">
        <v>473</v>
      </c>
      <c r="AW1273" s="0" t="s">
        <v>404</v>
      </c>
      <c r="AX1273" s="0" t="s">
        <v>572</v>
      </c>
      <c r="AY1273" s="0" t="s">
        <v>3572</v>
      </c>
      <c r="AZ1273" s="0" t="s">
        <v>3573</v>
      </c>
      <c r="BA1273" s="0" t="s">
        <v>708</v>
      </c>
      <c r="BB1273" s="0" t="str">
        <f t="shared" si="19"/>
        <v>IHVNfcGwagwalada</v>
      </c>
    </row>
    <row r="1274">
      <c r="AV1274" s="0" t="s">
        <v>473</v>
      </c>
      <c r="AW1274" s="0" t="s">
        <v>404</v>
      </c>
      <c r="AX1274" s="0" t="s">
        <v>572</v>
      </c>
      <c r="AY1274" s="0" t="s">
        <v>3574</v>
      </c>
      <c r="AZ1274" s="0" t="s">
        <v>3575</v>
      </c>
      <c r="BA1274" s="0" t="s">
        <v>708</v>
      </c>
      <c r="BB1274" s="0" t="str">
        <f t="shared" si="19"/>
        <v>IHVNfcGwagwalada</v>
      </c>
    </row>
    <row r="1275">
      <c r="AV1275" s="0" t="s">
        <v>473</v>
      </c>
      <c r="AW1275" s="0" t="s">
        <v>404</v>
      </c>
      <c r="AX1275" s="0" t="s">
        <v>572</v>
      </c>
      <c r="AY1275" s="0" t="s">
        <v>3576</v>
      </c>
      <c r="AZ1275" s="0" t="s">
        <v>3577</v>
      </c>
      <c r="BA1275" s="0" t="s">
        <v>708</v>
      </c>
      <c r="BB1275" s="0" t="str">
        <f t="shared" si="19"/>
        <v>IHVNfcGwagwalada</v>
      </c>
    </row>
    <row r="1276">
      <c r="AV1276" s="0" t="s">
        <v>473</v>
      </c>
      <c r="AW1276" s="0" t="s">
        <v>404</v>
      </c>
      <c r="AX1276" s="0" t="s">
        <v>572</v>
      </c>
      <c r="AY1276" s="0" t="s">
        <v>3578</v>
      </c>
      <c r="AZ1276" s="0" t="s">
        <v>3579</v>
      </c>
      <c r="BA1276" s="0" t="s">
        <v>708</v>
      </c>
      <c r="BB1276" s="0" t="str">
        <f t="shared" si="19"/>
        <v>IHVNfcGwagwalada</v>
      </c>
    </row>
    <row r="1277">
      <c r="AV1277" s="0" t="s">
        <v>473</v>
      </c>
      <c r="AW1277" s="0" t="s">
        <v>404</v>
      </c>
      <c r="AX1277" s="0" t="s">
        <v>572</v>
      </c>
      <c r="AY1277" s="0" t="s">
        <v>3580</v>
      </c>
      <c r="AZ1277" s="0" t="s">
        <v>3581</v>
      </c>
      <c r="BA1277" s="0" t="s">
        <v>708</v>
      </c>
      <c r="BB1277" s="0" t="str">
        <f t="shared" si="19"/>
        <v>IHVNfcGwagwalada</v>
      </c>
    </row>
    <row r="1278">
      <c r="AV1278" s="0" t="s">
        <v>473</v>
      </c>
      <c r="AW1278" s="0" t="s">
        <v>404</v>
      </c>
      <c r="AX1278" s="0" t="s">
        <v>610</v>
      </c>
      <c r="AY1278" s="0" t="s">
        <v>3582</v>
      </c>
      <c r="AZ1278" s="0" t="s">
        <v>3583</v>
      </c>
      <c r="BA1278" s="0" t="s">
        <v>708</v>
      </c>
      <c r="BB1278" s="0" t="str">
        <f t="shared" si="19"/>
        <v>IHVNfcKuje</v>
      </c>
    </row>
    <row r="1279">
      <c r="AV1279" s="0" t="s">
        <v>473</v>
      </c>
      <c r="AW1279" s="0" t="s">
        <v>404</v>
      </c>
      <c r="AX1279" s="0" t="s">
        <v>610</v>
      </c>
      <c r="AY1279" s="0" t="s">
        <v>3584</v>
      </c>
      <c r="AZ1279" s="0" t="s">
        <v>3585</v>
      </c>
      <c r="BA1279" s="0" t="s">
        <v>708</v>
      </c>
      <c r="BB1279" s="0" t="str">
        <f t="shared" si="19"/>
        <v>IHVNfcKuje</v>
      </c>
    </row>
    <row r="1280">
      <c r="AV1280" s="0" t="s">
        <v>473</v>
      </c>
      <c r="AW1280" s="0" t="s">
        <v>408</v>
      </c>
      <c r="AX1280" s="0" t="s">
        <v>949</v>
      </c>
      <c r="AY1280" s="0" t="s">
        <v>3586</v>
      </c>
      <c r="AZ1280" s="0" t="s">
        <v>3587</v>
      </c>
      <c r="BA1280" s="0" t="s">
        <v>708</v>
      </c>
      <c r="BB1280" s="0" t="str">
        <f t="shared" si="19"/>
        <v>IHVNkdZaria</v>
      </c>
    </row>
    <row r="1281">
      <c r="AV1281" s="0" t="s">
        <v>473</v>
      </c>
      <c r="AW1281" s="0" t="s">
        <v>409</v>
      </c>
      <c r="AX1281" s="0" t="s">
        <v>498</v>
      </c>
      <c r="AY1281" s="0" t="s">
        <v>3588</v>
      </c>
      <c r="AZ1281" s="0" t="s">
        <v>3589</v>
      </c>
      <c r="BA1281" s="0" t="s">
        <v>708</v>
      </c>
      <c r="BB1281" s="0" t="str">
        <f t="shared" si="19"/>
        <v>IHVNknNassarawa</v>
      </c>
    </row>
    <row r="1282">
      <c r="AV1282" s="0" t="s">
        <v>473</v>
      </c>
      <c r="AW1282" s="0" t="s">
        <v>409</v>
      </c>
      <c r="AX1282" s="0" t="s">
        <v>498</v>
      </c>
      <c r="AY1282" s="0" t="s">
        <v>3590</v>
      </c>
      <c r="AZ1282" s="0" t="s">
        <v>3591</v>
      </c>
      <c r="BA1282" s="0" t="s">
        <v>708</v>
      </c>
      <c r="BB1282" s="0" t="str">
        <f t="shared" si="19"/>
        <v>IHVNknNassarawa</v>
      </c>
    </row>
    <row r="1283">
      <c r="AV1283" s="0" t="s">
        <v>473</v>
      </c>
      <c r="AW1283" s="0" t="s">
        <v>409</v>
      </c>
      <c r="AX1283" s="0" t="s">
        <v>537</v>
      </c>
      <c r="AY1283" s="0" t="s">
        <v>3592</v>
      </c>
      <c r="AZ1283" s="0" t="s">
        <v>3593</v>
      </c>
      <c r="BA1283" s="0" t="s">
        <v>708</v>
      </c>
      <c r="BB1283" s="0" t="str">
        <f ref="BB1283:BB1346" t="shared" si="20">SUBSTITUTE(SUBSTITUTE(BA1283&amp;AX1283," ",""),"-","")</f>
        <v>IHVNknTarauni</v>
      </c>
    </row>
    <row r="1284">
      <c r="AV1284" s="0" t="s">
        <v>473</v>
      </c>
      <c r="AW1284" s="0" t="s">
        <v>409</v>
      </c>
      <c r="AX1284" s="0" t="s">
        <v>577</v>
      </c>
      <c r="AY1284" s="0" t="s">
        <v>3594</v>
      </c>
      <c r="AZ1284" s="0" t="s">
        <v>3595</v>
      </c>
      <c r="BA1284" s="0" t="s">
        <v>708</v>
      </c>
      <c r="BB1284" s="0" t="str">
        <f t="shared" si="20"/>
        <v>IHVNknTudunWada</v>
      </c>
    </row>
    <row r="1285">
      <c r="AV1285" s="0" t="s">
        <v>473</v>
      </c>
      <c r="AW1285" s="0" t="s">
        <v>409</v>
      </c>
      <c r="AX1285" s="0" t="s">
        <v>615</v>
      </c>
      <c r="AY1285" s="0" t="s">
        <v>3596</v>
      </c>
      <c r="AZ1285" s="0" t="s">
        <v>3597</v>
      </c>
      <c r="BA1285" s="0" t="s">
        <v>708</v>
      </c>
      <c r="BB1285" s="0" t="str">
        <f t="shared" si="20"/>
        <v>IHVNknUngogo</v>
      </c>
    </row>
    <row r="1286">
      <c r="AV1286" s="0" t="s">
        <v>473</v>
      </c>
      <c r="AW1286" s="0" t="s">
        <v>409</v>
      </c>
      <c r="AX1286" s="0" t="s">
        <v>615</v>
      </c>
      <c r="AY1286" s="0" t="s">
        <v>3598</v>
      </c>
      <c r="AZ1286" s="0" t="s">
        <v>3599</v>
      </c>
      <c r="BA1286" s="0" t="s">
        <v>708</v>
      </c>
      <c r="BB1286" s="0" t="str">
        <f t="shared" si="20"/>
        <v>IHVNknUngogo</v>
      </c>
    </row>
    <row r="1287">
      <c r="AV1287" s="0" t="s">
        <v>473</v>
      </c>
      <c r="AW1287" s="0" t="s">
        <v>410</v>
      </c>
      <c r="AX1287" s="0" t="s">
        <v>457</v>
      </c>
      <c r="AY1287" s="0" t="s">
        <v>3600</v>
      </c>
      <c r="AZ1287" s="0" t="s">
        <v>3601</v>
      </c>
      <c r="BA1287" s="0" t="s">
        <v>708</v>
      </c>
      <c r="BB1287" s="0" t="str">
        <f t="shared" si="20"/>
        <v>IHVNktFuntua</v>
      </c>
    </row>
    <row r="1288">
      <c r="AV1288" s="0" t="s">
        <v>473</v>
      </c>
      <c r="AW1288" s="0" t="s">
        <v>410</v>
      </c>
      <c r="AX1288" s="0" t="s">
        <v>499</v>
      </c>
      <c r="AY1288" s="0" t="s">
        <v>3602</v>
      </c>
      <c r="AZ1288" s="0" t="s">
        <v>3603</v>
      </c>
      <c r="BA1288" s="0" t="s">
        <v>708</v>
      </c>
      <c r="BB1288" s="0" t="str">
        <f t="shared" si="20"/>
        <v>IHVNktKankia</v>
      </c>
    </row>
    <row r="1289">
      <c r="AV1289" s="0" t="s">
        <v>473</v>
      </c>
      <c r="AW1289" s="0" t="s">
        <v>410</v>
      </c>
      <c r="AX1289" s="0" t="s">
        <v>538</v>
      </c>
      <c r="AY1289" s="0" t="s">
        <v>3604</v>
      </c>
      <c r="AZ1289" s="0" t="s">
        <v>3605</v>
      </c>
      <c r="BA1289" s="0" t="s">
        <v>708</v>
      </c>
      <c r="BB1289" s="0" t="str">
        <f t="shared" si="20"/>
        <v>IHVNktKatsina</v>
      </c>
    </row>
    <row r="1290">
      <c r="AV1290" s="0" t="s">
        <v>473</v>
      </c>
      <c r="AW1290" s="0" t="s">
        <v>410</v>
      </c>
      <c r="AX1290" s="0" t="s">
        <v>538</v>
      </c>
      <c r="AY1290" s="0" t="s">
        <v>3606</v>
      </c>
      <c r="AZ1290" s="0" t="s">
        <v>3607</v>
      </c>
      <c r="BA1290" s="0" t="s">
        <v>708</v>
      </c>
      <c r="BB1290" s="0" t="str">
        <f t="shared" si="20"/>
        <v>IHVNktKatsina</v>
      </c>
    </row>
    <row r="1291">
      <c r="AV1291" s="0" t="s">
        <v>473</v>
      </c>
      <c r="AW1291" s="0" t="s">
        <v>415</v>
      </c>
      <c r="AX1291" s="0" t="s">
        <v>504</v>
      </c>
      <c r="AY1291" s="0" t="s">
        <v>3608</v>
      </c>
      <c r="AZ1291" s="0" t="s">
        <v>3609</v>
      </c>
      <c r="BA1291" s="0" t="s">
        <v>708</v>
      </c>
      <c r="BB1291" s="0" t="str">
        <f t="shared" si="20"/>
        <v>IHVNnaDoma</v>
      </c>
    </row>
    <row r="1292">
      <c r="AV1292" s="0" t="s">
        <v>473</v>
      </c>
      <c r="AW1292" s="0" t="s">
        <v>415</v>
      </c>
      <c r="AX1292" s="0" t="s">
        <v>504</v>
      </c>
      <c r="AY1292" s="0" t="s">
        <v>3610</v>
      </c>
      <c r="AZ1292" s="0" t="s">
        <v>3611</v>
      </c>
      <c r="BA1292" s="0" t="s">
        <v>708</v>
      </c>
      <c r="BB1292" s="0" t="str">
        <f t="shared" si="20"/>
        <v>IHVNnaDoma</v>
      </c>
    </row>
    <row r="1293">
      <c r="AV1293" s="0" t="s">
        <v>473</v>
      </c>
      <c r="AW1293" s="0" t="s">
        <v>415</v>
      </c>
      <c r="AX1293" s="0" t="s">
        <v>504</v>
      </c>
      <c r="AY1293" s="0" t="s">
        <v>3612</v>
      </c>
      <c r="AZ1293" s="0" t="s">
        <v>3613</v>
      </c>
      <c r="BA1293" s="0" t="s">
        <v>708</v>
      </c>
      <c r="BB1293" s="0" t="str">
        <f t="shared" si="20"/>
        <v>IHVNnaDoma</v>
      </c>
    </row>
    <row r="1294">
      <c r="AV1294" s="0" t="s">
        <v>473</v>
      </c>
      <c r="AW1294" s="0" t="s">
        <v>415</v>
      </c>
      <c r="AX1294" s="0" t="s">
        <v>504</v>
      </c>
      <c r="AY1294" s="0" t="s">
        <v>3614</v>
      </c>
      <c r="AZ1294" s="0" t="s">
        <v>3615</v>
      </c>
      <c r="BA1294" s="0" t="s">
        <v>708</v>
      </c>
      <c r="BB1294" s="0" t="str">
        <f t="shared" si="20"/>
        <v>IHVNnaDoma</v>
      </c>
    </row>
    <row r="1295">
      <c r="AV1295" s="0" t="s">
        <v>473</v>
      </c>
      <c r="AW1295" s="0" t="s">
        <v>415</v>
      </c>
      <c r="AX1295" s="0" t="s">
        <v>504</v>
      </c>
      <c r="AY1295" s="0" t="s">
        <v>3616</v>
      </c>
      <c r="AZ1295" s="0" t="s">
        <v>3617</v>
      </c>
      <c r="BA1295" s="0" t="s">
        <v>708</v>
      </c>
      <c r="BB1295" s="0" t="str">
        <f t="shared" si="20"/>
        <v>IHVNnaDoma</v>
      </c>
    </row>
    <row r="1296">
      <c r="AV1296" s="0" t="s">
        <v>473</v>
      </c>
      <c r="AW1296" s="0" t="s">
        <v>415</v>
      </c>
      <c r="AX1296" s="0" t="s">
        <v>504</v>
      </c>
      <c r="AY1296" s="0" t="s">
        <v>3618</v>
      </c>
      <c r="AZ1296" s="0" t="s">
        <v>3619</v>
      </c>
      <c r="BA1296" s="0" t="s">
        <v>708</v>
      </c>
      <c r="BB1296" s="0" t="str">
        <f t="shared" si="20"/>
        <v>IHVNnaDoma</v>
      </c>
    </row>
    <row r="1297">
      <c r="AV1297" s="0" t="s">
        <v>473</v>
      </c>
      <c r="AW1297" s="0" t="s">
        <v>415</v>
      </c>
      <c r="AX1297" s="0" t="s">
        <v>504</v>
      </c>
      <c r="AY1297" s="0" t="s">
        <v>3620</v>
      </c>
      <c r="AZ1297" s="0" t="s">
        <v>3621</v>
      </c>
      <c r="BA1297" s="0" t="s">
        <v>708</v>
      </c>
      <c r="BB1297" s="0" t="str">
        <f t="shared" si="20"/>
        <v>IHVNnaDoma</v>
      </c>
    </row>
    <row r="1298">
      <c r="AV1298" s="0" t="s">
        <v>473</v>
      </c>
      <c r="AW1298" s="0" t="s">
        <v>415</v>
      </c>
      <c r="AX1298" s="0" t="s">
        <v>504</v>
      </c>
      <c r="AY1298" s="0" t="s">
        <v>3622</v>
      </c>
      <c r="AZ1298" s="0" t="s">
        <v>3623</v>
      </c>
      <c r="BA1298" s="0" t="s">
        <v>708</v>
      </c>
      <c r="BB1298" s="0" t="str">
        <f t="shared" si="20"/>
        <v>IHVNnaDoma</v>
      </c>
    </row>
    <row r="1299">
      <c r="AV1299" s="0" t="s">
        <v>473</v>
      </c>
      <c r="AW1299" s="0" t="s">
        <v>415</v>
      </c>
      <c r="AX1299" s="0" t="s">
        <v>504</v>
      </c>
      <c r="AY1299" s="0" t="s">
        <v>3624</v>
      </c>
      <c r="AZ1299" s="0" t="s">
        <v>3625</v>
      </c>
      <c r="BA1299" s="0" t="s">
        <v>708</v>
      </c>
      <c r="BB1299" s="0" t="str">
        <f t="shared" si="20"/>
        <v>IHVNnaDoma</v>
      </c>
    </row>
    <row r="1300">
      <c r="AV1300" s="0" t="s">
        <v>473</v>
      </c>
      <c r="AW1300" s="0" t="s">
        <v>415</v>
      </c>
      <c r="AX1300" s="0" t="s">
        <v>504</v>
      </c>
      <c r="AY1300" s="0" t="s">
        <v>3626</v>
      </c>
      <c r="AZ1300" s="0" t="s">
        <v>3627</v>
      </c>
      <c r="BA1300" s="0" t="s">
        <v>708</v>
      </c>
      <c r="BB1300" s="0" t="str">
        <f t="shared" si="20"/>
        <v>IHVNnaDoma</v>
      </c>
    </row>
    <row r="1301">
      <c r="AV1301" s="0" t="s">
        <v>473</v>
      </c>
      <c r="AW1301" s="0" t="s">
        <v>415</v>
      </c>
      <c r="AX1301" s="0" t="s">
        <v>504</v>
      </c>
      <c r="AY1301" s="0" t="s">
        <v>3628</v>
      </c>
      <c r="AZ1301" s="0" t="s">
        <v>3629</v>
      </c>
      <c r="BA1301" s="0" t="s">
        <v>708</v>
      </c>
      <c r="BB1301" s="0" t="str">
        <f t="shared" si="20"/>
        <v>IHVNnaDoma</v>
      </c>
    </row>
    <row r="1302">
      <c r="AV1302" s="0" t="s">
        <v>473</v>
      </c>
      <c r="AW1302" s="0" t="s">
        <v>415</v>
      </c>
      <c r="AX1302" s="0" t="s">
        <v>504</v>
      </c>
      <c r="AY1302" s="0" t="s">
        <v>3630</v>
      </c>
      <c r="AZ1302" s="0" t="s">
        <v>3631</v>
      </c>
      <c r="BA1302" s="0" t="s">
        <v>708</v>
      </c>
      <c r="BB1302" s="0" t="str">
        <f t="shared" si="20"/>
        <v>IHVNnaDoma</v>
      </c>
    </row>
    <row r="1303">
      <c r="AV1303" s="0" t="s">
        <v>473</v>
      </c>
      <c r="AW1303" s="0" t="s">
        <v>415</v>
      </c>
      <c r="AX1303" s="0" t="s">
        <v>504</v>
      </c>
      <c r="AY1303" s="0" t="s">
        <v>3632</v>
      </c>
      <c r="AZ1303" s="0" t="s">
        <v>3633</v>
      </c>
      <c r="BA1303" s="0" t="s">
        <v>708</v>
      </c>
      <c r="BB1303" s="0" t="str">
        <f t="shared" si="20"/>
        <v>IHVNnaDoma</v>
      </c>
    </row>
    <row r="1304">
      <c r="AV1304" s="0" t="s">
        <v>473</v>
      </c>
      <c r="AW1304" s="0" t="s">
        <v>415</v>
      </c>
      <c r="AX1304" s="0" t="s">
        <v>504</v>
      </c>
      <c r="AY1304" s="0" t="s">
        <v>3634</v>
      </c>
      <c r="AZ1304" s="0" t="s">
        <v>3635</v>
      </c>
      <c r="BA1304" s="0" t="s">
        <v>708</v>
      </c>
      <c r="BB1304" s="0" t="str">
        <f t="shared" si="20"/>
        <v>IHVNnaDoma</v>
      </c>
    </row>
    <row r="1305">
      <c r="AV1305" s="0" t="s">
        <v>473</v>
      </c>
      <c r="AW1305" s="0" t="s">
        <v>415</v>
      </c>
      <c r="AX1305" s="0" t="s">
        <v>504</v>
      </c>
      <c r="AY1305" s="0" t="s">
        <v>3636</v>
      </c>
      <c r="AZ1305" s="0" t="s">
        <v>3637</v>
      </c>
      <c r="BA1305" s="0" t="s">
        <v>708</v>
      </c>
      <c r="BB1305" s="0" t="str">
        <f t="shared" si="20"/>
        <v>IHVNnaDoma</v>
      </c>
    </row>
    <row r="1306">
      <c r="AV1306" s="0" t="s">
        <v>473</v>
      </c>
      <c r="AW1306" s="0" t="s">
        <v>415</v>
      </c>
      <c r="AX1306" s="0" t="s">
        <v>504</v>
      </c>
      <c r="AY1306" s="0" t="s">
        <v>3638</v>
      </c>
      <c r="AZ1306" s="0" t="s">
        <v>3639</v>
      </c>
      <c r="BA1306" s="0" t="s">
        <v>708</v>
      </c>
      <c r="BB1306" s="0" t="str">
        <f t="shared" si="20"/>
        <v>IHVNnaDoma</v>
      </c>
    </row>
    <row r="1307">
      <c r="AV1307" s="0" t="s">
        <v>473</v>
      </c>
      <c r="AW1307" s="0" t="s">
        <v>415</v>
      </c>
      <c r="AX1307" s="0" t="s">
        <v>504</v>
      </c>
      <c r="AY1307" s="0" t="s">
        <v>3640</v>
      </c>
      <c r="AZ1307" s="0" t="s">
        <v>3641</v>
      </c>
      <c r="BA1307" s="0" t="s">
        <v>708</v>
      </c>
      <c r="BB1307" s="0" t="str">
        <f t="shared" si="20"/>
        <v>IHVNnaDoma</v>
      </c>
    </row>
    <row r="1308">
      <c r="AV1308" s="0" t="s">
        <v>473</v>
      </c>
      <c r="AW1308" s="0" t="s">
        <v>415</v>
      </c>
      <c r="AX1308" s="0" t="s">
        <v>504</v>
      </c>
      <c r="AY1308" s="0" t="s">
        <v>3642</v>
      </c>
      <c r="AZ1308" s="0" t="s">
        <v>3643</v>
      </c>
      <c r="BA1308" s="0" t="s">
        <v>708</v>
      </c>
      <c r="BB1308" s="0" t="str">
        <f t="shared" si="20"/>
        <v>IHVNnaDoma</v>
      </c>
    </row>
    <row r="1309">
      <c r="AV1309" s="0" t="s">
        <v>473</v>
      </c>
      <c r="AW1309" s="0" t="s">
        <v>415</v>
      </c>
      <c r="AX1309" s="0" t="s">
        <v>504</v>
      </c>
      <c r="AY1309" s="0" t="s">
        <v>3644</v>
      </c>
      <c r="AZ1309" s="0" t="s">
        <v>3645</v>
      </c>
      <c r="BA1309" s="0" t="s">
        <v>708</v>
      </c>
      <c r="BB1309" s="0" t="str">
        <f t="shared" si="20"/>
        <v>IHVNnaDoma</v>
      </c>
    </row>
    <row r="1310">
      <c r="AV1310" s="0" t="s">
        <v>473</v>
      </c>
      <c r="AW1310" s="0" t="s">
        <v>415</v>
      </c>
      <c r="AX1310" s="0" t="s">
        <v>504</v>
      </c>
      <c r="AY1310" s="0" t="s">
        <v>3646</v>
      </c>
      <c r="AZ1310" s="0" t="s">
        <v>3647</v>
      </c>
      <c r="BA1310" s="0" t="s">
        <v>708</v>
      </c>
      <c r="BB1310" s="0" t="str">
        <f t="shared" si="20"/>
        <v>IHVNnaDoma</v>
      </c>
    </row>
    <row r="1311">
      <c r="AV1311" s="0" t="s">
        <v>473</v>
      </c>
      <c r="AW1311" s="0" t="s">
        <v>415</v>
      </c>
      <c r="AX1311" s="0" t="s">
        <v>658</v>
      </c>
      <c r="AY1311" s="0" t="s">
        <v>3648</v>
      </c>
      <c r="AZ1311" s="0" t="s">
        <v>3649</v>
      </c>
      <c r="BA1311" s="0" t="s">
        <v>708</v>
      </c>
      <c r="BB1311" s="0" t="str">
        <f t="shared" si="20"/>
        <v>IHVNnaKaru</v>
      </c>
    </row>
    <row r="1312">
      <c r="AV1312" s="0" t="s">
        <v>473</v>
      </c>
      <c r="AW1312" s="0" t="s">
        <v>415</v>
      </c>
      <c r="AX1312" s="0" t="s">
        <v>658</v>
      </c>
      <c r="AY1312" s="0" t="s">
        <v>3650</v>
      </c>
      <c r="AZ1312" s="0" t="s">
        <v>3651</v>
      </c>
      <c r="BA1312" s="0" t="s">
        <v>708</v>
      </c>
      <c r="BB1312" s="0" t="str">
        <f t="shared" si="20"/>
        <v>IHVNnaKaru</v>
      </c>
    </row>
    <row r="1313">
      <c r="AV1313" s="0" t="s">
        <v>473</v>
      </c>
      <c r="AW1313" s="0" t="s">
        <v>415</v>
      </c>
      <c r="AX1313" s="0" t="s">
        <v>658</v>
      </c>
      <c r="AY1313" s="0" t="s">
        <v>3652</v>
      </c>
      <c r="AZ1313" s="0" t="s">
        <v>3653</v>
      </c>
      <c r="BA1313" s="0" t="s">
        <v>708</v>
      </c>
      <c r="BB1313" s="0" t="str">
        <f t="shared" si="20"/>
        <v>IHVNnaKaru</v>
      </c>
    </row>
    <row r="1314">
      <c r="AV1314" s="0" t="s">
        <v>473</v>
      </c>
      <c r="AW1314" s="0" t="s">
        <v>415</v>
      </c>
      <c r="AX1314" s="0" t="s">
        <v>658</v>
      </c>
      <c r="AY1314" s="0" t="s">
        <v>3654</v>
      </c>
      <c r="AZ1314" s="0" t="s">
        <v>3655</v>
      </c>
      <c r="BA1314" s="0" t="s">
        <v>708</v>
      </c>
      <c r="BB1314" s="0" t="str">
        <f t="shared" si="20"/>
        <v>IHVNnaKaru</v>
      </c>
    </row>
    <row r="1315">
      <c r="AV1315" s="0" t="s">
        <v>473</v>
      </c>
      <c r="AW1315" s="0" t="s">
        <v>415</v>
      </c>
      <c r="AX1315" s="0" t="s">
        <v>658</v>
      </c>
      <c r="AY1315" s="0" t="s">
        <v>3656</v>
      </c>
      <c r="AZ1315" s="0" t="s">
        <v>3657</v>
      </c>
      <c r="BA1315" s="0" t="s">
        <v>708</v>
      </c>
      <c r="BB1315" s="0" t="str">
        <f t="shared" si="20"/>
        <v>IHVNnaKaru</v>
      </c>
    </row>
    <row r="1316">
      <c r="AV1316" s="0" t="s">
        <v>473</v>
      </c>
      <c r="AW1316" s="0" t="s">
        <v>415</v>
      </c>
      <c r="AX1316" s="0" t="s">
        <v>658</v>
      </c>
      <c r="AY1316" s="0" t="s">
        <v>3658</v>
      </c>
      <c r="AZ1316" s="0" t="s">
        <v>3659</v>
      </c>
      <c r="BA1316" s="0" t="s">
        <v>708</v>
      </c>
      <c r="BB1316" s="0" t="str">
        <f t="shared" si="20"/>
        <v>IHVNnaKaru</v>
      </c>
    </row>
    <row r="1317">
      <c r="AV1317" s="0" t="s">
        <v>473</v>
      </c>
      <c r="AW1317" s="0" t="s">
        <v>415</v>
      </c>
      <c r="AX1317" s="0" t="s">
        <v>658</v>
      </c>
      <c r="AY1317" s="0" t="s">
        <v>3660</v>
      </c>
      <c r="AZ1317" s="0" t="s">
        <v>3661</v>
      </c>
      <c r="BA1317" s="0" t="s">
        <v>708</v>
      </c>
      <c r="BB1317" s="0" t="str">
        <f t="shared" si="20"/>
        <v>IHVNnaKaru</v>
      </c>
    </row>
    <row r="1318">
      <c r="AV1318" s="0" t="s">
        <v>473</v>
      </c>
      <c r="AW1318" s="0" t="s">
        <v>415</v>
      </c>
      <c r="AX1318" s="0" t="s">
        <v>658</v>
      </c>
      <c r="AY1318" s="0" t="s">
        <v>3662</v>
      </c>
      <c r="AZ1318" s="0" t="s">
        <v>3663</v>
      </c>
      <c r="BA1318" s="0" t="s">
        <v>708</v>
      </c>
      <c r="BB1318" s="0" t="str">
        <f t="shared" si="20"/>
        <v>IHVNnaKaru</v>
      </c>
    </row>
    <row r="1319">
      <c r="AV1319" s="0" t="s">
        <v>473</v>
      </c>
      <c r="AW1319" s="0" t="s">
        <v>415</v>
      </c>
      <c r="AX1319" s="0" t="s">
        <v>658</v>
      </c>
      <c r="AY1319" s="0" t="s">
        <v>3664</v>
      </c>
      <c r="AZ1319" s="0" t="s">
        <v>3665</v>
      </c>
      <c r="BA1319" s="0" t="s">
        <v>708</v>
      </c>
      <c r="BB1319" s="0" t="str">
        <f t="shared" si="20"/>
        <v>IHVNnaKaru</v>
      </c>
    </row>
    <row r="1320">
      <c r="AV1320" s="0" t="s">
        <v>473</v>
      </c>
      <c r="AW1320" s="0" t="s">
        <v>415</v>
      </c>
      <c r="AX1320" s="0" t="s">
        <v>658</v>
      </c>
      <c r="AY1320" s="0" t="s">
        <v>3666</v>
      </c>
      <c r="AZ1320" s="0" t="s">
        <v>3667</v>
      </c>
      <c r="BA1320" s="0" t="s">
        <v>708</v>
      </c>
      <c r="BB1320" s="0" t="str">
        <f t="shared" si="20"/>
        <v>IHVNnaKaru</v>
      </c>
    </row>
    <row r="1321">
      <c r="AV1321" s="0" t="s">
        <v>473</v>
      </c>
      <c r="AW1321" s="0" t="s">
        <v>415</v>
      </c>
      <c r="AX1321" s="0" t="s">
        <v>658</v>
      </c>
      <c r="AY1321" s="0" t="s">
        <v>3668</v>
      </c>
      <c r="AZ1321" s="0" t="s">
        <v>3669</v>
      </c>
      <c r="BA1321" s="0" t="s">
        <v>708</v>
      </c>
      <c r="BB1321" s="0" t="str">
        <f t="shared" si="20"/>
        <v>IHVNnaKaru</v>
      </c>
    </row>
    <row r="1322">
      <c r="AV1322" s="0" t="s">
        <v>473</v>
      </c>
      <c r="AW1322" s="0" t="s">
        <v>415</v>
      </c>
      <c r="AX1322" s="0" t="s">
        <v>658</v>
      </c>
      <c r="AY1322" s="0" t="s">
        <v>3670</v>
      </c>
      <c r="AZ1322" s="0" t="s">
        <v>3671</v>
      </c>
      <c r="BA1322" s="0" t="s">
        <v>708</v>
      </c>
      <c r="BB1322" s="0" t="str">
        <f t="shared" si="20"/>
        <v>IHVNnaKaru</v>
      </c>
    </row>
    <row r="1323">
      <c r="AV1323" s="0" t="s">
        <v>473</v>
      </c>
      <c r="AW1323" s="0" t="s">
        <v>415</v>
      </c>
      <c r="AX1323" s="0" t="s">
        <v>658</v>
      </c>
      <c r="AY1323" s="0" t="s">
        <v>3672</v>
      </c>
      <c r="AZ1323" s="0" t="s">
        <v>3673</v>
      </c>
      <c r="BA1323" s="0" t="s">
        <v>708</v>
      </c>
      <c r="BB1323" s="0" t="str">
        <f t="shared" si="20"/>
        <v>IHVNnaKaru</v>
      </c>
    </row>
    <row r="1324">
      <c r="AV1324" s="0" t="s">
        <v>473</v>
      </c>
      <c r="AW1324" s="0" t="s">
        <v>415</v>
      </c>
      <c r="AX1324" s="0" t="s">
        <v>658</v>
      </c>
      <c r="AY1324" s="0" t="s">
        <v>3674</v>
      </c>
      <c r="AZ1324" s="0" t="s">
        <v>3675</v>
      </c>
      <c r="BA1324" s="0" t="s">
        <v>708</v>
      </c>
      <c r="BB1324" s="0" t="str">
        <f t="shared" si="20"/>
        <v>IHVNnaKaru</v>
      </c>
    </row>
    <row r="1325">
      <c r="AV1325" s="0" t="s">
        <v>473</v>
      </c>
      <c r="AW1325" s="0" t="s">
        <v>415</v>
      </c>
      <c r="AX1325" s="0" t="s">
        <v>658</v>
      </c>
      <c r="AY1325" s="0" t="s">
        <v>3676</v>
      </c>
      <c r="AZ1325" s="0" t="s">
        <v>3677</v>
      </c>
      <c r="BA1325" s="0" t="s">
        <v>708</v>
      </c>
      <c r="BB1325" s="0" t="str">
        <f t="shared" si="20"/>
        <v>IHVNnaKaru</v>
      </c>
    </row>
    <row r="1326">
      <c r="AV1326" s="0" t="s">
        <v>473</v>
      </c>
      <c r="AW1326" s="0" t="s">
        <v>415</v>
      </c>
      <c r="AX1326" s="0" t="s">
        <v>658</v>
      </c>
      <c r="AY1326" s="0" t="s">
        <v>3678</v>
      </c>
      <c r="AZ1326" s="0" t="s">
        <v>3679</v>
      </c>
      <c r="BA1326" s="0" t="s">
        <v>708</v>
      </c>
      <c r="BB1326" s="0" t="str">
        <f t="shared" si="20"/>
        <v>IHVNnaKaru</v>
      </c>
    </row>
    <row r="1327">
      <c r="AV1327" s="0" t="s">
        <v>473</v>
      </c>
      <c r="AW1327" s="0" t="s">
        <v>415</v>
      </c>
      <c r="AX1327" s="0" t="s">
        <v>658</v>
      </c>
      <c r="AY1327" s="0" t="s">
        <v>3680</v>
      </c>
      <c r="AZ1327" s="0" t="s">
        <v>3681</v>
      </c>
      <c r="BA1327" s="0" t="s">
        <v>708</v>
      </c>
      <c r="BB1327" s="0" t="str">
        <f t="shared" si="20"/>
        <v>IHVNnaKaru</v>
      </c>
    </row>
    <row r="1328">
      <c r="AV1328" s="0" t="s">
        <v>473</v>
      </c>
      <c r="AW1328" s="0" t="s">
        <v>415</v>
      </c>
      <c r="AX1328" s="0" t="s">
        <v>658</v>
      </c>
      <c r="AY1328" s="0" t="s">
        <v>3682</v>
      </c>
      <c r="AZ1328" s="0" t="s">
        <v>3683</v>
      </c>
      <c r="BA1328" s="0" t="s">
        <v>708</v>
      </c>
      <c r="BB1328" s="0" t="str">
        <f t="shared" si="20"/>
        <v>IHVNnaKaru</v>
      </c>
    </row>
    <row r="1329">
      <c r="AV1329" s="0" t="s">
        <v>473</v>
      </c>
      <c r="AW1329" s="0" t="s">
        <v>415</v>
      </c>
      <c r="AX1329" s="0" t="s">
        <v>658</v>
      </c>
      <c r="AY1329" s="0" t="s">
        <v>3684</v>
      </c>
      <c r="AZ1329" s="0" t="s">
        <v>3685</v>
      </c>
      <c r="BA1329" s="0" t="s">
        <v>708</v>
      </c>
      <c r="BB1329" s="0" t="str">
        <f t="shared" si="20"/>
        <v>IHVNnaKaru</v>
      </c>
    </row>
    <row r="1330">
      <c r="AV1330" s="0" t="s">
        <v>473</v>
      </c>
      <c r="AW1330" s="0" t="s">
        <v>415</v>
      </c>
      <c r="AX1330" s="0" t="s">
        <v>658</v>
      </c>
      <c r="AY1330" s="0" t="s">
        <v>3686</v>
      </c>
      <c r="AZ1330" s="0" t="s">
        <v>3687</v>
      </c>
      <c r="BA1330" s="0" t="s">
        <v>708</v>
      </c>
      <c r="BB1330" s="0" t="str">
        <f t="shared" si="20"/>
        <v>IHVNnaKaru</v>
      </c>
    </row>
    <row r="1331">
      <c r="AV1331" s="0" t="s">
        <v>473</v>
      </c>
      <c r="AW1331" s="0" t="s">
        <v>415</v>
      </c>
      <c r="AX1331" s="0" t="s">
        <v>658</v>
      </c>
      <c r="AY1331" s="0" t="s">
        <v>3688</v>
      </c>
      <c r="AZ1331" s="0" t="s">
        <v>3689</v>
      </c>
      <c r="BA1331" s="0" t="s">
        <v>708</v>
      </c>
      <c r="BB1331" s="0" t="str">
        <f t="shared" si="20"/>
        <v>IHVNnaKaru</v>
      </c>
    </row>
    <row r="1332">
      <c r="AV1332" s="0" t="s">
        <v>473</v>
      </c>
      <c r="AW1332" s="0" t="s">
        <v>415</v>
      </c>
      <c r="AX1332" s="0" t="s">
        <v>658</v>
      </c>
      <c r="AY1332" s="0" t="s">
        <v>3690</v>
      </c>
      <c r="AZ1332" s="0" t="s">
        <v>3691</v>
      </c>
      <c r="BA1332" s="0" t="s">
        <v>708</v>
      </c>
      <c r="BB1332" s="0" t="str">
        <f t="shared" si="20"/>
        <v>IHVNnaKaru</v>
      </c>
    </row>
    <row r="1333">
      <c r="AV1333" s="0" t="s">
        <v>473</v>
      </c>
      <c r="AW1333" s="0" t="s">
        <v>415</v>
      </c>
      <c r="AX1333" s="0" t="s">
        <v>658</v>
      </c>
      <c r="AY1333" s="0" t="s">
        <v>3386</v>
      </c>
      <c r="AZ1333" s="0" t="s">
        <v>3692</v>
      </c>
      <c r="BA1333" s="0" t="s">
        <v>708</v>
      </c>
      <c r="BB1333" s="0" t="str">
        <f t="shared" si="20"/>
        <v>IHVNnaKaru</v>
      </c>
    </row>
    <row r="1334">
      <c r="AV1334" s="0" t="s">
        <v>473</v>
      </c>
      <c r="AW1334" s="0" t="s">
        <v>415</v>
      </c>
      <c r="AX1334" s="0" t="s">
        <v>658</v>
      </c>
      <c r="AY1334" s="0" t="s">
        <v>3388</v>
      </c>
      <c r="AZ1334" s="0" t="s">
        <v>3693</v>
      </c>
      <c r="BA1334" s="0" t="s">
        <v>708</v>
      </c>
      <c r="BB1334" s="0" t="str">
        <f t="shared" si="20"/>
        <v>IHVNnaKaru</v>
      </c>
    </row>
    <row r="1335">
      <c r="AV1335" s="0" t="s">
        <v>473</v>
      </c>
      <c r="AW1335" s="0" t="s">
        <v>415</v>
      </c>
      <c r="AX1335" s="0" t="s">
        <v>658</v>
      </c>
      <c r="AY1335" s="0" t="s">
        <v>3694</v>
      </c>
      <c r="AZ1335" s="0" t="s">
        <v>3695</v>
      </c>
      <c r="BA1335" s="0" t="s">
        <v>708</v>
      </c>
      <c r="BB1335" s="0" t="str">
        <f t="shared" si="20"/>
        <v>IHVNnaKaru</v>
      </c>
    </row>
    <row r="1336">
      <c r="AV1336" s="0" t="s">
        <v>473</v>
      </c>
      <c r="AW1336" s="0" t="s">
        <v>415</v>
      </c>
      <c r="AX1336" s="0" t="s">
        <v>658</v>
      </c>
      <c r="AY1336" s="0" t="s">
        <v>3696</v>
      </c>
      <c r="AZ1336" s="0" t="s">
        <v>3697</v>
      </c>
      <c r="BA1336" s="0" t="s">
        <v>708</v>
      </c>
      <c r="BB1336" s="0" t="str">
        <f t="shared" si="20"/>
        <v>IHVNnaKaru</v>
      </c>
    </row>
    <row r="1337">
      <c r="AV1337" s="0" t="s">
        <v>473</v>
      </c>
      <c r="AW1337" s="0" t="s">
        <v>415</v>
      </c>
      <c r="AX1337" s="0" t="s">
        <v>658</v>
      </c>
      <c r="AY1337" s="0" t="s">
        <v>3698</v>
      </c>
      <c r="AZ1337" s="0" t="s">
        <v>3699</v>
      </c>
      <c r="BA1337" s="0" t="s">
        <v>708</v>
      </c>
      <c r="BB1337" s="0" t="str">
        <f t="shared" si="20"/>
        <v>IHVNnaKaru</v>
      </c>
    </row>
    <row r="1338">
      <c r="AV1338" s="0" t="s">
        <v>473</v>
      </c>
      <c r="AW1338" s="0" t="s">
        <v>415</v>
      </c>
      <c r="AX1338" s="0" t="s">
        <v>658</v>
      </c>
      <c r="AY1338" s="0" t="s">
        <v>3700</v>
      </c>
      <c r="AZ1338" s="0" t="s">
        <v>3701</v>
      </c>
      <c r="BA1338" s="0" t="s">
        <v>708</v>
      </c>
      <c r="BB1338" s="0" t="str">
        <f t="shared" si="20"/>
        <v>IHVNnaKaru</v>
      </c>
    </row>
    <row r="1339">
      <c r="AV1339" s="0" t="s">
        <v>473</v>
      </c>
      <c r="AW1339" s="0" t="s">
        <v>415</v>
      </c>
      <c r="AX1339" s="0" t="s">
        <v>658</v>
      </c>
      <c r="AY1339" s="0" t="s">
        <v>3702</v>
      </c>
      <c r="AZ1339" s="0" t="s">
        <v>3703</v>
      </c>
      <c r="BA1339" s="0" t="s">
        <v>708</v>
      </c>
      <c r="BB1339" s="0" t="str">
        <f t="shared" si="20"/>
        <v>IHVNnaKaru</v>
      </c>
    </row>
    <row r="1340">
      <c r="AV1340" s="0" t="s">
        <v>473</v>
      </c>
      <c r="AW1340" s="0" t="s">
        <v>415</v>
      </c>
      <c r="AX1340" s="0" t="s">
        <v>658</v>
      </c>
      <c r="AY1340" s="0" t="s">
        <v>3704</v>
      </c>
      <c r="AZ1340" s="0" t="s">
        <v>3705</v>
      </c>
      <c r="BA1340" s="0" t="s">
        <v>708</v>
      </c>
      <c r="BB1340" s="0" t="str">
        <f t="shared" si="20"/>
        <v>IHVNnaKaru</v>
      </c>
    </row>
    <row r="1341">
      <c r="AV1341" s="0" t="s">
        <v>473</v>
      </c>
      <c r="AW1341" s="0" t="s">
        <v>415</v>
      </c>
      <c r="AX1341" s="0" t="s">
        <v>658</v>
      </c>
      <c r="AY1341" s="0" t="s">
        <v>3706</v>
      </c>
      <c r="AZ1341" s="0" t="s">
        <v>3707</v>
      </c>
      <c r="BA1341" s="0" t="s">
        <v>708</v>
      </c>
      <c r="BB1341" s="0" t="str">
        <f t="shared" si="20"/>
        <v>IHVNnaKaru</v>
      </c>
    </row>
    <row r="1342">
      <c r="AV1342" s="0" t="s">
        <v>473</v>
      </c>
      <c r="AW1342" s="0" t="s">
        <v>415</v>
      </c>
      <c r="AX1342" s="0" t="s">
        <v>658</v>
      </c>
      <c r="AY1342" s="0" t="s">
        <v>3708</v>
      </c>
      <c r="AZ1342" s="0" t="s">
        <v>3709</v>
      </c>
      <c r="BA1342" s="0" t="s">
        <v>708</v>
      </c>
      <c r="BB1342" s="0" t="str">
        <f t="shared" si="20"/>
        <v>IHVNnaKaru</v>
      </c>
    </row>
    <row r="1343">
      <c r="AV1343" s="0" t="s">
        <v>473</v>
      </c>
      <c r="AW1343" s="0" t="s">
        <v>415</v>
      </c>
      <c r="AX1343" s="0" t="s">
        <v>658</v>
      </c>
      <c r="AY1343" s="0" t="s">
        <v>3710</v>
      </c>
      <c r="AZ1343" s="0" t="s">
        <v>3711</v>
      </c>
      <c r="BA1343" s="0" t="s">
        <v>708</v>
      </c>
      <c r="BB1343" s="0" t="str">
        <f t="shared" si="20"/>
        <v>IHVNnaKaru</v>
      </c>
    </row>
    <row r="1344">
      <c r="AV1344" s="0" t="s">
        <v>473</v>
      </c>
      <c r="AW1344" s="0" t="s">
        <v>415</v>
      </c>
      <c r="AX1344" s="0" t="s">
        <v>658</v>
      </c>
      <c r="AY1344" s="0" t="s">
        <v>3712</v>
      </c>
      <c r="AZ1344" s="0" t="s">
        <v>3713</v>
      </c>
      <c r="BA1344" s="0" t="s">
        <v>708</v>
      </c>
      <c r="BB1344" s="0" t="str">
        <f t="shared" si="20"/>
        <v>IHVNnaKaru</v>
      </c>
    </row>
    <row r="1345">
      <c r="AV1345" s="0" t="s">
        <v>473</v>
      </c>
      <c r="AW1345" s="0" t="s">
        <v>415</v>
      </c>
      <c r="AX1345" s="0" t="s">
        <v>658</v>
      </c>
      <c r="AY1345" s="0" t="s">
        <v>3714</v>
      </c>
      <c r="AZ1345" s="0" t="s">
        <v>3715</v>
      </c>
      <c r="BA1345" s="0" t="s">
        <v>708</v>
      </c>
      <c r="BB1345" s="0" t="str">
        <f t="shared" si="20"/>
        <v>IHVNnaKaru</v>
      </c>
    </row>
    <row r="1346">
      <c r="AV1346" s="0" t="s">
        <v>473</v>
      </c>
      <c r="AW1346" s="0" t="s">
        <v>415</v>
      </c>
      <c r="AX1346" s="0" t="s">
        <v>658</v>
      </c>
      <c r="AY1346" s="0" t="s">
        <v>3716</v>
      </c>
      <c r="AZ1346" s="0" t="s">
        <v>3717</v>
      </c>
      <c r="BA1346" s="0" t="s">
        <v>708</v>
      </c>
      <c r="BB1346" s="0" t="str">
        <f t="shared" si="20"/>
        <v>IHVNnaKaru</v>
      </c>
    </row>
    <row r="1347">
      <c r="AV1347" s="0" t="s">
        <v>473</v>
      </c>
      <c r="AW1347" s="0" t="s">
        <v>415</v>
      </c>
      <c r="AX1347" s="0" t="s">
        <v>658</v>
      </c>
      <c r="AY1347" s="0" t="s">
        <v>3718</v>
      </c>
      <c r="AZ1347" s="0" t="s">
        <v>3719</v>
      </c>
      <c r="BA1347" s="0" t="s">
        <v>708</v>
      </c>
      <c r="BB1347" s="0" t="str">
        <f ref="BB1347:BB1410" t="shared" si="21">SUBSTITUTE(SUBSTITUTE(BA1347&amp;AX1347," ",""),"-","")</f>
        <v>IHVNnaKaru</v>
      </c>
    </row>
    <row r="1348">
      <c r="AV1348" s="0" t="s">
        <v>473</v>
      </c>
      <c r="AW1348" s="0" t="s">
        <v>415</v>
      </c>
      <c r="AX1348" s="0" t="s">
        <v>658</v>
      </c>
      <c r="AY1348" s="0" t="s">
        <v>3720</v>
      </c>
      <c r="AZ1348" s="0" t="s">
        <v>3721</v>
      </c>
      <c r="BA1348" s="0" t="s">
        <v>708</v>
      </c>
      <c r="BB1348" s="0" t="str">
        <f t="shared" si="21"/>
        <v>IHVNnaKaru</v>
      </c>
    </row>
    <row r="1349">
      <c r="AV1349" s="0" t="s">
        <v>473</v>
      </c>
      <c r="AW1349" s="0" t="s">
        <v>415</v>
      </c>
      <c r="AX1349" s="0" t="s">
        <v>658</v>
      </c>
      <c r="AY1349" s="0" t="s">
        <v>3722</v>
      </c>
      <c r="AZ1349" s="0" t="s">
        <v>3723</v>
      </c>
      <c r="BA1349" s="0" t="s">
        <v>708</v>
      </c>
      <c r="BB1349" s="0" t="str">
        <f t="shared" si="21"/>
        <v>IHVNnaKaru</v>
      </c>
    </row>
    <row r="1350">
      <c r="AV1350" s="0" t="s">
        <v>473</v>
      </c>
      <c r="AW1350" s="0" t="s">
        <v>415</v>
      </c>
      <c r="AX1350" s="0" t="s">
        <v>658</v>
      </c>
      <c r="AY1350" s="0" t="s">
        <v>3724</v>
      </c>
      <c r="AZ1350" s="0" t="s">
        <v>3725</v>
      </c>
      <c r="BA1350" s="0" t="s">
        <v>708</v>
      </c>
      <c r="BB1350" s="0" t="str">
        <f t="shared" si="21"/>
        <v>IHVNnaKaru</v>
      </c>
    </row>
    <row r="1351">
      <c r="AV1351" s="0" t="s">
        <v>473</v>
      </c>
      <c r="AW1351" s="0" t="s">
        <v>415</v>
      </c>
      <c r="AX1351" s="0" t="s">
        <v>658</v>
      </c>
      <c r="AY1351" s="0" t="s">
        <v>3726</v>
      </c>
      <c r="AZ1351" s="0" t="s">
        <v>3727</v>
      </c>
      <c r="BA1351" s="0" t="s">
        <v>708</v>
      </c>
      <c r="BB1351" s="0" t="str">
        <f t="shared" si="21"/>
        <v>IHVNnaKaru</v>
      </c>
    </row>
    <row r="1352">
      <c r="AV1352" s="0" t="s">
        <v>473</v>
      </c>
      <c r="AW1352" s="0" t="s">
        <v>415</v>
      </c>
      <c r="AX1352" s="0" t="s">
        <v>658</v>
      </c>
      <c r="AY1352" s="0" t="s">
        <v>3728</v>
      </c>
      <c r="AZ1352" s="0" t="s">
        <v>3729</v>
      </c>
      <c r="BA1352" s="0" t="s">
        <v>708</v>
      </c>
      <c r="BB1352" s="0" t="str">
        <f t="shared" si="21"/>
        <v>IHVNnaKaru</v>
      </c>
    </row>
    <row r="1353">
      <c r="AV1353" s="0" t="s">
        <v>473</v>
      </c>
      <c r="AW1353" s="0" t="s">
        <v>415</v>
      </c>
      <c r="AX1353" s="0" t="s">
        <v>658</v>
      </c>
      <c r="AY1353" s="0" t="s">
        <v>3730</v>
      </c>
      <c r="AZ1353" s="0" t="s">
        <v>3731</v>
      </c>
      <c r="BA1353" s="0" t="s">
        <v>708</v>
      </c>
      <c r="BB1353" s="0" t="str">
        <f t="shared" si="21"/>
        <v>IHVNnaKaru</v>
      </c>
    </row>
    <row r="1354">
      <c r="AV1354" s="0" t="s">
        <v>473</v>
      </c>
      <c r="AW1354" s="0" t="s">
        <v>415</v>
      </c>
      <c r="AX1354" s="0" t="s">
        <v>658</v>
      </c>
      <c r="AY1354" s="0" t="s">
        <v>3149</v>
      </c>
      <c r="AZ1354" s="0" t="s">
        <v>3732</v>
      </c>
      <c r="BA1354" s="0" t="s">
        <v>708</v>
      </c>
      <c r="BB1354" s="0" t="str">
        <f t="shared" si="21"/>
        <v>IHVNnaKaru</v>
      </c>
    </row>
    <row r="1355">
      <c r="AV1355" s="0" t="s">
        <v>473</v>
      </c>
      <c r="AW1355" s="0" t="s">
        <v>415</v>
      </c>
      <c r="AX1355" s="0" t="s">
        <v>658</v>
      </c>
      <c r="AY1355" s="0" t="s">
        <v>3733</v>
      </c>
      <c r="AZ1355" s="0" t="s">
        <v>3734</v>
      </c>
      <c r="BA1355" s="0" t="s">
        <v>708</v>
      </c>
      <c r="BB1355" s="0" t="str">
        <f t="shared" si="21"/>
        <v>IHVNnaKaru</v>
      </c>
    </row>
    <row r="1356">
      <c r="AV1356" s="0" t="s">
        <v>473</v>
      </c>
      <c r="AW1356" s="0" t="s">
        <v>415</v>
      </c>
      <c r="AX1356" s="0" t="s">
        <v>658</v>
      </c>
      <c r="AY1356" s="0" t="s">
        <v>3735</v>
      </c>
      <c r="AZ1356" s="0" t="s">
        <v>3736</v>
      </c>
      <c r="BA1356" s="0" t="s">
        <v>708</v>
      </c>
      <c r="BB1356" s="0" t="str">
        <f t="shared" si="21"/>
        <v>IHVNnaKaru</v>
      </c>
    </row>
    <row r="1357">
      <c r="AV1357" s="0" t="s">
        <v>473</v>
      </c>
      <c r="AW1357" s="0" t="s">
        <v>415</v>
      </c>
      <c r="AX1357" s="0" t="s">
        <v>694</v>
      </c>
      <c r="AY1357" s="0" t="s">
        <v>3737</v>
      </c>
      <c r="AZ1357" s="0" t="s">
        <v>3738</v>
      </c>
      <c r="BA1357" s="0" t="s">
        <v>708</v>
      </c>
      <c r="BB1357" s="0" t="str">
        <f t="shared" si="21"/>
        <v>IHVNnaKeana</v>
      </c>
    </row>
    <row r="1358">
      <c r="AV1358" s="0" t="s">
        <v>473</v>
      </c>
      <c r="AW1358" s="0" t="s">
        <v>415</v>
      </c>
      <c r="AX1358" s="0" t="s">
        <v>543</v>
      </c>
      <c r="AY1358" s="0" t="s">
        <v>3739</v>
      </c>
      <c r="AZ1358" s="0" t="s">
        <v>3740</v>
      </c>
      <c r="BA1358" s="0" t="s">
        <v>708</v>
      </c>
      <c r="BB1358" s="0" t="str">
        <f t="shared" si="21"/>
        <v>IHVNnaKeffi</v>
      </c>
    </row>
    <row r="1359">
      <c r="AV1359" s="0" t="s">
        <v>473</v>
      </c>
      <c r="AW1359" s="0" t="s">
        <v>415</v>
      </c>
      <c r="AX1359" s="0" t="s">
        <v>543</v>
      </c>
      <c r="AY1359" s="0" t="s">
        <v>3741</v>
      </c>
      <c r="AZ1359" s="0" t="s">
        <v>3742</v>
      </c>
      <c r="BA1359" s="0" t="s">
        <v>708</v>
      </c>
      <c r="BB1359" s="0" t="str">
        <f t="shared" si="21"/>
        <v>IHVNnaKeffi</v>
      </c>
    </row>
    <row r="1360">
      <c r="AV1360" s="0" t="s">
        <v>473</v>
      </c>
      <c r="AW1360" s="0" t="s">
        <v>415</v>
      </c>
      <c r="AX1360" s="0" t="s">
        <v>543</v>
      </c>
      <c r="AY1360" s="0" t="s">
        <v>3743</v>
      </c>
      <c r="AZ1360" s="0" t="s">
        <v>3744</v>
      </c>
      <c r="BA1360" s="0" t="s">
        <v>708</v>
      </c>
      <c r="BB1360" s="0" t="str">
        <f t="shared" si="21"/>
        <v>IHVNnaKeffi</v>
      </c>
    </row>
    <row r="1361">
      <c r="AV1361" s="0" t="s">
        <v>473</v>
      </c>
      <c r="AW1361" s="0" t="s">
        <v>415</v>
      </c>
      <c r="AX1361" s="0" t="s">
        <v>543</v>
      </c>
      <c r="AY1361" s="0" t="s">
        <v>3745</v>
      </c>
      <c r="AZ1361" s="0" t="s">
        <v>3746</v>
      </c>
      <c r="BA1361" s="0" t="s">
        <v>708</v>
      </c>
      <c r="BB1361" s="0" t="str">
        <f t="shared" si="21"/>
        <v>IHVNnaKeffi</v>
      </c>
    </row>
    <row r="1362">
      <c r="AV1362" s="0" t="s">
        <v>473</v>
      </c>
      <c r="AW1362" s="0" t="s">
        <v>415</v>
      </c>
      <c r="AX1362" s="0" t="s">
        <v>729</v>
      </c>
      <c r="AY1362" s="0" t="s">
        <v>3747</v>
      </c>
      <c r="AZ1362" s="0" t="s">
        <v>3748</v>
      </c>
      <c r="BA1362" s="0" t="s">
        <v>708</v>
      </c>
      <c r="BB1362" s="0" t="str">
        <f t="shared" si="21"/>
        <v>IHVNnaKokona</v>
      </c>
    </row>
    <row r="1363">
      <c r="AV1363" s="0" t="s">
        <v>473</v>
      </c>
      <c r="AW1363" s="0" t="s">
        <v>415</v>
      </c>
      <c r="AX1363" s="0" t="s">
        <v>582</v>
      </c>
      <c r="AY1363" s="0" t="s">
        <v>3749</v>
      </c>
      <c r="AZ1363" s="0" t="s">
        <v>3750</v>
      </c>
      <c r="BA1363" s="0" t="s">
        <v>708</v>
      </c>
      <c r="BB1363" s="0" t="str">
        <f t="shared" si="21"/>
        <v>IHVNnaLafia</v>
      </c>
    </row>
    <row r="1364">
      <c r="AV1364" s="0" t="s">
        <v>473</v>
      </c>
      <c r="AW1364" s="0" t="s">
        <v>415</v>
      </c>
      <c r="AX1364" s="0" t="s">
        <v>582</v>
      </c>
      <c r="AY1364" s="0" t="s">
        <v>3751</v>
      </c>
      <c r="AZ1364" s="0" t="s">
        <v>3752</v>
      </c>
      <c r="BA1364" s="0" t="s">
        <v>708</v>
      </c>
      <c r="BB1364" s="0" t="str">
        <f t="shared" si="21"/>
        <v>IHVNnaLafia</v>
      </c>
    </row>
    <row r="1365">
      <c r="AV1365" s="0" t="s">
        <v>473</v>
      </c>
      <c r="AW1365" s="0" t="s">
        <v>415</v>
      </c>
      <c r="AX1365" s="0" t="s">
        <v>582</v>
      </c>
      <c r="AY1365" s="0" t="s">
        <v>3753</v>
      </c>
      <c r="AZ1365" s="0" t="s">
        <v>3754</v>
      </c>
      <c r="BA1365" s="0" t="s">
        <v>708</v>
      </c>
      <c r="BB1365" s="0" t="str">
        <f t="shared" si="21"/>
        <v>IHVNnaLafia</v>
      </c>
    </row>
    <row r="1366">
      <c r="AV1366" s="0" t="s">
        <v>473</v>
      </c>
      <c r="AW1366" s="0" t="s">
        <v>415</v>
      </c>
      <c r="AX1366" s="0" t="s">
        <v>582</v>
      </c>
      <c r="AY1366" s="0" t="s">
        <v>3755</v>
      </c>
      <c r="AZ1366" s="0" t="s">
        <v>3756</v>
      </c>
      <c r="BA1366" s="0" t="s">
        <v>708</v>
      </c>
      <c r="BB1366" s="0" t="str">
        <f t="shared" si="21"/>
        <v>IHVNnaLafia</v>
      </c>
    </row>
    <row r="1367">
      <c r="AV1367" s="0" t="s">
        <v>473</v>
      </c>
      <c r="AW1367" s="0" t="s">
        <v>415</v>
      </c>
      <c r="AX1367" s="0" t="s">
        <v>582</v>
      </c>
      <c r="AY1367" s="0" t="s">
        <v>3757</v>
      </c>
      <c r="AZ1367" s="0" t="s">
        <v>3758</v>
      </c>
      <c r="BA1367" s="0" t="s">
        <v>708</v>
      </c>
      <c r="BB1367" s="0" t="str">
        <f t="shared" si="21"/>
        <v>IHVNnaLafia</v>
      </c>
    </row>
    <row r="1368">
      <c r="AV1368" s="0" t="s">
        <v>473</v>
      </c>
      <c r="AW1368" s="0" t="s">
        <v>415</v>
      </c>
      <c r="AX1368" s="0" t="s">
        <v>582</v>
      </c>
      <c r="AY1368" s="0" t="s">
        <v>3759</v>
      </c>
      <c r="AZ1368" s="0" t="s">
        <v>3760</v>
      </c>
      <c r="BA1368" s="0" t="s">
        <v>708</v>
      </c>
      <c r="BB1368" s="0" t="str">
        <f t="shared" si="21"/>
        <v>IHVNnaLafia</v>
      </c>
    </row>
    <row r="1369">
      <c r="AV1369" s="0" t="s">
        <v>473</v>
      </c>
      <c r="AW1369" s="0" t="s">
        <v>415</v>
      </c>
      <c r="AX1369" s="0" t="s">
        <v>582</v>
      </c>
      <c r="AY1369" s="0" t="s">
        <v>3761</v>
      </c>
      <c r="AZ1369" s="0" t="s">
        <v>3762</v>
      </c>
      <c r="BA1369" s="0" t="s">
        <v>708</v>
      </c>
      <c r="BB1369" s="0" t="str">
        <f t="shared" si="21"/>
        <v>IHVNnaLafia</v>
      </c>
    </row>
    <row r="1370">
      <c r="AV1370" s="0" t="s">
        <v>473</v>
      </c>
      <c r="AW1370" s="0" t="s">
        <v>415</v>
      </c>
      <c r="AX1370" s="0" t="s">
        <v>582</v>
      </c>
      <c r="AY1370" s="0" t="s">
        <v>3763</v>
      </c>
      <c r="AZ1370" s="0" t="s">
        <v>3764</v>
      </c>
      <c r="BA1370" s="0" t="s">
        <v>708</v>
      </c>
      <c r="BB1370" s="0" t="str">
        <f t="shared" si="21"/>
        <v>IHVNnaLafia</v>
      </c>
    </row>
    <row r="1371">
      <c r="AV1371" s="0" t="s">
        <v>473</v>
      </c>
      <c r="AW1371" s="0" t="s">
        <v>415</v>
      </c>
      <c r="AX1371" s="0" t="s">
        <v>582</v>
      </c>
      <c r="AY1371" s="0" t="s">
        <v>3765</v>
      </c>
      <c r="AZ1371" s="0" t="s">
        <v>3766</v>
      </c>
      <c r="BA1371" s="0" t="s">
        <v>708</v>
      </c>
      <c r="BB1371" s="0" t="str">
        <f t="shared" si="21"/>
        <v>IHVNnaLafia</v>
      </c>
    </row>
    <row r="1372">
      <c r="AV1372" s="0" t="s">
        <v>473</v>
      </c>
      <c r="AW1372" s="0" t="s">
        <v>415</v>
      </c>
      <c r="AX1372" s="0" t="s">
        <v>582</v>
      </c>
      <c r="AY1372" s="0" t="s">
        <v>3767</v>
      </c>
      <c r="AZ1372" s="0" t="s">
        <v>3768</v>
      </c>
      <c r="BA1372" s="0" t="s">
        <v>708</v>
      </c>
      <c r="BB1372" s="0" t="str">
        <f t="shared" si="21"/>
        <v>IHVNnaLafia</v>
      </c>
    </row>
    <row r="1373">
      <c r="AV1373" s="0" t="s">
        <v>473</v>
      </c>
      <c r="AW1373" s="0" t="s">
        <v>415</v>
      </c>
      <c r="AX1373" s="0" t="s">
        <v>582</v>
      </c>
      <c r="AY1373" s="0" t="s">
        <v>3769</v>
      </c>
      <c r="AZ1373" s="0" t="s">
        <v>3770</v>
      </c>
      <c r="BA1373" s="0" t="s">
        <v>708</v>
      </c>
      <c r="BB1373" s="0" t="str">
        <f t="shared" si="21"/>
        <v>IHVNnaLafia</v>
      </c>
    </row>
    <row r="1374">
      <c r="AV1374" s="0" t="s">
        <v>473</v>
      </c>
      <c r="AW1374" s="0" t="s">
        <v>415</v>
      </c>
      <c r="AX1374" s="0" t="s">
        <v>582</v>
      </c>
      <c r="AY1374" s="0" t="s">
        <v>3771</v>
      </c>
      <c r="AZ1374" s="0" t="s">
        <v>3772</v>
      </c>
      <c r="BA1374" s="0" t="s">
        <v>708</v>
      </c>
      <c r="BB1374" s="0" t="str">
        <f t="shared" si="21"/>
        <v>IHVNnaLafia</v>
      </c>
    </row>
    <row r="1375">
      <c r="AV1375" s="0" t="s">
        <v>473</v>
      </c>
      <c r="AW1375" s="0" t="s">
        <v>415</v>
      </c>
      <c r="AX1375" s="0" t="s">
        <v>582</v>
      </c>
      <c r="AY1375" s="0" t="s">
        <v>3773</v>
      </c>
      <c r="AZ1375" s="0" t="s">
        <v>3774</v>
      </c>
      <c r="BA1375" s="0" t="s">
        <v>708</v>
      </c>
      <c r="BB1375" s="0" t="str">
        <f t="shared" si="21"/>
        <v>IHVNnaLafia</v>
      </c>
    </row>
    <row r="1376">
      <c r="AV1376" s="0" t="s">
        <v>473</v>
      </c>
      <c r="AW1376" s="0" t="s">
        <v>415</v>
      </c>
      <c r="AX1376" s="0" t="s">
        <v>582</v>
      </c>
      <c r="AY1376" s="0" t="s">
        <v>3775</v>
      </c>
      <c r="AZ1376" s="0" t="s">
        <v>3776</v>
      </c>
      <c r="BA1376" s="0" t="s">
        <v>708</v>
      </c>
      <c r="BB1376" s="0" t="str">
        <f t="shared" si="21"/>
        <v>IHVNnaLafia</v>
      </c>
    </row>
    <row r="1377">
      <c r="AV1377" s="0" t="s">
        <v>473</v>
      </c>
      <c r="AW1377" s="0" t="s">
        <v>415</v>
      </c>
      <c r="AX1377" s="0" t="s">
        <v>582</v>
      </c>
      <c r="AY1377" s="0" t="s">
        <v>3777</v>
      </c>
      <c r="AZ1377" s="0" t="s">
        <v>3778</v>
      </c>
      <c r="BA1377" s="0" t="s">
        <v>708</v>
      </c>
      <c r="BB1377" s="0" t="str">
        <f t="shared" si="21"/>
        <v>IHVNnaLafia</v>
      </c>
    </row>
    <row r="1378">
      <c r="AV1378" s="0" t="s">
        <v>473</v>
      </c>
      <c r="AW1378" s="0" t="s">
        <v>415</v>
      </c>
      <c r="AX1378" s="0" t="s">
        <v>582</v>
      </c>
      <c r="AY1378" s="0" t="s">
        <v>3779</v>
      </c>
      <c r="AZ1378" s="0" t="s">
        <v>3780</v>
      </c>
      <c r="BA1378" s="0" t="s">
        <v>708</v>
      </c>
      <c r="BB1378" s="0" t="str">
        <f t="shared" si="21"/>
        <v>IHVNnaLafia</v>
      </c>
    </row>
    <row r="1379">
      <c r="AV1379" s="0" t="s">
        <v>473</v>
      </c>
      <c r="AW1379" s="0" t="s">
        <v>415</v>
      </c>
      <c r="AX1379" s="0" t="s">
        <v>582</v>
      </c>
      <c r="AY1379" s="0" t="s">
        <v>3781</v>
      </c>
      <c r="AZ1379" s="0" t="s">
        <v>3782</v>
      </c>
      <c r="BA1379" s="0" t="s">
        <v>708</v>
      </c>
      <c r="BB1379" s="0" t="str">
        <f t="shared" si="21"/>
        <v>IHVNnaLafia</v>
      </c>
    </row>
    <row r="1380">
      <c r="AV1380" s="0" t="s">
        <v>473</v>
      </c>
      <c r="AW1380" s="0" t="s">
        <v>415</v>
      </c>
      <c r="AX1380" s="0" t="s">
        <v>582</v>
      </c>
      <c r="AY1380" s="0" t="s">
        <v>3783</v>
      </c>
      <c r="AZ1380" s="0" t="s">
        <v>3784</v>
      </c>
      <c r="BA1380" s="0" t="s">
        <v>708</v>
      </c>
      <c r="BB1380" s="0" t="str">
        <f t="shared" si="21"/>
        <v>IHVNnaLafia</v>
      </c>
    </row>
    <row r="1381">
      <c r="AV1381" s="0" t="s">
        <v>473</v>
      </c>
      <c r="AW1381" s="0" t="s">
        <v>415</v>
      </c>
      <c r="AX1381" s="0" t="s">
        <v>582</v>
      </c>
      <c r="AY1381" s="0" t="s">
        <v>3785</v>
      </c>
      <c r="AZ1381" s="0" t="s">
        <v>3786</v>
      </c>
      <c r="BA1381" s="0" t="s">
        <v>708</v>
      </c>
      <c r="BB1381" s="0" t="str">
        <f t="shared" si="21"/>
        <v>IHVNnaLafia</v>
      </c>
    </row>
    <row r="1382">
      <c r="AV1382" s="0" t="s">
        <v>473</v>
      </c>
      <c r="AW1382" s="0" t="s">
        <v>415</v>
      </c>
      <c r="AX1382" s="0" t="s">
        <v>582</v>
      </c>
      <c r="AY1382" s="0" t="s">
        <v>3787</v>
      </c>
      <c r="AZ1382" s="0" t="s">
        <v>3788</v>
      </c>
      <c r="BA1382" s="0" t="s">
        <v>708</v>
      </c>
      <c r="BB1382" s="0" t="str">
        <f t="shared" si="21"/>
        <v>IHVNnaLafia</v>
      </c>
    </row>
    <row r="1383">
      <c r="AV1383" s="0" t="s">
        <v>473</v>
      </c>
      <c r="AW1383" s="0" t="s">
        <v>415</v>
      </c>
      <c r="AX1383" s="0" t="s">
        <v>582</v>
      </c>
      <c r="AY1383" s="0" t="s">
        <v>3789</v>
      </c>
      <c r="AZ1383" s="0" t="s">
        <v>3790</v>
      </c>
      <c r="BA1383" s="0" t="s">
        <v>708</v>
      </c>
      <c r="BB1383" s="0" t="str">
        <f t="shared" si="21"/>
        <v>IHVNnaLafia</v>
      </c>
    </row>
    <row r="1384">
      <c r="AV1384" s="0" t="s">
        <v>473</v>
      </c>
      <c r="AW1384" s="0" t="s">
        <v>415</v>
      </c>
      <c r="AX1384" s="0" t="s">
        <v>582</v>
      </c>
      <c r="AY1384" s="0" t="s">
        <v>3791</v>
      </c>
      <c r="AZ1384" s="0" t="s">
        <v>3792</v>
      </c>
      <c r="BA1384" s="0" t="s">
        <v>708</v>
      </c>
      <c r="BB1384" s="0" t="str">
        <f t="shared" si="21"/>
        <v>IHVNnaLafia</v>
      </c>
    </row>
    <row r="1385">
      <c r="AV1385" s="0" t="s">
        <v>473</v>
      </c>
      <c r="AW1385" s="0" t="s">
        <v>415</v>
      </c>
      <c r="AX1385" s="0" t="s">
        <v>582</v>
      </c>
      <c r="AY1385" s="0" t="s">
        <v>3793</v>
      </c>
      <c r="AZ1385" s="0" t="s">
        <v>3794</v>
      </c>
      <c r="BA1385" s="0" t="s">
        <v>708</v>
      </c>
      <c r="BB1385" s="0" t="str">
        <f t="shared" si="21"/>
        <v>IHVNnaLafia</v>
      </c>
    </row>
    <row r="1386">
      <c r="AV1386" s="0" t="s">
        <v>473</v>
      </c>
      <c r="AW1386" s="0" t="s">
        <v>415</v>
      </c>
      <c r="AX1386" s="0" t="s">
        <v>582</v>
      </c>
      <c r="AY1386" s="0" t="s">
        <v>3795</v>
      </c>
      <c r="AZ1386" s="0" t="s">
        <v>3796</v>
      </c>
      <c r="BA1386" s="0" t="s">
        <v>708</v>
      </c>
      <c r="BB1386" s="0" t="str">
        <f t="shared" si="21"/>
        <v>IHVNnaLafia</v>
      </c>
    </row>
    <row r="1387">
      <c r="AV1387" s="0" t="s">
        <v>473</v>
      </c>
      <c r="AW1387" s="0" t="s">
        <v>415</v>
      </c>
      <c r="AX1387" s="0" t="s">
        <v>582</v>
      </c>
      <c r="AY1387" s="0" t="s">
        <v>3797</v>
      </c>
      <c r="AZ1387" s="0" t="s">
        <v>3798</v>
      </c>
      <c r="BA1387" s="0" t="s">
        <v>708</v>
      </c>
      <c r="BB1387" s="0" t="str">
        <f t="shared" si="21"/>
        <v>IHVNnaLafia</v>
      </c>
    </row>
    <row r="1388">
      <c r="AV1388" s="0" t="s">
        <v>473</v>
      </c>
      <c r="AW1388" s="0" t="s">
        <v>415</v>
      </c>
      <c r="AX1388" s="0" t="s">
        <v>582</v>
      </c>
      <c r="AY1388" s="0" t="s">
        <v>3799</v>
      </c>
      <c r="AZ1388" s="0" t="s">
        <v>3800</v>
      </c>
      <c r="BA1388" s="0" t="s">
        <v>708</v>
      </c>
      <c r="BB1388" s="0" t="str">
        <f t="shared" si="21"/>
        <v>IHVNnaLafia</v>
      </c>
    </row>
    <row r="1389">
      <c r="AV1389" s="0" t="s">
        <v>473</v>
      </c>
      <c r="AW1389" s="0" t="s">
        <v>415</v>
      </c>
      <c r="AX1389" s="0" t="s">
        <v>582</v>
      </c>
      <c r="AY1389" s="0" t="s">
        <v>3801</v>
      </c>
      <c r="AZ1389" s="0" t="s">
        <v>3802</v>
      </c>
      <c r="BA1389" s="0" t="s">
        <v>708</v>
      </c>
      <c r="BB1389" s="0" t="str">
        <f t="shared" si="21"/>
        <v>IHVNnaLafia</v>
      </c>
    </row>
    <row r="1390">
      <c r="AV1390" s="0" t="s">
        <v>473</v>
      </c>
      <c r="AW1390" s="0" t="s">
        <v>415</v>
      </c>
      <c r="AX1390" s="0" t="s">
        <v>582</v>
      </c>
      <c r="AY1390" s="0" t="s">
        <v>3803</v>
      </c>
      <c r="AZ1390" s="0" t="s">
        <v>3804</v>
      </c>
      <c r="BA1390" s="0" t="s">
        <v>708</v>
      </c>
      <c r="BB1390" s="0" t="str">
        <f t="shared" si="21"/>
        <v>IHVNnaLafia</v>
      </c>
    </row>
    <row r="1391">
      <c r="AV1391" s="0" t="s">
        <v>473</v>
      </c>
      <c r="AW1391" s="0" t="s">
        <v>415</v>
      </c>
      <c r="AX1391" s="0" t="s">
        <v>582</v>
      </c>
      <c r="AY1391" s="0" t="s">
        <v>3805</v>
      </c>
      <c r="AZ1391" s="0" t="s">
        <v>3806</v>
      </c>
      <c r="BA1391" s="0" t="s">
        <v>708</v>
      </c>
      <c r="BB1391" s="0" t="str">
        <f t="shared" si="21"/>
        <v>IHVNnaLafia</v>
      </c>
    </row>
    <row r="1392">
      <c r="AV1392" s="0" t="s">
        <v>473</v>
      </c>
      <c r="AW1392" s="0" t="s">
        <v>415</v>
      </c>
      <c r="AX1392" s="0" t="s">
        <v>582</v>
      </c>
      <c r="AY1392" s="0" t="s">
        <v>3807</v>
      </c>
      <c r="AZ1392" s="0" t="s">
        <v>3808</v>
      </c>
      <c r="BA1392" s="0" t="s">
        <v>708</v>
      </c>
      <c r="BB1392" s="0" t="str">
        <f t="shared" si="21"/>
        <v>IHVNnaLafia</v>
      </c>
    </row>
    <row r="1393">
      <c r="AV1393" s="0" t="s">
        <v>473</v>
      </c>
      <c r="AW1393" s="0" t="s">
        <v>415</v>
      </c>
      <c r="AX1393" s="0" t="s">
        <v>582</v>
      </c>
      <c r="AY1393" s="0" t="s">
        <v>3809</v>
      </c>
      <c r="AZ1393" s="0" t="s">
        <v>3810</v>
      </c>
      <c r="BA1393" s="0" t="s">
        <v>708</v>
      </c>
      <c r="BB1393" s="0" t="str">
        <f t="shared" si="21"/>
        <v>IHVNnaLafia</v>
      </c>
    </row>
    <row r="1394">
      <c r="AV1394" s="0" t="s">
        <v>473</v>
      </c>
      <c r="AW1394" s="0" t="s">
        <v>415</v>
      </c>
      <c r="AX1394" s="0" t="s">
        <v>582</v>
      </c>
      <c r="AY1394" s="0" t="s">
        <v>3811</v>
      </c>
      <c r="AZ1394" s="0" t="s">
        <v>3812</v>
      </c>
      <c r="BA1394" s="0" t="s">
        <v>708</v>
      </c>
      <c r="BB1394" s="0" t="str">
        <f t="shared" si="21"/>
        <v>IHVNnaLafia</v>
      </c>
    </row>
    <row r="1395">
      <c r="AV1395" s="0" t="s">
        <v>473</v>
      </c>
      <c r="AW1395" s="0" t="s">
        <v>415</v>
      </c>
      <c r="AX1395" s="0" t="s">
        <v>582</v>
      </c>
      <c r="AY1395" s="0" t="s">
        <v>3813</v>
      </c>
      <c r="AZ1395" s="0" t="s">
        <v>3814</v>
      </c>
      <c r="BA1395" s="0" t="s">
        <v>708</v>
      </c>
      <c r="BB1395" s="0" t="str">
        <f t="shared" si="21"/>
        <v>IHVNnaLafia</v>
      </c>
    </row>
    <row r="1396">
      <c r="AV1396" s="0" t="s">
        <v>473</v>
      </c>
      <c r="AW1396" s="0" t="s">
        <v>415</v>
      </c>
      <c r="AX1396" s="0" t="s">
        <v>582</v>
      </c>
      <c r="AY1396" s="0" t="s">
        <v>3815</v>
      </c>
      <c r="AZ1396" s="0" t="s">
        <v>3816</v>
      </c>
      <c r="BA1396" s="0" t="s">
        <v>708</v>
      </c>
      <c r="BB1396" s="0" t="str">
        <f t="shared" si="21"/>
        <v>IHVNnaLafia</v>
      </c>
    </row>
    <row r="1397">
      <c r="AV1397" s="0" t="s">
        <v>473</v>
      </c>
      <c r="AW1397" s="0" t="s">
        <v>415</v>
      </c>
      <c r="AX1397" s="0" t="s">
        <v>582</v>
      </c>
      <c r="AY1397" s="0" t="s">
        <v>3817</v>
      </c>
      <c r="AZ1397" s="0" t="s">
        <v>3818</v>
      </c>
      <c r="BA1397" s="0" t="s">
        <v>708</v>
      </c>
      <c r="BB1397" s="0" t="str">
        <f t="shared" si="21"/>
        <v>IHVNnaLafia</v>
      </c>
    </row>
    <row r="1398">
      <c r="AV1398" s="0" t="s">
        <v>473</v>
      </c>
      <c r="AW1398" s="0" t="s">
        <v>415</v>
      </c>
      <c r="AX1398" s="0" t="s">
        <v>582</v>
      </c>
      <c r="AY1398" s="0" t="s">
        <v>3819</v>
      </c>
      <c r="AZ1398" s="0" t="s">
        <v>3820</v>
      </c>
      <c r="BA1398" s="0" t="s">
        <v>708</v>
      </c>
      <c r="BB1398" s="0" t="str">
        <f t="shared" si="21"/>
        <v>IHVNnaLafia</v>
      </c>
    </row>
    <row r="1399">
      <c r="AV1399" s="0" t="s">
        <v>473</v>
      </c>
      <c r="AW1399" s="0" t="s">
        <v>415</v>
      </c>
      <c r="AX1399" s="0" t="s">
        <v>582</v>
      </c>
      <c r="AY1399" s="0" t="s">
        <v>3821</v>
      </c>
      <c r="AZ1399" s="0" t="s">
        <v>3822</v>
      </c>
      <c r="BA1399" s="0" t="s">
        <v>708</v>
      </c>
      <c r="BB1399" s="0" t="str">
        <f t="shared" si="21"/>
        <v>IHVNnaLafia</v>
      </c>
    </row>
    <row r="1400">
      <c r="AV1400" s="0" t="s">
        <v>473</v>
      </c>
      <c r="AW1400" s="0" t="s">
        <v>415</v>
      </c>
      <c r="AX1400" s="0" t="s">
        <v>582</v>
      </c>
      <c r="AY1400" s="0" t="s">
        <v>3823</v>
      </c>
      <c r="AZ1400" s="0" t="s">
        <v>3824</v>
      </c>
      <c r="BA1400" s="0" t="s">
        <v>708</v>
      </c>
      <c r="BB1400" s="0" t="str">
        <f t="shared" si="21"/>
        <v>IHVNnaLafia</v>
      </c>
    </row>
    <row r="1401">
      <c r="AV1401" s="0" t="s">
        <v>473</v>
      </c>
      <c r="AW1401" s="0" t="s">
        <v>415</v>
      </c>
      <c r="AX1401" s="0" t="s">
        <v>582</v>
      </c>
      <c r="AY1401" s="0" t="s">
        <v>3825</v>
      </c>
      <c r="AZ1401" s="0" t="s">
        <v>3826</v>
      </c>
      <c r="BA1401" s="0" t="s">
        <v>708</v>
      </c>
      <c r="BB1401" s="0" t="str">
        <f t="shared" si="21"/>
        <v>IHVNnaLafia</v>
      </c>
    </row>
    <row r="1402">
      <c r="AV1402" s="0" t="s">
        <v>473</v>
      </c>
      <c r="AW1402" s="0" t="s">
        <v>415</v>
      </c>
      <c r="AX1402" s="0" t="s">
        <v>762</v>
      </c>
      <c r="AY1402" s="0" t="s">
        <v>3827</v>
      </c>
      <c r="AZ1402" s="0" t="s">
        <v>3828</v>
      </c>
      <c r="BA1402" s="0" t="s">
        <v>708</v>
      </c>
      <c r="BB1402" s="0" t="str">
        <f t="shared" si="21"/>
        <v>IHVNnaNasarawa</v>
      </c>
    </row>
    <row r="1403">
      <c r="AV1403" s="0" t="s">
        <v>473</v>
      </c>
      <c r="AW1403" s="0" t="s">
        <v>415</v>
      </c>
      <c r="AX1403" s="0" t="s">
        <v>762</v>
      </c>
      <c r="AY1403" s="0" t="s">
        <v>3829</v>
      </c>
      <c r="AZ1403" s="0" t="s">
        <v>3830</v>
      </c>
      <c r="BA1403" s="0" t="s">
        <v>708</v>
      </c>
      <c r="BB1403" s="0" t="str">
        <f t="shared" si="21"/>
        <v>IHVNnaNasarawa</v>
      </c>
    </row>
    <row r="1404">
      <c r="AV1404" s="0" t="s">
        <v>473</v>
      </c>
      <c r="AW1404" s="0" t="s">
        <v>415</v>
      </c>
      <c r="AX1404" s="0" t="s">
        <v>762</v>
      </c>
      <c r="AY1404" s="0" t="s">
        <v>3831</v>
      </c>
      <c r="AZ1404" s="0" t="s">
        <v>3832</v>
      </c>
      <c r="BA1404" s="0" t="s">
        <v>708</v>
      </c>
      <c r="BB1404" s="0" t="str">
        <f t="shared" si="21"/>
        <v>IHVNnaNasarawa</v>
      </c>
    </row>
    <row r="1405">
      <c r="AV1405" s="0" t="s">
        <v>473</v>
      </c>
      <c r="AW1405" s="0" t="s">
        <v>415</v>
      </c>
      <c r="AX1405" s="0" t="s">
        <v>762</v>
      </c>
      <c r="AY1405" s="0" t="s">
        <v>3833</v>
      </c>
      <c r="AZ1405" s="0" t="s">
        <v>3834</v>
      </c>
      <c r="BA1405" s="0" t="s">
        <v>708</v>
      </c>
      <c r="BB1405" s="0" t="str">
        <f t="shared" si="21"/>
        <v>IHVNnaNasarawa</v>
      </c>
    </row>
    <row r="1406">
      <c r="AV1406" s="0" t="s">
        <v>473</v>
      </c>
      <c r="AW1406" s="0" t="s">
        <v>415</v>
      </c>
      <c r="AX1406" s="0" t="s">
        <v>762</v>
      </c>
      <c r="AY1406" s="0" t="s">
        <v>3835</v>
      </c>
      <c r="AZ1406" s="0" t="s">
        <v>3836</v>
      </c>
      <c r="BA1406" s="0" t="s">
        <v>708</v>
      </c>
      <c r="BB1406" s="0" t="str">
        <f t="shared" si="21"/>
        <v>IHVNnaNasarawa</v>
      </c>
    </row>
    <row r="1407">
      <c r="AV1407" s="0" t="s">
        <v>473</v>
      </c>
      <c r="AW1407" s="0" t="s">
        <v>415</v>
      </c>
      <c r="AX1407" s="0" t="s">
        <v>762</v>
      </c>
      <c r="AY1407" s="0" t="s">
        <v>3837</v>
      </c>
      <c r="AZ1407" s="0" t="s">
        <v>3838</v>
      </c>
      <c r="BA1407" s="0" t="s">
        <v>708</v>
      </c>
      <c r="BB1407" s="0" t="str">
        <f t="shared" si="21"/>
        <v>IHVNnaNasarawa</v>
      </c>
    </row>
    <row r="1408">
      <c r="AV1408" s="0" t="s">
        <v>473</v>
      </c>
      <c r="AW1408" s="0" t="s">
        <v>415</v>
      </c>
      <c r="AX1408" s="0" t="s">
        <v>762</v>
      </c>
      <c r="AY1408" s="0" t="s">
        <v>3839</v>
      </c>
      <c r="AZ1408" s="0" t="s">
        <v>3840</v>
      </c>
      <c r="BA1408" s="0" t="s">
        <v>708</v>
      </c>
      <c r="BB1408" s="0" t="str">
        <f t="shared" si="21"/>
        <v>IHVNnaNasarawa</v>
      </c>
    </row>
    <row r="1409">
      <c r="AV1409" s="0" t="s">
        <v>473</v>
      </c>
      <c r="AW1409" s="0" t="s">
        <v>415</v>
      </c>
      <c r="AX1409" s="0" t="s">
        <v>762</v>
      </c>
      <c r="AY1409" s="0" t="s">
        <v>3841</v>
      </c>
      <c r="AZ1409" s="0" t="s">
        <v>3842</v>
      </c>
      <c r="BA1409" s="0" t="s">
        <v>708</v>
      </c>
      <c r="BB1409" s="0" t="str">
        <f t="shared" si="21"/>
        <v>IHVNnaNasarawa</v>
      </c>
    </row>
    <row r="1410">
      <c r="AV1410" s="0" t="s">
        <v>473</v>
      </c>
      <c r="AW1410" s="0" t="s">
        <v>415</v>
      </c>
      <c r="AX1410" s="0" t="s">
        <v>762</v>
      </c>
      <c r="AY1410" s="0" t="s">
        <v>3843</v>
      </c>
      <c r="AZ1410" s="0" t="s">
        <v>3844</v>
      </c>
      <c r="BA1410" s="0" t="s">
        <v>708</v>
      </c>
      <c r="BB1410" s="0" t="str">
        <f t="shared" si="21"/>
        <v>IHVNnaNasarawa</v>
      </c>
    </row>
    <row r="1411">
      <c r="AV1411" s="0" t="s">
        <v>473</v>
      </c>
      <c r="AW1411" s="0" t="s">
        <v>415</v>
      </c>
      <c r="AX1411" s="0" t="s">
        <v>762</v>
      </c>
      <c r="AY1411" s="0" t="s">
        <v>3845</v>
      </c>
      <c r="AZ1411" s="0" t="s">
        <v>3846</v>
      </c>
      <c r="BA1411" s="0" t="s">
        <v>708</v>
      </c>
      <c r="BB1411" s="0" t="str">
        <f ref="BB1411:BB1474" t="shared" si="22">SUBSTITUTE(SUBSTITUTE(BA1411&amp;AX1411," ",""),"-","")</f>
        <v>IHVNnaNasarawa</v>
      </c>
    </row>
    <row r="1412">
      <c r="AV1412" s="0" t="s">
        <v>473</v>
      </c>
      <c r="AW1412" s="0" t="s">
        <v>415</v>
      </c>
      <c r="AX1412" s="0" t="s">
        <v>762</v>
      </c>
      <c r="AY1412" s="0" t="s">
        <v>3847</v>
      </c>
      <c r="AZ1412" s="0" t="s">
        <v>3848</v>
      </c>
      <c r="BA1412" s="0" t="s">
        <v>708</v>
      </c>
      <c r="BB1412" s="0" t="str">
        <f t="shared" si="22"/>
        <v>IHVNnaNasarawa</v>
      </c>
    </row>
    <row r="1413">
      <c r="AV1413" s="0" t="s">
        <v>473</v>
      </c>
      <c r="AW1413" s="0" t="s">
        <v>415</v>
      </c>
      <c r="AX1413" s="0" t="s">
        <v>762</v>
      </c>
      <c r="AY1413" s="0" t="s">
        <v>3849</v>
      </c>
      <c r="AZ1413" s="0" t="s">
        <v>3850</v>
      </c>
      <c r="BA1413" s="0" t="s">
        <v>708</v>
      </c>
      <c r="BB1413" s="0" t="str">
        <f t="shared" si="22"/>
        <v>IHVNnaNasarawa</v>
      </c>
    </row>
    <row r="1414">
      <c r="AV1414" s="0" t="s">
        <v>473</v>
      </c>
      <c r="AW1414" s="0" t="s">
        <v>415</v>
      </c>
      <c r="AX1414" s="0" t="s">
        <v>762</v>
      </c>
      <c r="AY1414" s="0" t="s">
        <v>3851</v>
      </c>
      <c r="AZ1414" s="0" t="s">
        <v>3852</v>
      </c>
      <c r="BA1414" s="0" t="s">
        <v>708</v>
      </c>
      <c r="BB1414" s="0" t="str">
        <f t="shared" si="22"/>
        <v>IHVNnaNasarawa</v>
      </c>
    </row>
    <row r="1415">
      <c r="AV1415" s="0" t="s">
        <v>473</v>
      </c>
      <c r="AW1415" s="0" t="s">
        <v>415</v>
      </c>
      <c r="AX1415" s="0" t="s">
        <v>762</v>
      </c>
      <c r="AY1415" s="0" t="s">
        <v>3853</v>
      </c>
      <c r="AZ1415" s="0" t="s">
        <v>3854</v>
      </c>
      <c r="BA1415" s="0" t="s">
        <v>708</v>
      </c>
      <c r="BB1415" s="0" t="str">
        <f t="shared" si="22"/>
        <v>IHVNnaNasarawa</v>
      </c>
    </row>
    <row r="1416">
      <c r="AV1416" s="0" t="s">
        <v>473</v>
      </c>
      <c r="AW1416" s="0" t="s">
        <v>415</v>
      </c>
      <c r="AX1416" s="0" t="s">
        <v>762</v>
      </c>
      <c r="AY1416" s="0" t="s">
        <v>3855</v>
      </c>
      <c r="AZ1416" s="0" t="s">
        <v>3856</v>
      </c>
      <c r="BA1416" s="0" t="s">
        <v>708</v>
      </c>
      <c r="BB1416" s="0" t="str">
        <f t="shared" si="22"/>
        <v>IHVNnaNasarawa</v>
      </c>
    </row>
    <row r="1417">
      <c r="AV1417" s="0" t="s">
        <v>473</v>
      </c>
      <c r="AW1417" s="0" t="s">
        <v>415</v>
      </c>
      <c r="AX1417" s="0" t="s">
        <v>762</v>
      </c>
      <c r="AY1417" s="0" t="s">
        <v>3857</v>
      </c>
      <c r="AZ1417" s="0" t="s">
        <v>3858</v>
      </c>
      <c r="BA1417" s="0" t="s">
        <v>708</v>
      </c>
      <c r="BB1417" s="0" t="str">
        <f t="shared" si="22"/>
        <v>IHVNnaNasarawa</v>
      </c>
    </row>
    <row r="1418">
      <c r="AV1418" s="0" t="s">
        <v>473</v>
      </c>
      <c r="AW1418" s="0" t="s">
        <v>415</v>
      </c>
      <c r="AX1418" s="0" t="s">
        <v>762</v>
      </c>
      <c r="AY1418" s="0" t="s">
        <v>3859</v>
      </c>
      <c r="AZ1418" s="0" t="s">
        <v>3860</v>
      </c>
      <c r="BA1418" s="0" t="s">
        <v>708</v>
      </c>
      <c r="BB1418" s="0" t="str">
        <f t="shared" si="22"/>
        <v>IHVNnaNasarawa</v>
      </c>
    </row>
    <row r="1419">
      <c r="AV1419" s="0" t="s">
        <v>473</v>
      </c>
      <c r="AW1419" s="0" t="s">
        <v>415</v>
      </c>
      <c r="AX1419" s="0" t="s">
        <v>762</v>
      </c>
      <c r="AY1419" s="0" t="s">
        <v>3861</v>
      </c>
      <c r="AZ1419" s="0" t="s">
        <v>3862</v>
      </c>
      <c r="BA1419" s="0" t="s">
        <v>708</v>
      </c>
      <c r="BB1419" s="0" t="str">
        <f t="shared" si="22"/>
        <v>IHVNnaNasarawa</v>
      </c>
    </row>
    <row r="1420">
      <c r="AV1420" s="0" t="s">
        <v>473</v>
      </c>
      <c r="AW1420" s="0" t="s">
        <v>415</v>
      </c>
      <c r="AX1420" s="0" t="s">
        <v>762</v>
      </c>
      <c r="AY1420" s="0" t="s">
        <v>3863</v>
      </c>
      <c r="AZ1420" s="0" t="s">
        <v>3864</v>
      </c>
      <c r="BA1420" s="0" t="s">
        <v>708</v>
      </c>
      <c r="BB1420" s="0" t="str">
        <f t="shared" si="22"/>
        <v>IHVNnaNasarawa</v>
      </c>
    </row>
    <row r="1421">
      <c r="AV1421" s="0" t="s">
        <v>473</v>
      </c>
      <c r="AW1421" s="0" t="s">
        <v>415</v>
      </c>
      <c r="AX1421" s="0" t="s">
        <v>762</v>
      </c>
      <c r="AY1421" s="0" t="s">
        <v>3865</v>
      </c>
      <c r="AZ1421" s="0" t="s">
        <v>3866</v>
      </c>
      <c r="BA1421" s="0" t="s">
        <v>708</v>
      </c>
      <c r="BB1421" s="0" t="str">
        <f t="shared" si="22"/>
        <v>IHVNnaNasarawa</v>
      </c>
    </row>
    <row r="1422">
      <c r="AV1422" s="0" t="s">
        <v>473</v>
      </c>
      <c r="AW1422" s="0" t="s">
        <v>415</v>
      </c>
      <c r="AX1422" s="0" t="s">
        <v>762</v>
      </c>
      <c r="AY1422" s="0" t="s">
        <v>3867</v>
      </c>
      <c r="AZ1422" s="0" t="s">
        <v>3868</v>
      </c>
      <c r="BA1422" s="0" t="s">
        <v>708</v>
      </c>
      <c r="BB1422" s="0" t="str">
        <f t="shared" si="22"/>
        <v>IHVNnaNasarawa</v>
      </c>
    </row>
    <row r="1423">
      <c r="AV1423" s="0" t="s">
        <v>473</v>
      </c>
      <c r="AW1423" s="0" t="s">
        <v>415</v>
      </c>
      <c r="AX1423" s="0" t="s">
        <v>762</v>
      </c>
      <c r="AY1423" s="0" t="s">
        <v>3869</v>
      </c>
      <c r="AZ1423" s="0" t="s">
        <v>3870</v>
      </c>
      <c r="BA1423" s="0" t="s">
        <v>708</v>
      </c>
      <c r="BB1423" s="0" t="str">
        <f t="shared" si="22"/>
        <v>IHVNnaNasarawa</v>
      </c>
    </row>
    <row r="1424">
      <c r="AV1424" s="0" t="s">
        <v>473</v>
      </c>
      <c r="AW1424" s="0" t="s">
        <v>415</v>
      </c>
      <c r="AX1424" s="0" t="s">
        <v>762</v>
      </c>
      <c r="AY1424" s="0" t="s">
        <v>3871</v>
      </c>
      <c r="AZ1424" s="0" t="s">
        <v>3872</v>
      </c>
      <c r="BA1424" s="0" t="s">
        <v>708</v>
      </c>
      <c r="BB1424" s="0" t="str">
        <f t="shared" si="22"/>
        <v>IHVNnaNasarawa</v>
      </c>
    </row>
    <row r="1425">
      <c r="AV1425" s="0" t="s">
        <v>473</v>
      </c>
      <c r="AW1425" s="0" t="s">
        <v>415</v>
      </c>
      <c r="AX1425" s="0" t="s">
        <v>762</v>
      </c>
      <c r="AY1425" s="0" t="s">
        <v>3873</v>
      </c>
      <c r="AZ1425" s="0" t="s">
        <v>3874</v>
      </c>
      <c r="BA1425" s="0" t="s">
        <v>708</v>
      </c>
      <c r="BB1425" s="0" t="str">
        <f t="shared" si="22"/>
        <v>IHVNnaNasarawa</v>
      </c>
    </row>
    <row r="1426">
      <c r="AV1426" s="0" t="s">
        <v>473</v>
      </c>
      <c r="AW1426" s="0" t="s">
        <v>415</v>
      </c>
      <c r="AX1426" s="0" t="s">
        <v>762</v>
      </c>
      <c r="AY1426" s="0" t="s">
        <v>3875</v>
      </c>
      <c r="AZ1426" s="0" t="s">
        <v>3876</v>
      </c>
      <c r="BA1426" s="0" t="s">
        <v>708</v>
      </c>
      <c r="BB1426" s="0" t="str">
        <f t="shared" si="22"/>
        <v>IHVNnaNasarawa</v>
      </c>
    </row>
    <row r="1427">
      <c r="AV1427" s="0" t="s">
        <v>473</v>
      </c>
      <c r="AW1427" s="0" t="s">
        <v>415</v>
      </c>
      <c r="AX1427" s="0" t="s">
        <v>762</v>
      </c>
      <c r="AY1427" s="0" t="s">
        <v>3877</v>
      </c>
      <c r="AZ1427" s="0" t="s">
        <v>3878</v>
      </c>
      <c r="BA1427" s="0" t="s">
        <v>708</v>
      </c>
      <c r="BB1427" s="0" t="str">
        <f t="shared" si="22"/>
        <v>IHVNnaNasarawa</v>
      </c>
    </row>
    <row r="1428">
      <c r="AV1428" s="0" t="s">
        <v>473</v>
      </c>
      <c r="AW1428" s="0" t="s">
        <v>415</v>
      </c>
      <c r="AX1428" s="0" t="s">
        <v>762</v>
      </c>
      <c r="AY1428" s="0" t="s">
        <v>3879</v>
      </c>
      <c r="AZ1428" s="0" t="s">
        <v>3880</v>
      </c>
      <c r="BA1428" s="0" t="s">
        <v>708</v>
      </c>
      <c r="BB1428" s="0" t="str">
        <f t="shared" si="22"/>
        <v>IHVNnaNasarawa</v>
      </c>
    </row>
    <row r="1429">
      <c r="AV1429" s="0" t="s">
        <v>473</v>
      </c>
      <c r="AW1429" s="0" t="s">
        <v>415</v>
      </c>
      <c r="AX1429" s="0" t="s">
        <v>794</v>
      </c>
      <c r="AY1429" s="0" t="s">
        <v>3881</v>
      </c>
      <c r="AZ1429" s="0" t="s">
        <v>3882</v>
      </c>
      <c r="BA1429" s="0" t="s">
        <v>708</v>
      </c>
      <c r="BB1429" s="0" t="str">
        <f t="shared" si="22"/>
        <v>IHVNnaNasarawaEggon</v>
      </c>
    </row>
    <row r="1430">
      <c r="AV1430" s="0" t="s">
        <v>473</v>
      </c>
      <c r="AW1430" s="0" t="s">
        <v>415</v>
      </c>
      <c r="AX1430" s="0" t="s">
        <v>620</v>
      </c>
      <c r="AY1430" s="0" t="s">
        <v>3883</v>
      </c>
      <c r="AZ1430" s="0" t="s">
        <v>3884</v>
      </c>
      <c r="BA1430" s="0" t="s">
        <v>708</v>
      </c>
      <c r="BB1430" s="0" t="str">
        <f t="shared" si="22"/>
        <v>IHVNnaObi</v>
      </c>
    </row>
    <row r="1431">
      <c r="AV1431" s="0" t="s">
        <v>473</v>
      </c>
      <c r="AW1431" s="0" t="s">
        <v>415</v>
      </c>
      <c r="AX1431" s="0" t="s">
        <v>620</v>
      </c>
      <c r="AY1431" s="0" t="s">
        <v>3885</v>
      </c>
      <c r="AZ1431" s="0" t="s">
        <v>3886</v>
      </c>
      <c r="BA1431" s="0" t="s">
        <v>708</v>
      </c>
      <c r="BB1431" s="0" t="str">
        <f t="shared" si="22"/>
        <v>IHVNnaObi</v>
      </c>
    </row>
    <row r="1432">
      <c r="AV1432" s="0" t="s">
        <v>473</v>
      </c>
      <c r="AW1432" s="0" t="s">
        <v>415</v>
      </c>
      <c r="AX1432" s="0" t="s">
        <v>620</v>
      </c>
      <c r="AY1432" s="0" t="s">
        <v>3887</v>
      </c>
      <c r="AZ1432" s="0" t="s">
        <v>3888</v>
      </c>
      <c r="BA1432" s="0" t="s">
        <v>708</v>
      </c>
      <c r="BB1432" s="0" t="str">
        <f t="shared" si="22"/>
        <v>IHVNnaObi</v>
      </c>
    </row>
    <row r="1433">
      <c r="AV1433" s="0" t="s">
        <v>473</v>
      </c>
      <c r="AW1433" s="0" t="s">
        <v>415</v>
      </c>
      <c r="AX1433" s="0" t="s">
        <v>620</v>
      </c>
      <c r="AY1433" s="0" t="s">
        <v>3889</v>
      </c>
      <c r="AZ1433" s="0" t="s">
        <v>3890</v>
      </c>
      <c r="BA1433" s="0" t="s">
        <v>708</v>
      </c>
      <c r="BB1433" s="0" t="str">
        <f t="shared" si="22"/>
        <v>IHVNnaObi</v>
      </c>
    </row>
    <row r="1434">
      <c r="AV1434" s="0" t="s">
        <v>473</v>
      </c>
      <c r="AW1434" s="0" t="s">
        <v>415</v>
      </c>
      <c r="AX1434" s="0" t="s">
        <v>620</v>
      </c>
      <c r="AY1434" s="0" t="s">
        <v>3891</v>
      </c>
      <c r="AZ1434" s="0" t="s">
        <v>3892</v>
      </c>
      <c r="BA1434" s="0" t="s">
        <v>708</v>
      </c>
      <c r="BB1434" s="0" t="str">
        <f t="shared" si="22"/>
        <v>IHVNnaObi</v>
      </c>
    </row>
    <row r="1435">
      <c r="AV1435" s="0" t="s">
        <v>473</v>
      </c>
      <c r="AW1435" s="0" t="s">
        <v>415</v>
      </c>
      <c r="AX1435" s="0" t="s">
        <v>620</v>
      </c>
      <c r="AY1435" s="0" t="s">
        <v>3893</v>
      </c>
      <c r="AZ1435" s="0" t="s">
        <v>3894</v>
      </c>
      <c r="BA1435" s="0" t="s">
        <v>708</v>
      </c>
      <c r="BB1435" s="0" t="str">
        <f t="shared" si="22"/>
        <v>IHVNnaObi</v>
      </c>
    </row>
    <row r="1436">
      <c r="AV1436" s="0" t="s">
        <v>473</v>
      </c>
      <c r="AW1436" s="0" t="s">
        <v>415</v>
      </c>
      <c r="AX1436" s="0" t="s">
        <v>620</v>
      </c>
      <c r="AY1436" s="0" t="s">
        <v>3895</v>
      </c>
      <c r="AZ1436" s="0" t="s">
        <v>3896</v>
      </c>
      <c r="BA1436" s="0" t="s">
        <v>708</v>
      </c>
      <c r="BB1436" s="0" t="str">
        <f t="shared" si="22"/>
        <v>IHVNnaObi</v>
      </c>
    </row>
    <row r="1437">
      <c r="AV1437" s="0" t="s">
        <v>473</v>
      </c>
      <c r="AW1437" s="0" t="s">
        <v>415</v>
      </c>
      <c r="AX1437" s="0" t="s">
        <v>620</v>
      </c>
      <c r="AY1437" s="0" t="s">
        <v>3897</v>
      </c>
      <c r="AZ1437" s="0" t="s">
        <v>3898</v>
      </c>
      <c r="BA1437" s="0" t="s">
        <v>708</v>
      </c>
      <c r="BB1437" s="0" t="str">
        <f t="shared" si="22"/>
        <v>IHVNnaObi</v>
      </c>
    </row>
    <row r="1438">
      <c r="AV1438" s="0" t="s">
        <v>473</v>
      </c>
      <c r="AW1438" s="0" t="s">
        <v>415</v>
      </c>
      <c r="AX1438" s="0" t="s">
        <v>620</v>
      </c>
      <c r="AY1438" s="0" t="s">
        <v>3899</v>
      </c>
      <c r="AZ1438" s="0" t="s">
        <v>3900</v>
      </c>
      <c r="BA1438" s="0" t="s">
        <v>708</v>
      </c>
      <c r="BB1438" s="0" t="str">
        <f t="shared" si="22"/>
        <v>IHVNnaObi</v>
      </c>
    </row>
    <row r="1439">
      <c r="AV1439" s="0" t="s">
        <v>473</v>
      </c>
      <c r="AW1439" s="0" t="s">
        <v>415</v>
      </c>
      <c r="AX1439" s="0" t="s">
        <v>620</v>
      </c>
      <c r="AY1439" s="0" t="s">
        <v>3901</v>
      </c>
      <c r="AZ1439" s="0" t="s">
        <v>3902</v>
      </c>
      <c r="BA1439" s="0" t="s">
        <v>708</v>
      </c>
      <c r="BB1439" s="0" t="str">
        <f t="shared" si="22"/>
        <v>IHVNnaObi</v>
      </c>
    </row>
    <row r="1440">
      <c r="AV1440" s="0" t="s">
        <v>473</v>
      </c>
      <c r="AW1440" s="0" t="s">
        <v>415</v>
      </c>
      <c r="AX1440" s="0" t="s">
        <v>620</v>
      </c>
      <c r="AY1440" s="0" t="s">
        <v>3903</v>
      </c>
      <c r="AZ1440" s="0" t="s">
        <v>3904</v>
      </c>
      <c r="BA1440" s="0" t="s">
        <v>708</v>
      </c>
      <c r="BB1440" s="0" t="str">
        <f t="shared" si="22"/>
        <v>IHVNnaObi</v>
      </c>
    </row>
    <row r="1441">
      <c r="AV1441" s="0" t="s">
        <v>473</v>
      </c>
      <c r="AW1441" s="0" t="s">
        <v>415</v>
      </c>
      <c r="AX1441" s="0" t="s">
        <v>620</v>
      </c>
      <c r="AY1441" s="0" t="s">
        <v>3905</v>
      </c>
      <c r="AZ1441" s="0" t="s">
        <v>3906</v>
      </c>
      <c r="BA1441" s="0" t="s">
        <v>708</v>
      </c>
      <c r="BB1441" s="0" t="str">
        <f t="shared" si="22"/>
        <v>IHVNnaObi</v>
      </c>
    </row>
    <row r="1442">
      <c r="AV1442" s="0" t="s">
        <v>473</v>
      </c>
      <c r="AW1442" s="0" t="s">
        <v>415</v>
      </c>
      <c r="AX1442" s="0" t="s">
        <v>620</v>
      </c>
      <c r="AY1442" s="0" t="s">
        <v>3907</v>
      </c>
      <c r="AZ1442" s="0" t="s">
        <v>3908</v>
      </c>
      <c r="BA1442" s="0" t="s">
        <v>708</v>
      </c>
      <c r="BB1442" s="0" t="str">
        <f t="shared" si="22"/>
        <v>IHVNnaObi</v>
      </c>
    </row>
    <row r="1443">
      <c r="AV1443" s="0" t="s">
        <v>473</v>
      </c>
      <c r="AW1443" s="0" t="s">
        <v>415</v>
      </c>
      <c r="AX1443" s="0" t="s">
        <v>823</v>
      </c>
      <c r="AY1443" s="0" t="s">
        <v>3909</v>
      </c>
      <c r="AZ1443" s="0" t="s">
        <v>3910</v>
      </c>
      <c r="BA1443" s="0" t="s">
        <v>708</v>
      </c>
      <c r="BB1443" s="0" t="str">
        <f t="shared" si="22"/>
        <v>IHVNnaToto</v>
      </c>
    </row>
    <row r="1444">
      <c r="AV1444" s="0" t="s">
        <v>473</v>
      </c>
      <c r="AW1444" s="0" t="s">
        <v>415</v>
      </c>
      <c r="AX1444" s="0" t="s">
        <v>823</v>
      </c>
      <c r="AY1444" s="0" t="s">
        <v>3911</v>
      </c>
      <c r="AZ1444" s="0" t="s">
        <v>3912</v>
      </c>
      <c r="BA1444" s="0" t="s">
        <v>708</v>
      </c>
      <c r="BB1444" s="0" t="str">
        <f t="shared" si="22"/>
        <v>IHVNnaToto</v>
      </c>
    </row>
    <row r="1445">
      <c r="AV1445" s="0" t="s">
        <v>473</v>
      </c>
      <c r="AW1445" s="0" t="s">
        <v>415</v>
      </c>
      <c r="AX1445" s="0" t="s">
        <v>823</v>
      </c>
      <c r="AY1445" s="0" t="s">
        <v>3913</v>
      </c>
      <c r="AZ1445" s="0" t="s">
        <v>3914</v>
      </c>
      <c r="BA1445" s="0" t="s">
        <v>708</v>
      </c>
      <c r="BB1445" s="0" t="str">
        <f t="shared" si="22"/>
        <v>IHVNnaToto</v>
      </c>
    </row>
    <row r="1446">
      <c r="AV1446" s="0" t="s">
        <v>473</v>
      </c>
      <c r="AW1446" s="0" t="s">
        <v>417</v>
      </c>
      <c r="AX1446" s="0" t="s">
        <v>660</v>
      </c>
      <c r="AY1446" s="0" t="s">
        <v>3915</v>
      </c>
      <c r="AZ1446" s="0" t="s">
        <v>3916</v>
      </c>
      <c r="BA1446" s="0" t="s">
        <v>708</v>
      </c>
      <c r="BB1446" s="0" t="str">
        <f t="shared" si="22"/>
        <v>IHVNogAbeokutaNorth</v>
      </c>
    </row>
    <row r="1447">
      <c r="AV1447" s="0" t="s">
        <v>473</v>
      </c>
      <c r="AW1447" s="0" t="s">
        <v>417</v>
      </c>
      <c r="AX1447" s="0" t="s">
        <v>696</v>
      </c>
      <c r="AY1447" s="0" t="s">
        <v>3917</v>
      </c>
      <c r="AZ1447" s="0" t="s">
        <v>3918</v>
      </c>
      <c r="BA1447" s="0" t="s">
        <v>708</v>
      </c>
      <c r="BB1447" s="0" t="str">
        <f t="shared" si="22"/>
        <v>IHVNogAbeokutaSouth</v>
      </c>
    </row>
    <row r="1448">
      <c r="AV1448" s="0" t="s">
        <v>473</v>
      </c>
      <c r="AW1448" s="0" t="s">
        <v>417</v>
      </c>
      <c r="AX1448" s="0" t="s">
        <v>696</v>
      </c>
      <c r="AY1448" s="0" t="s">
        <v>3919</v>
      </c>
      <c r="AZ1448" s="0" t="s">
        <v>3920</v>
      </c>
      <c r="BA1448" s="0" t="s">
        <v>708</v>
      </c>
      <c r="BB1448" s="0" t="str">
        <f t="shared" si="22"/>
        <v>IHVNogAbeokutaSouth</v>
      </c>
    </row>
    <row r="1449">
      <c r="AV1449" s="0" t="s">
        <v>473</v>
      </c>
      <c r="AW1449" s="0" t="s">
        <v>417</v>
      </c>
      <c r="AX1449" s="0" t="s">
        <v>622</v>
      </c>
      <c r="AY1449" s="0" t="s">
        <v>3921</v>
      </c>
      <c r="AZ1449" s="0" t="s">
        <v>3922</v>
      </c>
      <c r="BA1449" s="0" t="s">
        <v>708</v>
      </c>
      <c r="BB1449" s="0" t="str">
        <f t="shared" si="22"/>
        <v>IHVNogIfo</v>
      </c>
    </row>
    <row r="1450">
      <c r="AV1450" s="0" t="s">
        <v>473</v>
      </c>
      <c r="AW1450" s="0" t="s">
        <v>417</v>
      </c>
      <c r="AX1450" s="0" t="s">
        <v>622</v>
      </c>
      <c r="AY1450" s="0" t="s">
        <v>3923</v>
      </c>
      <c r="AZ1450" s="0" t="s">
        <v>3924</v>
      </c>
      <c r="BA1450" s="0" t="s">
        <v>708</v>
      </c>
      <c r="BB1450" s="0" t="str">
        <f t="shared" si="22"/>
        <v>IHVNogIfo</v>
      </c>
    </row>
    <row r="1451">
      <c r="AV1451" s="0" t="s">
        <v>473</v>
      </c>
      <c r="AW1451" s="0" t="s">
        <v>417</v>
      </c>
      <c r="AX1451" s="0" t="s">
        <v>731</v>
      </c>
      <c r="AY1451" s="0" t="s">
        <v>3925</v>
      </c>
      <c r="AZ1451" s="0" t="s">
        <v>3926</v>
      </c>
      <c r="BA1451" s="0" t="s">
        <v>708</v>
      </c>
      <c r="BB1451" s="0" t="str">
        <f t="shared" si="22"/>
        <v>IHVNogIjebuOde</v>
      </c>
    </row>
    <row r="1452">
      <c r="AV1452" s="0" t="s">
        <v>473</v>
      </c>
      <c r="AW1452" s="0" t="s">
        <v>417</v>
      </c>
      <c r="AX1452" s="0" t="s">
        <v>731</v>
      </c>
      <c r="AY1452" s="0" t="s">
        <v>3927</v>
      </c>
      <c r="AZ1452" s="0" t="s">
        <v>3928</v>
      </c>
      <c r="BA1452" s="0" t="s">
        <v>708</v>
      </c>
      <c r="BB1452" s="0" t="str">
        <f t="shared" si="22"/>
        <v>IHVNogIjebuOde</v>
      </c>
    </row>
    <row r="1453">
      <c r="AV1453" s="0" t="s">
        <v>473</v>
      </c>
      <c r="AW1453" s="0" t="s">
        <v>417</v>
      </c>
      <c r="AX1453" s="0" t="s">
        <v>764</v>
      </c>
      <c r="AY1453" s="0" t="s">
        <v>3929</v>
      </c>
      <c r="AZ1453" s="0" t="s">
        <v>3930</v>
      </c>
      <c r="BA1453" s="0" t="s">
        <v>708</v>
      </c>
      <c r="BB1453" s="0" t="str">
        <f t="shared" si="22"/>
        <v>IHVNogSagamu</v>
      </c>
    </row>
    <row r="1454">
      <c r="AV1454" s="0" t="s">
        <v>473</v>
      </c>
      <c r="AW1454" s="0" t="s">
        <v>417</v>
      </c>
      <c r="AX1454" s="0" t="s">
        <v>764</v>
      </c>
      <c r="AY1454" s="0" t="s">
        <v>3931</v>
      </c>
      <c r="AZ1454" s="0" t="s">
        <v>3932</v>
      </c>
      <c r="BA1454" s="0" t="s">
        <v>708</v>
      </c>
      <c r="BB1454" s="0" t="str">
        <f t="shared" si="22"/>
        <v>IHVNogSagamu</v>
      </c>
    </row>
    <row r="1455">
      <c r="AV1455" s="0" t="s">
        <v>473</v>
      </c>
      <c r="AW1455" s="0" t="s">
        <v>418</v>
      </c>
      <c r="AX1455" s="0" t="s">
        <v>623</v>
      </c>
      <c r="AY1455" s="0" t="s">
        <v>3933</v>
      </c>
      <c r="AZ1455" s="0" t="s">
        <v>3934</v>
      </c>
      <c r="BA1455" s="0" t="s">
        <v>708</v>
      </c>
      <c r="BB1455" s="0" t="str">
        <f t="shared" si="22"/>
        <v>IHVNonAkokoNorthEast</v>
      </c>
    </row>
    <row r="1456">
      <c r="AV1456" s="0" t="s">
        <v>473</v>
      </c>
      <c r="AW1456" s="0" t="s">
        <v>418</v>
      </c>
      <c r="AX1456" s="0" t="s">
        <v>464</v>
      </c>
      <c r="AY1456" s="0" t="s">
        <v>3935</v>
      </c>
      <c r="AZ1456" s="0" t="s">
        <v>3936</v>
      </c>
      <c r="BA1456" s="0" t="s">
        <v>708</v>
      </c>
      <c r="BB1456" s="0" t="str">
        <f t="shared" si="22"/>
        <v>IHVNonAkokoSouthWest</v>
      </c>
    </row>
    <row r="1457">
      <c r="AV1457" s="0" t="s">
        <v>473</v>
      </c>
      <c r="AW1457" s="0" t="s">
        <v>418</v>
      </c>
      <c r="AX1457" s="0" t="s">
        <v>661</v>
      </c>
      <c r="AY1457" s="0" t="s">
        <v>3937</v>
      </c>
      <c r="AZ1457" s="0" t="s">
        <v>3938</v>
      </c>
      <c r="BA1457" s="0" t="s">
        <v>708</v>
      </c>
      <c r="BB1457" s="0" t="str">
        <f t="shared" si="22"/>
        <v>IHVNonAkureSouth</v>
      </c>
    </row>
    <row r="1458">
      <c r="AV1458" s="0" t="s">
        <v>473</v>
      </c>
      <c r="AW1458" s="0" t="s">
        <v>418</v>
      </c>
      <c r="AX1458" s="0" t="s">
        <v>661</v>
      </c>
      <c r="AY1458" s="0" t="s">
        <v>3939</v>
      </c>
      <c r="AZ1458" s="0" t="s">
        <v>3940</v>
      </c>
      <c r="BA1458" s="0" t="s">
        <v>708</v>
      </c>
      <c r="BB1458" s="0" t="str">
        <f t="shared" si="22"/>
        <v>IHVNonAkureSouth</v>
      </c>
    </row>
    <row r="1459">
      <c r="AV1459" s="0" t="s">
        <v>473</v>
      </c>
      <c r="AW1459" s="0" t="s">
        <v>418</v>
      </c>
      <c r="AX1459" s="0" t="s">
        <v>661</v>
      </c>
      <c r="AY1459" s="0" t="s">
        <v>3941</v>
      </c>
      <c r="AZ1459" s="0" t="s">
        <v>3942</v>
      </c>
      <c r="BA1459" s="0" t="s">
        <v>708</v>
      </c>
      <c r="BB1459" s="0" t="str">
        <f t="shared" si="22"/>
        <v>IHVNonAkureSouth</v>
      </c>
    </row>
    <row r="1460">
      <c r="AV1460" s="0" t="s">
        <v>473</v>
      </c>
      <c r="AW1460" s="0" t="s">
        <v>418</v>
      </c>
      <c r="AX1460" s="0" t="s">
        <v>697</v>
      </c>
      <c r="AY1460" s="0" t="s">
        <v>3943</v>
      </c>
      <c r="AZ1460" s="0" t="s">
        <v>3944</v>
      </c>
      <c r="BA1460" s="0" t="s">
        <v>708</v>
      </c>
      <c r="BB1460" s="0" t="str">
        <f t="shared" si="22"/>
        <v>IHVNonOdigbo</v>
      </c>
    </row>
    <row r="1461">
      <c r="AV1461" s="0" t="s">
        <v>473</v>
      </c>
      <c r="AW1461" s="0" t="s">
        <v>418</v>
      </c>
      <c r="AX1461" s="0" t="s">
        <v>545</v>
      </c>
      <c r="AY1461" s="0" t="s">
        <v>3945</v>
      </c>
      <c r="AZ1461" s="0" t="s">
        <v>3946</v>
      </c>
      <c r="BA1461" s="0" t="s">
        <v>708</v>
      </c>
      <c r="BB1461" s="0" t="str">
        <f t="shared" si="22"/>
        <v>IHVNonOndoWest</v>
      </c>
    </row>
    <row r="1462">
      <c r="AV1462" s="0" t="s">
        <v>473</v>
      </c>
      <c r="AW1462" s="0" t="s">
        <v>418</v>
      </c>
      <c r="AX1462" s="0" t="s">
        <v>584</v>
      </c>
      <c r="AY1462" s="0" t="s">
        <v>3947</v>
      </c>
      <c r="AZ1462" s="0" t="s">
        <v>3948</v>
      </c>
      <c r="BA1462" s="0" t="s">
        <v>708</v>
      </c>
      <c r="BB1462" s="0" t="str">
        <f t="shared" si="22"/>
        <v>IHVNonOwo</v>
      </c>
    </row>
    <row r="1463">
      <c r="AV1463" s="0" t="s">
        <v>473</v>
      </c>
      <c r="AW1463" s="0" t="s">
        <v>419</v>
      </c>
      <c r="AX1463" s="0" t="s">
        <v>585</v>
      </c>
      <c r="AY1463" s="0" t="s">
        <v>3949</v>
      </c>
      <c r="AZ1463" s="0" t="s">
        <v>3950</v>
      </c>
      <c r="BA1463" s="0" t="s">
        <v>708</v>
      </c>
      <c r="BB1463" s="0" t="str">
        <f t="shared" si="22"/>
        <v>IHVNosEdeSouth</v>
      </c>
    </row>
    <row r="1464">
      <c r="AV1464" s="0" t="s">
        <v>473</v>
      </c>
      <c r="AW1464" s="0" t="s">
        <v>419</v>
      </c>
      <c r="AX1464" s="0" t="s">
        <v>624</v>
      </c>
      <c r="AY1464" s="0" t="s">
        <v>3951</v>
      </c>
      <c r="AZ1464" s="0" t="s">
        <v>3952</v>
      </c>
      <c r="BA1464" s="0" t="s">
        <v>708</v>
      </c>
      <c r="BB1464" s="0" t="str">
        <f t="shared" si="22"/>
        <v>IHVNosIfeCentral</v>
      </c>
    </row>
    <row r="1465">
      <c r="AV1465" s="0" t="s">
        <v>473</v>
      </c>
      <c r="AW1465" s="0" t="s">
        <v>419</v>
      </c>
      <c r="AX1465" s="0" t="s">
        <v>624</v>
      </c>
      <c r="AY1465" s="0" t="s">
        <v>3953</v>
      </c>
      <c r="AZ1465" s="0" t="s">
        <v>3954</v>
      </c>
      <c r="BA1465" s="0" t="s">
        <v>708</v>
      </c>
      <c r="BB1465" s="0" t="str">
        <f t="shared" si="22"/>
        <v>IHVNosIfeCentral</v>
      </c>
    </row>
    <row r="1466">
      <c r="AV1466" s="0" t="s">
        <v>473</v>
      </c>
      <c r="AW1466" s="0" t="s">
        <v>419</v>
      </c>
      <c r="AX1466" s="0" t="s">
        <v>662</v>
      </c>
      <c r="AY1466" s="0" t="s">
        <v>3955</v>
      </c>
      <c r="AZ1466" s="0" t="s">
        <v>3956</v>
      </c>
      <c r="BA1466" s="0" t="s">
        <v>708</v>
      </c>
      <c r="BB1466" s="0" t="str">
        <f t="shared" si="22"/>
        <v>IHVNosIla</v>
      </c>
    </row>
    <row r="1467">
      <c r="AV1467" s="0" t="s">
        <v>473</v>
      </c>
      <c r="AW1467" s="0" t="s">
        <v>419</v>
      </c>
      <c r="AX1467" s="0" t="s">
        <v>662</v>
      </c>
      <c r="AY1467" s="0" t="s">
        <v>3957</v>
      </c>
      <c r="AZ1467" s="0" t="s">
        <v>3958</v>
      </c>
      <c r="BA1467" s="0" t="s">
        <v>708</v>
      </c>
      <c r="BB1467" s="0" t="str">
        <f t="shared" si="22"/>
        <v>IHVNosIla</v>
      </c>
    </row>
    <row r="1468">
      <c r="AV1468" s="0" t="s">
        <v>473</v>
      </c>
      <c r="AW1468" s="0" t="s">
        <v>419</v>
      </c>
      <c r="AX1468" s="0" t="s">
        <v>698</v>
      </c>
      <c r="AY1468" s="0" t="s">
        <v>3959</v>
      </c>
      <c r="AZ1468" s="0" t="s">
        <v>3960</v>
      </c>
      <c r="BA1468" s="0" t="s">
        <v>708</v>
      </c>
      <c r="BB1468" s="0" t="str">
        <f t="shared" si="22"/>
        <v>IHVNosIleshaEast</v>
      </c>
    </row>
    <row r="1469">
      <c r="AV1469" s="0" t="s">
        <v>473</v>
      </c>
      <c r="AW1469" s="0" t="s">
        <v>419</v>
      </c>
      <c r="AX1469" s="0" t="s">
        <v>732</v>
      </c>
      <c r="AY1469" s="0" t="s">
        <v>3961</v>
      </c>
      <c r="AZ1469" s="0" t="s">
        <v>3962</v>
      </c>
      <c r="BA1469" s="0" t="s">
        <v>708</v>
      </c>
      <c r="BB1469" s="0" t="str">
        <f t="shared" si="22"/>
        <v>IHVNosIrewole</v>
      </c>
    </row>
    <row r="1470">
      <c r="AV1470" s="0" t="s">
        <v>473</v>
      </c>
      <c r="AW1470" s="0" t="s">
        <v>419</v>
      </c>
      <c r="AX1470" s="0" t="s">
        <v>732</v>
      </c>
      <c r="AY1470" s="0" t="s">
        <v>3963</v>
      </c>
      <c r="AZ1470" s="0" t="s">
        <v>3964</v>
      </c>
      <c r="BA1470" s="0" t="s">
        <v>708</v>
      </c>
      <c r="BB1470" s="0" t="str">
        <f t="shared" si="22"/>
        <v>IHVNosIrewole</v>
      </c>
    </row>
    <row r="1471">
      <c r="AV1471" s="0" t="s">
        <v>473</v>
      </c>
      <c r="AW1471" s="0" t="s">
        <v>419</v>
      </c>
      <c r="AX1471" s="0" t="s">
        <v>546</v>
      </c>
      <c r="AY1471" s="0" t="s">
        <v>3965</v>
      </c>
      <c r="AZ1471" s="0" t="s">
        <v>3966</v>
      </c>
      <c r="BA1471" s="0" t="s">
        <v>708</v>
      </c>
      <c r="BB1471" s="0" t="str">
        <f t="shared" si="22"/>
        <v>IHVNosIwo</v>
      </c>
    </row>
    <row r="1472">
      <c r="AV1472" s="0" t="s">
        <v>473</v>
      </c>
      <c r="AW1472" s="0" t="s">
        <v>419</v>
      </c>
      <c r="AX1472" s="0" t="s">
        <v>765</v>
      </c>
      <c r="AY1472" s="0" t="s">
        <v>3967</v>
      </c>
      <c r="AZ1472" s="0" t="s">
        <v>3968</v>
      </c>
      <c r="BA1472" s="0" t="s">
        <v>708</v>
      </c>
      <c r="BB1472" s="0" t="str">
        <f t="shared" si="22"/>
        <v>IHVNosOsogbo</v>
      </c>
    </row>
    <row r="1473">
      <c r="AV1473" s="0" t="s">
        <v>473</v>
      </c>
      <c r="AW1473" s="0" t="s">
        <v>404</v>
      </c>
      <c r="AX1473" s="0" t="s">
        <v>649</v>
      </c>
      <c r="AY1473" s="0" t="s">
        <v>3969</v>
      </c>
      <c r="AZ1473" s="0" t="s">
        <v>3970</v>
      </c>
      <c r="BA1473" s="0" t="s">
        <v>742</v>
      </c>
      <c r="BB1473" s="0" t="str">
        <f t="shared" si="22"/>
        <v>PHIfcKwali</v>
      </c>
    </row>
    <row r="1474">
      <c r="AV1474" s="0" t="s">
        <v>473</v>
      </c>
      <c r="AW1474" s="0" t="s">
        <v>404</v>
      </c>
      <c r="AX1474" s="0" t="s">
        <v>649</v>
      </c>
      <c r="AY1474" s="0" t="s">
        <v>3971</v>
      </c>
      <c r="AZ1474" s="0" t="s">
        <v>3972</v>
      </c>
      <c r="BA1474" s="0" t="s">
        <v>742</v>
      </c>
      <c r="BB1474" s="0" t="str">
        <f t="shared" si="22"/>
        <v>PHIfcKwali</v>
      </c>
    </row>
    <row r="1475">
      <c r="AV1475" s="0" t="s">
        <v>473</v>
      </c>
      <c r="AW1475" s="0" t="s">
        <v>404</v>
      </c>
      <c r="AX1475" s="0" t="s">
        <v>649</v>
      </c>
      <c r="AY1475" s="0" t="s">
        <v>3973</v>
      </c>
      <c r="AZ1475" s="0" t="s">
        <v>3974</v>
      </c>
      <c r="BA1475" s="0" t="s">
        <v>742</v>
      </c>
      <c r="BB1475" s="0" t="str">
        <f ref="BB1475:BB1504" t="shared" si="23">SUBSTITUTE(SUBSTITUTE(BA1475&amp;AX1475," ",""),"-","")</f>
        <v>PHIfcKwali</v>
      </c>
    </row>
    <row r="1476">
      <c r="AV1476" s="0" t="s">
        <v>473</v>
      </c>
      <c r="AW1476" s="0" t="s">
        <v>404</v>
      </c>
      <c r="AX1476" s="0" t="s">
        <v>649</v>
      </c>
      <c r="AY1476" s="0" t="s">
        <v>3975</v>
      </c>
      <c r="AZ1476" s="0" t="s">
        <v>3976</v>
      </c>
      <c r="BA1476" s="0" t="s">
        <v>742</v>
      </c>
      <c r="BB1476" s="0" t="str">
        <f t="shared" si="23"/>
        <v>PHIfcKwali</v>
      </c>
    </row>
    <row r="1477">
      <c r="AV1477" s="0" t="s">
        <v>473</v>
      </c>
      <c r="AW1477" s="0" t="s">
        <v>404</v>
      </c>
      <c r="AX1477" s="0" t="s">
        <v>649</v>
      </c>
      <c r="AY1477" s="0" t="s">
        <v>3977</v>
      </c>
      <c r="AZ1477" s="0" t="s">
        <v>3978</v>
      </c>
      <c r="BA1477" s="0" t="s">
        <v>742</v>
      </c>
      <c r="BB1477" s="0" t="str">
        <f t="shared" si="23"/>
        <v>PHIfcKwali</v>
      </c>
    </row>
    <row r="1478">
      <c r="AV1478" s="0" t="s">
        <v>473</v>
      </c>
      <c r="AW1478" s="0" t="s">
        <v>415</v>
      </c>
      <c r="AX1478" s="0" t="s">
        <v>462</v>
      </c>
      <c r="AY1478" s="0" t="s">
        <v>3979</v>
      </c>
      <c r="AZ1478" s="0" t="s">
        <v>3980</v>
      </c>
      <c r="BA1478" s="0" t="s">
        <v>742</v>
      </c>
      <c r="BB1478" s="0" t="str">
        <f t="shared" si="23"/>
        <v>PHInaAkwanga</v>
      </c>
    </row>
    <row r="1479">
      <c r="AV1479" s="0" t="s">
        <v>473</v>
      </c>
      <c r="AW1479" s="0" t="s">
        <v>415</v>
      </c>
      <c r="AX1479" s="0" t="s">
        <v>462</v>
      </c>
      <c r="AY1479" s="0" t="s">
        <v>3981</v>
      </c>
      <c r="AZ1479" s="0" t="s">
        <v>3982</v>
      </c>
      <c r="BA1479" s="0" t="s">
        <v>742</v>
      </c>
      <c r="BB1479" s="0" t="str">
        <f t="shared" si="23"/>
        <v>PHInaAkwanga</v>
      </c>
    </row>
    <row r="1480">
      <c r="AV1480" s="0" t="s">
        <v>473</v>
      </c>
      <c r="AW1480" s="0" t="s">
        <v>415</v>
      </c>
      <c r="AX1480" s="0" t="s">
        <v>462</v>
      </c>
      <c r="AY1480" s="0" t="s">
        <v>3983</v>
      </c>
      <c r="AZ1480" s="0" t="s">
        <v>3984</v>
      </c>
      <c r="BA1480" s="0" t="s">
        <v>742</v>
      </c>
      <c r="BB1480" s="0" t="str">
        <f t="shared" si="23"/>
        <v>PHInaAkwanga</v>
      </c>
    </row>
    <row r="1481">
      <c r="AV1481" s="0" t="s">
        <v>473</v>
      </c>
      <c r="AW1481" s="0" t="s">
        <v>415</v>
      </c>
      <c r="AX1481" s="0" t="s">
        <v>462</v>
      </c>
      <c r="AY1481" s="0" t="s">
        <v>3985</v>
      </c>
      <c r="AZ1481" s="0" t="s">
        <v>3986</v>
      </c>
      <c r="BA1481" s="0" t="s">
        <v>742</v>
      </c>
      <c r="BB1481" s="0" t="str">
        <f t="shared" si="23"/>
        <v>PHInaAkwanga</v>
      </c>
    </row>
    <row r="1482">
      <c r="AV1482" s="0" t="s">
        <v>473</v>
      </c>
      <c r="AW1482" s="0" t="s">
        <v>415</v>
      </c>
      <c r="AX1482" s="0" t="s">
        <v>462</v>
      </c>
      <c r="AY1482" s="0" t="s">
        <v>3987</v>
      </c>
      <c r="AZ1482" s="0" t="s">
        <v>3988</v>
      </c>
      <c r="BA1482" s="0" t="s">
        <v>742</v>
      </c>
      <c r="BB1482" s="0" t="str">
        <f t="shared" si="23"/>
        <v>PHInaAkwanga</v>
      </c>
    </row>
    <row r="1483">
      <c r="AV1483" s="0" t="s">
        <v>473</v>
      </c>
      <c r="AW1483" s="0" t="s">
        <v>415</v>
      </c>
      <c r="AX1483" s="0" t="s">
        <v>462</v>
      </c>
      <c r="AY1483" s="0" t="s">
        <v>3989</v>
      </c>
      <c r="AZ1483" s="0" t="s">
        <v>3990</v>
      </c>
      <c r="BA1483" s="0" t="s">
        <v>742</v>
      </c>
      <c r="BB1483" s="0" t="str">
        <f t="shared" si="23"/>
        <v>PHInaAkwanga</v>
      </c>
    </row>
    <row r="1484">
      <c r="AV1484" s="0" t="s">
        <v>473</v>
      </c>
      <c r="AW1484" s="0" t="s">
        <v>415</v>
      </c>
      <c r="AX1484" s="0" t="s">
        <v>462</v>
      </c>
      <c r="AY1484" s="0" t="s">
        <v>3991</v>
      </c>
      <c r="AZ1484" s="0" t="s">
        <v>3992</v>
      </c>
      <c r="BA1484" s="0" t="s">
        <v>742</v>
      </c>
      <c r="BB1484" s="0" t="str">
        <f t="shared" si="23"/>
        <v>PHInaAkwanga</v>
      </c>
    </row>
    <row r="1485">
      <c r="AV1485" s="0" t="s">
        <v>473</v>
      </c>
      <c r="AW1485" s="0" t="s">
        <v>415</v>
      </c>
      <c r="AX1485" s="0" t="s">
        <v>462</v>
      </c>
      <c r="AY1485" s="0" t="s">
        <v>3993</v>
      </c>
      <c r="AZ1485" s="0" t="s">
        <v>3994</v>
      </c>
      <c r="BA1485" s="0" t="s">
        <v>742</v>
      </c>
      <c r="BB1485" s="0" t="str">
        <f t="shared" si="23"/>
        <v>PHInaAkwanga</v>
      </c>
    </row>
    <row r="1486">
      <c r="AV1486" s="0" t="s">
        <v>473</v>
      </c>
      <c r="AW1486" s="0" t="s">
        <v>415</v>
      </c>
      <c r="AX1486" s="0" t="s">
        <v>462</v>
      </c>
      <c r="AY1486" s="0" t="s">
        <v>3995</v>
      </c>
      <c r="AZ1486" s="0" t="s">
        <v>3996</v>
      </c>
      <c r="BA1486" s="0" t="s">
        <v>742</v>
      </c>
      <c r="BB1486" s="0" t="str">
        <f t="shared" si="23"/>
        <v>PHInaAkwanga</v>
      </c>
    </row>
    <row r="1487">
      <c r="AV1487" s="0" t="s">
        <v>473</v>
      </c>
      <c r="AW1487" s="0" t="s">
        <v>415</v>
      </c>
      <c r="AX1487" s="0" t="s">
        <v>794</v>
      </c>
      <c r="AY1487" s="0" t="s">
        <v>3997</v>
      </c>
      <c r="AZ1487" s="0" t="s">
        <v>3998</v>
      </c>
      <c r="BA1487" s="0" t="s">
        <v>742</v>
      </c>
      <c r="BB1487" s="0" t="str">
        <f t="shared" si="23"/>
        <v>PHInaNasarawaEggon</v>
      </c>
    </row>
    <row r="1488">
      <c r="AV1488" s="0" t="s">
        <v>473</v>
      </c>
      <c r="AW1488" s="0" t="s">
        <v>415</v>
      </c>
      <c r="AX1488" s="0" t="s">
        <v>794</v>
      </c>
      <c r="AY1488" s="0" t="s">
        <v>3999</v>
      </c>
      <c r="AZ1488" s="0" t="s">
        <v>4000</v>
      </c>
      <c r="BA1488" s="0" t="s">
        <v>742</v>
      </c>
      <c r="BB1488" s="0" t="str">
        <f t="shared" si="23"/>
        <v>PHInaNasarawaEggon</v>
      </c>
    </row>
    <row r="1489">
      <c r="AV1489" s="0" t="s">
        <v>473</v>
      </c>
      <c r="AW1489" s="0" t="s">
        <v>415</v>
      </c>
      <c r="AX1489" s="0" t="s">
        <v>794</v>
      </c>
      <c r="AY1489" s="0" t="s">
        <v>4001</v>
      </c>
      <c r="AZ1489" s="0" t="s">
        <v>4002</v>
      </c>
      <c r="BA1489" s="0" t="s">
        <v>742</v>
      </c>
      <c r="BB1489" s="0" t="str">
        <f t="shared" si="23"/>
        <v>PHInaNasarawaEggon</v>
      </c>
    </row>
    <row r="1490">
      <c r="AV1490" s="0" t="s">
        <v>473</v>
      </c>
      <c r="AW1490" s="0" t="s">
        <v>415</v>
      </c>
      <c r="AX1490" s="0" t="s">
        <v>851</v>
      </c>
      <c r="AY1490" s="0" t="s">
        <v>4003</v>
      </c>
      <c r="AZ1490" s="0" t="s">
        <v>4004</v>
      </c>
      <c r="BA1490" s="0" t="s">
        <v>742</v>
      </c>
      <c r="BB1490" s="0" t="str">
        <f t="shared" si="23"/>
        <v>PHInaWamba</v>
      </c>
    </row>
    <row r="1491">
      <c r="AV1491" s="0" t="s">
        <v>473</v>
      </c>
      <c r="AW1491" s="0" t="s">
        <v>415</v>
      </c>
      <c r="AX1491" s="0" t="s">
        <v>851</v>
      </c>
      <c r="AY1491" s="0" t="s">
        <v>4005</v>
      </c>
      <c r="AZ1491" s="0" t="s">
        <v>4006</v>
      </c>
      <c r="BA1491" s="0" t="s">
        <v>742</v>
      </c>
      <c r="BB1491" s="0" t="str">
        <f t="shared" si="23"/>
        <v>PHInaWamba</v>
      </c>
    </row>
    <row r="1492">
      <c r="AV1492" s="0" t="s">
        <v>473</v>
      </c>
      <c r="AW1492" s="0" t="s">
        <v>415</v>
      </c>
      <c r="AX1492" s="0" t="s">
        <v>851</v>
      </c>
      <c r="AY1492" s="0" t="s">
        <v>4007</v>
      </c>
      <c r="AZ1492" s="0" t="s">
        <v>4008</v>
      </c>
      <c r="BA1492" s="0" t="s">
        <v>742</v>
      </c>
      <c r="BB1492" s="0" t="str">
        <f t="shared" si="23"/>
        <v>PHInaWamba</v>
      </c>
    </row>
    <row r="1493">
      <c r="AV1493" s="0" t="s">
        <v>473</v>
      </c>
      <c r="AW1493" s="0" t="s">
        <v>415</v>
      </c>
      <c r="AX1493" s="0" t="s">
        <v>851</v>
      </c>
      <c r="AY1493" s="0" t="s">
        <v>4009</v>
      </c>
      <c r="AZ1493" s="0" t="s">
        <v>4010</v>
      </c>
      <c r="BA1493" s="0" t="s">
        <v>742</v>
      </c>
      <c r="BB1493" s="0" t="str">
        <f t="shared" si="23"/>
        <v>PHInaWamba</v>
      </c>
    </row>
    <row r="1494">
      <c r="AV1494" s="0" t="s">
        <v>473</v>
      </c>
      <c r="AW1494" s="0" t="s">
        <v>415</v>
      </c>
      <c r="AX1494" s="0" t="s">
        <v>851</v>
      </c>
      <c r="AY1494" s="0" t="s">
        <v>4011</v>
      </c>
      <c r="AZ1494" s="0" t="s">
        <v>4012</v>
      </c>
      <c r="BA1494" s="0" t="s">
        <v>742</v>
      </c>
      <c r="BB1494" s="0" t="str">
        <f t="shared" si="23"/>
        <v>PHInaWamba</v>
      </c>
    </row>
    <row r="1495">
      <c r="AV1495" s="0" t="s">
        <v>473</v>
      </c>
      <c r="AW1495" s="0" t="s">
        <v>415</v>
      </c>
      <c r="AX1495" s="0" t="s">
        <v>851</v>
      </c>
      <c r="AY1495" s="0" t="s">
        <v>4013</v>
      </c>
      <c r="AZ1495" s="0" t="s">
        <v>4014</v>
      </c>
      <c r="BA1495" s="0" t="s">
        <v>742</v>
      </c>
      <c r="BB1495" s="0" t="str">
        <f t="shared" si="23"/>
        <v>PHInaWamba</v>
      </c>
    </row>
    <row r="1496">
      <c r="AV1496" s="0" t="s">
        <v>473</v>
      </c>
      <c r="AW1496" s="0" t="s">
        <v>421</v>
      </c>
      <c r="AX1496" s="0" t="s">
        <v>854</v>
      </c>
      <c r="AY1496" s="0" t="s">
        <v>4015</v>
      </c>
      <c r="AZ1496" s="0" t="s">
        <v>4016</v>
      </c>
      <c r="BA1496" s="0" t="s">
        <v>742</v>
      </c>
      <c r="BB1496" s="0" t="str">
        <f t="shared" si="23"/>
        <v>PHIplKanam</v>
      </c>
    </row>
    <row r="1497">
      <c r="AV1497" s="0" t="s">
        <v>473</v>
      </c>
      <c r="AW1497" s="0" t="s">
        <v>421</v>
      </c>
      <c r="AX1497" s="0" t="s">
        <v>854</v>
      </c>
      <c r="AY1497" s="0" t="s">
        <v>4017</v>
      </c>
      <c r="AZ1497" s="0" t="s">
        <v>4018</v>
      </c>
      <c r="BA1497" s="0" t="s">
        <v>742</v>
      </c>
      <c r="BB1497" s="0" t="str">
        <f t="shared" si="23"/>
        <v>PHIplKanam</v>
      </c>
    </row>
    <row r="1498">
      <c r="AV1498" s="0" t="s">
        <v>473</v>
      </c>
      <c r="AW1498" s="0" t="s">
        <v>421</v>
      </c>
      <c r="AX1498" s="0" t="s">
        <v>854</v>
      </c>
      <c r="AY1498" s="0" t="s">
        <v>4019</v>
      </c>
      <c r="AZ1498" s="0" t="s">
        <v>4020</v>
      </c>
      <c r="BA1498" s="0" t="s">
        <v>742</v>
      </c>
      <c r="BB1498" s="0" t="str">
        <f t="shared" si="23"/>
        <v>PHIplKanam</v>
      </c>
    </row>
    <row r="1499">
      <c r="AV1499" s="0" t="s">
        <v>473</v>
      </c>
      <c r="AW1499" s="0" t="s">
        <v>421</v>
      </c>
      <c r="AX1499" s="0" t="s">
        <v>880</v>
      </c>
      <c r="AY1499" s="0" t="s">
        <v>4021</v>
      </c>
      <c r="AZ1499" s="0" t="s">
        <v>4022</v>
      </c>
      <c r="BA1499" s="0" t="s">
        <v>742</v>
      </c>
      <c r="BB1499" s="0" t="str">
        <f t="shared" si="23"/>
        <v>PHIplKanke</v>
      </c>
    </row>
    <row r="1500">
      <c r="AV1500" s="0" t="s">
        <v>473</v>
      </c>
      <c r="AW1500" s="0" t="s">
        <v>421</v>
      </c>
      <c r="AX1500" s="0" t="s">
        <v>880</v>
      </c>
      <c r="AY1500" s="0" t="s">
        <v>4023</v>
      </c>
      <c r="AZ1500" s="0" t="s">
        <v>4024</v>
      </c>
      <c r="BA1500" s="0" t="s">
        <v>742</v>
      </c>
      <c r="BB1500" s="0" t="str">
        <f t="shared" si="23"/>
        <v>PHIplKanke</v>
      </c>
    </row>
    <row r="1501">
      <c r="AV1501" s="0" t="s">
        <v>473</v>
      </c>
      <c r="AW1501" s="0" t="s">
        <v>421</v>
      </c>
      <c r="AX1501" s="0" t="s">
        <v>905</v>
      </c>
      <c r="AY1501" s="0" t="s">
        <v>4025</v>
      </c>
      <c r="AZ1501" s="0" t="s">
        <v>4026</v>
      </c>
      <c r="BA1501" s="0" t="s">
        <v>742</v>
      </c>
      <c r="BB1501" s="0" t="str">
        <f t="shared" si="23"/>
        <v>PHIplLangtangSouth</v>
      </c>
    </row>
    <row r="1502">
      <c r="AV1502" s="0" t="s">
        <v>473</v>
      </c>
      <c r="AW1502" s="0" t="s">
        <v>421</v>
      </c>
      <c r="AX1502" s="0" t="s">
        <v>905</v>
      </c>
      <c r="AY1502" s="0" t="s">
        <v>4027</v>
      </c>
      <c r="AZ1502" s="0" t="s">
        <v>4028</v>
      </c>
      <c r="BA1502" s="0" t="s">
        <v>742</v>
      </c>
      <c r="BB1502" s="0" t="str">
        <f t="shared" si="23"/>
        <v>PHIplLangtangSouth</v>
      </c>
    </row>
    <row r="1503">
      <c r="AV1503" s="0" t="s">
        <v>473</v>
      </c>
      <c r="AW1503" s="0" t="s">
        <v>421</v>
      </c>
      <c r="AX1503" s="0" t="s">
        <v>930</v>
      </c>
      <c r="AY1503" s="0" t="s">
        <v>4029</v>
      </c>
      <c r="AZ1503" s="0" t="s">
        <v>4030</v>
      </c>
      <c r="BA1503" s="0" t="s">
        <v>742</v>
      </c>
      <c r="BB1503" s="0" t="str">
        <f t="shared" si="23"/>
        <v>PHIplMikang</v>
      </c>
    </row>
    <row r="1504">
      <c r="AV1504" s="0" t="s">
        <v>473</v>
      </c>
      <c r="AW1504" s="0" t="s">
        <v>421</v>
      </c>
      <c r="AX1504" s="0" t="s">
        <v>930</v>
      </c>
      <c r="AY1504" s="0" t="s">
        <v>4031</v>
      </c>
      <c r="AZ1504" s="0" t="s">
        <v>4032</v>
      </c>
      <c r="BA1504" s="0" t="s">
        <v>742</v>
      </c>
      <c r="BB1504" s="0" t="str">
        <f t="shared" si="23"/>
        <v>PHIplMikang</v>
      </c>
    </row>
  </sheetData>
  <autoFilter ref="A1:BB10"/>
  <sortState ref="D2:D20">
    <sortCondition ref="D2:D20"/>
  </sortState>
  <pageMargins left="0.7" right="0.7" top="0.75" bottom="0.75" header="0.3" footer="0.3"/>
  <headerFooter/>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390</vt:i4>
      </vt:variant>
    </vt:vector>
  </HeadingPairs>
  <TitlesOfParts>
    <vt:vector size="396" baseType="lpstr">
      <vt:lpstr>DQA Summary (Map to Quest Ans)</vt:lpstr>
      <vt:lpstr>Worksheet</vt:lpstr>
      <vt:lpstr>All Questions</vt:lpstr>
      <vt:lpstr>CDC DQA</vt:lpstr>
      <vt:lpstr>DQ Dimensions</vt:lpstr>
      <vt:lpstr>Data_donotedit</vt:lpstr>
      <vt:lpstr>Abia</vt:lpstr>
      <vt:lpstr>Adamawa</vt:lpstr>
      <vt:lpstr>AHNI</vt:lpstr>
      <vt:lpstr>AHNIogAdoOdo</vt:lpstr>
      <vt:lpstr>AHNIogIpokia</vt:lpstr>
      <vt:lpstr>AHNIOgun</vt:lpstr>
      <vt:lpstr>AHNIogYewaNorth</vt:lpstr>
      <vt:lpstr>AHNIoyAtisbo</vt:lpstr>
      <vt:lpstr>AHNIoyIrepo</vt:lpstr>
      <vt:lpstr>AHNIoyIseyin</vt:lpstr>
      <vt:lpstr>AHNIoyKajola</vt:lpstr>
      <vt:lpstr>AHNIOyo</vt:lpstr>
      <vt:lpstr>AHNIoyOgoOluwa</vt:lpstr>
      <vt:lpstr>AHNIoyOlorunsogo</vt:lpstr>
      <vt:lpstr>AHNIoyOrelope</vt:lpstr>
      <vt:lpstr>AHNIoyOriIre</vt:lpstr>
      <vt:lpstr>AHNIoySakiEast</vt:lpstr>
      <vt:lpstr>AkwaIbom</vt:lpstr>
      <vt:lpstr>Anambra</vt:lpstr>
      <vt:lpstr>ANDONI</vt:lpstr>
      <vt:lpstr>APIN</vt:lpstr>
      <vt:lpstr>APINlaAlimosho</vt:lpstr>
      <vt:lpstr>APINlaAmuwoOdofin</vt:lpstr>
      <vt:lpstr>APINlaEpe</vt:lpstr>
      <vt:lpstr>APINlaEtiOsa</vt:lpstr>
      <vt:lpstr>APINLagos</vt:lpstr>
      <vt:lpstr>APINlaIbeju</vt:lpstr>
      <vt:lpstr>APINlaIfakoIjaiye</vt:lpstr>
      <vt:lpstr>APINlaIkeja</vt:lpstr>
      <vt:lpstr>APINlaIkorodu</vt:lpstr>
      <vt:lpstr>APINlaMushin</vt:lpstr>
      <vt:lpstr>APINlaOshodiIsolo</vt:lpstr>
      <vt:lpstr>APINoyAfijio</vt:lpstr>
      <vt:lpstr>APINoyAkinyele</vt:lpstr>
      <vt:lpstr>APINoyAtiba</vt:lpstr>
      <vt:lpstr>APINoyIbadanNorth</vt:lpstr>
      <vt:lpstr>APINoyIbadanNorthEast</vt:lpstr>
      <vt:lpstr>APINoyIbadanNorthWest</vt:lpstr>
      <vt:lpstr>APINoyIbadanSouthEast</vt:lpstr>
      <vt:lpstr>APINoyIbadanSouthWest</vt:lpstr>
      <vt:lpstr>APINoyIbarapaCentral</vt:lpstr>
      <vt:lpstr>APINoyIdo</vt:lpstr>
      <vt:lpstr>APINoyItesiwaju</vt:lpstr>
      <vt:lpstr>APINoyLagelu</vt:lpstr>
      <vt:lpstr>APINOyo</vt:lpstr>
      <vt:lpstr>APINoyOgbomosoNorth</vt:lpstr>
      <vt:lpstr>APINoyOgbomosoSouth</vt:lpstr>
      <vt:lpstr>APINoyOluyole</vt:lpstr>
      <vt:lpstr>APINoyOnaAra</vt:lpstr>
      <vt:lpstr>APINoyOyoEast</vt:lpstr>
      <vt:lpstr>APINoyOyoWest</vt:lpstr>
      <vt:lpstr>APINoySakiWest</vt:lpstr>
      <vt:lpstr>APINoySurulere</vt:lpstr>
      <vt:lpstr>APINPlateau</vt:lpstr>
      <vt:lpstr>APINplBarkinLadi</vt:lpstr>
      <vt:lpstr>APINplBassa</vt:lpstr>
      <vt:lpstr>APINplJosEast</vt:lpstr>
      <vt:lpstr>APINplJosNorth</vt:lpstr>
      <vt:lpstr>APINplJosSouth</vt:lpstr>
      <vt:lpstr>APINplLangtangNorth</vt:lpstr>
      <vt:lpstr>APINplMangu</vt:lpstr>
      <vt:lpstr>APINplPankshin</vt:lpstr>
      <vt:lpstr>APINplQuaanPan</vt:lpstr>
      <vt:lpstr>APINplShendam</vt:lpstr>
      <vt:lpstr>Bauchi</vt:lpstr>
      <vt:lpstr>Bayelsa</vt:lpstr>
      <vt:lpstr>Benue</vt:lpstr>
      <vt:lpstr>Borno</vt:lpstr>
      <vt:lpstr>CCCRN</vt:lpstr>
      <vt:lpstr>CCCRNebAbakaliki</vt:lpstr>
      <vt:lpstr>CCCRNebAfikpoNorth</vt:lpstr>
      <vt:lpstr>CCCRNebEbonyi</vt:lpstr>
      <vt:lpstr>CCCRNebIvo</vt:lpstr>
      <vt:lpstr>CCCRNebIzzi</vt:lpstr>
      <vt:lpstr>CCCRNebOhaozara</vt:lpstr>
      <vt:lpstr>CCCRNebOhaukwu</vt:lpstr>
      <vt:lpstr>CCCRNebOnicha</vt:lpstr>
      <vt:lpstr>CCCRNEbonyi</vt:lpstr>
      <vt:lpstr>CCCRNenEnuguEast</vt:lpstr>
      <vt:lpstr>CCCRNenEnuguNorth</vt:lpstr>
      <vt:lpstr>CCCRNenEnuguSouth</vt:lpstr>
      <vt:lpstr>CCCRNenIgboEtiti</vt:lpstr>
      <vt:lpstr>CCCRNenIgboEzeNorth</vt:lpstr>
      <vt:lpstr>CCCRNenIsiuzo</vt:lpstr>
      <vt:lpstr>CCCRNenNkanuEast</vt:lpstr>
      <vt:lpstr>CCCRNenNkanuWest</vt:lpstr>
      <vt:lpstr>CCCRNenNsukka</vt:lpstr>
      <vt:lpstr>CCCRNenUdenu</vt:lpstr>
      <vt:lpstr>CCCRNEnugu</vt:lpstr>
      <vt:lpstr>CCCRNimAbohMbaise</vt:lpstr>
      <vt:lpstr>CCCRNimAhiazuMbaise</vt:lpstr>
      <vt:lpstr>CCCRNimEzinihitte</vt:lpstr>
      <vt:lpstr>CCCRNimIdeatoNorth</vt:lpstr>
      <vt:lpstr>CCCRNimIdeatoSouth</vt:lpstr>
      <vt:lpstr>CCCRNimIkeduru</vt:lpstr>
      <vt:lpstr>CCCRNimIsu</vt:lpstr>
      <vt:lpstr>CCCRNimMbaitoli</vt:lpstr>
      <vt:lpstr>CCCRNimNgorOkpala</vt:lpstr>
      <vt:lpstr>CCCRNimNjaba</vt:lpstr>
      <vt:lpstr>CCCRNimNkwerre</vt:lpstr>
      <vt:lpstr>CCCRNimNwangele</vt:lpstr>
      <vt:lpstr>CCCRNImo</vt:lpstr>
      <vt:lpstr>CCCRNimOguta</vt:lpstr>
      <vt:lpstr>CCCRNimOhaji</vt:lpstr>
      <vt:lpstr>CCCRNimOrlu</vt:lpstr>
      <vt:lpstr>CCCRNimOrsu</vt:lpstr>
      <vt:lpstr>CCCRNimOruEast</vt:lpstr>
      <vt:lpstr>CCCRNimOruWest</vt:lpstr>
      <vt:lpstr>CCCRNimOwerriMunicipal</vt:lpstr>
      <vt:lpstr>CCCRNimOwerriNorth</vt:lpstr>
      <vt:lpstr>CCCRNimOwerriWest</vt:lpstr>
      <vt:lpstr>CCFN</vt:lpstr>
      <vt:lpstr>CCFNbeAgatu</vt:lpstr>
      <vt:lpstr>CCFNbeBuruku</vt:lpstr>
      <vt:lpstr>CCFNbeGboko</vt:lpstr>
      <vt:lpstr>CCFNbeGuma</vt:lpstr>
      <vt:lpstr>CCFNbeGwerEast</vt:lpstr>
      <vt:lpstr>CCFNbeGwerWest</vt:lpstr>
      <vt:lpstr>CCFNbeKatsinaAla</vt:lpstr>
      <vt:lpstr>CCFNbeKonshisha</vt:lpstr>
      <vt:lpstr>CCFNbeKwande</vt:lpstr>
      <vt:lpstr>CCFNbeLogo</vt:lpstr>
      <vt:lpstr>CCFNbeMakurdi</vt:lpstr>
      <vt:lpstr>CCFNBenue</vt:lpstr>
      <vt:lpstr>CCFNbeOkpokwu</vt:lpstr>
      <vt:lpstr>CCFNbeOtukpo</vt:lpstr>
      <vt:lpstr>CCFNbeTarka</vt:lpstr>
      <vt:lpstr>CCFNbeUkum</vt:lpstr>
      <vt:lpstr>CCFNbeUshongo</vt:lpstr>
      <vt:lpstr>CCFNbeVandeikya</vt:lpstr>
      <vt:lpstr>CCFNdeAniochaNorth</vt:lpstr>
      <vt:lpstr>CCFNdeEthiopeEast</vt:lpstr>
      <vt:lpstr>CCFNDelta</vt:lpstr>
      <vt:lpstr>CCFNdeSapele</vt:lpstr>
      <vt:lpstr>CCFNdeWarriNorth</vt:lpstr>
      <vt:lpstr>CCFNfcAbujaMunicipalAreaCouncil</vt:lpstr>
      <vt:lpstr>CCFNfcBwari</vt:lpstr>
      <vt:lpstr>CCFNFCT</vt:lpstr>
      <vt:lpstr>CCFNKaduna</vt:lpstr>
      <vt:lpstr>CCFNkdChikun</vt:lpstr>
      <vt:lpstr>CCFNkdJemaa</vt:lpstr>
      <vt:lpstr>CCFNkdKadunaSouth</vt:lpstr>
      <vt:lpstr>CCFNkdKubau</vt:lpstr>
      <vt:lpstr>CCFNkdLere</vt:lpstr>
      <vt:lpstr>CCFNkdSanga</vt:lpstr>
      <vt:lpstr>CCFNkdZangoKataf</vt:lpstr>
      <vt:lpstr>CCFNkoDekina</vt:lpstr>
      <vt:lpstr>CCFNKogi</vt:lpstr>
      <vt:lpstr>CCFNkoIdah</vt:lpstr>
      <vt:lpstr>CCFNkoKabba</vt:lpstr>
      <vt:lpstr>CCFNLagos</vt:lpstr>
      <vt:lpstr>CCFNlaIkeja</vt:lpstr>
      <vt:lpstr>CCFNnaAkwanga</vt:lpstr>
      <vt:lpstr>CCFNnaDoma</vt:lpstr>
      <vt:lpstr>CCFNnaKeffi</vt:lpstr>
      <vt:lpstr>CCFNnaLafia</vt:lpstr>
      <vt:lpstr>CCFNnaObi</vt:lpstr>
      <vt:lpstr>CCFNNasarawa</vt:lpstr>
      <vt:lpstr>CCFNogIfo</vt:lpstr>
      <vt:lpstr>CCFNOgun</vt:lpstr>
      <vt:lpstr>CCFNogYewaNorth</vt:lpstr>
      <vt:lpstr>CCFNonAkokoSouthWest</vt:lpstr>
      <vt:lpstr>CCFNOndo</vt:lpstr>
      <vt:lpstr>CCFNonEseOdo</vt:lpstr>
      <vt:lpstr>CCFNonOndoWest</vt:lpstr>
      <vt:lpstr>CCFNonOwo</vt:lpstr>
      <vt:lpstr>CCFNosIfeNorth</vt:lpstr>
      <vt:lpstr>CCFNosIsokan</vt:lpstr>
      <vt:lpstr>CCFNosIwo</vt:lpstr>
      <vt:lpstr>CCFNOsun</vt:lpstr>
      <vt:lpstr>CCFNoyEgbeda</vt:lpstr>
      <vt:lpstr>CCFNOyo</vt:lpstr>
      <vt:lpstr>CCFNPlateau</vt:lpstr>
      <vt:lpstr>CCFNplBassa</vt:lpstr>
      <vt:lpstr>CCFNplBokkos</vt:lpstr>
      <vt:lpstr>CCFNplJosNorth</vt:lpstr>
      <vt:lpstr>CCFNplJosSouth</vt:lpstr>
      <vt:lpstr>CCFNplQuaanPan</vt:lpstr>
      <vt:lpstr>CCFNplShendam</vt:lpstr>
      <vt:lpstr>CIHP</vt:lpstr>
      <vt:lpstr>CIHPbeAdo</vt:lpstr>
      <vt:lpstr>CIHPbeAgatu</vt:lpstr>
      <vt:lpstr>CIHPbeApa</vt:lpstr>
      <vt:lpstr>CIHPbeBuruku</vt:lpstr>
      <vt:lpstr>CIHPbeGboko</vt:lpstr>
      <vt:lpstr>CIHPbeGuma</vt:lpstr>
      <vt:lpstr>CIHPbeGwerEast</vt:lpstr>
      <vt:lpstr>CIHPbeGwerWest</vt:lpstr>
      <vt:lpstr>CIHPbeKwande</vt:lpstr>
      <vt:lpstr>CIHPbeLogo</vt:lpstr>
      <vt:lpstr>CIHPbeMakurdi</vt:lpstr>
      <vt:lpstr>CIHPBenue</vt:lpstr>
      <vt:lpstr>CIHPbeObi</vt:lpstr>
      <vt:lpstr>CIHPbeOgbadibo</vt:lpstr>
      <vt:lpstr>CIHPbeOhimini</vt:lpstr>
      <vt:lpstr>CIHPbeOkpokwu</vt:lpstr>
      <vt:lpstr>CIHPbeOtukpo</vt:lpstr>
      <vt:lpstr>CIHPbeTarka</vt:lpstr>
      <vt:lpstr>CIHPbeUkum</vt:lpstr>
      <vt:lpstr>CIHPbeVandeikya</vt:lpstr>
      <vt:lpstr>CIHPgoBalanga</vt:lpstr>
      <vt:lpstr>CIHPgoBilliri</vt:lpstr>
      <vt:lpstr>CIHPgoDukku</vt:lpstr>
      <vt:lpstr>CIHPgoFunakaye</vt:lpstr>
      <vt:lpstr>CIHPgoGombe</vt:lpstr>
      <vt:lpstr>CIHPgoKaltungo</vt:lpstr>
      <vt:lpstr>CIHPgoKwami</vt:lpstr>
      <vt:lpstr>CIHPGombe</vt:lpstr>
      <vt:lpstr>CIHPgoNafada</vt:lpstr>
      <vt:lpstr>CIHPgoShongom</vt:lpstr>
      <vt:lpstr>CIHPKaduna</vt:lpstr>
      <vt:lpstr>CIHPkdChikun</vt:lpstr>
      <vt:lpstr>CIHPkdIgabi</vt:lpstr>
      <vt:lpstr>CIHPkdJaba</vt:lpstr>
      <vt:lpstr>CIHPkdJemaa</vt:lpstr>
      <vt:lpstr>CIHPkdKachia</vt:lpstr>
      <vt:lpstr>CIHPkdKadunaNorth</vt:lpstr>
      <vt:lpstr>CIHPkdKadunaSouth</vt:lpstr>
      <vt:lpstr>CIHPkdKagarko</vt:lpstr>
      <vt:lpstr>CIHPkdKajuru</vt:lpstr>
      <vt:lpstr>CIHPkdKaura</vt:lpstr>
      <vt:lpstr>CIHPkdKubau</vt:lpstr>
      <vt:lpstr>CIHPkdSanga</vt:lpstr>
      <vt:lpstr>CIHPkdSoba</vt:lpstr>
      <vt:lpstr>CIHPkdZangoKataf</vt:lpstr>
      <vt:lpstr>CIHPkdZaria</vt:lpstr>
      <vt:lpstr>CIHPkoAdavi</vt:lpstr>
      <vt:lpstr>CIHPkoAjaokuta</vt:lpstr>
      <vt:lpstr>CIHPkoAnkpa</vt:lpstr>
      <vt:lpstr>CIHPkoDekina</vt:lpstr>
      <vt:lpstr>CIHPKogi</vt:lpstr>
      <vt:lpstr>CIHPkoIbaji</vt:lpstr>
      <vt:lpstr>CIHPkoIdah</vt:lpstr>
      <vt:lpstr>CIHPkoIgalamelaOdolu</vt:lpstr>
      <vt:lpstr>CIHPkoKogi</vt:lpstr>
      <vt:lpstr>CIHPkoLokoja</vt:lpstr>
      <vt:lpstr>CIHPkoOfu</vt:lpstr>
      <vt:lpstr>CIHPkoOkehi</vt:lpstr>
      <vt:lpstr>CIHPkoOkene</vt:lpstr>
      <vt:lpstr>CIHPkoOlamaboro</vt:lpstr>
      <vt:lpstr>CIHPkoOmala</vt:lpstr>
      <vt:lpstr>CrossRiver</vt:lpstr>
      <vt:lpstr>Delta</vt:lpstr>
      <vt:lpstr>Ebonyi</vt:lpstr>
      <vt:lpstr>ECEWS</vt:lpstr>
      <vt:lpstr>ECEWSebEzzaNorth</vt:lpstr>
      <vt:lpstr>ECEWSebEzzaSouth</vt:lpstr>
      <vt:lpstr>ECEWSebIkwo</vt:lpstr>
      <vt:lpstr>ECEWSebIshielu</vt:lpstr>
      <vt:lpstr>ECEWSEbonyi</vt:lpstr>
      <vt:lpstr>ECEWSenAninri</vt:lpstr>
      <vt:lpstr>ECEWSenAwgu</vt:lpstr>
      <vt:lpstr>ECEWSenEzeagu</vt:lpstr>
      <vt:lpstr>ECEWSenOjiRiver</vt:lpstr>
      <vt:lpstr>ECEWSenUdi</vt:lpstr>
      <vt:lpstr>ECEWSEnugu</vt:lpstr>
      <vt:lpstr>ECEWSimEhimeMbano</vt:lpstr>
      <vt:lpstr>ECEWSimIhitte</vt:lpstr>
      <vt:lpstr>ECEWSimIsialaMbano</vt:lpstr>
      <vt:lpstr>ECEWSImo</vt:lpstr>
      <vt:lpstr>ECEWSimObowo</vt:lpstr>
      <vt:lpstr>ECEWSimOkigwe</vt:lpstr>
      <vt:lpstr>ECEWSimOnuimo</vt:lpstr>
      <vt:lpstr>Edo</vt:lpstr>
      <vt:lpstr>Ekiti</vt:lpstr>
      <vt:lpstr>Enugu</vt:lpstr>
      <vt:lpstr>FCT</vt:lpstr>
      <vt:lpstr>FGHIN</vt:lpstr>
      <vt:lpstr>FGHINgoAkko</vt:lpstr>
      <vt:lpstr>FGHINGombe</vt:lpstr>
      <vt:lpstr>FGHINgoYamaltu</vt:lpstr>
      <vt:lpstr>FGHINKaduna</vt:lpstr>
      <vt:lpstr>FGHINKano</vt:lpstr>
      <vt:lpstr>FGHINkdBirninGwari</vt:lpstr>
      <vt:lpstr>FGHINkdGiwa</vt:lpstr>
      <vt:lpstr>FGHINkdKauru</vt:lpstr>
      <vt:lpstr>FGHINkdLere</vt:lpstr>
      <vt:lpstr>FGHINkdMakarfi</vt:lpstr>
      <vt:lpstr>FGHINkdSabonGari</vt:lpstr>
      <vt:lpstr>FGHINknGezawa</vt:lpstr>
      <vt:lpstr>FGHINknNassarawa</vt:lpstr>
      <vt:lpstr>FGHINknTarauni</vt:lpstr>
      <vt:lpstr>FGHINKogi</vt:lpstr>
      <vt:lpstr>FGHINkoIjumu</vt:lpstr>
      <vt:lpstr>FGHINkoKabba</vt:lpstr>
      <vt:lpstr>Gombe</vt:lpstr>
      <vt:lpstr>IHVN</vt:lpstr>
      <vt:lpstr>IHVNbeKatsinaAla</vt:lpstr>
      <vt:lpstr>IHVNbeKonshisha</vt:lpstr>
      <vt:lpstr>IHVNbeMakurdi</vt:lpstr>
      <vt:lpstr>IHVNBenue</vt:lpstr>
      <vt:lpstr>IHVNbeOju</vt:lpstr>
      <vt:lpstr>IHVNbeUshongo</vt:lpstr>
      <vt:lpstr>IHVNdeEthiopeEast</vt:lpstr>
      <vt:lpstr>IHVNdeIkaSouth</vt:lpstr>
      <vt:lpstr>IHVNDelta</vt:lpstr>
      <vt:lpstr>IHVNdeOshimiliSouth</vt:lpstr>
      <vt:lpstr>IHVNdeUvwie</vt:lpstr>
      <vt:lpstr>IHVNekAdoEkiti</vt:lpstr>
      <vt:lpstr>IHVNekEkitiEast</vt:lpstr>
      <vt:lpstr>IHVNekIdoOsi</vt:lpstr>
      <vt:lpstr>IHVNekIlejemeje</vt:lpstr>
      <vt:lpstr>IHVNekIrepodun</vt:lpstr>
      <vt:lpstr>IHVNEkiti</vt:lpstr>
      <vt:lpstr>IHVNekOye</vt:lpstr>
      <vt:lpstr>IHVNfcAbaji</vt:lpstr>
      <vt:lpstr>IHVNfcAbujaMunicipalAreaCouncil</vt:lpstr>
      <vt:lpstr>IHVNfcBwari</vt:lpstr>
      <vt:lpstr>IHVNfcGwagwalada</vt:lpstr>
      <vt:lpstr>IHVNfcKuje</vt:lpstr>
      <vt:lpstr>IHVNFCT</vt:lpstr>
      <vt:lpstr>IHVNKaduna</vt:lpstr>
      <vt:lpstr>IHVNKano</vt:lpstr>
      <vt:lpstr>IHVNKatsina</vt:lpstr>
      <vt:lpstr>IHVNkdZaria</vt:lpstr>
      <vt:lpstr>IHVNknNassarawa</vt:lpstr>
      <vt:lpstr>IHVNknTarauni</vt:lpstr>
      <vt:lpstr>IHVNknTudunWada</vt:lpstr>
      <vt:lpstr>IHVNknUngogo</vt:lpstr>
      <vt:lpstr>IHVNktFuntua</vt:lpstr>
      <vt:lpstr>IHVNktKankia</vt:lpstr>
      <vt:lpstr>IHVNktKatsina</vt:lpstr>
      <vt:lpstr>IHVNnaDoma</vt:lpstr>
      <vt:lpstr>IHVNnaKaru</vt:lpstr>
      <vt:lpstr>IHVNnaKeana</vt:lpstr>
      <vt:lpstr>IHVNnaKeffi</vt:lpstr>
      <vt:lpstr>IHVNnaKokona</vt:lpstr>
      <vt:lpstr>IHVNnaLafia</vt:lpstr>
      <vt:lpstr>IHVNnaNasarawa</vt:lpstr>
      <vt:lpstr>IHVNnaNasarawaEggon</vt:lpstr>
      <vt:lpstr>IHVNnaObi</vt:lpstr>
      <vt:lpstr>IHVNNasarawa</vt:lpstr>
      <vt:lpstr>IHVNnaToto</vt:lpstr>
      <vt:lpstr>IHVNogAbeokutaNorth</vt:lpstr>
      <vt:lpstr>IHVNogAbeokutaSouth</vt:lpstr>
      <vt:lpstr>IHVNogIfo</vt:lpstr>
      <vt:lpstr>IHVNogIjebuOde</vt:lpstr>
      <vt:lpstr>IHVNogSagamu</vt:lpstr>
      <vt:lpstr>IHVNOgun</vt:lpstr>
      <vt:lpstr>IHVNonAkokoNorthEast</vt:lpstr>
      <vt:lpstr>IHVNonAkokoSouthWest</vt:lpstr>
      <vt:lpstr>IHVNonAkureSouth</vt:lpstr>
      <vt:lpstr>IHVNOndo</vt:lpstr>
      <vt:lpstr>IHVNonOdigbo</vt:lpstr>
      <vt:lpstr>IHVNonOndoWest</vt:lpstr>
      <vt:lpstr>IHVNonOwo</vt:lpstr>
      <vt:lpstr>IHVNosEdeSouth</vt:lpstr>
      <vt:lpstr>IHVNosIfeCentral</vt:lpstr>
      <vt:lpstr>IHVNosIla</vt:lpstr>
      <vt:lpstr>IHVNosIleshaEast</vt:lpstr>
      <vt:lpstr>IHVNosIrewole</vt:lpstr>
      <vt:lpstr>IHVNosIwo</vt:lpstr>
      <vt:lpstr>IHVNosOsogbo</vt:lpstr>
      <vt:lpstr>IHVNOsun</vt:lpstr>
      <vt:lpstr>Imo</vt:lpstr>
      <vt:lpstr>Jigawa</vt:lpstr>
      <vt:lpstr>Kaduna</vt:lpstr>
      <vt:lpstr>Kano</vt:lpstr>
      <vt:lpstr>Katsina</vt:lpstr>
      <vt:lpstr>Kebbi</vt:lpstr>
      <vt:lpstr>Kogi</vt:lpstr>
      <vt:lpstr>Kwara</vt:lpstr>
      <vt:lpstr>Lagos</vt:lpstr>
      <vt:lpstr>Nasarawa</vt:lpstr>
      <vt:lpstr>Niger</vt:lpstr>
      <vt:lpstr>Ogun</vt:lpstr>
      <vt:lpstr>Ondo</vt:lpstr>
      <vt:lpstr>Osun</vt:lpstr>
      <vt:lpstr>Oyo</vt:lpstr>
      <vt:lpstr>PHI</vt:lpstr>
      <vt:lpstr>PHIfcKwali</vt:lpstr>
      <vt:lpstr>PHIFCT</vt:lpstr>
      <vt:lpstr>PHInaAkwanga</vt:lpstr>
      <vt:lpstr>PHInaNasarawaEggon</vt:lpstr>
      <vt:lpstr>PHINasarawa</vt:lpstr>
      <vt:lpstr>PHInaWamba</vt:lpstr>
      <vt:lpstr>PHIPlateau</vt:lpstr>
      <vt:lpstr>PHIplKanam</vt:lpstr>
      <vt:lpstr>PHIplKanke</vt:lpstr>
      <vt:lpstr>PHIplLangtangSouth</vt:lpstr>
      <vt:lpstr>PHIplMikang</vt:lpstr>
      <vt:lpstr>Plateau</vt:lpstr>
      <vt:lpstr>'CDC DQA'!Print_Area</vt:lpstr>
      <vt:lpstr>Worksheet!Print_Area</vt:lpstr>
      <vt:lpstr>Rivers</vt:lpstr>
      <vt:lpstr>Sokoto</vt:lpstr>
      <vt:lpstr>State</vt:lpstr>
      <vt:lpstr>Taraba</vt:lpstr>
      <vt:lpstr>Yobe</vt:lpstr>
      <vt:lpstr>Zamfara</vt:lpstr>
    </vt:vector>
  </TitlesOfParts>
  <Company>Institute of Human Virology</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MN</dc:creator>
  <cp:lastModifiedBy>cmadubuko</cp:lastModifiedBy>
  <cp:lastPrinted>2017-01-11T15:12:50Z</cp:lastPrinted>
  <dcterms:created xsi:type="dcterms:W3CDTF">2017-01-08T13:42:03Z</dcterms:created>
  <dcterms:modified xsi:type="dcterms:W3CDTF">2017-03-14T08:52:47Z</dcterms:modified>
</cp:coreProperties>
</file>