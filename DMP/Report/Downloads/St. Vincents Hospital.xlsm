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<sst xmlns="http://schemas.openxmlformats.org/spreadsheetml/2006/main" count="4033" uniqueCount="4033">
  <si>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</si>
  <si>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</si>
  <si>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</si>
  <si>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</si>
  <si>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</si>
  <si>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</si>
  <si>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</si>
  <si>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</si>
  <si>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</si>
  <si>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</si>
  <si>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</si>
  <si>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</si>
  <si>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</si>
  <si>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</si>
  <si>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</si>
  <si>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</si>
  <si>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</si>
  <si>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</si>
  <si>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</si>
  <si>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</si>
  <si>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</si>
  <si>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</si>
  <si>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</si>
  <si>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</si>
  <si>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</si>
  <si>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</si>
  <si>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</si>
  <si>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</si>
  <si>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</si>
  <si>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</si>
  <si>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</si>
  <si>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</si>
  <si>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</si>
  <si>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</si>
  <si>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</si>
  <si>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</si>
  <si>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</si>
  <si>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</si>
  <si>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</si>
  <si>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</si>
  <si>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</si>
  <si>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</si>
  <si>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</si>
  <si>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</si>
  <si>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</si>
  <si>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</si>
  <si>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</si>
  <si>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</si>
  <si>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</si>
  <si>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</si>
  <si>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</si>
  <si>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</si>
  <si>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</si>
  <si>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</si>
  <si>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</si>
  <si>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</si>
  <si>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</si>
  <si>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</si>
  <si>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</si>
  <si>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</si>
  <si>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</si>
  <si>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</si>
  <si>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</si>
  <si>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</si>
  <si>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</si>
  <si>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</si>
  <si>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</si>
  <si>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</si>
  <si>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</si>
  <si>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</si>
  <si>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</si>
  <si>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</si>
  <si>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</si>
  <si>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</si>
  <si>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</si>
  <si>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</si>
  <si>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</si>
  <si>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</si>
  <si>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</si>
  <si>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</si>
  <si>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</si>
  <si>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</si>
  <si>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</si>
  <si>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</si>
  <si>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</si>
  <si>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</si>
  <si>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</si>
  <si>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</si>
  <si>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</si>
  <si>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</si>
  <si>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</si>
  <si>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</si>
  <si>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</si>
  <si>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</si>
  <si>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</si>
  <si>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</si>
  <si>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</si>
  <si>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</si>
  <si>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</si>
  <si>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</si>
  <si>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</si>
  <si>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</si>
  <si>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</si>
  <si>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</si>
  <si>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</si>
  <si>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</si>
  <si>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</si>
  <si>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</si>
  <si>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</si>
  <si>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</si>
  <si>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</si>
  <si>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</si>
  <si>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</si>
  <si>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</si>
  <si>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</si>
  <si>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</si>
  <si>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</si>
  <si>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</si>
  <si>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</si>
  <si>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</si>
  <si>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</si>
  <si>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</si>
  <si>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</si>
  <si>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</si>
  <si>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</si>
  <si>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</si>
  <si>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</si>
  <si>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</si>
  <si>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</si>
  <si>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</si>
  <si>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</si>
  <si>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</si>
  <si>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</si>
  <si>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</si>
  <si>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</si>
  <si>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</si>
  <si>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</si>
  <si>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</si>
  <si>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</si>
  <si>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</si>
  <si>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</si>
  <si>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</si>
  <si>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</si>
  <si>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</si>
  <si>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</si>
  <si>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</si>
  <si>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</si>
  <si>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</si>
  <si>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</si>
  <si>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</si>
  <si>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</si>
  <si>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</si>
  <si>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</si>
  <si>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</si>
  <si>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</si>
  <si>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</si>
  <si>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</si>
  <si>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</si>
  <si>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</si>
  <si>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</si>
  <si>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</si>
  <si>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</si>
  <si>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</si>
  <si>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</si>
  <si>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</si>
  <si>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</si>
  <si>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</si>
  <si>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</si>
  <si>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</si>
  <si>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</si>
  <si>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</si>
  <si>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</si>
  <si>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</si>
  <si>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</si>
  <si>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</si>
  <si>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</si>
  <si>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</si>
  <si>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</si>
  <si>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</si>
  <si>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</si>
  <si>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</si>
  <si>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</si>
  <si>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</si>
  <si>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</si>
  <si>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</si>
  <si>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</si>
  <si>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</si>
  <si>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</si>
  <si>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</si>
  <si>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</si>
  <si>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</si>
  <si>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</si>
  <si>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</si>
  <si>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</si>
  <si>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</si>
  <si>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</si>
  <si>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</si>
  <si>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</si>
  <si>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</si>
  <si>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</si>
  <si>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</si>
  <si>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</si>
  <si>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</si>
  <si>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</si>
  <si>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</si>
  <si>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</si>
  <si>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</si>
  <si>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</si>
  <si>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</si>
  <si>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</si>
  <si>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</si>
  <si>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</si>
  <si>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</si>
  <si>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</si>
  <si>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</si>
  <si>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</si>
  <si>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</si>
  <si>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</si>
  <si>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</si>
  <si>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</si>
  <si>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</si>
  <si>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</si>
  <si>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</si>
  <si>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</si>
  <si>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</si>
  <si>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</si>
  <si>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</si>
  <si>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</si>
  <si>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</si>
  <si>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</si>
  <si>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</si>
  <si>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</si>
  <si>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</si>
  <si>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</si>
  <si>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</si>
  <si>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</si>
  <si>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</si>
  <si>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</si>
  <si>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</si>
  <si>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</si>
  <si>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</si>
  <si>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</si>
  <si>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</si>
  <si>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</si>
  <si>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</si>
  <si>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</si>
  <si>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</si>
  <si>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</si>
  <si>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</si>
  <si>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</si>
  <si>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</si>
  <si>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</si>
  <si>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</si>
  <si>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</si>
  <si>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</si>
  <si>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</si>
  <si>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</si>
  <si>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</si>
  <si>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</si>
  <si>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</si>
  <si>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</si>
  <si>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</si>
  <si>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</si>
  <si>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</si>
  <si>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</si>
  <si>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</si>
  <si>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</si>
  <si>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</si>
  <si>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</si>
  <si>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</si>
  <si>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</si>
  <si>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</si>
  <si>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</si>
  <si>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</si>
  <si>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</si>
  <si>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</si>
  <si>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</si>
  <si>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</si>
  <si>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</si>
  <si>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</si>
  <si>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</si>
  <si>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</si>
  <si>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</si>
  <si>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</si>
  <si>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</si>
  <si>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</si>
  <si>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</si>
  <si>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East</t>
  </si>
  <si>
    <t>Facility Name:</t>
  </si>
  <si>
    <t>St. Vincents Hospital</t>
  </si>
  <si>
    <t>Reporting Period:</t>
  </si>
  <si>
    <t>Q1(Oct - Dec)</t>
  </si>
  <si>
    <t>Facility Code:</t>
  </si>
  <si>
    <t>IZyzmuDFVIJ</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</si>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</sst>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3369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47</v>
      </c>
      <c r="E10" s="299">
        <v>23</v>
      </c>
      <c r="F10" s="299">
        <v>35</v>
      </c>
      <c r="G10" s="207" t="s">
        <v>67</v>
      </c>
    </row>
    <row r="11" ht="45" customHeight="1">
      <c r="A11" s="226"/>
      <c r="B11" s="238">
        <v>1114</v>
      </c>
      <c r="C11" s="243" t="s">
        <v>84</v>
      </c>
      <c r="D11" s="299">
        <v>47</v>
      </c>
      <c r="E11" s="299">
        <v>23</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40</v>
      </c>
      <c r="E13" s="299">
        <v>18</v>
      </c>
      <c r="F13" s="299">
        <v>28</v>
      </c>
      <c r="G13" s="207" t="s">
        <v>67</v>
      </c>
    </row>
    <row r="14" ht="45" customHeight="1">
      <c r="A14" s="226"/>
      <c r="B14" s="238">
        <v>1117</v>
      </c>
      <c r="C14" s="242" t="s">
        <v>88</v>
      </c>
      <c r="D14" s="299">
        <v>40</v>
      </c>
      <c r="E14" s="299">
        <v>18</v>
      </c>
      <c r="F14" s="299">
        <v>28</v>
      </c>
      <c r="G14" s="207" t="s">
        <v>67</v>
      </c>
    </row>
    <row r="15" ht="45" customHeight="1">
      <c r="A15" s="226">
        <v>1116</v>
      </c>
      <c r="B15" s="238">
        <v>1121</v>
      </c>
      <c r="C15" s="243" t="str">
        <f>C13</f>
        <v>How many HTC clients have a completed Client intake form </v>
      </c>
      <c r="D15" s="300">
        <v>40</v>
      </c>
      <c r="E15" s="300">
        <v>18</v>
      </c>
      <c r="F15" s="300">
        <v>28</v>
      </c>
      <c r="G15" s="207"/>
    </row>
    <row r="16" ht="45" customHeight="1">
      <c r="A16" s="226"/>
      <c r="B16" s="238">
        <v>1122</v>
      </c>
      <c r="C16" s="243" t="s">
        <v>89</v>
      </c>
      <c r="D16" s="299">
        <v>40</v>
      </c>
      <c r="E16" s="299">
        <v>18</v>
      </c>
      <c r="F16" s="299">
        <v>28</v>
      </c>
      <c r="G16" s="207" t="s">
        <v>67</v>
      </c>
    </row>
    <row r="17" ht="45" customHeight="1">
      <c r="A17" s="226"/>
      <c r="B17" s="238">
        <v>1123</v>
      </c>
      <c r="C17" s="242" t="s">
        <v>90</v>
      </c>
      <c r="D17" s="299">
        <v>40</v>
      </c>
      <c r="E17" s="299">
        <v>18</v>
      </c>
      <c r="F17" s="299">
        <v>28</v>
      </c>
      <c r="G17" s="207" t="s">
        <v>67</v>
      </c>
    </row>
    <row r="18" ht="45" customHeight="1">
      <c r="A18" s="226"/>
      <c r="B18" s="238">
        <v>1124</v>
      </c>
      <c r="C18" s="242" t="s">
        <v>91</v>
      </c>
      <c r="D18" s="299">
        <v>40</v>
      </c>
      <c r="E18" s="299">
        <v>18</v>
      </c>
      <c r="F18" s="299">
        <v>28</v>
      </c>
      <c r="G18" s="207" t="s">
        <v>67</v>
      </c>
    </row>
    <row r="19" ht="45" customHeight="1">
      <c r="A19" s="226"/>
      <c r="B19" s="238">
        <v>1125</v>
      </c>
      <c r="C19" s="242" t="s">
        <v>92</v>
      </c>
      <c r="D19" s="299">
        <v>40</v>
      </c>
      <c r="E19" s="299">
        <v>18</v>
      </c>
      <c r="F19" s="299">
        <v>28</v>
      </c>
      <c r="G19" s="207" t="s">
        <v>67</v>
      </c>
    </row>
    <row r="20" ht="45" customHeight="1">
      <c r="A20" s="226"/>
      <c r="B20" s="238">
        <v>1126</v>
      </c>
      <c r="C20" s="242" t="s">
        <v>93</v>
      </c>
      <c r="D20" s="299">
        <v>40</v>
      </c>
      <c r="E20" s="299">
        <v>18</v>
      </c>
      <c r="F20" s="299">
        <v>28</v>
      </c>
      <c r="G20" s="207" t="s">
        <v>67</v>
      </c>
    </row>
    <row r="21" ht="45" customHeight="1">
      <c r="A21" s="226"/>
      <c r="B21" s="238">
        <v>1127</v>
      </c>
      <c r="C21" s="242" t="s">
        <v>94</v>
      </c>
      <c r="D21" s="299">
        <v>40</v>
      </c>
      <c r="E21" s="299">
        <v>18</v>
      </c>
      <c r="F21" s="299">
        <v>28</v>
      </c>
      <c r="G21" s="207" t="s">
        <v>67</v>
      </c>
    </row>
    <row r="22" ht="45" customHeight="1">
      <c r="A22" s="226"/>
      <c r="B22" s="238"/>
      <c r="C22" s="245" t="s">
        <v>95</v>
      </c>
      <c r="D22" s="246"/>
      <c r="E22" s="246"/>
      <c r="F22" s="247"/>
      <c r="G22" s="207" t="s">
        <v>67</v>
      </c>
    </row>
    <row r="23" ht="45" customHeight="1">
      <c r="A23" s="226"/>
      <c r="B23" s="238">
        <v>1131</v>
      </c>
      <c r="C23" s="242" t="s">
        <v>96</v>
      </c>
      <c r="D23" s="299">
        <v>467</v>
      </c>
      <c r="E23" s="299">
        <v>384</v>
      </c>
      <c r="F23" s="299">
        <v>295</v>
      </c>
      <c r="G23" s="207" t="s">
        <v>67</v>
      </c>
    </row>
    <row r="24" ht="45" customHeight="1">
      <c r="A24" s="226"/>
      <c r="B24" s="238">
        <v>1132</v>
      </c>
      <c r="C24" s="242" t="s">
        <v>97</v>
      </c>
      <c r="D24" s="299">
        <v>627</v>
      </c>
      <c r="E24" s="299">
        <v>649</v>
      </c>
      <c r="F24" s="299">
        <v>598</v>
      </c>
      <c r="G24" s="207" t="s">
        <v>67</v>
      </c>
    </row>
    <row r="25" ht="45" customHeight="1">
      <c r="A25" s="226"/>
      <c r="B25" s="238">
        <v>1133</v>
      </c>
      <c r="C25" s="242" t="s">
        <v>98</v>
      </c>
      <c r="D25" s="299">
        <v>1002</v>
      </c>
      <c r="E25" s="299">
        <v>644</v>
      </c>
      <c r="F25" s="299">
        <v>1052</v>
      </c>
      <c r="G25" s="207" t="s">
        <v>67</v>
      </c>
    </row>
    <row r="26" ht="45" customHeight="1">
      <c r="A26" s="226"/>
      <c r="B26" s="238">
        <v>1134</v>
      </c>
      <c r="C26" s="242" t="s">
        <v>99</v>
      </c>
      <c r="D26" s="299">
        <v>92</v>
      </c>
      <c r="E26" s="299">
        <v>389</v>
      </c>
      <c r="F26" s="299">
        <v>200</v>
      </c>
      <c r="G26" s="207" t="s">
        <v>67</v>
      </c>
    </row>
    <row r="27" ht="45" customHeight="1">
      <c r="A27" s="226"/>
      <c r="B27" s="238">
        <v>1135</v>
      </c>
      <c r="C27" s="242" t="s">
        <v>100</v>
      </c>
      <c r="D27" s="299">
        <v>1094</v>
      </c>
      <c r="E27" s="299">
        <v>1033</v>
      </c>
      <c r="F27" s="299">
        <v>1258</v>
      </c>
      <c r="G27" s="207" t="s">
        <v>67</v>
      </c>
    </row>
    <row r="28" ht="45" customHeight="1">
      <c r="A28" s="226"/>
      <c r="B28" s="238">
        <v>1136</v>
      </c>
      <c r="C28" s="242" t="s">
        <v>101</v>
      </c>
      <c r="D28" s="299">
        <v>1094</v>
      </c>
      <c r="E28" s="299">
        <v>1033</v>
      </c>
      <c r="F28" s="299">
        <v>1258</v>
      </c>
      <c r="G28" s="207" t="s">
        <v>67</v>
      </c>
    </row>
    <row r="29" ht="45" customHeight="1">
      <c r="A29" s="226"/>
      <c r="B29" s="238">
        <v>1137</v>
      </c>
      <c r="C29" s="242" t="s">
        <v>102</v>
      </c>
      <c r="D29" s="299">
        <v>67</v>
      </c>
      <c r="E29" s="299">
        <v>11</v>
      </c>
      <c r="F29" s="299">
        <v>45</v>
      </c>
      <c r="G29" s="207" t="s">
        <v>67</v>
      </c>
    </row>
    <row r="30" ht="45" customHeight="1">
      <c r="A30" s="226"/>
      <c r="B30" s="238">
        <v>1138</v>
      </c>
      <c r="C30" s="242" t="s">
        <v>103</v>
      </c>
      <c r="D30" s="299">
        <v>1027</v>
      </c>
      <c r="E30" s="299">
        <v>1022</v>
      </c>
      <c r="F30" s="299">
        <v>1213</v>
      </c>
      <c r="G30" s="207" t="s">
        <v>67</v>
      </c>
    </row>
    <row r="31" ht="45" customHeight="1">
      <c r="A31" s="226">
        <v>1116</v>
      </c>
      <c r="B31" s="238">
        <v>1141</v>
      </c>
      <c r="C31" s="242" t="s">
        <v>104</v>
      </c>
      <c r="D31" s="300">
        <v>40</v>
      </c>
      <c r="E31" s="300">
        <v>18</v>
      </c>
      <c r="F31" s="300">
        <v>28</v>
      </c>
      <c r="G31" s="207"/>
    </row>
    <row r="32" ht="45" customHeight="1">
      <c r="A32" s="226"/>
      <c r="B32" s="238">
        <v>1142</v>
      </c>
      <c r="C32" s="243" t="s">
        <v>105</v>
      </c>
      <c r="D32" s="300">
        <v>40</v>
      </c>
      <c r="E32" s="300">
        <v>18</v>
      </c>
      <c r="F32" s="300">
        <v>28</v>
      </c>
      <c r="G32" s="207"/>
    </row>
    <row r="33" ht="45" customHeight="1">
      <c r="A33" s="226"/>
      <c r="B33" s="238">
        <v>1143</v>
      </c>
      <c r="C33" s="242" t="s">
        <v>106</v>
      </c>
      <c r="D33" s="299">
        <v>1094</v>
      </c>
      <c r="E33" s="299">
        <v>1033</v>
      </c>
      <c r="F33" s="299">
        <v>1258</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1002</v>
      </c>
      <c r="E37" s="299">
        <v>644</v>
      </c>
      <c r="F37" s="299">
        <v>1052</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1002</v>
      </c>
      <c r="E40" s="299">
        <v>644</v>
      </c>
      <c r="F40" s="299">
        <v>1052</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62</v>
      </c>
      <c r="E43" s="299">
        <v>11</v>
      </c>
      <c r="F43" s="299">
        <v>40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22</v>
      </c>
      <c r="E53" s="299">
        <v>38</v>
      </c>
      <c r="F53" s="299">
        <v>28</v>
      </c>
      <c r="G53" s="207" t="s">
        <v>117</v>
      </c>
    </row>
    <row r="54" ht="45" customHeight="1">
      <c r="A54" s="226"/>
      <c r="B54" s="238">
        <v>1214</v>
      </c>
      <c r="C54" s="264" t="s">
        <v>132</v>
      </c>
      <c r="D54" s="299">
        <v>22</v>
      </c>
      <c r="E54" s="299">
        <v>38</v>
      </c>
      <c r="F54" s="299">
        <v>28</v>
      </c>
      <c r="G54" s="207" t="s">
        <v>117</v>
      </c>
    </row>
    <row r="55" ht="45" customHeight="1">
      <c r="A55" s="226"/>
      <c r="B55" s="238">
        <v>1215</v>
      </c>
      <c r="C55" s="242" t="s">
        <v>133</v>
      </c>
      <c r="D55" s="299">
        <v>22</v>
      </c>
      <c r="E55" s="299">
        <v>38</v>
      </c>
      <c r="F55" s="299">
        <v>28</v>
      </c>
      <c r="G55" s="207" t="s">
        <v>117</v>
      </c>
    </row>
    <row r="56" ht="45" customHeight="1">
      <c r="A56" s="226"/>
      <c r="B56" s="238">
        <v>1216</v>
      </c>
      <c r="C56" s="243" t="s">
        <v>134</v>
      </c>
      <c r="D56" s="299">
        <v>22</v>
      </c>
      <c r="E56" s="299">
        <v>30</v>
      </c>
      <c r="F56" s="299">
        <v>28</v>
      </c>
      <c r="G56" s="207" t="s">
        <v>117</v>
      </c>
    </row>
    <row r="57" ht="45" customHeight="1">
      <c r="A57" s="226"/>
      <c r="B57" s="238">
        <v>1217</v>
      </c>
      <c r="C57" s="243" t="s">
        <v>135</v>
      </c>
      <c r="D57" s="299">
        <v>5</v>
      </c>
      <c r="E57" s="299">
        <v>11</v>
      </c>
      <c r="F57" s="299">
        <v>10</v>
      </c>
      <c r="G57" s="207" t="s">
        <v>117</v>
      </c>
    </row>
    <row r="58" ht="45" customHeight="1">
      <c r="A58" s="226"/>
      <c r="B58" s="238">
        <v>1218</v>
      </c>
      <c r="C58" s="243" t="s">
        <v>136</v>
      </c>
      <c r="D58" s="299">
        <v>1</v>
      </c>
      <c r="E58" s="299">
        <v>2</v>
      </c>
      <c r="F58" s="299">
        <v>1</v>
      </c>
      <c r="G58" s="207" t="s">
        <v>117</v>
      </c>
    </row>
    <row r="59" ht="45" customHeight="1">
      <c r="A59" s="226"/>
      <c r="B59" s="238">
        <v>1221</v>
      </c>
      <c r="C59" s="264" t="s">
        <v>137</v>
      </c>
      <c r="D59" s="299">
        <v>22</v>
      </c>
      <c r="E59" s="299">
        <v>38</v>
      </c>
      <c r="F59" s="299">
        <v>28</v>
      </c>
      <c r="G59" s="207" t="s">
        <v>117</v>
      </c>
    </row>
    <row r="60" ht="45" customHeight="1">
      <c r="A60" s="226"/>
      <c r="B60" s="238">
        <v>1222</v>
      </c>
      <c r="C60" s="264" t="s">
        <v>138</v>
      </c>
      <c r="D60" s="299">
        <v>17</v>
      </c>
      <c r="E60" s="299">
        <v>27</v>
      </c>
      <c r="F60" s="299">
        <v>18</v>
      </c>
      <c r="G60" s="207" t="s">
        <v>117</v>
      </c>
    </row>
    <row r="61" ht="45" customHeight="1">
      <c r="A61" s="226"/>
      <c r="B61" s="238">
        <v>1223</v>
      </c>
      <c r="C61" s="264" t="s">
        <v>139</v>
      </c>
      <c r="D61" s="299">
        <v>17</v>
      </c>
      <c r="E61" s="299">
        <v>27</v>
      </c>
      <c r="F61" s="299">
        <v>18</v>
      </c>
      <c r="G61" s="207" t="s">
        <v>117</v>
      </c>
    </row>
    <row r="62" ht="54.65" customHeight="1">
      <c r="A62" s="226"/>
      <c r="B62" s="238">
        <v>1224</v>
      </c>
      <c r="C62" s="264" t="s">
        <v>140</v>
      </c>
      <c r="D62" s="299">
        <v>17</v>
      </c>
      <c r="E62" s="299">
        <v>27</v>
      </c>
      <c r="F62" s="299">
        <v>18</v>
      </c>
      <c r="G62" s="207" t="s">
        <v>117</v>
      </c>
    </row>
    <row r="63" ht="66.65" customHeight="1">
      <c r="A63" s="226"/>
      <c r="B63" s="238">
        <v>1225</v>
      </c>
      <c r="C63" s="264" t="s">
        <v>141</v>
      </c>
      <c r="D63" s="299">
        <v>17</v>
      </c>
      <c r="E63" s="299">
        <v>27</v>
      </c>
      <c r="F63" s="299">
        <v>18</v>
      </c>
      <c r="G63" s="207" t="s">
        <v>117</v>
      </c>
    </row>
    <row r="64" ht="45" customHeight="1">
      <c r="A64" s="226"/>
      <c r="B64" s="238">
        <v>1226</v>
      </c>
      <c r="C64" s="264" t="s">
        <v>142</v>
      </c>
      <c r="D64" s="299">
        <v>5</v>
      </c>
      <c r="E64" s="299">
        <v>11</v>
      </c>
      <c r="F64" s="299">
        <v>10</v>
      </c>
      <c r="G64" s="207" t="s">
        <v>117</v>
      </c>
    </row>
    <row r="65" ht="45" customHeight="1">
      <c r="A65" s="226"/>
      <c r="B65" s="238">
        <v>1227</v>
      </c>
      <c r="C65" s="264" t="s">
        <v>143</v>
      </c>
      <c r="D65" s="299">
        <v>5</v>
      </c>
      <c r="E65" s="299">
        <v>11</v>
      </c>
      <c r="F65" s="299">
        <v>10</v>
      </c>
      <c r="G65" s="207" t="s">
        <v>117</v>
      </c>
    </row>
    <row r="66" ht="45" customHeight="1">
      <c r="A66" s="226"/>
      <c r="B66" s="238"/>
      <c r="C66" s="245" t="s">
        <v>144</v>
      </c>
      <c r="D66" s="246"/>
      <c r="E66" s="246"/>
      <c r="F66" s="247"/>
      <c r="G66" s="207" t="s">
        <v>117</v>
      </c>
    </row>
    <row r="67" ht="45" customHeight="1">
      <c r="A67" s="226"/>
      <c r="B67" s="238">
        <v>1231</v>
      </c>
      <c r="C67" s="242" t="s">
        <v>145</v>
      </c>
      <c r="D67" s="299">
        <v>44</v>
      </c>
      <c r="E67" s="299">
        <v>66</v>
      </c>
      <c r="F67" s="299">
        <v>30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11</v>
      </c>
      <c r="F69" s="299">
        <v>10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43</v>
      </c>
      <c r="E71" s="299">
        <v>64</v>
      </c>
      <c r="F71" s="299">
        <v>29</v>
      </c>
      <c r="G71" s="207" t="s">
        <v>117</v>
      </c>
    </row>
    <row r="72" ht="45" customHeight="1">
      <c r="A72" s="226"/>
      <c r="B72" s="238">
        <v>1236</v>
      </c>
      <c r="C72" s="242" t="s">
        <v>150</v>
      </c>
      <c r="D72" s="299">
        <v>1</v>
      </c>
      <c r="E72" s="299">
        <v>2</v>
      </c>
      <c r="F72" s="299">
        <v>1</v>
      </c>
      <c r="G72" s="207" t="s">
        <v>117</v>
      </c>
    </row>
    <row r="73" ht="45" customHeight="1">
      <c r="A73" s="226"/>
      <c r="B73" s="238">
        <v>1241</v>
      </c>
      <c r="C73" s="242" t="s">
        <v>151</v>
      </c>
      <c r="D73" s="299">
        <v>44</v>
      </c>
      <c r="E73" s="299">
        <v>66</v>
      </c>
      <c r="F73" s="299">
        <v>30</v>
      </c>
      <c r="G73" s="207" t="s">
        <v>117</v>
      </c>
    </row>
    <row r="74" ht="45" customHeight="1">
      <c r="A74" s="226"/>
      <c r="B74" s="238">
        <v>1242</v>
      </c>
      <c r="C74" s="242" t="s">
        <v>152</v>
      </c>
      <c r="D74" s="299">
        <v>5</v>
      </c>
      <c r="E74" s="299">
        <v>11</v>
      </c>
      <c r="F74" s="299">
        <v>10</v>
      </c>
      <c r="G74" s="207" t="s">
        <v>117</v>
      </c>
    </row>
    <row r="75" ht="45" customHeight="1">
      <c r="A75" s="226"/>
      <c r="B75" s="238">
        <v>1243</v>
      </c>
      <c r="C75" s="243" t="s">
        <v>153</v>
      </c>
      <c r="D75" s="299">
        <v>44</v>
      </c>
      <c r="E75" s="299">
        <v>66</v>
      </c>
      <c r="F75" s="299">
        <v>30</v>
      </c>
      <c r="G75" s="207" t="s">
        <v>117</v>
      </c>
    </row>
    <row r="76" ht="45" customHeight="1">
      <c r="A76" s="226"/>
      <c r="B76" s="238">
        <v>1244</v>
      </c>
      <c r="C76" s="243" t="s">
        <v>154</v>
      </c>
      <c r="D76" s="299">
        <v>5</v>
      </c>
      <c r="E76" s="299">
        <v>11</v>
      </c>
      <c r="F76" s="299">
        <v>10</v>
      </c>
      <c r="G76" s="207" t="s">
        <v>117</v>
      </c>
    </row>
    <row r="77" ht="45" customHeight="1">
      <c r="A77" s="226"/>
      <c r="B77" s="238">
        <v>1245</v>
      </c>
      <c r="C77" s="243" t="s">
        <v>155</v>
      </c>
      <c r="D77" s="299">
        <v>44</v>
      </c>
      <c r="E77" s="299">
        <v>66</v>
      </c>
      <c r="F77" s="299">
        <v>30</v>
      </c>
      <c r="G77" s="207" t="s">
        <v>117</v>
      </c>
    </row>
    <row r="78" ht="45" customHeight="1">
      <c r="A78" s="226"/>
      <c r="B78" s="238">
        <v>1246</v>
      </c>
      <c r="C78" s="243" t="s">
        <v>156</v>
      </c>
      <c r="D78" s="299">
        <v>5</v>
      </c>
      <c r="E78" s="299">
        <v>11</v>
      </c>
      <c r="F78" s="299">
        <v>10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44</v>
      </c>
      <c r="E82" s="299">
        <v>66</v>
      </c>
      <c r="F82" s="299">
        <v>30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1</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11</v>
      </c>
      <c r="F88" s="299">
        <v>10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49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13</v>
      </c>
      <c r="F93" s="299">
        <v>11</v>
      </c>
      <c r="G93" s="265" t="s">
        <v>168</v>
      </c>
    </row>
    <row r="94" ht="45" customHeight="1">
      <c r="A94" s="226"/>
      <c r="B94" s="238">
        <v>1314</v>
      </c>
      <c r="C94" s="268" t="s">
        <v>173</v>
      </c>
      <c r="D94" s="299">
        <v>6</v>
      </c>
      <c r="E94" s="299">
        <v>3</v>
      </c>
      <c r="F94" s="299">
        <v>1</v>
      </c>
      <c r="G94" s="265" t="s">
        <v>168</v>
      </c>
    </row>
    <row r="95" ht="45" customHeight="1">
      <c r="A95" s="226"/>
      <c r="B95" s="238">
        <v>1315</v>
      </c>
      <c r="C95" s="243" t="s">
        <v>174</v>
      </c>
      <c r="D95" s="299">
        <v>6</v>
      </c>
      <c r="E95" s="299">
        <v>3</v>
      </c>
      <c r="F95" s="299">
        <v>1</v>
      </c>
      <c r="G95" s="265" t="s">
        <v>168</v>
      </c>
    </row>
    <row r="96" ht="45" customHeight="1" s="269" customFormat="1">
      <c r="A96" s="226"/>
      <c r="B96" s="238">
        <v>1316</v>
      </c>
      <c r="C96" s="243" t="s">
        <v>175</v>
      </c>
      <c r="D96" s="299">
        <v>6</v>
      </c>
      <c r="E96" s="299">
        <v>3</v>
      </c>
      <c r="F96" s="299">
        <v>1</v>
      </c>
      <c r="G96" s="265" t="s">
        <v>168</v>
      </c>
    </row>
    <row r="97" ht="45" customHeight="1" s="269" customFormat="1">
      <c r="A97" s="226"/>
      <c r="B97" s="238">
        <v>1321</v>
      </c>
      <c r="C97" s="242" t="s">
        <v>176</v>
      </c>
      <c r="D97" s="299">
        <v>6</v>
      </c>
      <c r="E97" s="299">
        <v>13</v>
      </c>
      <c r="F97" s="299">
        <v>11</v>
      </c>
      <c r="G97" s="265" t="s">
        <v>168</v>
      </c>
    </row>
    <row r="98" ht="45" customHeight="1" s="269" customFormat="1">
      <c r="A98" s="226"/>
      <c r="B98" s="238">
        <v>1322</v>
      </c>
      <c r="C98" s="242" t="s">
        <v>177</v>
      </c>
      <c r="D98" s="299">
        <v>6</v>
      </c>
      <c r="E98" s="299">
        <v>13</v>
      </c>
      <c r="F98" s="299">
        <v>11</v>
      </c>
      <c r="G98" s="265" t="s">
        <v>168</v>
      </c>
    </row>
    <row r="99" ht="45" customHeight="1" s="269" customFormat="1">
      <c r="A99" s="226"/>
      <c r="B99" s="238">
        <v>1323</v>
      </c>
      <c r="C99" s="242" t="s">
        <v>178</v>
      </c>
      <c r="D99" s="299">
        <v>3</v>
      </c>
      <c r="E99" s="299">
        <v>1</v>
      </c>
      <c r="F99" s="299">
        <v>1</v>
      </c>
      <c r="G99" s="265" t="s">
        <v>168</v>
      </c>
    </row>
    <row r="100" ht="45" customHeight="1" s="269" customFormat="1">
      <c r="A100" s="226"/>
      <c r="B100" s="238">
        <v>1324</v>
      </c>
      <c r="C100" s="242" t="s">
        <v>179</v>
      </c>
      <c r="D100" s="299">
        <v>6</v>
      </c>
      <c r="E100" s="299">
        <v>3</v>
      </c>
      <c r="F100" s="299">
        <v>1</v>
      </c>
      <c r="G100" s="265" t="s">
        <v>168</v>
      </c>
    </row>
    <row r="101" ht="45" customHeight="1" s="269" customFormat="1">
      <c r="A101" s="226"/>
      <c r="B101" s="238">
        <v>1331</v>
      </c>
      <c r="C101" s="242" t="s">
        <v>180</v>
      </c>
      <c r="D101" s="299">
        <v>5</v>
      </c>
      <c r="E101" s="299">
        <v>1</v>
      </c>
      <c r="F101" s="299">
        <v>1</v>
      </c>
      <c r="G101" s="265" t="s">
        <v>168</v>
      </c>
    </row>
    <row r="102" ht="45" customHeight="1" s="269" customFormat="1">
      <c r="A102" s="226"/>
      <c r="B102" s="238">
        <v>1332</v>
      </c>
      <c r="C102" s="242" t="s">
        <v>181</v>
      </c>
      <c r="D102" s="299">
        <v>1</v>
      </c>
      <c r="E102" s="299">
        <v>2</v>
      </c>
      <c r="F102" s="299">
        <v>0</v>
      </c>
      <c r="G102" s="265" t="s">
        <v>168</v>
      </c>
    </row>
    <row r="103" ht="45" customHeight="1" s="269" customFormat="1">
      <c r="A103" s="226"/>
      <c r="B103" s="238">
        <v>1333</v>
      </c>
      <c r="C103" s="242" t="s">
        <v>182</v>
      </c>
      <c r="D103" s="299">
        <v>1</v>
      </c>
      <c r="E103" s="299">
        <v>2</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5</v>
      </c>
      <c r="E111" s="299">
        <v>1</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5</v>
      </c>
      <c r="E114" s="299">
        <v>1</v>
      </c>
      <c r="F114" s="299">
        <v>1</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63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43</v>
      </c>
      <c r="E119" s="299">
        <v>38</v>
      </c>
      <c r="F119" s="299">
        <v>21</v>
      </c>
      <c r="G119" s="207" t="s">
        <v>194</v>
      </c>
    </row>
    <row r="120" ht="45" customHeight="1" s="269" customFormat="1">
      <c r="A120" s="226"/>
      <c r="B120" s="238">
        <v>1414</v>
      </c>
      <c r="C120" s="243" t="s">
        <v>198</v>
      </c>
      <c r="D120" s="299">
        <v>40</v>
      </c>
      <c r="E120" s="299">
        <v>33</v>
      </c>
      <c r="F120" s="299">
        <v>18</v>
      </c>
      <c r="G120" s="207" t="s">
        <v>194</v>
      </c>
    </row>
    <row r="121" ht="45" customHeight="1" s="269" customFormat="1">
      <c r="A121" s="226"/>
      <c r="B121" s="238">
        <v>1422</v>
      </c>
      <c r="C121" s="242" t="s">
        <v>199</v>
      </c>
      <c r="D121" s="299">
        <v>43</v>
      </c>
      <c r="E121" s="299">
        <v>38</v>
      </c>
      <c r="F121" s="299">
        <v>21</v>
      </c>
      <c r="G121" s="207" t="s">
        <v>194</v>
      </c>
    </row>
    <row r="122" ht="45" customHeight="1" s="269" customFormat="1">
      <c r="A122" s="226"/>
      <c r="B122" s="238">
        <v>1423</v>
      </c>
      <c r="C122" s="242" t="s">
        <v>200</v>
      </c>
      <c r="D122" s="299">
        <v>40</v>
      </c>
      <c r="E122" s="299">
        <v>33</v>
      </c>
      <c r="F122" s="299">
        <v>18</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20</v>
      </c>
      <c r="E124" s="299">
        <v>12</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19</v>
      </c>
      <c r="E126" s="299">
        <v>11</v>
      </c>
      <c r="F126" s="299">
        <v>0</v>
      </c>
      <c r="G126" s="207" t="s">
        <v>194</v>
      </c>
    </row>
    <row r="127" ht="45" customHeight="1" s="269" customFormat="1">
      <c r="A127" s="226"/>
      <c r="B127" s="238">
        <v>1432</v>
      </c>
      <c r="C127" s="242" t="s">
        <v>206</v>
      </c>
      <c r="D127" s="299">
        <v>1</v>
      </c>
      <c r="E127" s="299">
        <v>1</v>
      </c>
      <c r="F127" s="299">
        <v>1</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0</v>
      </c>
      <c r="E129" s="299">
        <v>12</v>
      </c>
      <c r="F129" s="299">
        <v>1</v>
      </c>
      <c r="G129" s="207" t="s">
        <v>194</v>
      </c>
    </row>
    <row r="130" ht="45" customHeight="1" s="269" customFormat="1">
      <c r="A130" s="226"/>
      <c r="B130" s="238">
        <v>1435</v>
      </c>
      <c r="C130" s="242" t="s">
        <v>209</v>
      </c>
      <c r="D130" s="299">
        <v>12</v>
      </c>
      <c r="E130" s="299">
        <v>15</v>
      </c>
      <c r="F130" s="299">
        <v>15</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31</v>
      </c>
      <c r="E135" s="299">
        <v>18</v>
      </c>
      <c r="F135" s="299">
        <v>15</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31</v>
      </c>
      <c r="E138" s="299">
        <v>19</v>
      </c>
      <c r="F138" s="299">
        <v>16</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126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19</v>
      </c>
      <c r="E145" s="299">
        <v>19</v>
      </c>
      <c r="F145" s="299">
        <v>17</v>
      </c>
      <c r="G145" s="207" t="s">
        <v>219</v>
      </c>
    </row>
    <row r="146" ht="45" customHeight="1">
      <c r="A146" s="226">
        <v>1541</v>
      </c>
      <c r="B146" s="238">
        <v>1515</v>
      </c>
      <c r="C146" s="264" t="s">
        <v>226</v>
      </c>
      <c r="D146" s="299">
        <v>15</v>
      </c>
      <c r="E146" s="299">
        <v>13</v>
      </c>
      <c r="F146" s="299">
        <v>17</v>
      </c>
      <c r="G146" s="207" t="s">
        <v>219</v>
      </c>
    </row>
    <row r="147" ht="45" customHeight="1">
      <c r="A147" s="226"/>
      <c r="B147" s="238">
        <v>1521</v>
      </c>
      <c r="C147" s="264" t="s">
        <v>227</v>
      </c>
      <c r="D147" s="299">
        <v>15</v>
      </c>
      <c r="E147" s="299">
        <v>13</v>
      </c>
      <c r="F147" s="299">
        <v>17</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15</v>
      </c>
      <c r="E150" s="299">
        <v>13</v>
      </c>
      <c r="F150" s="299">
        <v>17</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19</v>
      </c>
      <c r="E153" s="299">
        <v>18</v>
      </c>
      <c r="F153" s="299">
        <v>18</v>
      </c>
      <c r="G153" s="207" t="s">
        <v>219</v>
      </c>
    </row>
    <row r="154" ht="45" customHeight="1">
      <c r="A154" s="226"/>
      <c r="B154" s="238">
        <v>1534</v>
      </c>
      <c r="C154" s="242" t="s">
        <v>234</v>
      </c>
      <c r="D154" s="299">
        <v>2</v>
      </c>
      <c r="E154" s="299">
        <v>3</v>
      </c>
      <c r="F154" s="299">
        <v>1</v>
      </c>
      <c r="G154" s="207" t="s">
        <v>219</v>
      </c>
    </row>
    <row r="155" ht="45" customHeight="1">
      <c r="A155" s="226"/>
      <c r="B155" s="238">
        <v>1541</v>
      </c>
      <c r="C155" s="242" t="s">
        <v>235</v>
      </c>
      <c r="D155" s="299">
        <v>2</v>
      </c>
      <c r="E155" s="299">
        <v>3</v>
      </c>
      <c r="F155" s="299">
        <v>1</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2</v>
      </c>
      <c r="E157" s="299">
        <v>3</v>
      </c>
      <c r="F157" s="299">
        <v>1</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21</v>
      </c>
      <c r="E160" s="299">
        <v>21</v>
      </c>
      <c r="F160" s="299">
        <v>19</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5280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33</v>
      </c>
      <c r="E171" s="299">
        <v>22</v>
      </c>
      <c r="F171" s="299">
        <v>32</v>
      </c>
      <c r="G171" s="207" t="s">
        <v>244</v>
      </c>
    </row>
    <row r="172" ht="45" customHeight="1">
      <c r="A172" s="226"/>
      <c r="B172" s="238">
        <v>1614</v>
      </c>
      <c r="C172" s="281" t="s">
        <v>251</v>
      </c>
      <c r="D172" s="299">
        <v>33</v>
      </c>
      <c r="E172" s="299">
        <v>22</v>
      </c>
      <c r="F172" s="299">
        <v>32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33</v>
      </c>
      <c r="E174" s="299">
        <v>29</v>
      </c>
      <c r="F174" s="299">
        <v>32</v>
      </c>
      <c r="G174" s="207" t="s">
        <v>244</v>
      </c>
    </row>
    <row r="175" ht="45" customHeight="1">
      <c r="A175" s="226"/>
      <c r="B175" s="238">
        <v>1621</v>
      </c>
      <c r="C175" s="242" t="s">
        <v>254</v>
      </c>
      <c r="D175" s="299">
        <v>33</v>
      </c>
      <c r="E175" s="299">
        <v>22</v>
      </c>
      <c r="F175" s="299">
        <v>32</v>
      </c>
      <c r="G175" s="207" t="s">
        <v>244</v>
      </c>
    </row>
    <row r="176" ht="45" customHeight="1">
      <c r="A176" s="226"/>
      <c r="B176" s="238">
        <v>1622</v>
      </c>
      <c r="C176" s="242" t="s">
        <v>255</v>
      </c>
      <c r="D176" s="299">
        <v>33</v>
      </c>
      <c r="E176" s="299">
        <v>29</v>
      </c>
      <c r="F176" s="299">
        <v>32</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33</v>
      </c>
      <c r="E178" s="299">
        <v>22</v>
      </c>
      <c r="F178" s="299">
        <v>32</v>
      </c>
      <c r="G178" s="207" t="s">
        <v>244</v>
      </c>
    </row>
    <row r="179" ht="45" customHeight="1">
      <c r="A179" s="226"/>
      <c r="B179" s="238">
        <v>1625</v>
      </c>
      <c r="C179" s="242" t="s">
        <v>258</v>
      </c>
      <c r="D179" s="299">
        <v>33</v>
      </c>
      <c r="E179" s="299">
        <v>22</v>
      </c>
      <c r="F179" s="299">
        <v>32</v>
      </c>
      <c r="G179" s="207" t="s">
        <v>244</v>
      </c>
    </row>
    <row r="180" ht="45" customHeight="1">
      <c r="A180" s="226"/>
      <c r="B180" s="238"/>
      <c r="C180" s="245" t="s">
        <v>259</v>
      </c>
      <c r="D180" s="246"/>
      <c r="E180" s="246"/>
      <c r="F180" s="247"/>
      <c r="G180" s="207" t="s">
        <v>244</v>
      </c>
    </row>
    <row r="181" ht="45" customHeight="1">
      <c r="A181" s="226"/>
      <c r="B181" s="238">
        <v>1631</v>
      </c>
      <c r="C181" s="242" t="s">
        <v>260</v>
      </c>
      <c r="D181" s="299">
        <v>1163</v>
      </c>
      <c r="E181" s="299">
        <v>1221</v>
      </c>
      <c r="F181" s="299">
        <v>1116</v>
      </c>
      <c r="G181" s="207" t="s">
        <v>244</v>
      </c>
    </row>
    <row r="182" ht="45" customHeight="1">
      <c r="A182" s="226"/>
      <c r="B182" s="238">
        <v>1632</v>
      </c>
      <c r="C182" s="242" t="s">
        <v>261</v>
      </c>
      <c r="D182" s="299">
        <v>3318</v>
      </c>
      <c r="E182" s="299">
        <v>3709</v>
      </c>
      <c r="F182" s="299">
        <v>3785</v>
      </c>
      <c r="G182" s="207" t="s">
        <v>244</v>
      </c>
    </row>
    <row r="183" ht="45" customHeight="1">
      <c r="A183" s="226"/>
      <c r="B183" s="238">
        <v>1633</v>
      </c>
      <c r="C183" s="242" t="s">
        <v>262</v>
      </c>
      <c r="D183" s="299">
        <v>4950</v>
      </c>
      <c r="E183" s="299">
        <v>4889</v>
      </c>
      <c r="F183" s="299">
        <v>4959</v>
      </c>
      <c r="G183" s="207" t="s">
        <v>244</v>
      </c>
    </row>
    <row r="184" ht="45" customHeight="1">
      <c r="A184" s="226"/>
      <c r="B184" s="238">
        <v>1634</v>
      </c>
      <c r="C184" s="242" t="s">
        <v>263</v>
      </c>
      <c r="D184" s="299">
        <v>329</v>
      </c>
      <c r="E184" s="299">
        <v>323</v>
      </c>
      <c r="F184" s="299">
        <v>321</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3212</v>
      </c>
      <c r="E186" s="299">
        <v>3108</v>
      </c>
      <c r="F186" s="299">
        <v>2319</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5279</v>
      </c>
      <c r="E188" s="299">
        <v>5212</v>
      </c>
      <c r="F188" s="299">
        <v>5280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7031</v>
      </c>
      <c r="E191" s="299">
        <v>7069</v>
      </c>
      <c r="F191" s="299">
        <v>7104</v>
      </c>
      <c r="G191" s="207" t="s">
        <v>244</v>
      </c>
    </row>
    <row r="192" ht="45" customHeight="1">
      <c r="A192" s="226"/>
      <c r="B192" s="238">
        <v>1653</v>
      </c>
      <c r="C192" s="242" t="s">
        <v>270</v>
      </c>
      <c r="D192" s="299">
        <v>5212</v>
      </c>
      <c r="E192" s="299">
        <v>5300</v>
      </c>
      <c r="F192" s="299">
        <v>6426</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289</v>
      </c>
      <c r="AZ429" s="0" t="s">
        <v>293</v>
      </c>
      <c r="BA429" s="0" t="s">
        <v>285</v>
      </c>
      <c r="BB429" s="0" t="str">
        <f t="shared" si="6"/>
        <v>CCFNbeGwerEast</v>
      </c>
    </row>
    <row r="430">
      <c r="AV430" s="0" t="s">
        <v>473</v>
      </c>
      <c r="AW430" s="0" t="s">
        <v>286</v>
      </c>
      <c r="AX430" s="0" t="s">
        <v>641</v>
      </c>
      <c r="AY430" s="0" t="s">
        <v>1903</v>
      </c>
      <c r="AZ430" s="0" t="s">
        <v>1904</v>
      </c>
      <c r="BA430" s="0" t="s">
        <v>285</v>
      </c>
      <c r="BB430" s="0" t="str">
        <f t="shared" si="6"/>
        <v>CCFNbeGwerWest</v>
      </c>
    </row>
    <row r="431">
      <c r="AV431" s="0" t="s">
        <v>473</v>
      </c>
      <c r="AW431" s="0" t="s">
        <v>286</v>
      </c>
      <c r="AX431" s="0" t="s">
        <v>641</v>
      </c>
      <c r="AY431" s="0" t="s">
        <v>1905</v>
      </c>
      <c r="AZ431" s="0" t="s">
        <v>1906</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