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<sst xmlns="http://schemas.openxmlformats.org/spreadsheetml/2006/main" count="4033" uniqueCount="4033">
  <si>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</si>
  <si>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</si>
  <si>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</si>
  <si>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</si>
  <si>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</si>
  <si>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</si>
  <si>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</si>
  <si>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</si>
  <si>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</si>
  <si>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</si>
  <si>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</si>
  <si>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</si>
  <si>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</si>
  <si>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</si>
  <si>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</si>
  <si>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</si>
  <si>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</si>
  <si>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</si>
  <si>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</si>
  <si>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</si>
  <si>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</si>
  <si>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</si>
  <si>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</si>
  <si>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</si>
  <si>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</si>
  <si>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</si>
  <si>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</si>
  <si>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</si>
  <si>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</si>
  <si>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</si>
  <si>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</si>
  <si>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</si>
  <si>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</si>
  <si>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</si>
  <si>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</si>
  <si>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</si>
  <si>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</si>
  <si>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</si>
  <si>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</si>
  <si>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</si>
  <si>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</si>
  <si>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</si>
  <si>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</si>
  <si>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</si>
  <si>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</si>
  <si>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</si>
  <si>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</si>
  <si>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</si>
  <si>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</si>
  <si>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</si>
  <si>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</si>
  <si>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</si>
  <si>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</si>
  <si>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</si>
  <si>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</si>
  <si>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</si>
  <si>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</si>
  <si>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</si>
  <si>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</si>
  <si>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</si>
  <si>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</si>
  <si>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</si>
  <si>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</si>
  <si>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</si>
  <si>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</si>
  <si>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</si>
  <si>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</si>
  <si>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</si>
  <si>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</si>
  <si>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</si>
  <si>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</si>
  <si>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</si>
  <si>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</si>
  <si>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</si>
  <si>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</si>
  <si>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</si>
  <si>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</si>
  <si>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</si>
  <si>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</si>
  <si>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</si>
  <si>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</si>
  <si>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</si>
  <si>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</si>
  <si>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</si>
  <si>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</si>
  <si>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</si>
  <si>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</si>
  <si>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</si>
  <si>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</si>
  <si>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</si>
  <si>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</si>
  <si>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</si>
  <si>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</si>
  <si>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</si>
  <si>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</si>
  <si>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</si>
  <si>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</si>
  <si>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</si>
  <si>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</si>
  <si>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</si>
  <si>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</si>
  <si>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</si>
  <si>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</si>
  <si>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</si>
  <si>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</si>
  <si>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</si>
  <si>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</si>
  <si>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</si>
  <si>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</si>
  <si>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</si>
  <si>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</si>
  <si>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</si>
  <si>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</si>
  <si>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</si>
  <si>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</si>
  <si>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</si>
  <si>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</si>
  <si>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</si>
  <si>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</si>
  <si>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</si>
  <si>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</si>
  <si>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</si>
  <si>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</si>
  <si>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</si>
  <si>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</si>
  <si>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</si>
  <si>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</si>
  <si>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</si>
  <si>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</si>
  <si>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</si>
  <si>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</si>
  <si>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</si>
  <si>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</si>
  <si>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</si>
  <si>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</si>
  <si>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</si>
  <si>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</si>
  <si>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</si>
  <si>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</si>
  <si>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</si>
  <si>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</si>
  <si>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</si>
  <si>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</si>
  <si>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</si>
  <si>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</si>
  <si>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</si>
  <si>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</si>
  <si>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</si>
  <si>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</si>
  <si>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</si>
  <si>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</si>
  <si>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</si>
  <si>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</si>
  <si>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</si>
  <si>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</si>
  <si>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</si>
  <si>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</si>
  <si>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</si>
  <si>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</si>
  <si>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</si>
  <si>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</si>
  <si>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</si>
  <si>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</si>
  <si>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</si>
  <si>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</si>
  <si>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</si>
  <si>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</si>
  <si>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</si>
  <si>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</si>
  <si>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</si>
  <si>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</si>
  <si>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</si>
  <si>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</si>
  <si>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</si>
  <si>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</si>
  <si>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</si>
  <si>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</si>
  <si>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</si>
  <si>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</si>
  <si>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</si>
  <si>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</si>
  <si>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</si>
  <si>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</si>
  <si>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</si>
  <si>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</si>
  <si>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</si>
  <si>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</si>
  <si>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</si>
  <si>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</si>
  <si>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</si>
  <si>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</si>
  <si>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</si>
  <si>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</si>
  <si>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</si>
  <si>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</si>
  <si>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</si>
  <si>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</si>
  <si>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</si>
  <si>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</si>
  <si>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</si>
  <si>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</si>
  <si>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</si>
  <si>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</si>
  <si>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</si>
  <si>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</si>
  <si>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</si>
  <si>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</si>
  <si>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</si>
  <si>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</si>
  <si>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</si>
  <si>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</si>
  <si>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</si>
  <si>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</si>
  <si>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</si>
  <si>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</si>
  <si>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</si>
  <si>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</si>
  <si>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</si>
  <si>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</si>
  <si>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</si>
  <si>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</si>
  <si>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</si>
  <si>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</si>
  <si>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</si>
  <si>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</si>
  <si>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</si>
  <si>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</si>
  <si>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</si>
  <si>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</si>
  <si>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</si>
  <si>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</si>
  <si>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</si>
  <si>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</si>
  <si>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</si>
  <si>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</si>
  <si>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</si>
  <si>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</si>
  <si>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</si>
  <si>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</si>
  <si>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</si>
  <si>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</si>
  <si>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</si>
  <si>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</si>
  <si>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</si>
  <si>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</si>
  <si>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</si>
  <si>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</si>
  <si>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</si>
  <si>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</si>
  <si>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</si>
  <si>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</si>
  <si>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</si>
  <si>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</si>
  <si>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</si>
  <si>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</si>
  <si>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</si>
  <si>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</si>
  <si>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</si>
  <si>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</si>
  <si>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</si>
  <si>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</si>
  <si>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</si>
  <si>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</si>
  <si>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</si>
  <si>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</si>
  <si>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</si>
  <si>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</si>
  <si>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</si>
  <si>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</si>
  <si>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</si>
  <si>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</si>
  <si>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</si>
  <si>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</si>
  <si>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</si>
  <si>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</si>
  <si>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</si>
  <si>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</si>
  <si>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</si>
  <si>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</si>
  <si>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</si>
  <si>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</si>
  <si>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</si>
  <si>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</si>
  <si>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</si>
  <si>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</si>
  <si>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</si>
  <si>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</si>
  <si>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Doma</t>
  </si>
  <si>
    <t>Facility Name:</t>
  </si>
  <si>
    <t>Doma General Hospital</t>
  </si>
  <si>
    <t>Reporting Period:</t>
  </si>
  <si>
    <t>Q1(Oct - Dec)</t>
  </si>
  <si>
    <t>Facility Code:</t>
  </si>
  <si>
    <t>deV3U03tS8F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</si>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</sst>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997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341</v>
      </c>
      <c r="E9" s="299">
        <v>352</v>
      </c>
      <c r="F9" s="299">
        <v>240</v>
      </c>
      <c r="G9" s="207" t="s">
        <v>67</v>
      </c>
    </row>
    <row r="10" ht="45" customHeight="1">
      <c r="A10" s="226"/>
      <c r="B10" s="238">
        <v>1113</v>
      </c>
      <c r="C10" s="242" t="s">
        <v>83</v>
      </c>
      <c r="D10" s="299">
        <v>113</v>
      </c>
      <c r="E10" s="299">
        <v>180</v>
      </c>
      <c r="F10" s="299">
        <v>227</v>
      </c>
      <c r="G10" s="207" t="s">
        <v>67</v>
      </c>
    </row>
    <row r="11" ht="45" customHeight="1">
      <c r="A11" s="226"/>
      <c r="B11" s="238">
        <v>1114</v>
      </c>
      <c r="C11" s="243" t="s">
        <v>84</v>
      </c>
      <c r="D11" s="299">
        <v>113</v>
      </c>
      <c r="E11" s="299">
        <v>180</v>
      </c>
      <c r="F11" s="299">
        <v>227</v>
      </c>
      <c r="G11" s="207" t="s">
        <v>67</v>
      </c>
    </row>
    <row r="12" ht="45" customHeight="1">
      <c r="A12" s="226"/>
      <c r="B12" s="238">
        <v>1115</v>
      </c>
      <c r="C12" s="242" t="s">
        <v>85</v>
      </c>
      <c r="D12" s="299">
        <v>105</v>
      </c>
      <c r="E12" s="299">
        <v>178</v>
      </c>
      <c r="F12" s="299">
        <v>226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73</v>
      </c>
      <c r="E25" s="299">
        <v>146</v>
      </c>
      <c r="F25" s="299">
        <v>169</v>
      </c>
      <c r="G25" s="207" t="s">
        <v>67</v>
      </c>
    </row>
    <row r="26" ht="45" customHeight="1">
      <c r="A26" s="226"/>
      <c r="B26" s="238">
        <v>1134</v>
      </c>
      <c r="C26" s="242" t="s">
        <v>99</v>
      </c>
      <c r="D26" s="299">
        <v>32</v>
      </c>
      <c r="E26" s="299">
        <v>26</v>
      </c>
      <c r="F26" s="299">
        <v>45</v>
      </c>
      <c r="G26" s="207" t="s">
        <v>67</v>
      </c>
    </row>
    <row r="27" ht="45" customHeight="1">
      <c r="A27" s="226"/>
      <c r="B27" s="238">
        <v>1135</v>
      </c>
      <c r="C27" s="242" t="s">
        <v>100</v>
      </c>
      <c r="D27" s="299">
        <v>86</v>
      </c>
      <c r="E27" s="299">
        <v>103</v>
      </c>
      <c r="F27" s="299">
        <v>124</v>
      </c>
      <c r="G27" s="207" t="s">
        <v>67</v>
      </c>
    </row>
    <row r="28" ht="45" customHeight="1">
      <c r="A28" s="226"/>
      <c r="B28" s="238">
        <v>1136</v>
      </c>
      <c r="C28" s="242" t="s">
        <v>101</v>
      </c>
      <c r="D28" s="299">
        <v>17</v>
      </c>
      <c r="E28" s="299">
        <v>15</v>
      </c>
      <c r="F28" s="299">
        <v>3</v>
      </c>
      <c r="G28" s="207" t="s">
        <v>67</v>
      </c>
    </row>
    <row r="29" ht="45" customHeight="1">
      <c r="A29" s="226"/>
      <c r="B29" s="238">
        <v>1137</v>
      </c>
      <c r="C29" s="242" t="s">
        <v>102</v>
      </c>
      <c r="D29" s="299">
        <v>28</v>
      </c>
      <c r="E29" s="299">
        <v>26</v>
      </c>
      <c r="F29" s="299">
        <v>23</v>
      </c>
      <c r="G29" s="207" t="s">
        <v>67</v>
      </c>
    </row>
    <row r="30" ht="45" customHeight="1">
      <c r="A30" s="226"/>
      <c r="B30" s="238">
        <v>1138</v>
      </c>
      <c r="C30" s="242" t="s">
        <v>103</v>
      </c>
      <c r="D30" s="299">
        <v>85</v>
      </c>
      <c r="E30" s="299">
        <v>151</v>
      </c>
      <c r="F30" s="299">
        <v>201</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105</v>
      </c>
      <c r="E33" s="299">
        <v>172</v>
      </c>
      <c r="F33" s="299">
        <v>214</v>
      </c>
      <c r="G33" s="207" t="s">
        <v>67</v>
      </c>
    </row>
    <row r="34" ht="45" customHeight="1">
      <c r="A34" s="226"/>
      <c r="B34" s="238">
        <v>1144</v>
      </c>
      <c r="C34" s="242" t="s">
        <v>107</v>
      </c>
      <c r="D34" s="299">
        <v>114</v>
      </c>
      <c r="E34" s="299">
        <v>179</v>
      </c>
      <c r="F34" s="299">
        <v>229</v>
      </c>
      <c r="G34" s="207" t="s">
        <v>67</v>
      </c>
    </row>
    <row r="35" ht="45" customHeight="1">
      <c r="A35" s="226"/>
      <c r="B35" s="238">
        <v>1145</v>
      </c>
      <c r="C35" s="242" t="s">
        <v>108</v>
      </c>
      <c r="D35" s="299">
        <v>113</v>
      </c>
      <c r="E35" s="299">
        <v>198</v>
      </c>
      <c r="F35" s="299">
        <v>224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73</v>
      </c>
      <c r="E37" s="299">
        <v>146</v>
      </c>
      <c r="F37" s="299">
        <v>169</v>
      </c>
      <c r="G37" s="207" t="s">
        <v>67</v>
      </c>
    </row>
    <row r="38" ht="45" customHeight="1">
      <c r="A38" s="226"/>
      <c r="B38" s="238">
        <v>1153</v>
      </c>
      <c r="C38" s="242" t="s">
        <v>111</v>
      </c>
      <c r="D38" s="299">
        <v>85</v>
      </c>
      <c r="E38" s="299">
        <v>172</v>
      </c>
      <c r="F38" s="299">
        <v>179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73</v>
      </c>
      <c r="E40" s="299">
        <v>146</v>
      </c>
      <c r="F40" s="299">
        <v>169</v>
      </c>
      <c r="G40" s="207" t="s">
        <v>67</v>
      </c>
    </row>
    <row r="41" ht="45" customHeight="1">
      <c r="A41" s="226"/>
      <c r="B41" s="238">
        <v>1156</v>
      </c>
      <c r="C41" s="242" t="s">
        <v>113</v>
      </c>
      <c r="D41" s="299">
        <v>85</v>
      </c>
      <c r="E41" s="299">
        <v>172</v>
      </c>
      <c r="F41" s="299">
        <v>176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17</v>
      </c>
      <c r="E43" s="299">
        <v>16</v>
      </c>
      <c r="F43" s="299">
        <v>16</v>
      </c>
      <c r="G43" s="207" t="s">
        <v>67</v>
      </c>
    </row>
    <row r="44" ht="45" customHeight="1" s="250" customFormat="1">
      <c r="A44" s="226"/>
      <c r="B44" s="238">
        <v>1159</v>
      </c>
      <c r="C44" s="242" t="s">
        <v>116</v>
      </c>
      <c r="D44" s="299">
        <v>17</v>
      </c>
      <c r="E44" s="299">
        <v>20</v>
      </c>
      <c r="F44" s="299">
        <v>12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90</v>
      </c>
      <c r="E53" s="299">
        <v>69</v>
      </c>
      <c r="F53" s="299">
        <v>33</v>
      </c>
      <c r="G53" s="207" t="s">
        <v>117</v>
      </c>
    </row>
    <row r="54" ht="45" customHeight="1">
      <c r="A54" s="226"/>
      <c r="B54" s="238">
        <v>1214</v>
      </c>
      <c r="C54" s="264" t="s">
        <v>132</v>
      </c>
      <c r="D54" s="299">
        <v>90</v>
      </c>
      <c r="E54" s="299">
        <v>69</v>
      </c>
      <c r="F54" s="299">
        <v>34</v>
      </c>
      <c r="G54" s="207" t="s">
        <v>117</v>
      </c>
    </row>
    <row r="55" ht="45" customHeight="1">
      <c r="A55" s="226"/>
      <c r="B55" s="238">
        <v>1215</v>
      </c>
      <c r="C55" s="242" t="s">
        <v>133</v>
      </c>
      <c r="D55" s="299">
        <v>90</v>
      </c>
      <c r="E55" s="299">
        <v>69</v>
      </c>
      <c r="F55" s="299">
        <v>34</v>
      </c>
      <c r="G55" s="207" t="s">
        <v>117</v>
      </c>
    </row>
    <row r="56" ht="45" customHeight="1">
      <c r="A56" s="226"/>
      <c r="B56" s="238">
        <v>1216</v>
      </c>
      <c r="C56" s="243" t="s">
        <v>134</v>
      </c>
      <c r="D56" s="299">
        <v>90</v>
      </c>
      <c r="E56" s="299">
        <v>69</v>
      </c>
      <c r="F56" s="299">
        <v>34</v>
      </c>
      <c r="G56" s="207" t="s">
        <v>117</v>
      </c>
    </row>
    <row r="57" ht="45" customHeight="1">
      <c r="A57" s="226"/>
      <c r="B57" s="238">
        <v>1217</v>
      </c>
      <c r="C57" s="243" t="s">
        <v>135</v>
      </c>
      <c r="D57" s="299">
        <v>2</v>
      </c>
      <c r="E57" s="299">
        <v>6</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90</v>
      </c>
      <c r="E59" s="299">
        <v>69</v>
      </c>
      <c r="F59" s="299">
        <v>34</v>
      </c>
      <c r="G59" s="207" t="s">
        <v>117</v>
      </c>
    </row>
    <row r="60" ht="45" customHeight="1">
      <c r="A60" s="226"/>
      <c r="B60" s="238">
        <v>1222</v>
      </c>
      <c r="C60" s="264" t="s">
        <v>138</v>
      </c>
      <c r="D60" s="299">
        <v>88</v>
      </c>
      <c r="E60" s="299">
        <v>63</v>
      </c>
      <c r="F60" s="299">
        <v>33</v>
      </c>
      <c r="G60" s="207" t="s">
        <v>117</v>
      </c>
    </row>
    <row r="61" ht="45" customHeight="1">
      <c r="A61" s="226"/>
      <c r="B61" s="238">
        <v>1223</v>
      </c>
      <c r="C61" s="264" t="s">
        <v>139</v>
      </c>
      <c r="D61" s="299">
        <v>88</v>
      </c>
      <c r="E61" s="299">
        <v>63</v>
      </c>
      <c r="F61" s="299">
        <v>33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2</v>
      </c>
      <c r="E64" s="299">
        <v>6</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90</v>
      </c>
      <c r="E67" s="299">
        <v>69</v>
      </c>
      <c r="F67" s="299">
        <v>34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6</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90</v>
      </c>
      <c r="E71" s="299">
        <v>52</v>
      </c>
      <c r="F71" s="299">
        <v>33</v>
      </c>
      <c r="G71" s="207" t="s">
        <v>117</v>
      </c>
    </row>
    <row r="72" ht="45" customHeight="1">
      <c r="A72" s="226"/>
      <c r="B72" s="238">
        <v>1236</v>
      </c>
      <c r="C72" s="242" t="s">
        <v>150</v>
      </c>
      <c r="D72" s="299">
        <v>2</v>
      </c>
      <c r="E72" s="299">
        <v>6</v>
      </c>
      <c r="F72" s="299">
        <v>1</v>
      </c>
      <c r="G72" s="207" t="s">
        <v>117</v>
      </c>
    </row>
    <row r="73" ht="45" customHeight="1">
      <c r="A73" s="226"/>
      <c r="B73" s="238">
        <v>1241</v>
      </c>
      <c r="C73" s="242" t="s">
        <v>151</v>
      </c>
      <c r="D73" s="299">
        <v>88</v>
      </c>
      <c r="E73" s="299">
        <v>69</v>
      </c>
      <c r="F73" s="299">
        <v>33</v>
      </c>
      <c r="G73" s="207" t="s">
        <v>117</v>
      </c>
    </row>
    <row r="74" ht="45" customHeight="1">
      <c r="A74" s="226"/>
      <c r="B74" s="238">
        <v>1242</v>
      </c>
      <c r="C74" s="242" t="s">
        <v>152</v>
      </c>
      <c r="D74" s="299">
        <v>2</v>
      </c>
      <c r="E74" s="299">
        <v>6</v>
      </c>
      <c r="F74" s="299">
        <v>1</v>
      </c>
      <c r="G74" s="207" t="s">
        <v>117</v>
      </c>
    </row>
    <row r="75" ht="45" customHeight="1">
      <c r="A75" s="226"/>
      <c r="B75" s="238">
        <v>1243</v>
      </c>
      <c r="C75" s="243" t="s">
        <v>153</v>
      </c>
      <c r="D75" s="299">
        <v>88</v>
      </c>
      <c r="E75" s="299">
        <v>69</v>
      </c>
      <c r="F75" s="299">
        <v>33</v>
      </c>
      <c r="G75" s="207" t="s">
        <v>117</v>
      </c>
    </row>
    <row r="76" ht="45" customHeight="1">
      <c r="A76" s="226"/>
      <c r="B76" s="238">
        <v>1244</v>
      </c>
      <c r="C76" s="243" t="s">
        <v>154</v>
      </c>
      <c r="D76" s="299">
        <v>2</v>
      </c>
      <c r="E76" s="299">
        <v>6</v>
      </c>
      <c r="F76" s="299">
        <v>1</v>
      </c>
      <c r="G76" s="207" t="s">
        <v>117</v>
      </c>
    </row>
    <row r="77" ht="45" customHeight="1">
      <c r="A77" s="226"/>
      <c r="B77" s="238">
        <v>1245</v>
      </c>
      <c r="C77" s="243" t="s">
        <v>155</v>
      </c>
      <c r="D77" s="299">
        <v>92</v>
      </c>
      <c r="E77" s="299">
        <v>70</v>
      </c>
      <c r="F77" s="299">
        <v>34</v>
      </c>
      <c r="G77" s="207" t="s">
        <v>117</v>
      </c>
    </row>
    <row r="78" ht="45" customHeight="1">
      <c r="A78" s="226"/>
      <c r="B78" s="238">
        <v>1246</v>
      </c>
      <c r="C78" s="243" t="s">
        <v>156</v>
      </c>
      <c r="D78" s="299">
        <v>2</v>
      </c>
      <c r="E78" s="299">
        <v>5</v>
      </c>
      <c r="F78" s="299">
        <v>1</v>
      </c>
      <c r="G78" s="207" t="s">
        <v>117</v>
      </c>
    </row>
    <row r="79" ht="45" customHeight="1">
      <c r="A79" s="226"/>
      <c r="B79" s="238">
        <v>1247</v>
      </c>
      <c r="C79" s="242" t="s">
        <v>157</v>
      </c>
      <c r="D79" s="299">
        <v>88</v>
      </c>
      <c r="E79" s="299">
        <v>63</v>
      </c>
      <c r="F79" s="299">
        <v>33</v>
      </c>
      <c r="G79" s="207" t="s">
        <v>117</v>
      </c>
    </row>
    <row r="80" ht="45" customHeight="1">
      <c r="A80" s="226"/>
      <c r="B80" s="238">
        <v>1248</v>
      </c>
      <c r="C80" s="242" t="s">
        <v>158</v>
      </c>
      <c r="D80" s="299">
        <v>2</v>
      </c>
      <c r="E80" s="299">
        <v>6</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90</v>
      </c>
      <c r="E82" s="299">
        <v>69</v>
      </c>
      <c r="F82" s="299">
        <v>34</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6</v>
      </c>
      <c r="F88" s="299">
        <v>1</v>
      </c>
      <c r="G88" s="207" t="s">
        <v>117</v>
      </c>
    </row>
    <row r="89" ht="45" customHeight="1">
      <c r="A89" s="226"/>
      <c r="B89" s="238">
        <v>1259</v>
      </c>
      <c r="C89" s="242" t="s">
        <v>167</v>
      </c>
      <c r="D89" s="299">
        <v>2</v>
      </c>
      <c r="E89" s="299">
        <v>6</v>
      </c>
      <c r="F89" s="299">
        <v>1</v>
      </c>
      <c r="G89" s="207" t="s">
        <v>117</v>
      </c>
    </row>
    <row r="90" ht="45" customHeight="1">
      <c r="A90" s="226"/>
      <c r="C90" s="252"/>
      <c r="D90" s="253"/>
      <c r="E90" s="254"/>
      <c r="F90" s="254"/>
      <c r="G90" s="265"/>
    </row>
    <row r="91" ht="45" customHeight="1">
      <c r="A91" s="226"/>
      <c r="B91" s="220" t="s">
        <v>168</v>
      </c>
      <c r="C91" s="260" t="s">
        <v>169</v>
      </c>
      <c r="D91" s="228"/>
      <c r="E91" s="231"/>
      <c r="F91" s="298">
        <v>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6</v>
      </c>
      <c r="F93" s="299">
        <v>1</v>
      </c>
      <c r="G93" s="265" t="s">
        <v>168</v>
      </c>
    </row>
    <row r="94" ht="45" customHeight="1">
      <c r="A94" s="226"/>
      <c r="B94" s="238">
        <v>1314</v>
      </c>
      <c r="C94" s="268" t="s">
        <v>173</v>
      </c>
      <c r="D94" s="299">
        <v>2</v>
      </c>
      <c r="E94" s="299">
        <v>6</v>
      </c>
      <c r="F94" s="299">
        <v>1</v>
      </c>
      <c r="G94" s="265" t="s">
        <v>168</v>
      </c>
    </row>
    <row r="95" ht="45" customHeight="1">
      <c r="A95" s="226"/>
      <c r="B95" s="238">
        <v>1315</v>
      </c>
      <c r="C95" s="243" t="s">
        <v>174</v>
      </c>
      <c r="D95" s="299">
        <v>2</v>
      </c>
      <c r="E95" s="299">
        <v>6</v>
      </c>
      <c r="F95" s="299">
        <v>1</v>
      </c>
      <c r="G95" s="265" t="s">
        <v>168</v>
      </c>
    </row>
    <row r="96" ht="45" customHeight="1" s="269" customFormat="1">
      <c r="A96" s="226"/>
      <c r="B96" s="238">
        <v>1316</v>
      </c>
      <c r="C96" s="243" t="s">
        <v>175</v>
      </c>
      <c r="D96" s="299">
        <v>2</v>
      </c>
      <c r="E96" s="299">
        <v>3</v>
      </c>
      <c r="F96" s="299">
        <v>1</v>
      </c>
      <c r="G96" s="265" t="s">
        <v>168</v>
      </c>
    </row>
    <row r="97" ht="45" customHeight="1" s="269" customFormat="1">
      <c r="A97" s="226"/>
      <c r="B97" s="238">
        <v>1321</v>
      </c>
      <c r="C97" s="242" t="s">
        <v>176</v>
      </c>
      <c r="D97" s="299">
        <v>2</v>
      </c>
      <c r="E97" s="299">
        <v>6</v>
      </c>
      <c r="F97" s="299">
        <v>1</v>
      </c>
      <c r="G97" s="265" t="s">
        <v>168</v>
      </c>
    </row>
    <row r="98" ht="45" customHeight="1" s="269" customFormat="1">
      <c r="A98" s="226"/>
      <c r="B98" s="238">
        <v>1322</v>
      </c>
      <c r="C98" s="242" t="s">
        <v>177</v>
      </c>
      <c r="D98" s="299">
        <v>2</v>
      </c>
      <c r="E98" s="299">
        <v>6</v>
      </c>
      <c r="F98" s="299">
        <v>1</v>
      </c>
      <c r="G98" s="265" t="s">
        <v>168</v>
      </c>
    </row>
    <row r="99" ht="45" customHeight="1" s="269" customFormat="1">
      <c r="A99" s="226"/>
      <c r="B99" s="238">
        <v>1323</v>
      </c>
      <c r="C99" s="242" t="s">
        <v>178</v>
      </c>
      <c r="D99" s="299">
        <v>2</v>
      </c>
      <c r="E99" s="299">
        <v>6</v>
      </c>
      <c r="F99" s="299">
        <v>1</v>
      </c>
      <c r="G99" s="265" t="s">
        <v>168</v>
      </c>
    </row>
    <row r="100" ht="45" customHeight="1" s="269" customFormat="1">
      <c r="A100" s="226"/>
      <c r="B100" s="238">
        <v>1324</v>
      </c>
      <c r="C100" s="242" t="s">
        <v>179</v>
      </c>
      <c r="D100" s="299">
        <v>2</v>
      </c>
      <c r="E100" s="299">
        <v>6</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2</v>
      </c>
      <c r="E103" s="299">
        <v>6</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6</v>
      </c>
      <c r="E119" s="299">
        <v>4</v>
      </c>
      <c r="F119" s="299">
        <v>3</v>
      </c>
      <c r="G119" s="207" t="s">
        <v>194</v>
      </c>
    </row>
    <row r="120" ht="45" customHeight="1" s="269" customFormat="1">
      <c r="A120" s="226"/>
      <c r="B120" s="238">
        <v>1414</v>
      </c>
      <c r="C120" s="243" t="s">
        <v>198</v>
      </c>
      <c r="D120" s="299">
        <v>6</v>
      </c>
      <c r="E120" s="299">
        <v>4</v>
      </c>
      <c r="F120" s="299">
        <v>3</v>
      </c>
      <c r="G120" s="207" t="s">
        <v>194</v>
      </c>
    </row>
    <row r="121" ht="45" customHeight="1" s="269" customFormat="1">
      <c r="A121" s="226"/>
      <c r="B121" s="238">
        <v>1422</v>
      </c>
      <c r="C121" s="242" t="s">
        <v>199</v>
      </c>
      <c r="D121" s="299">
        <v>6</v>
      </c>
      <c r="E121" s="299">
        <v>4</v>
      </c>
      <c r="F121" s="299">
        <v>3</v>
      </c>
      <c r="G121" s="207" t="s">
        <v>194</v>
      </c>
    </row>
    <row r="122" ht="45" customHeight="1" s="269" customFormat="1">
      <c r="A122" s="226"/>
      <c r="B122" s="238">
        <v>1423</v>
      </c>
      <c r="C122" s="242" t="s">
        <v>200</v>
      </c>
      <c r="D122" s="299">
        <v>6</v>
      </c>
      <c r="E122" s="299">
        <v>4</v>
      </c>
      <c r="F122" s="299">
        <v>3</v>
      </c>
      <c r="G122" s="207" t="s">
        <v>194</v>
      </c>
    </row>
    <row r="123" ht="45" customHeight="1" s="269" customFormat="1">
      <c r="A123" s="226"/>
      <c r="B123" s="238">
        <v>1424</v>
      </c>
      <c r="C123" s="242" t="s">
        <v>201</v>
      </c>
      <c r="D123" s="299">
        <v>6</v>
      </c>
      <c r="E123" s="299">
        <v>4</v>
      </c>
      <c r="F123" s="299">
        <v>3</v>
      </c>
      <c r="G123" s="207" t="s">
        <v>194</v>
      </c>
    </row>
    <row r="124" ht="45" customHeight="1" s="269" customFormat="1">
      <c r="A124" s="226"/>
      <c r="B124" s="238">
        <v>1425</v>
      </c>
      <c r="C124" s="242" t="s">
        <v>202</v>
      </c>
      <c r="D124" s="299">
        <v>4</v>
      </c>
      <c r="E124" s="299">
        <v>2</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4</v>
      </c>
      <c r="E126" s="299">
        <v>2</v>
      </c>
      <c r="F126" s="299">
        <v>3</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4</v>
      </c>
      <c r="E129" s="299">
        <v>0</v>
      </c>
      <c r="F129" s="299">
        <v>0</v>
      </c>
      <c r="G129" s="207" t="s">
        <v>194</v>
      </c>
    </row>
    <row r="130" ht="45" customHeight="1" s="269" customFormat="1">
      <c r="A130" s="226"/>
      <c r="B130" s="238">
        <v>1435</v>
      </c>
      <c r="C130" s="242" t="s">
        <v>209</v>
      </c>
      <c r="D130" s="299">
        <v>2</v>
      </c>
      <c r="E130" s="299">
        <v>2</v>
      </c>
      <c r="F130" s="299">
        <v>3</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13</v>
      </c>
      <c r="E133" s="299">
        <v>8</v>
      </c>
      <c r="F133" s="299">
        <v>4</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4</v>
      </c>
      <c r="E135" s="299">
        <v>2</v>
      </c>
      <c r="F135" s="299">
        <v>3</v>
      </c>
      <c r="G135" s="207" t="s">
        <v>194</v>
      </c>
    </row>
    <row r="136" ht="45" customHeight="1" s="269" customFormat="1">
      <c r="A136" s="226"/>
      <c r="B136" s="238">
        <v>1453</v>
      </c>
      <c r="C136" s="242" t="s">
        <v>215</v>
      </c>
      <c r="D136" s="299">
        <v>13</v>
      </c>
      <c r="E136" s="299">
        <v>8</v>
      </c>
      <c r="F136" s="299">
        <v>4</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4</v>
      </c>
      <c r="E138" s="299">
        <v>2</v>
      </c>
      <c r="F138" s="299">
        <v>3</v>
      </c>
      <c r="G138" s="207" t="s">
        <v>194</v>
      </c>
    </row>
    <row r="139" ht="45" customHeight="1">
      <c r="A139" s="226"/>
      <c r="B139" s="238">
        <v>1456</v>
      </c>
      <c r="C139" s="242" t="s">
        <v>218</v>
      </c>
      <c r="D139" s="299">
        <v>13</v>
      </c>
      <c r="E139" s="299">
        <v>8</v>
      </c>
      <c r="F139" s="299">
        <v>4</v>
      </c>
      <c r="G139" s="207" t="s">
        <v>194</v>
      </c>
    </row>
    <row r="140" ht="45" customHeight="1">
      <c r="A140" s="226"/>
      <c r="B140" s="273"/>
      <c r="D140" s="271"/>
      <c r="E140" s="244"/>
      <c r="F140" s="244"/>
      <c r="G140" s="207"/>
    </row>
    <row r="141" ht="45" customHeight="1">
      <c r="A141" s="226"/>
      <c r="B141" s="227" t="s">
        <v>219</v>
      </c>
      <c r="C141" s="228" t="s">
        <v>220</v>
      </c>
      <c r="D141" s="228"/>
      <c r="E141" s="258"/>
      <c r="F141" s="298">
        <v>63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25</v>
      </c>
      <c r="E144" s="299">
        <v>25</v>
      </c>
      <c r="F144" s="299">
        <v>13</v>
      </c>
      <c r="G144" s="207" t="s">
        <v>219</v>
      </c>
    </row>
    <row r="145" ht="45" customHeight="1">
      <c r="A145" s="226"/>
      <c r="B145" s="238">
        <v>1514</v>
      </c>
      <c r="C145" s="264" t="s">
        <v>225</v>
      </c>
      <c r="D145" s="299">
        <v>25</v>
      </c>
      <c r="E145" s="299">
        <v>25</v>
      </c>
      <c r="F145" s="299">
        <v>12</v>
      </c>
      <c r="G145" s="207" t="s">
        <v>219</v>
      </c>
    </row>
    <row r="146" ht="45" customHeight="1">
      <c r="A146" s="226">
        <v>1541</v>
      </c>
      <c r="B146" s="238">
        <v>1515</v>
      </c>
      <c r="C146" s="264" t="s">
        <v>226</v>
      </c>
      <c r="D146" s="299">
        <v>25</v>
      </c>
      <c r="E146" s="299">
        <v>25</v>
      </c>
      <c r="F146" s="299">
        <v>13</v>
      </c>
      <c r="G146" s="207" t="s">
        <v>219</v>
      </c>
    </row>
    <row r="147" ht="45" customHeight="1">
      <c r="A147" s="226"/>
      <c r="B147" s="238">
        <v>1521</v>
      </c>
      <c r="C147" s="264" t="s">
        <v>227</v>
      </c>
      <c r="D147" s="299">
        <v>25</v>
      </c>
      <c r="E147" s="299">
        <v>25</v>
      </c>
      <c r="F147" s="299">
        <v>13</v>
      </c>
      <c r="G147" s="207" t="s">
        <v>219</v>
      </c>
    </row>
    <row r="148" ht="45" customHeight="1">
      <c r="A148" s="226"/>
      <c r="B148" s="238">
        <v>1522</v>
      </c>
      <c r="C148" s="264" t="s">
        <v>228</v>
      </c>
      <c r="D148" s="299">
        <v>25</v>
      </c>
      <c r="E148" s="299">
        <v>25</v>
      </c>
      <c r="F148" s="299">
        <v>13</v>
      </c>
      <c r="G148" s="207" t="s">
        <v>219</v>
      </c>
    </row>
    <row r="149" ht="45" customHeight="1">
      <c r="A149" s="226"/>
      <c r="B149" s="238">
        <v>1523</v>
      </c>
      <c r="C149" s="264" t="s">
        <v>229</v>
      </c>
      <c r="D149" s="299">
        <v>25</v>
      </c>
      <c r="E149" s="299">
        <v>25</v>
      </c>
      <c r="F149" s="299">
        <v>13</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11</v>
      </c>
      <c r="E151" s="299">
        <v>5</v>
      </c>
      <c r="F151" s="299">
        <v>3</v>
      </c>
      <c r="G151" s="207" t="s">
        <v>219</v>
      </c>
    </row>
    <row r="152" ht="45" customHeight="1">
      <c r="A152" s="226"/>
      <c r="B152" s="238">
        <v>1532</v>
      </c>
      <c r="C152" s="242" t="s">
        <v>232</v>
      </c>
      <c r="D152" s="299">
        <v>14</v>
      </c>
      <c r="E152" s="299">
        <v>20</v>
      </c>
      <c r="F152" s="299">
        <v>10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25</v>
      </c>
      <c r="E155" s="299">
        <v>25</v>
      </c>
      <c r="F155" s="299">
        <v>13</v>
      </c>
      <c r="G155" s="207" t="s">
        <v>219</v>
      </c>
    </row>
    <row r="156" ht="45" customHeight="1">
      <c r="A156" s="226"/>
      <c r="B156" s="238">
        <v>1542</v>
      </c>
      <c r="C156" s="264" t="s">
        <v>236</v>
      </c>
      <c r="D156" s="299">
        <v>25</v>
      </c>
      <c r="E156" s="299">
        <v>25</v>
      </c>
      <c r="F156" s="299">
        <v>13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25</v>
      </c>
      <c r="E158" s="299">
        <v>25</v>
      </c>
      <c r="F158" s="299">
        <v>13</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25</v>
      </c>
      <c r="E161" s="299">
        <v>25</v>
      </c>
      <c r="F161" s="299">
        <v>13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25</v>
      </c>
      <c r="E163" s="299">
        <v>25</v>
      </c>
      <c r="F163" s="299">
        <v>13</v>
      </c>
      <c r="G163" s="207" t="s">
        <v>219</v>
      </c>
    </row>
    <row r="164" ht="45" customHeight="1">
      <c r="A164" s="226"/>
      <c r="B164" s="238">
        <v>1556</v>
      </c>
      <c r="C164" s="242" t="s">
        <v>241</v>
      </c>
      <c r="D164" s="299">
        <v>25</v>
      </c>
      <c r="E164" s="299">
        <v>25</v>
      </c>
      <c r="F164" s="299">
        <v>13</v>
      </c>
      <c r="G164" s="207" t="s">
        <v>219</v>
      </c>
    </row>
    <row r="165" ht="45" customHeight="1">
      <c r="A165" s="226"/>
      <c r="C165" s="276"/>
      <c r="D165" s="277"/>
      <c r="G165" s="207"/>
    </row>
    <row r="166" ht="45" customHeight="1">
      <c r="A166" s="226"/>
      <c r="B166" s="279" t="s">
        <v>244</v>
      </c>
      <c r="C166" s="260" t="s">
        <v>245</v>
      </c>
      <c r="D166" s="228"/>
      <c r="E166" s="231"/>
      <c r="F166" s="298">
        <v>1965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978</v>
      </c>
      <c r="E185" s="299">
        <v>718</v>
      </c>
      <c r="F185" s="299">
        <v>897</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978</v>
      </c>
      <c r="E187" s="299">
        <v>718</v>
      </c>
      <c r="F187" s="299">
        <v>897</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2137</v>
      </c>
      <c r="E189" s="299">
        <v>2162</v>
      </c>
      <c r="F189" s="299">
        <v>2174</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4780</v>
      </c>
      <c r="E191" s="299">
        <v>4807</v>
      </c>
      <c r="F191" s="299">
        <v>4819</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10</v>
      </c>
      <c r="E195" s="299">
        <v>5</v>
      </c>
      <c r="F195" s="299">
        <v>9</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10</v>
      </c>
      <c r="E197" s="299">
        <v>5</v>
      </c>
      <c r="F197" s="299">
        <v>8</v>
      </c>
      <c r="G197" s="207" t="s">
        <v>244</v>
      </c>
    </row>
    <row r="198" ht="45" customHeight="1">
      <c r="A198" s="226"/>
      <c r="B198" s="238">
        <v>1659</v>
      </c>
      <c r="C198" s="242" t="s">
        <v>276</v>
      </c>
      <c r="D198" s="299">
        <v>0</v>
      </c>
      <c r="E198" s="299">
        <v>0</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289</v>
      </c>
      <c r="AZ1296" s="0" t="s">
        <v>293</v>
      </c>
      <c r="BA1296" s="0" t="s">
        <v>285</v>
      </c>
      <c r="BB1296" s="0" t="str">
        <f t="shared" si="20"/>
        <v>IHVNnaDoma</v>
      </c>
    </row>
    <row r="1297">
      <c r="AV1297" s="0" t="s">
        <v>473</v>
      </c>
      <c r="AW1297" s="0" t="s">
        <v>286</v>
      </c>
      <c r="AX1297" s="0" t="s">
        <v>504</v>
      </c>
      <c r="AY1297" s="0" t="s">
        <v>3620</v>
      </c>
      <c r="AZ1297" s="0" t="s">
        <v>3621</v>
      </c>
      <c r="BA1297" s="0" t="s">
        <v>285</v>
      </c>
      <c r="BB1297" s="0" t="str">
        <f t="shared" si="20"/>
        <v>IHVNnaDoma</v>
      </c>
    </row>
    <row r="1298">
      <c r="AV1298" s="0" t="s">
        <v>473</v>
      </c>
      <c r="AW1298" s="0" t="s">
        <v>286</v>
      </c>
      <c r="AX1298" s="0" t="s">
        <v>504</v>
      </c>
      <c r="AY1298" s="0" t="s">
        <v>3622</v>
      </c>
      <c r="AZ1298" s="0" t="s">
        <v>3623</v>
      </c>
      <c r="BA1298" s="0" t="s">
        <v>285</v>
      </c>
      <c r="BB1298" s="0" t="str">
        <f t="shared" si="20"/>
        <v>IHVNnaDoma</v>
      </c>
    </row>
    <row r="1299">
      <c r="AV1299" s="0" t="s">
        <v>473</v>
      </c>
      <c r="AW1299" s="0" t="s">
        <v>286</v>
      </c>
      <c r="AX1299" s="0" t="s">
        <v>504</v>
      </c>
      <c r="AY1299" s="0" t="s">
        <v>3624</v>
      </c>
      <c r="AZ1299" s="0" t="s">
        <v>3625</v>
      </c>
      <c r="BA1299" s="0" t="s">
        <v>285</v>
      </c>
      <c r="BB1299" s="0" t="str">
        <f t="shared" si="20"/>
        <v>IHVNnaDoma</v>
      </c>
    </row>
    <row r="1300">
      <c r="AV1300" s="0" t="s">
        <v>473</v>
      </c>
      <c r="AW1300" s="0" t="s">
        <v>286</v>
      </c>
      <c r="AX1300" s="0" t="s">
        <v>504</v>
      </c>
      <c r="AY1300" s="0" t="s">
        <v>3626</v>
      </c>
      <c r="AZ1300" s="0" t="s">
        <v>3627</v>
      </c>
      <c r="BA1300" s="0" t="s">
        <v>285</v>
      </c>
      <c r="BB1300" s="0" t="str">
        <f t="shared" si="20"/>
        <v>IHVNnaDoma</v>
      </c>
    </row>
    <row r="1301">
      <c r="AV1301" s="0" t="s">
        <v>473</v>
      </c>
      <c r="AW1301" s="0" t="s">
        <v>286</v>
      </c>
      <c r="AX1301" s="0" t="s">
        <v>504</v>
      </c>
      <c r="AY1301" s="0" t="s">
        <v>3628</v>
      </c>
      <c r="AZ1301" s="0" t="s">
        <v>3629</v>
      </c>
      <c r="BA1301" s="0" t="s">
        <v>285</v>
      </c>
      <c r="BB1301" s="0" t="str">
        <f t="shared" si="20"/>
        <v>IHVNnaDoma</v>
      </c>
    </row>
    <row r="1302">
      <c r="AV1302" s="0" t="s">
        <v>473</v>
      </c>
      <c r="AW1302" s="0" t="s">
        <v>286</v>
      </c>
      <c r="AX1302" s="0" t="s">
        <v>504</v>
      </c>
      <c r="AY1302" s="0" t="s">
        <v>3630</v>
      </c>
      <c r="AZ1302" s="0" t="s">
        <v>3631</v>
      </c>
      <c r="BA1302" s="0" t="s">
        <v>285</v>
      </c>
      <c r="BB1302" s="0" t="str">
        <f t="shared" si="20"/>
        <v>IHVNnaDoma</v>
      </c>
    </row>
    <row r="1303">
      <c r="AV1303" s="0" t="s">
        <v>473</v>
      </c>
      <c r="AW1303" s="0" t="s">
        <v>286</v>
      </c>
      <c r="AX1303" s="0" t="s">
        <v>504</v>
      </c>
      <c r="AY1303" s="0" t="s">
        <v>3632</v>
      </c>
      <c r="AZ1303" s="0" t="s">
        <v>3633</v>
      </c>
      <c r="BA1303" s="0" t="s">
        <v>285</v>
      </c>
      <c r="BB1303" s="0" t="str">
        <f t="shared" si="20"/>
        <v>IHVNnaDoma</v>
      </c>
    </row>
    <row r="1304">
      <c r="AV1304" s="0" t="s">
        <v>473</v>
      </c>
      <c r="AW1304" s="0" t="s">
        <v>286</v>
      </c>
      <c r="AX1304" s="0" t="s">
        <v>504</v>
      </c>
      <c r="AY1304" s="0" t="s">
        <v>3634</v>
      </c>
      <c r="AZ1304" s="0" t="s">
        <v>3635</v>
      </c>
      <c r="BA1304" s="0" t="s">
        <v>285</v>
      </c>
      <c r="BB1304" s="0" t="str">
        <f t="shared" si="20"/>
        <v>IHVNnaDoma</v>
      </c>
    </row>
    <row r="1305">
      <c r="AV1305" s="0" t="s">
        <v>473</v>
      </c>
      <c r="AW1305" s="0" t="s">
        <v>286</v>
      </c>
      <c r="AX1305" s="0" t="s">
        <v>504</v>
      </c>
      <c r="AY1305" s="0" t="s">
        <v>3636</v>
      </c>
      <c r="AZ1305" s="0" t="s">
        <v>3637</v>
      </c>
      <c r="BA1305" s="0" t="s">
        <v>285</v>
      </c>
      <c r="BB1305" s="0" t="str">
        <f t="shared" si="20"/>
        <v>IHVNnaDoma</v>
      </c>
    </row>
    <row r="1306">
      <c r="AV1306" s="0" t="s">
        <v>473</v>
      </c>
      <c r="AW1306" s="0" t="s">
        <v>286</v>
      </c>
      <c r="AX1306" s="0" t="s">
        <v>504</v>
      </c>
      <c r="AY1306" s="0" t="s">
        <v>3638</v>
      </c>
      <c r="AZ1306" s="0" t="s">
        <v>3639</v>
      </c>
      <c r="BA1306" s="0" t="s">
        <v>285</v>
      </c>
      <c r="BB1306" s="0" t="str">
        <f t="shared" si="20"/>
        <v>IHVNnaDoma</v>
      </c>
    </row>
    <row r="1307">
      <c r="AV1307" s="0" t="s">
        <v>473</v>
      </c>
      <c r="AW1307" s="0" t="s">
        <v>286</v>
      </c>
      <c r="AX1307" s="0" t="s">
        <v>504</v>
      </c>
      <c r="AY1307" s="0" t="s">
        <v>3640</v>
      </c>
      <c r="AZ1307" s="0" t="s">
        <v>3641</v>
      </c>
      <c r="BA1307" s="0" t="s">
        <v>285</v>
      </c>
      <c r="BB1307" s="0" t="str">
        <f t="shared" si="20"/>
        <v>IHVNnaDoma</v>
      </c>
    </row>
    <row r="1308">
      <c r="AV1308" s="0" t="s">
        <v>473</v>
      </c>
      <c r="AW1308" s="0" t="s">
        <v>286</v>
      </c>
      <c r="AX1308" s="0" t="s">
        <v>504</v>
      </c>
      <c r="AY1308" s="0" t="s">
        <v>3642</v>
      </c>
      <c r="AZ1308" s="0" t="s">
        <v>3643</v>
      </c>
      <c r="BA1308" s="0" t="s">
        <v>285</v>
      </c>
      <c r="BB1308" s="0" t="str">
        <f t="shared" si="20"/>
        <v>IHVNnaDoma</v>
      </c>
    </row>
    <row r="1309">
      <c r="AV1309" s="0" t="s">
        <v>473</v>
      </c>
      <c r="AW1309" s="0" t="s">
        <v>286</v>
      </c>
      <c r="AX1309" s="0" t="s">
        <v>504</v>
      </c>
      <c r="AY1309" s="0" t="s">
        <v>3644</v>
      </c>
      <c r="AZ1309" s="0" t="s">
        <v>3645</v>
      </c>
      <c r="BA1309" s="0" t="s">
        <v>285</v>
      </c>
      <c r="BB1309" s="0" t="str">
        <f t="shared" si="20"/>
        <v>IHVNnaDoma</v>
      </c>
    </row>
    <row r="1310">
      <c r="AV1310" s="0" t="s">
        <v>473</v>
      </c>
      <c r="AW1310" s="0" t="s">
        <v>286</v>
      </c>
      <c r="AX1310" s="0" t="s">
        <v>504</v>
      </c>
      <c r="AY1310" s="0" t="s">
        <v>3646</v>
      </c>
      <c r="AZ1310" s="0" t="s">
        <v>3647</v>
      </c>
      <c r="BA1310" s="0" t="s">
        <v>285</v>
      </c>
      <c r="BB1310" s="0" t="str">
        <f t="shared" si="20"/>
        <v>IHVNnaDoma</v>
      </c>
    </row>
    <row r="1311">
      <c r="AV1311" s="0" t="s">
        <v>473</v>
      </c>
      <c r="AW1311" s="0" t="s">
        <v>286</v>
      </c>
      <c r="AX1311" s="0" t="s">
        <v>659</v>
      </c>
      <c r="AY1311" s="0" t="s">
        <v>3648</v>
      </c>
      <c r="AZ1311" s="0" t="s">
        <v>3649</v>
      </c>
      <c r="BA1311" s="0" t="s">
        <v>285</v>
      </c>
      <c r="BB1311" s="0" t="str">
        <f t="shared" si="20"/>
        <v>IHVNnaKaru</v>
      </c>
    </row>
    <row r="1312">
      <c r="AV1312" s="0" t="s">
        <v>473</v>
      </c>
      <c r="AW1312" s="0" t="s">
        <v>286</v>
      </c>
      <c r="AX1312" s="0" t="s">
        <v>659</v>
      </c>
      <c r="AY1312" s="0" t="s">
        <v>3650</v>
      </c>
      <c r="AZ1312" s="0" t="s">
        <v>3651</v>
      </c>
      <c r="BA1312" s="0" t="s">
        <v>285</v>
      </c>
      <c r="BB1312" s="0" t="str">
        <f t="shared" si="20"/>
        <v>IHVNnaKaru</v>
      </c>
    </row>
    <row r="1313">
      <c r="AV1313" s="0" t="s">
        <v>473</v>
      </c>
      <c r="AW1313" s="0" t="s">
        <v>286</v>
      </c>
      <c r="AX1313" s="0" t="s">
        <v>659</v>
      </c>
      <c r="AY1313" s="0" t="s">
        <v>3652</v>
      </c>
      <c r="AZ1313" s="0" t="s">
        <v>3653</v>
      </c>
      <c r="BA1313" s="0" t="s">
        <v>285</v>
      </c>
      <c r="BB1313" s="0" t="str">
        <f t="shared" si="20"/>
        <v>IHVNnaKaru</v>
      </c>
    </row>
    <row r="1314">
      <c r="AV1314" s="0" t="s">
        <v>473</v>
      </c>
      <c r="AW1314" s="0" t="s">
        <v>286</v>
      </c>
      <c r="AX1314" s="0" t="s">
        <v>659</v>
      </c>
      <c r="AY1314" s="0" t="s">
        <v>3654</v>
      </c>
      <c r="AZ1314" s="0" t="s">
        <v>3655</v>
      </c>
      <c r="BA1314" s="0" t="s">
        <v>285</v>
      </c>
      <c r="BB1314" s="0" t="str">
        <f t="shared" si="20"/>
        <v>IHVNnaKaru</v>
      </c>
    </row>
    <row r="1315">
      <c r="AV1315" s="0" t="s">
        <v>473</v>
      </c>
      <c r="AW1315" s="0" t="s">
        <v>286</v>
      </c>
      <c r="AX1315" s="0" t="s">
        <v>659</v>
      </c>
      <c r="AY1315" s="0" t="s">
        <v>3656</v>
      </c>
      <c r="AZ1315" s="0" t="s">
        <v>3657</v>
      </c>
      <c r="BA1315" s="0" t="s">
        <v>285</v>
      </c>
      <c r="BB1315" s="0" t="str">
        <f t="shared" si="20"/>
        <v>IHVNnaKaru</v>
      </c>
    </row>
    <row r="1316">
      <c r="AV1316" s="0" t="s">
        <v>473</v>
      </c>
      <c r="AW1316" s="0" t="s">
        <v>286</v>
      </c>
      <c r="AX1316" s="0" t="s">
        <v>659</v>
      </c>
      <c r="AY1316" s="0" t="s">
        <v>3658</v>
      </c>
      <c r="AZ1316" s="0" t="s">
        <v>3659</v>
      </c>
      <c r="BA1316" s="0" t="s">
        <v>285</v>
      </c>
      <c r="BB1316" s="0" t="str">
        <f t="shared" si="20"/>
        <v>IHVNnaKaru</v>
      </c>
    </row>
    <row r="1317">
      <c r="AV1317" s="0" t="s">
        <v>473</v>
      </c>
      <c r="AW1317" s="0" t="s">
        <v>286</v>
      </c>
      <c r="AX1317" s="0" t="s">
        <v>659</v>
      </c>
      <c r="AY1317" s="0" t="s">
        <v>3660</v>
      </c>
      <c r="AZ1317" s="0" t="s">
        <v>3661</v>
      </c>
      <c r="BA1317" s="0" t="s">
        <v>285</v>
      </c>
      <c r="BB1317" s="0" t="str">
        <f t="shared" si="20"/>
        <v>IHVNnaKaru</v>
      </c>
    </row>
    <row r="1318">
      <c r="AV1318" s="0" t="s">
        <v>473</v>
      </c>
      <c r="AW1318" s="0" t="s">
        <v>286</v>
      </c>
      <c r="AX1318" s="0" t="s">
        <v>659</v>
      </c>
      <c r="AY1318" s="0" t="s">
        <v>3662</v>
      </c>
      <c r="AZ1318" s="0" t="s">
        <v>3663</v>
      </c>
      <c r="BA1318" s="0" t="s">
        <v>285</v>
      </c>
      <c r="BB1318" s="0" t="str">
        <f t="shared" si="20"/>
        <v>IHVNnaKaru</v>
      </c>
    </row>
    <row r="1319">
      <c r="AV1319" s="0" t="s">
        <v>473</v>
      </c>
      <c r="AW1319" s="0" t="s">
        <v>286</v>
      </c>
      <c r="AX1319" s="0" t="s">
        <v>659</v>
      </c>
      <c r="AY1319" s="0" t="s">
        <v>3664</v>
      </c>
      <c r="AZ1319" s="0" t="s">
        <v>3665</v>
      </c>
      <c r="BA1319" s="0" t="s">
        <v>285</v>
      </c>
      <c r="BB1319" s="0" t="str">
        <f t="shared" si="20"/>
        <v>IHVNnaKaru</v>
      </c>
    </row>
    <row r="1320">
      <c r="AV1320" s="0" t="s">
        <v>473</v>
      </c>
      <c r="AW1320" s="0" t="s">
        <v>286</v>
      </c>
      <c r="AX1320" s="0" t="s">
        <v>659</v>
      </c>
      <c r="AY1320" s="0" t="s">
        <v>3666</v>
      </c>
      <c r="AZ1320" s="0" t="s">
        <v>3667</v>
      </c>
      <c r="BA1320" s="0" t="s">
        <v>285</v>
      </c>
      <c r="BB1320" s="0" t="str">
        <f t="shared" si="20"/>
        <v>IHVNnaKaru</v>
      </c>
    </row>
    <row r="1321">
      <c r="AV1321" s="0" t="s">
        <v>473</v>
      </c>
      <c r="AW1321" s="0" t="s">
        <v>286</v>
      </c>
      <c r="AX1321" s="0" t="s">
        <v>659</v>
      </c>
      <c r="AY1321" s="0" t="s">
        <v>3668</v>
      </c>
      <c r="AZ1321" s="0" t="s">
        <v>3669</v>
      </c>
      <c r="BA1321" s="0" t="s">
        <v>285</v>
      </c>
      <c r="BB1321" s="0" t="str">
        <f t="shared" si="20"/>
        <v>IHVNnaKaru</v>
      </c>
    </row>
    <row r="1322">
      <c r="AV1322" s="0" t="s">
        <v>473</v>
      </c>
      <c r="AW1322" s="0" t="s">
        <v>286</v>
      </c>
      <c r="AX1322" s="0" t="s">
        <v>659</v>
      </c>
      <c r="AY1322" s="0" t="s">
        <v>3670</v>
      </c>
      <c r="AZ1322" s="0" t="s">
        <v>3671</v>
      </c>
      <c r="BA1322" s="0" t="s">
        <v>285</v>
      </c>
      <c r="BB1322" s="0" t="str">
        <f t="shared" si="20"/>
        <v>IHVNnaKaru</v>
      </c>
    </row>
    <row r="1323">
      <c r="AV1323" s="0" t="s">
        <v>473</v>
      </c>
      <c r="AW1323" s="0" t="s">
        <v>286</v>
      </c>
      <c r="AX1323" s="0" t="s">
        <v>659</v>
      </c>
      <c r="AY1323" s="0" t="s">
        <v>3672</v>
      </c>
      <c r="AZ1323" s="0" t="s">
        <v>3673</v>
      </c>
      <c r="BA1323" s="0" t="s">
        <v>285</v>
      </c>
      <c r="BB1323" s="0" t="str">
        <f t="shared" si="20"/>
        <v>IHVNnaKaru</v>
      </c>
    </row>
    <row r="1324">
      <c r="AV1324" s="0" t="s">
        <v>473</v>
      </c>
      <c r="AW1324" s="0" t="s">
        <v>286</v>
      </c>
      <c r="AX1324" s="0" t="s">
        <v>659</v>
      </c>
      <c r="AY1324" s="0" t="s">
        <v>3674</v>
      </c>
      <c r="AZ1324" s="0" t="s">
        <v>3675</v>
      </c>
      <c r="BA1324" s="0" t="s">
        <v>285</v>
      </c>
      <c r="BB1324" s="0" t="str">
        <f t="shared" si="20"/>
        <v>IHVNnaKaru</v>
      </c>
    </row>
    <row r="1325">
      <c r="AV1325" s="0" t="s">
        <v>473</v>
      </c>
      <c r="AW1325" s="0" t="s">
        <v>286</v>
      </c>
      <c r="AX1325" s="0" t="s">
        <v>659</v>
      </c>
      <c r="AY1325" s="0" t="s">
        <v>3676</v>
      </c>
      <c r="AZ1325" s="0" t="s">
        <v>3677</v>
      </c>
      <c r="BA1325" s="0" t="s">
        <v>285</v>
      </c>
      <c r="BB1325" s="0" t="str">
        <f t="shared" si="20"/>
        <v>IHVNnaKaru</v>
      </c>
    </row>
    <row r="1326">
      <c r="AV1326" s="0" t="s">
        <v>473</v>
      </c>
      <c r="AW1326" s="0" t="s">
        <v>286</v>
      </c>
      <c r="AX1326" s="0" t="s">
        <v>659</v>
      </c>
      <c r="AY1326" s="0" t="s">
        <v>3678</v>
      </c>
      <c r="AZ1326" s="0" t="s">
        <v>3679</v>
      </c>
      <c r="BA1326" s="0" t="s">
        <v>285</v>
      </c>
      <c r="BB1326" s="0" t="str">
        <f t="shared" si="20"/>
        <v>IHVNnaKaru</v>
      </c>
    </row>
    <row r="1327">
      <c r="AV1327" s="0" t="s">
        <v>473</v>
      </c>
      <c r="AW1327" s="0" t="s">
        <v>286</v>
      </c>
      <c r="AX1327" s="0" t="s">
        <v>659</v>
      </c>
      <c r="AY1327" s="0" t="s">
        <v>3680</v>
      </c>
      <c r="AZ1327" s="0" t="s">
        <v>3681</v>
      </c>
      <c r="BA1327" s="0" t="s">
        <v>285</v>
      </c>
      <c r="BB1327" s="0" t="str">
        <f t="shared" si="20"/>
        <v>IHVNnaKaru</v>
      </c>
    </row>
    <row r="1328">
      <c r="AV1328" s="0" t="s">
        <v>473</v>
      </c>
      <c r="AW1328" s="0" t="s">
        <v>286</v>
      </c>
      <c r="AX1328" s="0" t="s">
        <v>659</v>
      </c>
      <c r="AY1328" s="0" t="s">
        <v>3682</v>
      </c>
      <c r="AZ1328" s="0" t="s">
        <v>3683</v>
      </c>
      <c r="BA1328" s="0" t="s">
        <v>285</v>
      </c>
      <c r="BB1328" s="0" t="str">
        <f t="shared" si="20"/>
        <v>IHVNnaKaru</v>
      </c>
    </row>
    <row r="1329">
      <c r="AV1329" s="0" t="s">
        <v>473</v>
      </c>
      <c r="AW1329" s="0" t="s">
        <v>286</v>
      </c>
      <c r="AX1329" s="0" t="s">
        <v>659</v>
      </c>
      <c r="AY1329" s="0" t="s">
        <v>3684</v>
      </c>
      <c r="AZ1329" s="0" t="s">
        <v>3685</v>
      </c>
      <c r="BA1329" s="0" t="s">
        <v>285</v>
      </c>
      <c r="BB1329" s="0" t="str">
        <f t="shared" si="20"/>
        <v>IHVNnaKaru</v>
      </c>
    </row>
    <row r="1330">
      <c r="AV1330" s="0" t="s">
        <v>473</v>
      </c>
      <c r="AW1330" s="0" t="s">
        <v>286</v>
      </c>
      <c r="AX1330" s="0" t="s">
        <v>659</v>
      </c>
      <c r="AY1330" s="0" t="s">
        <v>3686</v>
      </c>
      <c r="AZ1330" s="0" t="s">
        <v>3687</v>
      </c>
      <c r="BA1330" s="0" t="s">
        <v>285</v>
      </c>
      <c r="BB1330" s="0" t="str">
        <f t="shared" si="20"/>
        <v>IHVNnaKaru</v>
      </c>
    </row>
    <row r="1331">
      <c r="AV1331" s="0" t="s">
        <v>473</v>
      </c>
      <c r="AW1331" s="0" t="s">
        <v>286</v>
      </c>
      <c r="AX1331" s="0" t="s">
        <v>659</v>
      </c>
      <c r="AY1331" s="0" t="s">
        <v>3688</v>
      </c>
      <c r="AZ1331" s="0" t="s">
        <v>3689</v>
      </c>
      <c r="BA1331" s="0" t="s">
        <v>285</v>
      </c>
      <c r="BB1331" s="0" t="str">
        <f t="shared" si="20"/>
        <v>IHVNnaKaru</v>
      </c>
    </row>
    <row r="1332">
      <c r="AV1332" s="0" t="s">
        <v>473</v>
      </c>
      <c r="AW1332" s="0" t="s">
        <v>286</v>
      </c>
      <c r="AX1332" s="0" t="s">
        <v>659</v>
      </c>
      <c r="AY1332" s="0" t="s">
        <v>3690</v>
      </c>
      <c r="AZ1332" s="0" t="s">
        <v>3691</v>
      </c>
      <c r="BA1332" s="0" t="s">
        <v>285</v>
      </c>
      <c r="BB1332" s="0" t="str">
        <f t="shared" si="20"/>
        <v>IHVNnaKaru</v>
      </c>
    </row>
    <row r="1333">
      <c r="AV1333" s="0" t="s">
        <v>473</v>
      </c>
      <c r="AW1333" s="0" t="s">
        <v>286</v>
      </c>
      <c r="AX1333" s="0" t="s">
        <v>659</v>
      </c>
      <c r="AY1333" s="0" t="s">
        <v>3388</v>
      </c>
      <c r="AZ1333" s="0" t="s">
        <v>3692</v>
      </c>
      <c r="BA1333" s="0" t="s">
        <v>285</v>
      </c>
      <c r="BB1333" s="0" t="str">
        <f t="shared" si="20"/>
        <v>IHVNnaKaru</v>
      </c>
    </row>
    <row r="1334">
      <c r="AV1334" s="0" t="s">
        <v>473</v>
      </c>
      <c r="AW1334" s="0" t="s">
        <v>286</v>
      </c>
      <c r="AX1334" s="0" t="s">
        <v>659</v>
      </c>
      <c r="AY1334" s="0" t="s">
        <v>3390</v>
      </c>
      <c r="AZ1334" s="0" t="s">
        <v>3693</v>
      </c>
      <c r="BA1334" s="0" t="s">
        <v>285</v>
      </c>
      <c r="BB1334" s="0" t="str">
        <f t="shared" si="20"/>
        <v>IHVNnaKaru</v>
      </c>
    </row>
    <row r="1335">
      <c r="AV1335" s="0" t="s">
        <v>473</v>
      </c>
      <c r="AW1335" s="0" t="s">
        <v>286</v>
      </c>
      <c r="AX1335" s="0" t="s">
        <v>659</v>
      </c>
      <c r="AY1335" s="0" t="s">
        <v>3694</v>
      </c>
      <c r="AZ1335" s="0" t="s">
        <v>3695</v>
      </c>
      <c r="BA1335" s="0" t="s">
        <v>285</v>
      </c>
      <c r="BB1335" s="0" t="str">
        <f t="shared" si="20"/>
        <v>IHVNnaKaru</v>
      </c>
    </row>
    <row r="1336">
      <c r="AV1336" s="0" t="s">
        <v>473</v>
      </c>
      <c r="AW1336" s="0" t="s">
        <v>286</v>
      </c>
      <c r="AX1336" s="0" t="s">
        <v>659</v>
      </c>
      <c r="AY1336" s="0" t="s">
        <v>3696</v>
      </c>
      <c r="AZ1336" s="0" t="s">
        <v>3697</v>
      </c>
      <c r="BA1336" s="0" t="s">
        <v>285</v>
      </c>
      <c r="BB1336" s="0" t="str">
        <f t="shared" si="20"/>
        <v>IHVNnaKaru</v>
      </c>
    </row>
    <row r="1337">
      <c r="AV1337" s="0" t="s">
        <v>473</v>
      </c>
      <c r="AW1337" s="0" t="s">
        <v>286</v>
      </c>
      <c r="AX1337" s="0" t="s">
        <v>659</v>
      </c>
      <c r="AY1337" s="0" t="s">
        <v>3698</v>
      </c>
      <c r="AZ1337" s="0" t="s">
        <v>3699</v>
      </c>
      <c r="BA1337" s="0" t="s">
        <v>285</v>
      </c>
      <c r="BB1337" s="0" t="str">
        <f t="shared" si="20"/>
        <v>IHVNnaKaru</v>
      </c>
    </row>
    <row r="1338">
      <c r="AV1338" s="0" t="s">
        <v>473</v>
      </c>
      <c r="AW1338" s="0" t="s">
        <v>286</v>
      </c>
      <c r="AX1338" s="0" t="s">
        <v>659</v>
      </c>
      <c r="AY1338" s="0" t="s">
        <v>3700</v>
      </c>
      <c r="AZ1338" s="0" t="s">
        <v>3701</v>
      </c>
      <c r="BA1338" s="0" t="s">
        <v>285</v>
      </c>
      <c r="BB1338" s="0" t="str">
        <f t="shared" si="20"/>
        <v>IHVNnaKaru</v>
      </c>
    </row>
    <row r="1339">
      <c r="AV1339" s="0" t="s">
        <v>473</v>
      </c>
      <c r="AW1339" s="0" t="s">
        <v>286</v>
      </c>
      <c r="AX1339" s="0" t="s">
        <v>659</v>
      </c>
      <c r="AY1339" s="0" t="s">
        <v>3702</v>
      </c>
      <c r="AZ1339" s="0" t="s">
        <v>3703</v>
      </c>
      <c r="BA1339" s="0" t="s">
        <v>285</v>
      </c>
      <c r="BB1339" s="0" t="str">
        <f t="shared" si="20"/>
        <v>IHVNnaKaru</v>
      </c>
    </row>
    <row r="1340">
      <c r="AV1340" s="0" t="s">
        <v>473</v>
      </c>
      <c r="AW1340" s="0" t="s">
        <v>286</v>
      </c>
      <c r="AX1340" s="0" t="s">
        <v>659</v>
      </c>
      <c r="AY1340" s="0" t="s">
        <v>3704</v>
      </c>
      <c r="AZ1340" s="0" t="s">
        <v>3705</v>
      </c>
      <c r="BA1340" s="0" t="s">
        <v>285</v>
      </c>
      <c r="BB1340" s="0" t="str">
        <f t="shared" si="20"/>
        <v>IHVNnaKaru</v>
      </c>
    </row>
    <row r="1341">
      <c r="AV1341" s="0" t="s">
        <v>473</v>
      </c>
      <c r="AW1341" s="0" t="s">
        <v>286</v>
      </c>
      <c r="AX1341" s="0" t="s">
        <v>659</v>
      </c>
      <c r="AY1341" s="0" t="s">
        <v>3706</v>
      </c>
      <c r="AZ1341" s="0" t="s">
        <v>3707</v>
      </c>
      <c r="BA1341" s="0" t="s">
        <v>285</v>
      </c>
      <c r="BB1341" s="0" t="str">
        <f t="shared" si="20"/>
        <v>IHVNnaKaru</v>
      </c>
    </row>
    <row r="1342">
      <c r="AV1342" s="0" t="s">
        <v>473</v>
      </c>
      <c r="AW1342" s="0" t="s">
        <v>286</v>
      </c>
      <c r="AX1342" s="0" t="s">
        <v>659</v>
      </c>
      <c r="AY1342" s="0" t="s">
        <v>3708</v>
      </c>
      <c r="AZ1342" s="0" t="s">
        <v>3709</v>
      </c>
      <c r="BA1342" s="0" t="s">
        <v>285</v>
      </c>
      <c r="BB1342" s="0" t="str">
        <f t="shared" si="20"/>
        <v>IHVNnaKaru</v>
      </c>
    </row>
    <row r="1343">
      <c r="AV1343" s="0" t="s">
        <v>473</v>
      </c>
      <c r="AW1343" s="0" t="s">
        <v>286</v>
      </c>
      <c r="AX1343" s="0" t="s">
        <v>659</v>
      </c>
      <c r="AY1343" s="0" t="s">
        <v>3710</v>
      </c>
      <c r="AZ1343" s="0" t="s">
        <v>3711</v>
      </c>
      <c r="BA1343" s="0" t="s">
        <v>285</v>
      </c>
      <c r="BB1343" s="0" t="str">
        <f t="shared" si="20"/>
        <v>IHVNnaKaru</v>
      </c>
    </row>
    <row r="1344">
      <c r="AV1344" s="0" t="s">
        <v>473</v>
      </c>
      <c r="AW1344" s="0" t="s">
        <v>286</v>
      </c>
      <c r="AX1344" s="0" t="s">
        <v>659</v>
      </c>
      <c r="AY1344" s="0" t="s">
        <v>3712</v>
      </c>
      <c r="AZ1344" s="0" t="s">
        <v>3713</v>
      </c>
      <c r="BA1344" s="0" t="s">
        <v>285</v>
      </c>
      <c r="BB1344" s="0" t="str">
        <f t="shared" si="20"/>
        <v>IHVNnaKaru</v>
      </c>
    </row>
    <row r="1345">
      <c r="AV1345" s="0" t="s">
        <v>473</v>
      </c>
      <c r="AW1345" s="0" t="s">
        <v>286</v>
      </c>
      <c r="AX1345" s="0" t="s">
        <v>659</v>
      </c>
      <c r="AY1345" s="0" t="s">
        <v>3714</v>
      </c>
      <c r="AZ1345" s="0" t="s">
        <v>3715</v>
      </c>
      <c r="BA1345" s="0" t="s">
        <v>285</v>
      </c>
      <c r="BB1345" s="0" t="str">
        <f t="shared" si="20"/>
        <v>IHVNnaKaru</v>
      </c>
    </row>
    <row r="1346">
      <c r="AV1346" s="0" t="s">
        <v>473</v>
      </c>
      <c r="AW1346" s="0" t="s">
        <v>286</v>
      </c>
      <c r="AX1346" s="0" t="s">
        <v>659</v>
      </c>
      <c r="AY1346" s="0" t="s">
        <v>3716</v>
      </c>
      <c r="AZ1346" s="0" t="s">
        <v>3717</v>
      </c>
      <c r="BA1346" s="0" t="s">
        <v>285</v>
      </c>
      <c r="BB1346" s="0" t="str">
        <f t="shared" si="20"/>
        <v>IHVNnaKaru</v>
      </c>
    </row>
    <row r="1347">
      <c r="AV1347" s="0" t="s">
        <v>473</v>
      </c>
      <c r="AW1347" s="0" t="s">
        <v>286</v>
      </c>
      <c r="AX1347" s="0" t="s">
        <v>659</v>
      </c>
      <c r="AY1347" s="0" t="s">
        <v>3718</v>
      </c>
      <c r="AZ1347" s="0" t="s">
        <v>3719</v>
      </c>
      <c r="BA1347" s="0" t="s">
        <v>285</v>
      </c>
      <c r="BB1347" s="0" t="str">
        <f ref="BB1347:BB1410" t="shared" si="21">SUBSTITUTE(SUBSTITUTE(BA1347&amp;AX1347," ",""),"-","")</f>
        <v>IHVNnaKaru</v>
      </c>
    </row>
    <row r="1348">
      <c r="AV1348" s="0" t="s">
        <v>473</v>
      </c>
      <c r="AW1348" s="0" t="s">
        <v>286</v>
      </c>
      <c r="AX1348" s="0" t="s">
        <v>659</v>
      </c>
      <c r="AY1348" s="0" t="s">
        <v>3720</v>
      </c>
      <c r="AZ1348" s="0" t="s">
        <v>3721</v>
      </c>
      <c r="BA1348" s="0" t="s">
        <v>285</v>
      </c>
      <c r="BB1348" s="0" t="str">
        <f t="shared" si="21"/>
        <v>IHVNnaKaru</v>
      </c>
    </row>
    <row r="1349">
      <c r="AV1349" s="0" t="s">
        <v>473</v>
      </c>
      <c r="AW1349" s="0" t="s">
        <v>286</v>
      </c>
      <c r="AX1349" s="0" t="s">
        <v>659</v>
      </c>
      <c r="AY1349" s="0" t="s">
        <v>3722</v>
      </c>
      <c r="AZ1349" s="0" t="s">
        <v>3723</v>
      </c>
      <c r="BA1349" s="0" t="s">
        <v>285</v>
      </c>
      <c r="BB1349" s="0" t="str">
        <f t="shared" si="21"/>
        <v>IHVNnaKaru</v>
      </c>
    </row>
    <row r="1350">
      <c r="AV1350" s="0" t="s">
        <v>473</v>
      </c>
      <c r="AW1350" s="0" t="s">
        <v>286</v>
      </c>
      <c r="AX1350" s="0" t="s">
        <v>659</v>
      </c>
      <c r="AY1350" s="0" t="s">
        <v>3724</v>
      </c>
      <c r="AZ1350" s="0" t="s">
        <v>3725</v>
      </c>
      <c r="BA1350" s="0" t="s">
        <v>285</v>
      </c>
      <c r="BB1350" s="0" t="str">
        <f t="shared" si="21"/>
        <v>IHVNnaKaru</v>
      </c>
    </row>
    <row r="1351">
      <c r="AV1351" s="0" t="s">
        <v>473</v>
      </c>
      <c r="AW1351" s="0" t="s">
        <v>286</v>
      </c>
      <c r="AX1351" s="0" t="s">
        <v>659</v>
      </c>
      <c r="AY1351" s="0" t="s">
        <v>3726</v>
      </c>
      <c r="AZ1351" s="0" t="s">
        <v>3727</v>
      </c>
      <c r="BA1351" s="0" t="s">
        <v>285</v>
      </c>
      <c r="BB1351" s="0" t="str">
        <f t="shared" si="21"/>
        <v>IHVNnaKaru</v>
      </c>
    </row>
    <row r="1352">
      <c r="AV1352" s="0" t="s">
        <v>473</v>
      </c>
      <c r="AW1352" s="0" t="s">
        <v>286</v>
      </c>
      <c r="AX1352" s="0" t="s">
        <v>659</v>
      </c>
      <c r="AY1352" s="0" t="s">
        <v>3728</v>
      </c>
      <c r="AZ1352" s="0" t="s">
        <v>3729</v>
      </c>
      <c r="BA1352" s="0" t="s">
        <v>285</v>
      </c>
      <c r="BB1352" s="0" t="str">
        <f t="shared" si="21"/>
        <v>IHVNnaKaru</v>
      </c>
    </row>
    <row r="1353">
      <c r="AV1353" s="0" t="s">
        <v>473</v>
      </c>
      <c r="AW1353" s="0" t="s">
        <v>286</v>
      </c>
      <c r="AX1353" s="0" t="s">
        <v>659</v>
      </c>
      <c r="AY1353" s="0" t="s">
        <v>3730</v>
      </c>
      <c r="AZ1353" s="0" t="s">
        <v>3731</v>
      </c>
      <c r="BA1353" s="0" t="s">
        <v>285</v>
      </c>
      <c r="BB1353" s="0" t="str">
        <f t="shared" si="21"/>
        <v>IHVNnaKaru</v>
      </c>
    </row>
    <row r="1354">
      <c r="AV1354" s="0" t="s">
        <v>473</v>
      </c>
      <c r="AW1354" s="0" t="s">
        <v>286</v>
      </c>
      <c r="AX1354" s="0" t="s">
        <v>659</v>
      </c>
      <c r="AY1354" s="0" t="s">
        <v>3151</v>
      </c>
      <c r="AZ1354" s="0" t="s">
        <v>3732</v>
      </c>
      <c r="BA1354" s="0" t="s">
        <v>285</v>
      </c>
      <c r="BB1354" s="0" t="str">
        <f t="shared" si="21"/>
        <v>IHVNnaKaru</v>
      </c>
    </row>
    <row r="1355">
      <c r="AV1355" s="0" t="s">
        <v>473</v>
      </c>
      <c r="AW1355" s="0" t="s">
        <v>286</v>
      </c>
      <c r="AX1355" s="0" t="s">
        <v>659</v>
      </c>
      <c r="AY1355" s="0" t="s">
        <v>3733</v>
      </c>
      <c r="AZ1355" s="0" t="s">
        <v>3734</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