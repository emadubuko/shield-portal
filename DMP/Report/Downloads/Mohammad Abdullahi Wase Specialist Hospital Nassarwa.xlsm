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<sst xmlns="http://schemas.openxmlformats.org/spreadsheetml/2006/main" count="4034" uniqueCount="4034">
  <si>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</si>
  <si>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</si>
  <si>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</si>
  <si>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</si>
  <si>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</si>
  <si>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</si>
  <si>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</si>
  <si>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</si>
  <si>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</si>
  <si>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</si>
  <si>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</si>
  <si>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</si>
  <si>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</si>
  <si>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</si>
  <si>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</si>
  <si>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</si>
  <si>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</si>
  <si>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</si>
  <si>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</si>
  <si>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</si>
  <si>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</si>
  <si>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</si>
  <si>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</si>
  <si>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</si>
  <si>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</si>
  <si>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</si>
  <si>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</si>
  <si>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</si>
  <si>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</si>
  <si>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</si>
  <si>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</si>
  <si>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</si>
  <si>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</si>
  <si>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</si>
  <si>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</si>
  <si>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</si>
  <si>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</si>
  <si>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</si>
  <si>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</si>
  <si>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</si>
  <si>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</si>
  <si>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</si>
  <si>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</si>
  <si>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</si>
  <si>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</si>
  <si>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</si>
  <si>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</si>
  <si>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</si>
  <si>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</si>
  <si>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</si>
  <si>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</si>
  <si>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</si>
  <si>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</si>
  <si>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</si>
  <si>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</si>
  <si>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</si>
  <si>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</si>
  <si>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</si>
  <si>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</si>
  <si>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</si>
  <si>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</si>
  <si>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</si>
  <si>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</si>
  <si>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</si>
  <si>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</si>
  <si>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</si>
  <si>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</si>
  <si>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</si>
  <si>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</si>
  <si>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</si>
  <si>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</si>
  <si>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</si>
  <si>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</si>
  <si>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</si>
  <si>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</si>
  <si>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</si>
  <si>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</si>
  <si>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</si>
  <si>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</si>
  <si>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</si>
  <si>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</si>
  <si>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</si>
  <si>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</si>
  <si>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</si>
  <si>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</si>
  <si>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</si>
  <si>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</si>
  <si>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</si>
  <si>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</si>
  <si>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</si>
  <si>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</si>
  <si>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</si>
  <si>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</si>
  <si>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</si>
  <si>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</si>
  <si>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</si>
  <si>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</si>
  <si>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</si>
  <si>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</si>
  <si>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</si>
  <si>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</si>
  <si>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</si>
  <si>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</si>
  <si>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</si>
  <si>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</si>
  <si>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</si>
  <si>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</si>
  <si>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</si>
  <si>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</si>
  <si>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</si>
  <si>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</si>
  <si>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</si>
  <si>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</si>
  <si>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</si>
  <si>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</si>
  <si>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</si>
  <si>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</si>
  <si>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</si>
  <si>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</si>
  <si>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</si>
  <si>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</si>
  <si>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</si>
  <si>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</si>
  <si>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</si>
  <si>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</si>
  <si>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</si>
  <si>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</si>
  <si>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</si>
  <si>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</si>
  <si>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</si>
  <si>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</si>
  <si>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</si>
  <si>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</si>
  <si>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</si>
  <si>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</si>
  <si>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</si>
  <si>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</si>
  <si>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</si>
  <si>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</si>
  <si>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</si>
  <si>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</si>
  <si>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</si>
  <si>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</si>
  <si>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</si>
  <si>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</si>
  <si>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</si>
  <si>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</si>
  <si>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</si>
  <si>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</si>
  <si>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</si>
  <si>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</si>
  <si>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</si>
  <si>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</si>
  <si>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</si>
  <si>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</si>
  <si>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</si>
  <si>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</si>
  <si>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</si>
  <si>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</si>
  <si>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</si>
  <si>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</si>
  <si>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</si>
  <si>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</si>
  <si>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</si>
  <si>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</si>
  <si>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</si>
  <si>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</si>
  <si>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</si>
  <si>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</si>
  <si>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</si>
  <si>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</si>
  <si>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</si>
  <si>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</si>
  <si>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</si>
  <si>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</si>
  <si>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</si>
  <si>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</si>
  <si>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</si>
  <si>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</si>
  <si>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</si>
  <si>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</si>
  <si>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</si>
  <si>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</si>
  <si>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</si>
  <si>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</si>
  <si>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</si>
  <si>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</si>
  <si>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</si>
  <si>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</si>
  <si>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</si>
  <si>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</si>
  <si>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</si>
  <si>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</si>
  <si>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</si>
  <si>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</si>
  <si>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</si>
  <si>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</si>
  <si>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</si>
  <si>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</si>
  <si>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</si>
  <si>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</si>
  <si>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</si>
  <si>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</si>
  <si>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</si>
  <si>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</si>
  <si>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</si>
  <si>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</si>
  <si>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</si>
  <si>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</si>
  <si>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</si>
  <si>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</si>
  <si>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</si>
  <si>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</si>
  <si>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</si>
  <si>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</si>
  <si>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</si>
  <si>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</si>
  <si>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</si>
  <si>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</si>
  <si>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</si>
  <si>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</si>
  <si>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</si>
  <si>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</si>
  <si>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</si>
  <si>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</si>
  <si>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</si>
  <si>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</si>
  <si>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</si>
  <si>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</si>
  <si>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</si>
  <si>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</si>
  <si>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</si>
  <si>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</si>
  <si>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</si>
  <si>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</si>
  <si>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</si>
  <si>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</si>
  <si>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</si>
  <si>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</si>
  <si>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</si>
  <si>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</si>
  <si>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</si>
  <si>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</si>
  <si>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</si>
  <si>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</si>
  <si>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</si>
  <si>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</si>
  <si>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</si>
  <si>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</si>
  <si>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</si>
  <si>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</si>
  <si>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</si>
  <si>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</si>
  <si>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</si>
  <si>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</si>
  <si>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</si>
  <si>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</si>
  <si>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</si>
  <si>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</si>
  <si>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</si>
  <si>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</si>
  <si>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</si>
  <si>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</si>
  <si>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</si>
  <si>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</si>
  <si>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</si>
  <si>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</si>
  <si>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</si>
  <si>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</si>
  <si>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</si>
  <si>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</si>
  <si>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</si>
  <si>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</si>
  <si>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</si>
  <si>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</si>
  <si>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</si>
  <si>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</si>
  <si>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</si>
  <si>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</si>
  <si>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</si>
  <si>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</si>
  <si>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</si>
  <si>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</si>
  <si>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</si>
  <si>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</si>
  <si>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</si>
  <si>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Kano</t>
  </si>
  <si>
    <t>Nassarawa</t>
  </si>
  <si>
    <t>Facility Name:</t>
  </si>
  <si>
    <t>Mohammad Abdullahi Wase Specialist Hospital Nassarwa</t>
  </si>
  <si>
    <t>Reporting Period:</t>
  </si>
  <si>
    <t>Q1(Oct - Dec)</t>
  </si>
  <si>
    <t>Facility Code:</t>
  </si>
  <si>
    <t>ClB8Ry98tWe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</si>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</sst>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2464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710</v>
      </c>
      <c r="E37" s="299">
        <v>516</v>
      </c>
      <c r="F37" s="299">
        <v>563</v>
      </c>
      <c r="G37" s="207" t="s">
        <v>67</v>
      </c>
    </row>
    <row r="38" ht="45" customHeight="1">
      <c r="A38" s="226"/>
      <c r="B38" s="238">
        <v>1153</v>
      </c>
      <c r="C38" s="242" t="s">
        <v>111</v>
      </c>
      <c r="D38" s="299">
        <v>710</v>
      </c>
      <c r="E38" s="299">
        <v>516</v>
      </c>
      <c r="F38" s="299">
        <v>563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710</v>
      </c>
      <c r="E40" s="299">
        <v>516</v>
      </c>
      <c r="F40" s="299">
        <v>563</v>
      </c>
      <c r="G40" s="207" t="s">
        <v>67</v>
      </c>
    </row>
    <row r="41" ht="45" customHeight="1">
      <c r="A41" s="226"/>
      <c r="B41" s="238">
        <v>1156</v>
      </c>
      <c r="C41" s="242" t="s">
        <v>113</v>
      </c>
      <c r="D41" s="299">
        <v>710</v>
      </c>
      <c r="E41" s="299">
        <v>516</v>
      </c>
      <c r="F41" s="299">
        <v>563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12</v>
      </c>
      <c r="E43" s="299">
        <v>15</v>
      </c>
      <c r="F43" s="299">
        <v>6</v>
      </c>
      <c r="G43" s="207" t="s">
        <v>67</v>
      </c>
    </row>
    <row r="44" ht="45" customHeight="1" s="250" customFormat="1">
      <c r="A44" s="226"/>
      <c r="B44" s="238">
        <v>1159</v>
      </c>
      <c r="C44" s="242" t="s">
        <v>116</v>
      </c>
      <c r="D44" s="299">
        <v>12</v>
      </c>
      <c r="E44" s="299">
        <v>15</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1380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10</v>
      </c>
      <c r="E55" s="299">
        <v>7</v>
      </c>
      <c r="F55" s="299">
        <v>5</v>
      </c>
      <c r="G55" s="207" t="s">
        <v>117</v>
      </c>
    </row>
    <row r="56" ht="45" customHeight="1">
      <c r="A56" s="226"/>
      <c r="B56" s="238">
        <v>1216</v>
      </c>
      <c r="C56" s="243" t="s">
        <v>134</v>
      </c>
      <c r="D56" s="299">
        <v>389</v>
      </c>
      <c r="E56" s="299">
        <v>279</v>
      </c>
      <c r="F56" s="299">
        <v>165</v>
      </c>
      <c r="G56" s="207" t="s">
        <v>117</v>
      </c>
    </row>
    <row r="57" ht="45" customHeight="1">
      <c r="A57" s="226"/>
      <c r="B57" s="238">
        <v>1217</v>
      </c>
      <c r="C57" s="243" t="s">
        <v>135</v>
      </c>
      <c r="D57" s="299">
        <v>0</v>
      </c>
      <c r="E57" s="299">
        <v>1</v>
      </c>
      <c r="F57" s="299">
        <v>1</v>
      </c>
      <c r="G57" s="207" t="s">
        <v>117</v>
      </c>
    </row>
    <row r="58" ht="45" customHeight="1">
      <c r="A58" s="226"/>
      <c r="B58" s="238">
        <v>1218</v>
      </c>
      <c r="C58" s="243" t="s">
        <v>136</v>
      </c>
      <c r="D58" s="299">
        <v>389</v>
      </c>
      <c r="E58" s="299">
        <v>278</v>
      </c>
      <c r="F58" s="299">
        <v>164</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389</v>
      </c>
      <c r="E67" s="299">
        <v>279</v>
      </c>
      <c r="F67" s="299">
        <v>165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389</v>
      </c>
      <c r="E75" s="299">
        <v>278</v>
      </c>
      <c r="F75" s="299">
        <v>164</v>
      </c>
      <c r="G75" s="207" t="s">
        <v>117</v>
      </c>
    </row>
    <row r="76" ht="45" customHeight="1">
      <c r="A76" s="226"/>
      <c r="B76" s="238">
        <v>1244</v>
      </c>
      <c r="C76" s="243" t="s">
        <v>154</v>
      </c>
      <c r="D76" s="299">
        <v>0</v>
      </c>
      <c r="E76" s="299">
        <v>1</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563</v>
      </c>
      <c r="E79" s="299">
        <v>502</v>
      </c>
      <c r="F79" s="299">
        <v>295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0</v>
      </c>
      <c r="F82" s="299">
        <v>0</v>
      </c>
      <c r="G82" s="207" t="s">
        <v>117</v>
      </c>
    </row>
    <row r="83" ht="45" customHeight="1">
      <c r="A83" s="226"/>
      <c r="B83" s="238">
        <v>1253</v>
      </c>
      <c r="C83" s="242" t="s">
        <v>161</v>
      </c>
      <c r="D83" s="299">
        <v>4</v>
      </c>
      <c r="E83" s="299">
        <v>2</v>
      </c>
      <c r="F83" s="299">
        <v>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2</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1</v>
      </c>
      <c r="F89" s="299">
        <v>1</v>
      </c>
      <c r="G89" s="207" t="s">
        <v>117</v>
      </c>
    </row>
    <row r="90" ht="45" customHeight="1">
      <c r="A90" s="226"/>
      <c r="C90" s="252"/>
      <c r="D90" s="253"/>
      <c r="E90" s="254"/>
      <c r="F90" s="254"/>
      <c r="G90" s="265"/>
    </row>
    <row r="91" ht="45" customHeight="1">
      <c r="A91" s="226"/>
      <c r="B91" s="220" t="s">
        <v>168</v>
      </c>
      <c r="C91" s="260" t="s">
        <v>169</v>
      </c>
      <c r="D91" s="228"/>
      <c r="E91" s="231"/>
      <c r="F91" s="298">
        <v>6</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1</v>
      </c>
      <c r="G97" s="265" t="s">
        <v>168</v>
      </c>
    </row>
    <row r="98" ht="45" customHeight="1" s="269" customFormat="1">
      <c r="A98" s="226"/>
      <c r="B98" s="238">
        <v>1322</v>
      </c>
      <c r="C98" s="242" t="s">
        <v>177</v>
      </c>
      <c r="D98" s="299">
        <v>0</v>
      </c>
      <c r="E98" s="299">
        <v>2</v>
      </c>
      <c r="F98" s="299">
        <v>1</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2</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0</v>
      </c>
      <c r="E103" s="299">
        <v>0</v>
      </c>
      <c r="F103" s="299">
        <v>2</v>
      </c>
      <c r="G103" s="265" t="s">
        <v>168</v>
      </c>
    </row>
    <row r="104" ht="45" customHeight="1" s="269" customFormat="1">
      <c r="A104" s="226"/>
      <c r="B104" s="238">
        <v>1334</v>
      </c>
      <c r="C104" s="242" t="s">
        <v>183</v>
      </c>
      <c r="D104" s="299">
        <v>1</v>
      </c>
      <c r="E104" s="299">
        <v>3</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3</v>
      </c>
      <c r="F109" s="299">
        <v>2</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2</v>
      </c>
      <c r="G111" s="265" t="s">
        <v>168</v>
      </c>
    </row>
    <row r="112" ht="45" customHeight="1" s="269" customFormat="1">
      <c r="A112" s="226"/>
      <c r="B112" s="238">
        <v>1353</v>
      </c>
      <c r="C112" s="242" t="s">
        <v>191</v>
      </c>
      <c r="D112" s="299">
        <v>8</v>
      </c>
      <c r="E112" s="299">
        <v>6</v>
      </c>
      <c r="F112" s="299">
        <v>4</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2</v>
      </c>
      <c r="G114" s="265" t="s">
        <v>168</v>
      </c>
    </row>
    <row r="115" ht="45" customHeight="1" s="269" customFormat="1">
      <c r="A115" s="226"/>
      <c r="B115" s="238">
        <v>1356</v>
      </c>
      <c r="C115" s="242" t="s">
        <v>193</v>
      </c>
      <c r="D115" s="299">
        <v>1</v>
      </c>
      <c r="E115" s="299">
        <v>3</v>
      </c>
      <c r="F115" s="299">
        <v>2</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1</v>
      </c>
      <c r="E120" s="299">
        <v>1</v>
      </c>
      <c r="F120" s="299">
        <v>3</v>
      </c>
      <c r="G120" s="207" t="s">
        <v>194</v>
      </c>
    </row>
    <row r="121" ht="45" customHeight="1" s="269" customFormat="1">
      <c r="A121" s="226"/>
      <c r="B121" s="238">
        <v>1422</v>
      </c>
      <c r="C121" s="242" t="s">
        <v>199</v>
      </c>
      <c r="D121" s="299">
        <v>1</v>
      </c>
      <c r="E121" s="299">
        <v>1</v>
      </c>
      <c r="F121" s="299">
        <v>3</v>
      </c>
      <c r="G121" s="207" t="s">
        <v>194</v>
      </c>
    </row>
    <row r="122" ht="45" customHeight="1" s="269" customFormat="1">
      <c r="A122" s="226"/>
      <c r="B122" s="238">
        <v>1423</v>
      </c>
      <c r="C122" s="242" t="s">
        <v>200</v>
      </c>
      <c r="D122" s="299">
        <v>1</v>
      </c>
      <c r="E122" s="299">
        <v>1</v>
      </c>
      <c r="F122" s="299">
        <v>3</v>
      </c>
      <c r="G122" s="207" t="s">
        <v>194</v>
      </c>
    </row>
    <row r="123" ht="45" customHeight="1" s="269" customFormat="1">
      <c r="A123" s="226"/>
      <c r="B123" s="238">
        <v>1424</v>
      </c>
      <c r="C123" s="242" t="s">
        <v>201</v>
      </c>
      <c r="D123" s="299">
        <v>1</v>
      </c>
      <c r="E123" s="299">
        <v>1</v>
      </c>
      <c r="F123" s="299">
        <v>1</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2</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43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245</v>
      </c>
      <c r="E149" s="299">
        <v>270</v>
      </c>
      <c r="F149" s="299">
        <v>295</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7</v>
      </c>
      <c r="E151" s="299">
        <v>3</v>
      </c>
      <c r="F151" s="299">
        <v>2</v>
      </c>
      <c r="G151" s="207" t="s">
        <v>219</v>
      </c>
    </row>
    <row r="152" ht="45" customHeight="1">
      <c r="A152" s="226"/>
      <c r="B152" s="238">
        <v>1532</v>
      </c>
      <c r="C152" s="242" t="s">
        <v>232</v>
      </c>
      <c r="D152" s="299">
        <v>9</v>
      </c>
      <c r="E152" s="299">
        <v>12</v>
      </c>
      <c r="F152" s="299">
        <v>10</v>
      </c>
      <c r="G152" s="207" t="s">
        <v>219</v>
      </c>
    </row>
    <row r="153" ht="45" customHeight="1">
      <c r="A153" s="226"/>
      <c r="B153" s="238">
        <v>1533</v>
      </c>
      <c r="C153" s="242" t="s">
        <v>233</v>
      </c>
      <c r="D153" s="299">
        <v>16</v>
      </c>
      <c r="E153" s="299">
        <v>15</v>
      </c>
      <c r="F153" s="299">
        <v>12</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16</v>
      </c>
      <c r="E156" s="299">
        <v>15</v>
      </c>
      <c r="F156" s="299">
        <v>12</v>
      </c>
      <c r="G156" s="207" t="s">
        <v>219</v>
      </c>
    </row>
    <row r="157" ht="45" customHeight="1">
      <c r="A157" s="226"/>
      <c r="B157" s="238">
        <v>1543</v>
      </c>
      <c r="C157" s="264" t="s">
        <v>237</v>
      </c>
      <c r="D157" s="299">
        <v>16</v>
      </c>
      <c r="E157" s="299">
        <v>15</v>
      </c>
      <c r="F157" s="299">
        <v>12</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16</v>
      </c>
      <c r="E160" s="299">
        <v>15</v>
      </c>
      <c r="F160" s="299">
        <v>12</v>
      </c>
      <c r="G160" s="207" t="s">
        <v>219</v>
      </c>
    </row>
    <row r="161" ht="45" customHeight="1">
      <c r="A161" s="226"/>
      <c r="B161" s="238">
        <v>1553</v>
      </c>
      <c r="C161" s="242" t="s">
        <v>241</v>
      </c>
      <c r="D161" s="299">
        <v>16</v>
      </c>
      <c r="E161" s="299">
        <v>15</v>
      </c>
      <c r="F161" s="299">
        <v>12</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16</v>
      </c>
      <c r="E163" s="299">
        <v>15</v>
      </c>
      <c r="F163" s="299">
        <v>12</v>
      </c>
      <c r="G163" s="207" t="s">
        <v>219</v>
      </c>
    </row>
    <row r="164" ht="45" customHeight="1">
      <c r="A164" s="226"/>
      <c r="B164" s="238">
        <v>1556</v>
      </c>
      <c r="C164" s="242" t="s">
        <v>241</v>
      </c>
      <c r="D164" s="299">
        <v>16</v>
      </c>
      <c r="E164" s="299">
        <v>15</v>
      </c>
      <c r="F164" s="299">
        <v>12</v>
      </c>
      <c r="G164" s="207" t="s">
        <v>219</v>
      </c>
    </row>
    <row r="165" ht="45" customHeight="1">
      <c r="A165" s="226"/>
      <c r="C165" s="276"/>
      <c r="D165" s="277"/>
      <c r="G165" s="207"/>
    </row>
    <row r="166" ht="45" customHeight="1">
      <c r="A166" s="226"/>
      <c r="B166" s="279" t="s">
        <v>244</v>
      </c>
      <c r="C166" s="260" t="s">
        <v>245</v>
      </c>
      <c r="D166" s="228"/>
      <c r="E166" s="231"/>
      <c r="F166" s="298">
        <v>269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30</v>
      </c>
      <c r="E174" s="299">
        <v>30</v>
      </c>
      <c r="F174" s="299">
        <v>30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144</v>
      </c>
      <c r="E177" s="299">
        <v>242</v>
      </c>
      <c r="F177" s="299">
        <v>163</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88</v>
      </c>
      <c r="E181" s="299">
        <v>87</v>
      </c>
      <c r="F181" s="299">
        <v>80</v>
      </c>
      <c r="G181" s="207" t="s">
        <v>244</v>
      </c>
    </row>
    <row r="182" ht="45" customHeight="1">
      <c r="A182" s="226"/>
      <c r="B182" s="238">
        <v>1632</v>
      </c>
      <c r="C182" s="242" t="s">
        <v>261</v>
      </c>
      <c r="D182" s="299">
        <v>222</v>
      </c>
      <c r="E182" s="299">
        <v>218</v>
      </c>
      <c r="F182" s="299">
        <v>204</v>
      </c>
      <c r="G182" s="207" t="s">
        <v>244</v>
      </c>
    </row>
    <row r="183" ht="45" customHeight="1">
      <c r="A183" s="226"/>
      <c r="B183" s="238">
        <v>1633</v>
      </c>
      <c r="C183" s="242" t="s">
        <v>262</v>
      </c>
      <c r="D183" s="299">
        <v>295</v>
      </c>
      <c r="E183" s="299">
        <v>290</v>
      </c>
      <c r="F183" s="299">
        <v>269</v>
      </c>
      <c r="G183" s="207" t="s">
        <v>244</v>
      </c>
    </row>
    <row r="184" ht="45" customHeight="1">
      <c r="A184" s="226"/>
      <c r="B184" s="238">
        <v>1634</v>
      </c>
      <c r="C184" s="242" t="s">
        <v>263</v>
      </c>
      <c r="D184" s="299">
        <v>15</v>
      </c>
      <c r="E184" s="299">
        <v>15</v>
      </c>
      <c r="F184" s="299">
        <v>15</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25</v>
      </c>
      <c r="E186" s="299">
        <v>34</v>
      </c>
      <c r="F186" s="299">
        <v>53</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310</v>
      </c>
      <c r="E188" s="299">
        <v>305</v>
      </c>
      <c r="F188" s="299">
        <v>284</v>
      </c>
      <c r="G188" s="207" t="s">
        <v>244</v>
      </c>
    </row>
    <row r="189" ht="45" customHeight="1">
      <c r="A189" s="226"/>
      <c r="B189" s="238">
        <v>1644</v>
      </c>
      <c r="C189" s="242" t="s">
        <v>267</v>
      </c>
      <c r="D189" s="299">
        <v>25</v>
      </c>
      <c r="E189" s="299">
        <v>34</v>
      </c>
      <c r="F189" s="299">
        <v>53</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310</v>
      </c>
      <c r="E191" s="299">
        <v>305</v>
      </c>
      <c r="F191" s="299">
        <v>284</v>
      </c>
      <c r="G191" s="207" t="s">
        <v>244</v>
      </c>
    </row>
    <row r="192" ht="45" customHeight="1">
      <c r="A192" s="226"/>
      <c r="B192" s="238">
        <v>1653</v>
      </c>
      <c r="C192" s="242" t="s">
        <v>270</v>
      </c>
      <c r="D192" s="299">
        <v>310</v>
      </c>
      <c r="E192" s="299">
        <v>305</v>
      </c>
      <c r="F192" s="299">
        <v>284</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1</v>
      </c>
      <c r="E194" s="299">
        <v>0</v>
      </c>
      <c r="F194" s="299">
        <v>0</v>
      </c>
      <c r="G194" s="207" t="s">
        <v>244</v>
      </c>
    </row>
    <row r="195" ht="45" customHeight="1">
      <c r="A195" s="226"/>
      <c r="B195" s="238">
        <v>1656</v>
      </c>
      <c r="C195" s="242" t="s">
        <v>273</v>
      </c>
      <c r="D195" s="299">
        <v>1</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1</v>
      </c>
      <c r="F197" s="299">
        <v>0</v>
      </c>
      <c r="G197" s="207" t="s">
        <v>244</v>
      </c>
    </row>
    <row r="198" ht="45" customHeight="1">
      <c r="A198" s="226"/>
      <c r="B198" s="238">
        <v>1659</v>
      </c>
      <c r="C198" s="242" t="s">
        <v>276</v>
      </c>
      <c r="D198" s="299">
        <v>0</v>
      </c>
      <c r="E198" s="299">
        <v>1</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5</v>
      </c>
      <c r="E200" s="299">
        <v>7</v>
      </c>
      <c r="F200" s="299">
        <v>17</v>
      </c>
      <c r="G200" s="207" t="s">
        <v>244</v>
      </c>
    </row>
    <row r="201" ht="45" customHeight="1">
      <c r="A201" s="226"/>
      <c r="B201" s="238">
        <v>1662</v>
      </c>
      <c r="C201" s="242" t="s">
        <v>279</v>
      </c>
      <c r="D201" s="299">
        <v>5</v>
      </c>
      <c r="E201" s="299">
        <v>7</v>
      </c>
      <c r="F201" s="299">
        <v>17</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286</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286</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409</v>
      </c>
      <c r="E37" s="0" t="s">
        <v>1052</v>
      </c>
      <c r="AV37" s="0" t="s">
        <v>473</v>
      </c>
      <c r="AW37" s="0" t="s">
        <v>420</v>
      </c>
      <c r="AX37" s="0" t="s">
        <v>700</v>
      </c>
      <c r="AY37" s="0" t="s">
        <v>1122</v>
      </c>
      <c r="AZ37" s="0" t="s">
        <v>1123</v>
      </c>
      <c r="BA37" s="0" t="s">
        <v>434</v>
      </c>
      <c r="BB37" s="0" t="str">
        <f t="shared" si="0"/>
        <v>AHNIoyOlorunsogo</v>
      </c>
    </row>
    <row r="38">
      <c r="D38" s="58" t="s">
        <v>286</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286</v>
      </c>
      <c r="AX1005" s="0" t="s">
        <v>456</v>
      </c>
      <c r="AY1005" s="0" t="s">
        <v>3041</v>
      </c>
      <c r="AZ1005" s="0" t="s">
        <v>3042</v>
      </c>
      <c r="BA1005" s="0" t="s">
        <v>673</v>
      </c>
      <c r="BB1005" s="0" t="str">
        <f t="shared" si="15"/>
        <v>FGHINknGezawa</v>
      </c>
    </row>
    <row r="1006">
      <c r="AV1006" s="0" t="s">
        <v>473</v>
      </c>
      <c r="AW1006" s="0" t="s">
        <v>286</v>
      </c>
      <c r="AX1006" s="0" t="s">
        <v>498</v>
      </c>
      <c r="AY1006" s="0" t="s">
        <v>289</v>
      </c>
      <c r="AZ1006" s="0" t="s">
        <v>293</v>
      </c>
      <c r="BA1006" s="0" t="s">
        <v>673</v>
      </c>
      <c r="BB1006" s="0" t="str">
        <f t="shared" si="15"/>
        <v>FGHINknNassarawa</v>
      </c>
    </row>
    <row r="1007">
      <c r="AV1007" s="0" t="s">
        <v>473</v>
      </c>
      <c r="AW1007" s="0" t="s">
        <v>286</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409</v>
      </c>
      <c r="AX1280" s="0" t="s">
        <v>950</v>
      </c>
      <c r="AY1280" s="0" t="s">
        <v>3587</v>
      </c>
      <c r="AZ1280" s="0" t="s">
        <v>3588</v>
      </c>
      <c r="BA1280" s="0" t="s">
        <v>709</v>
      </c>
      <c r="BB1280" s="0" t="str">
        <f t="shared" si="19"/>
        <v>IHVNkdZaria</v>
      </c>
    </row>
    <row r="1281">
      <c r="AV1281" s="0" t="s">
        <v>473</v>
      </c>
      <c r="AW1281" s="0" t="s">
        <v>286</v>
      </c>
      <c r="AX1281" s="0" t="s">
        <v>498</v>
      </c>
      <c r="AY1281" s="0" t="s">
        <v>3589</v>
      </c>
      <c r="AZ1281" s="0" t="s">
        <v>3590</v>
      </c>
      <c r="BA1281" s="0" t="s">
        <v>709</v>
      </c>
      <c r="BB1281" s="0" t="str">
        <f t="shared" si="19"/>
        <v>IHVNknNassarawa</v>
      </c>
    </row>
    <row r="1282">
      <c r="AV1282" s="0" t="s">
        <v>473</v>
      </c>
      <c r="AW1282" s="0" t="s">
        <v>286</v>
      </c>
      <c r="AX1282" s="0" t="s">
        <v>498</v>
      </c>
      <c r="AY1282" s="0" t="s">
        <v>3591</v>
      </c>
      <c r="AZ1282" s="0" t="s">
        <v>3592</v>
      </c>
      <c r="BA1282" s="0" t="s">
        <v>709</v>
      </c>
      <c r="BB1282" s="0" t="str">
        <f t="shared" si="19"/>
        <v>IHVNknNassarawa</v>
      </c>
    </row>
    <row r="1283">
      <c r="AV1283" s="0" t="s">
        <v>473</v>
      </c>
      <c r="AW1283" s="0" t="s">
        <v>286</v>
      </c>
      <c r="AX1283" s="0" t="s">
        <v>538</v>
      </c>
      <c r="AY1283" s="0" t="s">
        <v>3593</v>
      </c>
      <c r="AZ1283" s="0" t="s">
        <v>3594</v>
      </c>
      <c r="BA1283" s="0" t="s">
        <v>709</v>
      </c>
      <c r="BB1283" s="0" t="str">
        <f ref="BB1283:BB1346" t="shared" si="20">SUBSTITUTE(SUBSTITUTE(BA1283&amp;AX1283," ",""),"-","")</f>
        <v>IHVNknTarauni</v>
      </c>
    </row>
    <row r="1284">
      <c r="AV1284" s="0" t="s">
        <v>473</v>
      </c>
      <c r="AW1284" s="0" t="s">
        <v>286</v>
      </c>
      <c r="AX1284" s="0" t="s">
        <v>578</v>
      </c>
      <c r="AY1284" s="0" t="s">
        <v>3595</v>
      </c>
      <c r="AZ1284" s="0" t="s">
        <v>3596</v>
      </c>
      <c r="BA1284" s="0" t="s">
        <v>709</v>
      </c>
      <c r="BB1284" s="0" t="str">
        <f t="shared" si="20"/>
        <v>IHVNknTudunWada</v>
      </c>
    </row>
    <row r="1285">
      <c r="AV1285" s="0" t="s">
        <v>473</v>
      </c>
      <c r="AW1285" s="0" t="s">
        <v>286</v>
      </c>
      <c r="AX1285" s="0" t="s">
        <v>616</v>
      </c>
      <c r="AY1285" s="0" t="s">
        <v>3597</v>
      </c>
      <c r="AZ1285" s="0" t="s">
        <v>3598</v>
      </c>
      <c r="BA1285" s="0" t="s">
        <v>709</v>
      </c>
      <c r="BB1285" s="0" t="str">
        <f t="shared" si="20"/>
        <v>IHVNknUngogo</v>
      </c>
    </row>
    <row r="1286">
      <c r="AV1286" s="0" t="s">
        <v>473</v>
      </c>
      <c r="AW1286" s="0" t="s">
        <v>286</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