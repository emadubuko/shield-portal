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<sst xmlns="http://schemas.openxmlformats.org/spreadsheetml/2006/main" count="4033" uniqueCount="4033">
  <si>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</si>
  <si>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</si>
  <si>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</si>
  <si>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</si>
  <si>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</si>
  <si>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</si>
  <si>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</si>
  <si>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</si>
  <si>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</si>
  <si>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</si>
  <si>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</si>
  <si>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</si>
  <si>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</si>
  <si>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</si>
  <si>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</si>
  <si>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</si>
  <si>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</si>
  <si>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</si>
  <si>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</si>
  <si>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</si>
  <si>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</si>
  <si>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</si>
  <si>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</si>
  <si>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</si>
  <si>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</si>
  <si>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</si>
  <si>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</si>
  <si>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</si>
  <si>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</si>
  <si>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</si>
  <si>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</si>
  <si>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</si>
  <si>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</si>
  <si>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</si>
  <si>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</si>
  <si>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</si>
  <si>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</si>
  <si>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</si>
  <si>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</si>
  <si>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</si>
  <si>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</si>
  <si>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</si>
  <si>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</si>
  <si>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</si>
  <si>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</si>
  <si>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</si>
  <si>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</si>
  <si>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</si>
  <si>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</si>
  <si>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</si>
  <si>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</si>
  <si>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</si>
  <si>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</si>
  <si>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</si>
  <si>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</si>
  <si>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</si>
  <si>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</si>
  <si>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</si>
  <si>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</si>
  <si>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</si>
  <si>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</si>
  <si>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</si>
  <si>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</si>
  <si>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</si>
  <si>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</si>
  <si>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</si>
  <si>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</si>
  <si>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</si>
  <si>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</si>
  <si>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</si>
  <si>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</si>
  <si>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</si>
  <si>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</si>
  <si>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</si>
  <si>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</si>
  <si>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</si>
  <si>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</si>
  <si>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</si>
  <si>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</si>
  <si>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</si>
  <si>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</si>
  <si>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</si>
  <si>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</si>
  <si>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</si>
  <si>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</si>
  <si>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</si>
  <si>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</si>
  <si>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</si>
  <si>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</si>
  <si>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</si>
  <si>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</si>
  <si>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</si>
  <si>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</si>
  <si>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</si>
  <si>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</si>
  <si>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</si>
  <si>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</si>
  <si>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</si>
  <si>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</si>
  <si>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</si>
  <si>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</si>
  <si>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</si>
  <si>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</si>
  <si>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</si>
  <si>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</si>
  <si>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</si>
  <si>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</si>
  <si>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</si>
  <si>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</si>
  <si>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</si>
  <si>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</si>
  <si>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</si>
  <si>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</si>
  <si>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</si>
  <si>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</si>
  <si>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</si>
  <si>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</si>
  <si>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</si>
  <si>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</si>
  <si>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</si>
  <si>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</si>
  <si>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</si>
  <si>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</si>
  <si>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</si>
  <si>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</si>
  <si>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</si>
  <si>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</si>
  <si>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</si>
  <si>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</si>
  <si>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</si>
  <si>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</si>
  <si>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</si>
  <si>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</si>
  <si>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</si>
  <si>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</si>
  <si>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</si>
  <si>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</si>
  <si>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</si>
  <si>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</si>
  <si>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</si>
  <si>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</si>
  <si>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</si>
  <si>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</si>
  <si>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</si>
  <si>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</si>
  <si>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</si>
  <si>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</si>
  <si>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</si>
  <si>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</si>
  <si>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</si>
  <si>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</si>
  <si>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</si>
  <si>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</si>
  <si>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</si>
  <si>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</si>
  <si>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</si>
  <si>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</si>
  <si>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</si>
  <si>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</si>
  <si>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</si>
  <si>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</si>
  <si>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</si>
  <si>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</si>
  <si>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</si>
  <si>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</si>
  <si>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</si>
  <si>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</si>
  <si>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</si>
  <si>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</si>
  <si>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</si>
  <si>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</si>
  <si>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</si>
  <si>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</si>
  <si>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</si>
  <si>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</si>
  <si>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</si>
  <si>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</si>
  <si>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</si>
  <si>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</si>
  <si>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</si>
  <si>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</si>
  <si>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</si>
  <si>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</si>
  <si>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</si>
  <si>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</si>
  <si>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</si>
  <si>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</si>
  <si>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</si>
  <si>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</si>
  <si>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</si>
  <si>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</si>
  <si>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</si>
  <si>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</si>
  <si>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</si>
  <si>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</si>
  <si>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</si>
  <si>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</si>
  <si>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</si>
  <si>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</si>
  <si>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</si>
  <si>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</si>
  <si>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</si>
  <si>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</si>
  <si>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</si>
  <si>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</si>
  <si>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</si>
  <si>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</si>
  <si>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</si>
  <si>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</si>
  <si>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</si>
  <si>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</si>
  <si>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</si>
  <si>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</si>
  <si>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</si>
  <si>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</si>
  <si>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</si>
  <si>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</si>
  <si>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</si>
  <si>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</si>
  <si>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</si>
  <si>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</si>
  <si>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</si>
  <si>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</si>
  <si>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</si>
  <si>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</si>
  <si>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</si>
  <si>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</si>
  <si>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</si>
  <si>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</si>
  <si>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</si>
  <si>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</si>
  <si>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</si>
  <si>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</si>
  <si>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</si>
  <si>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</si>
  <si>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</si>
  <si>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</si>
  <si>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</si>
  <si>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</si>
  <si>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</si>
  <si>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</si>
  <si>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</si>
  <si>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</si>
  <si>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</si>
  <si>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</si>
  <si>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</si>
  <si>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</si>
  <si>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</si>
  <si>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</si>
  <si>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</si>
  <si>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</si>
  <si>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</si>
  <si>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</si>
  <si>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</si>
  <si>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</si>
  <si>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</si>
  <si>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</si>
  <si>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</si>
  <si>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</si>
  <si>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</si>
  <si>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</si>
  <si>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</si>
  <si>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</si>
  <si>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</si>
  <si>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</si>
  <si>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</si>
  <si>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</si>
  <si>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</si>
  <si>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</si>
  <si>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</si>
  <si>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</si>
  <si>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</si>
  <si>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</si>
  <si>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</si>
  <si>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</si>
  <si>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</si>
  <si>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</si>
  <si>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</si>
  <si>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</si>
  <si>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</si>
  <si>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</si>
  <si>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</si>
  <si>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</si>
  <si>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</si>
  <si>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</si>
  <si>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</si>
  <si>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</si>
  <si>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</si>
  <si>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</si>
  <si>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Anyiin Primary Health Center</t>
  </si>
  <si>
    <t>Reporting Period:</t>
  </si>
  <si>
    <t>Q1(Oct - Dec)</t>
  </si>
  <si>
    <t>Facility Code:</t>
  </si>
  <si>
    <t>pwlvjbtM5oM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</si>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</sst>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1267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f>_xlfn.IFNA(VLOOKUP(B8,Worksheet!$C$3:$G$46,3,FALSE),D8)</f>
        <v>0</v>
      </c>
      <c r="E8" s="299">
        <f>_xlfn.IFNA(VLOOKUP(B8,Worksheet!$C$3:$G$46,4,FALSE),E8)</f>
        <v>0</v>
      </c>
      <c r="F8" s="299">
        <f>_xlfn.IFNA(VLOOKUP(B8,Worksheet!$C$3:$G$46,5,FALSE),F8)</f>
        <v>0</v>
      </c>
      <c r="G8" s="207" t="s">
        <v>67</v>
      </c>
    </row>
    <row r="9" ht="45" customHeight="1">
      <c r="A9" s="226"/>
      <c r="B9" s="238">
        <v>1112</v>
      </c>
      <c r="C9" s="242" t="s">
        <v>82</v>
      </c>
      <c r="D9" s="299">
        <f>_xlfn.IFNA(VLOOKUP(B9,Worksheet!$C$3:$G$46,3,FALSE),D9)</f>
        <v>0</v>
      </c>
      <c r="E9" s="299">
        <f>_xlfn.IFNA(VLOOKUP(B9,Worksheet!$C$3:$G$46,4,FALSE),E9)</f>
        <v>0</v>
      </c>
      <c r="F9" s="299">
        <f>_xlfn.IFNA(VLOOKUP(B9,Worksheet!$C$3:$G$46,5,FALSE),F9)</f>
        <v>0</v>
      </c>
      <c r="G9" s="207" t="s">
        <v>67</v>
      </c>
    </row>
    <row r="10" ht="45" customHeight="1">
      <c r="A10" s="226"/>
      <c r="B10" s="238">
        <v>1113</v>
      </c>
      <c r="C10" s="242" t="s">
        <v>83</v>
      </c>
      <c r="D10" s="299">
        <f>_xlfn.IFNA(VLOOKUP(B10,Worksheet!$C$3:$G$46,3,FALSE),D10)</f>
        <v>0</v>
      </c>
      <c r="E10" s="299">
        <f>_xlfn.IFNA(VLOOKUP(B10,Worksheet!$C$3:$G$46,4,FALSE),E10)</f>
        <v>0</v>
      </c>
      <c r="F10" s="299">
        <f>_xlfn.IFNA(VLOOKUP(B10,Worksheet!$C$3:$G$46,5,FALSE),F10)</f>
        <v>0</v>
      </c>
      <c r="G10" s="207" t="s">
        <v>67</v>
      </c>
    </row>
    <row r="11" ht="45" customHeight="1">
      <c r="A11" s="226"/>
      <c r="B11" s="238">
        <v>1114</v>
      </c>
      <c r="C11" s="243" t="s">
        <v>84</v>
      </c>
      <c r="D11" s="299">
        <f>_xlfn.IFNA(VLOOKUP(B11,Worksheet!$C$3:$G$46,3,FALSE),D11)</f>
        <v>0</v>
      </c>
      <c r="E11" s="299">
        <f>_xlfn.IFNA(VLOOKUP(B11,Worksheet!$C$3:$G$46,4,FALSE),E11)</f>
        <v>0</v>
      </c>
      <c r="F11" s="299">
        <f>_xlfn.IFNA(VLOOKUP(B11,Worksheet!$C$3:$G$46,5,FALSE),F11)</f>
        <v>0</v>
      </c>
      <c r="G11" s="207" t="s">
        <v>67</v>
      </c>
    </row>
    <row r="12" ht="45" customHeight="1">
      <c r="A12" s="226"/>
      <c r="B12" s="238">
        <v>1115</v>
      </c>
      <c r="C12" s="242" t="s">
        <v>85</v>
      </c>
      <c r="D12" s="299">
        <f>_xlfn.IFNA(VLOOKUP(B12,Worksheet!$C$3:$G$46,3,FALSE),D12)</f>
        <v>0</v>
      </c>
      <c r="E12" s="299">
        <f>_xlfn.IFNA(VLOOKUP(B12,Worksheet!$C$3:$G$46,4,FALSE),E12)</f>
        <v>0</v>
      </c>
      <c r="F12" s="299">
        <f>_xlfn.IFNA(VLOOKUP(B12,Worksheet!$C$3:$G$46,5,FALSE),F12)</f>
        <v>0</v>
      </c>
      <c r="G12" s="207" t="s">
        <v>67</v>
      </c>
    </row>
    <row r="13" ht="45" customHeight="1">
      <c r="A13" s="226" t="s">
        <v>86</v>
      </c>
      <c r="B13" s="238">
        <v>1116</v>
      </c>
      <c r="C13" s="242" t="s">
        <v>87</v>
      </c>
      <c r="D13" s="299">
        <f>_xlfn.IFNA(VLOOKUP(B13,Worksheet!$C$3:$G$46,3,FALSE),D13)</f>
        <v>0</v>
      </c>
      <c r="E13" s="299">
        <f>_xlfn.IFNA(VLOOKUP(B13,Worksheet!$C$3:$G$46,4,FALSE),E13)</f>
        <v>0</v>
      </c>
      <c r="F13" s="299">
        <f>_xlfn.IFNA(VLOOKUP(B13,Worksheet!$C$3:$G$46,5,FALSE),F13)</f>
        <v>0</v>
      </c>
      <c r="G13" s="207" t="s">
        <v>67</v>
      </c>
    </row>
    <row r="14" ht="45" customHeight="1">
      <c r="A14" s="226"/>
      <c r="B14" s="238">
        <v>1117</v>
      </c>
      <c r="C14" s="242" t="s">
        <v>88</v>
      </c>
      <c r="D14" s="299">
        <f>_xlfn.IFNA(VLOOKUP(B14,Worksheet!$C$3:$G$46,3,FALSE),D14)</f>
        <v>0</v>
      </c>
      <c r="E14" s="299">
        <f>_xlfn.IFNA(VLOOKUP(B14,Worksheet!$C$3:$G$46,4,FALSE),E14)</f>
        <v>0</v>
      </c>
      <c r="F14" s="299">
        <f>_xlfn.IFNA(VLOOKUP(B14,Worksheet!$C$3:$G$46,5,FALSE),F14)</f>
        <v>0</v>
      </c>
      <c r="G14" s="207" t="s">
        <v>67</v>
      </c>
    </row>
    <row r="15" ht="45" customHeight="1">
      <c r="A15" s="226">
        <v>1116</v>
      </c>
      <c r="B15" s="238">
        <v>1121</v>
      </c>
      <c r="C15" s="243" t="str">
        <f>C13</f>
        <v>How many HTC clients have a completed Client intake form </v>
      </c>
      <c r="D15" s="300">
        <f>D13</f>
        <v>0</v>
      </c>
      <c r="E15" s="300">
        <f ref="E15:F15" t="shared" si="0">E13</f>
        <v>0</v>
      </c>
      <c r="F15" s="300">
        <f t="shared" si="0"/>
        <v>0</v>
      </c>
      <c r="G15" s="207"/>
    </row>
    <row r="16" ht="45" customHeight="1">
      <c r="A16" s="226"/>
      <c r="B16" s="238">
        <v>1122</v>
      </c>
      <c r="C16" s="243" t="s">
        <v>89</v>
      </c>
      <c r="D16" s="299">
        <f>_xlfn.IFNA(VLOOKUP(B16,Worksheet!$C$3:$G$46,3,FALSE),D16)</f>
        <v>0</v>
      </c>
      <c r="E16" s="299">
        <f>_xlfn.IFNA(VLOOKUP(B16,Worksheet!$C$3:$G$46,4,FALSE),E16)</f>
        <v>0</v>
      </c>
      <c r="F16" s="299">
        <f>_xlfn.IFNA(VLOOKUP(B16,Worksheet!$C$3:$G$46,5,FALSE),F16)</f>
        <v>0</v>
      </c>
      <c r="G16" s="207" t="s">
        <v>67</v>
      </c>
    </row>
    <row r="17" ht="45" customHeight="1">
      <c r="A17" s="226"/>
      <c r="B17" s="238">
        <v>1123</v>
      </c>
      <c r="C17" s="242" t="s">
        <v>90</v>
      </c>
      <c r="D17" s="299">
        <f>_xlfn.IFNA(VLOOKUP(B17,Worksheet!$C$3:$G$46,3,FALSE),D17)</f>
        <v>0</v>
      </c>
      <c r="E17" s="299">
        <f>_xlfn.IFNA(VLOOKUP(B17,Worksheet!$C$3:$G$46,4,FALSE),E17)</f>
        <v>0</v>
      </c>
      <c r="F17" s="299">
        <f>_xlfn.IFNA(VLOOKUP(B17,Worksheet!$C$3:$G$46,5,FALSE),F17)</f>
        <v>0</v>
      </c>
      <c r="G17" s="207" t="s">
        <v>67</v>
      </c>
    </row>
    <row r="18" ht="45" customHeight="1">
      <c r="A18" s="226"/>
      <c r="B18" s="238">
        <v>1124</v>
      </c>
      <c r="C18" s="242" t="s">
        <v>91</v>
      </c>
      <c r="D18" s="299">
        <f>_xlfn.IFNA(VLOOKUP(B18,Worksheet!$C$3:$G$46,3,FALSE),D18)</f>
        <v>0</v>
      </c>
      <c r="E18" s="299">
        <f>_xlfn.IFNA(VLOOKUP(B18,Worksheet!$C$3:$G$46,4,FALSE),E18)</f>
        <v>0</v>
      </c>
      <c r="F18" s="299">
        <f>_xlfn.IFNA(VLOOKUP(B18,Worksheet!$C$3:$G$46,5,FALSE),F18)</f>
        <v>0</v>
      </c>
      <c r="G18" s="207" t="s">
        <v>67</v>
      </c>
    </row>
    <row r="19" ht="45" customHeight="1">
      <c r="A19" s="226"/>
      <c r="B19" s="238">
        <v>1125</v>
      </c>
      <c r="C19" s="242" t="s">
        <v>92</v>
      </c>
      <c r="D19" s="299">
        <f>_xlfn.IFNA(VLOOKUP(B19,Worksheet!$C$3:$G$46,3,FALSE),D19)</f>
        <v>0</v>
      </c>
      <c r="E19" s="299">
        <f>_xlfn.IFNA(VLOOKUP(B19,Worksheet!$C$3:$G$46,4,FALSE),E19)</f>
        <v>0</v>
      </c>
      <c r="F19" s="299">
        <f>_xlfn.IFNA(VLOOKUP(B19,Worksheet!$C$3:$G$46,5,FALSE),F19)</f>
        <v>0</v>
      </c>
      <c r="G19" s="207" t="s">
        <v>67</v>
      </c>
    </row>
    <row r="20" ht="45" customHeight="1">
      <c r="A20" s="226"/>
      <c r="B20" s="238">
        <v>1126</v>
      </c>
      <c r="C20" s="242" t="s">
        <v>93</v>
      </c>
      <c r="D20" s="299">
        <f>_xlfn.IFNA(VLOOKUP(B20,Worksheet!$C$3:$G$46,3,FALSE),D20)</f>
        <v>0</v>
      </c>
      <c r="E20" s="299">
        <f>_xlfn.IFNA(VLOOKUP(B20,Worksheet!$C$3:$G$46,4,FALSE),E20)</f>
        <v>0</v>
      </c>
      <c r="F20" s="299">
        <f>_xlfn.IFNA(VLOOKUP(B20,Worksheet!$C$3:$G$46,5,FALSE),F20)</f>
        <v>0</v>
      </c>
      <c r="G20" s="207" t="s">
        <v>67</v>
      </c>
    </row>
    <row r="21" ht="45" customHeight="1">
      <c r="A21" s="226"/>
      <c r="B21" s="238">
        <v>1127</v>
      </c>
      <c r="C21" s="242" t="s">
        <v>94</v>
      </c>
      <c r="D21" s="299">
        <f>_xlfn.IFNA(VLOOKUP(B21,Worksheet!$C$3:$G$46,3,FALSE),D21)</f>
        <v>0</v>
      </c>
      <c r="E21" s="299">
        <f>_xlfn.IFNA(VLOOKUP(B21,Worksheet!$C$3:$G$46,4,FALSE),E21)</f>
        <v>0</v>
      </c>
      <c r="F21" s="299">
        <f>_xlfn.IFNA(VLOOKUP(B21,Worksheet!$C$3:$G$46,5,FALSE),F21)</f>
        <v>0</v>
      </c>
      <c r="G21" s="207" t="s">
        <v>67</v>
      </c>
    </row>
    <row r="22" ht="45" customHeight="1">
      <c r="A22" s="226"/>
      <c r="B22" s="238"/>
      <c r="C22" s="245" t="s">
        <v>95</v>
      </c>
      <c r="D22" s="246"/>
      <c r="E22" s="246"/>
      <c r="F22" s="247"/>
      <c r="G22" s="207" t="s">
        <v>67</v>
      </c>
    </row>
    <row r="23" ht="45" customHeight="1">
      <c r="A23" s="226"/>
      <c r="B23" s="238">
        <v>1131</v>
      </c>
      <c r="C23" s="242" t="s">
        <v>96</v>
      </c>
      <c r="D23" s="299">
        <f>_xlfn.IFNA(VLOOKUP(B23,Worksheet!$C$3:$G$46,3,FALSE),D23)</f>
        <v>0</v>
      </c>
      <c r="E23" s="299">
        <f>_xlfn.IFNA(VLOOKUP(B23,Worksheet!$C$3:$G$46,4,FALSE),E23)</f>
        <v>0</v>
      </c>
      <c r="F23" s="299">
        <f>_xlfn.IFNA(VLOOKUP(B23,Worksheet!$C$3:$G$46,5,FALSE),F23)</f>
        <v>0</v>
      </c>
      <c r="G23" s="207" t="s">
        <v>67</v>
      </c>
    </row>
    <row r="24" ht="45" customHeight="1">
      <c r="A24" s="226"/>
      <c r="B24" s="238">
        <v>1132</v>
      </c>
      <c r="C24" s="242" t="s">
        <v>97</v>
      </c>
      <c r="D24" s="299">
        <f>_xlfn.IFNA(VLOOKUP(B24,Worksheet!$C$3:$G$46,3,FALSE),D24)</f>
        <v>0</v>
      </c>
      <c r="E24" s="299">
        <f>_xlfn.IFNA(VLOOKUP(B24,Worksheet!$C$3:$G$46,4,FALSE),E24)</f>
        <v>0</v>
      </c>
      <c r="F24" s="299">
        <f>_xlfn.IFNA(VLOOKUP(B24,Worksheet!$C$3:$G$46,5,FALSE),F24)</f>
        <v>0</v>
      </c>
      <c r="G24" s="207" t="s">
        <v>67</v>
      </c>
    </row>
    <row r="25" ht="45" customHeight="1">
      <c r="A25" s="226"/>
      <c r="B25" s="238">
        <v>1133</v>
      </c>
      <c r="C25" s="242" t="s">
        <v>98</v>
      </c>
      <c r="D25" s="299">
        <f>_xlfn.IFNA(VLOOKUP(B25,Worksheet!$C$3:$G$46,3,FALSE),D25)</f>
        <v>0</v>
      </c>
      <c r="E25" s="299">
        <f>_xlfn.IFNA(VLOOKUP(B25,Worksheet!$C$3:$G$46,4,FALSE),E25)</f>
        <v>0</v>
      </c>
      <c r="F25" s="299">
        <f>_xlfn.IFNA(VLOOKUP(B25,Worksheet!$C$3:$G$46,5,FALSE),F25)</f>
        <v>0</v>
      </c>
      <c r="G25" s="207" t="s">
        <v>67</v>
      </c>
    </row>
    <row r="26" ht="45" customHeight="1">
      <c r="A26" s="226"/>
      <c r="B26" s="238">
        <v>1134</v>
      </c>
      <c r="C26" s="242" t="s">
        <v>99</v>
      </c>
      <c r="D26" s="299">
        <f>_xlfn.IFNA(VLOOKUP(B26,Worksheet!$C$3:$G$46,3,FALSE),D26)</f>
        <v>0</v>
      </c>
      <c r="E26" s="299">
        <f>_xlfn.IFNA(VLOOKUP(B26,Worksheet!$C$3:$G$46,4,FALSE),E26)</f>
        <v>0</v>
      </c>
      <c r="F26" s="299">
        <f>_xlfn.IFNA(VLOOKUP(B26,Worksheet!$C$3:$G$46,5,FALSE),F26)</f>
        <v>0</v>
      </c>
      <c r="G26" s="207" t="s">
        <v>67</v>
      </c>
    </row>
    <row r="27" ht="45" customHeight="1">
      <c r="A27" s="226"/>
      <c r="B27" s="238">
        <v>1135</v>
      </c>
      <c r="C27" s="242" t="s">
        <v>100</v>
      </c>
      <c r="D27" s="299">
        <f>_xlfn.IFNA(VLOOKUP(B27,Worksheet!$C$3:$G$46,3,FALSE),D27)</f>
        <v>0</v>
      </c>
      <c r="E27" s="299">
        <f>_xlfn.IFNA(VLOOKUP(B27,Worksheet!$C$3:$G$46,4,FALSE),E27)</f>
        <v>0</v>
      </c>
      <c r="F27" s="299">
        <f>_xlfn.IFNA(VLOOKUP(B27,Worksheet!$C$3:$G$46,5,FALSE),F27)</f>
        <v>0</v>
      </c>
      <c r="G27" s="207" t="s">
        <v>67</v>
      </c>
    </row>
    <row r="28" ht="45" customHeight="1">
      <c r="A28" s="226"/>
      <c r="B28" s="238">
        <v>1136</v>
      </c>
      <c r="C28" s="242" t="s">
        <v>101</v>
      </c>
      <c r="D28" s="299">
        <f>_xlfn.IFNA(VLOOKUP(B28,Worksheet!$C$3:$G$46,3,FALSE),D28)</f>
        <v>0</v>
      </c>
      <c r="E28" s="299">
        <f>_xlfn.IFNA(VLOOKUP(B28,Worksheet!$C$3:$G$46,4,FALSE),E28)</f>
        <v>0</v>
      </c>
      <c r="F28" s="299">
        <f>_xlfn.IFNA(VLOOKUP(B28,Worksheet!$C$3:$G$46,5,FALSE),F28)</f>
        <v>0</v>
      </c>
      <c r="G28" s="207" t="s">
        <v>67</v>
      </c>
    </row>
    <row r="29" ht="45" customHeight="1">
      <c r="A29" s="226"/>
      <c r="B29" s="238">
        <v>1137</v>
      </c>
      <c r="C29" s="242" t="s">
        <v>102</v>
      </c>
      <c r="D29" s="299">
        <f>_xlfn.IFNA(VLOOKUP(B29,Worksheet!$C$3:$G$46,3,FALSE),D29)</f>
        <v>0</v>
      </c>
      <c r="E29" s="299">
        <f>_xlfn.IFNA(VLOOKUP(B29,Worksheet!$C$3:$G$46,4,FALSE),E29)</f>
        <v>0</v>
      </c>
      <c r="F29" s="299">
        <f>_xlfn.IFNA(VLOOKUP(B29,Worksheet!$C$3:$G$46,5,FALSE),F29)</f>
        <v>0</v>
      </c>
      <c r="G29" s="207" t="s">
        <v>67</v>
      </c>
    </row>
    <row r="30" ht="45" customHeight="1">
      <c r="A30" s="226"/>
      <c r="B30" s="238">
        <v>1138</v>
      </c>
      <c r="C30" s="242" t="s">
        <v>103</v>
      </c>
      <c r="D30" s="299">
        <f>_xlfn.IFNA(VLOOKUP(B30,Worksheet!$C$3:$G$46,3,FALSE),D30)</f>
        <v>0</v>
      </c>
      <c r="E30" s="299">
        <f>_xlfn.IFNA(VLOOKUP(B30,Worksheet!$C$3:$G$46,4,FALSE),E30)</f>
        <v>0</v>
      </c>
      <c r="F30" s="299">
        <f>_xlfn.IFNA(VLOOKUP(B30,Worksheet!$C$3:$G$46,5,FALSE),F30)</f>
        <v>0</v>
      </c>
      <c r="G30" s="207" t="s">
        <v>67</v>
      </c>
    </row>
    <row r="31" ht="45" customHeight="1">
      <c r="A31" s="226">
        <v>1116</v>
      </c>
      <c r="B31" s="238">
        <v>1141</v>
      </c>
      <c r="C31" s="242" t="s">
        <v>104</v>
      </c>
      <c r="D31" s="300">
        <f>D13</f>
        <v>0</v>
      </c>
      <c r="E31" s="300">
        <f>E13</f>
        <v>0</v>
      </c>
      <c r="F31" s="300">
        <f>F13</f>
        <v>0</v>
      </c>
      <c r="G31" s="207"/>
    </row>
    <row r="32" ht="45" customHeight="1">
      <c r="A32" s="226"/>
      <c r="B32" s="238">
        <v>1142</v>
      </c>
      <c r="C32" s="243" t="s">
        <v>105</v>
      </c>
      <c r="D32" s="300">
        <f>D18</f>
        <v>0</v>
      </c>
      <c r="E32" s="300">
        <f>E18</f>
        <v>0</v>
      </c>
      <c r="F32" s="300">
        <f>F18</f>
        <v>0</v>
      </c>
      <c r="G32" s="207"/>
    </row>
    <row r="33" ht="45" customHeight="1">
      <c r="A33" s="226"/>
      <c r="B33" s="238">
        <v>1143</v>
      </c>
      <c r="C33" s="242" t="s">
        <v>106</v>
      </c>
      <c r="D33" s="299">
        <f>_xlfn.IFNA(VLOOKUP(B33,Worksheet!$C$3:$G$46,3,FALSE),D33)</f>
        <v>0</v>
      </c>
      <c r="E33" s="299">
        <f>_xlfn.IFNA(VLOOKUP(B33,Worksheet!$C$3:$G$46,4,FALSE),E33)</f>
        <v>0</v>
      </c>
      <c r="F33" s="299">
        <f>_xlfn.IFNA(VLOOKUP(B33,Worksheet!$C$3:$G$46,5,FALSE),F33)</f>
        <v>0</v>
      </c>
      <c r="G33" s="207" t="s">
        <v>67</v>
      </c>
    </row>
    <row r="34" ht="45" customHeight="1">
      <c r="A34" s="226"/>
      <c r="B34" s="238">
        <v>1144</v>
      </c>
      <c r="C34" s="242" t="s">
        <v>107</v>
      </c>
      <c r="D34" s="299">
        <f>_xlfn.IFNA(VLOOKUP(B34,Worksheet!$C$3:$G$46,3,FALSE),D34)</f>
        <v>0</v>
      </c>
      <c r="E34" s="299">
        <f>_xlfn.IFNA(VLOOKUP(B34,Worksheet!$C$3:$G$46,4,FALSE),E34)</f>
        <v>0</v>
      </c>
      <c r="F34" s="299">
        <f>_xlfn.IFNA(VLOOKUP(B34,Worksheet!$C$3:$G$46,5,FALSE),F34)</f>
        <v>0</v>
      </c>
      <c r="G34" s="207" t="s">
        <v>67</v>
      </c>
    </row>
    <row r="35" ht="45" customHeight="1">
      <c r="A35" s="226"/>
      <c r="B35" s="238">
        <v>1145</v>
      </c>
      <c r="C35" s="242" t="s">
        <v>108</v>
      </c>
      <c r="D35" s="299">
        <f>_xlfn.IFNA(VLOOKUP(B35,Worksheet!$C$3:$G$46,3,FALSE),D35)</f>
        <v>0</v>
      </c>
      <c r="E35" s="299">
        <f>_xlfn.IFNA(VLOOKUP(B35,Worksheet!$C$3:$G$46,4,FALSE),E35)</f>
        <v>0</v>
      </c>
      <c r="F35" s="299">
        <f>_xlfn.IFNA(VLOOKUP(B35,Worksheet!$C$3:$G$46,5,FALSE),F35)</f>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f>_xlfn.IFNA(VLOOKUP(B37,Worksheet!$C$3:$G$46,3,FALSE),D37)</f>
        <v>0</v>
      </c>
      <c r="E37" s="299">
        <f>_xlfn.IFNA(VLOOKUP(B37,Worksheet!$C$3:$G$46,4,FALSE),E37)</f>
        <v>0</v>
      </c>
      <c r="F37" s="299">
        <f>_xlfn.IFNA(VLOOKUP(B37,Worksheet!$C$3:$G$46,5,FALSE),F37)</f>
        <v>0</v>
      </c>
      <c r="G37" s="207" t="s">
        <v>67</v>
      </c>
    </row>
    <row r="38" ht="45" customHeight="1">
      <c r="A38" s="226"/>
      <c r="B38" s="238">
        <v>1153</v>
      </c>
      <c r="C38" s="242" t="s">
        <v>111</v>
      </c>
      <c r="D38" s="299">
        <f>_xlfn.IFNA(VLOOKUP(B38,Worksheet!$C$3:$G$46,3,FALSE),D38)</f>
        <v>0</v>
      </c>
      <c r="E38" s="299">
        <f>_xlfn.IFNA(VLOOKUP(B38,Worksheet!$C$3:$G$46,4,FALSE),E38)</f>
        <v>0</v>
      </c>
      <c r="F38" s="299">
        <f>_xlfn.IFNA(VLOOKUP(B38,Worksheet!$C$3:$G$46,5,FALSE),F38)</f>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f>_xlfn.IFNA(VLOOKUP(B40,Worksheet!$C$3:$G$46,3,FALSE),D40)</f>
        <v>0</v>
      </c>
      <c r="E40" s="299">
        <f>_xlfn.IFNA(VLOOKUP(B40,Worksheet!$C$3:$G$46,4,FALSE),E40)</f>
        <v>0</v>
      </c>
      <c r="F40" s="299">
        <f>_xlfn.IFNA(VLOOKUP(B40,Worksheet!$C$3:$G$46,5,FALSE),F40)</f>
        <v>0</v>
      </c>
      <c r="G40" s="207" t="s">
        <v>67</v>
      </c>
    </row>
    <row r="41" ht="45" customHeight="1">
      <c r="A41" s="226"/>
      <c r="B41" s="238">
        <v>1156</v>
      </c>
      <c r="C41" s="242" t="s">
        <v>113</v>
      </c>
      <c r="D41" s="299">
        <f>_xlfn.IFNA(VLOOKUP(B41,Worksheet!$C$3:$G$46,3,FALSE),D41)</f>
        <v>0</v>
      </c>
      <c r="E41" s="299">
        <f>_xlfn.IFNA(VLOOKUP(B41,Worksheet!$C$3:$G$46,4,FALSE),E41)</f>
        <v>0</v>
      </c>
      <c r="F41" s="299">
        <f>_xlfn.IFNA(VLOOKUP(B41,Worksheet!$C$3:$G$46,5,FALSE),F41)</f>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f>_xlfn.IFNA(VLOOKUP(B43,Worksheet!$C$3:$G$46,3,FALSE),D43)</f>
        <v>0</v>
      </c>
      <c r="E43" s="299">
        <f>_xlfn.IFNA(VLOOKUP(B43,Worksheet!$C$3:$G$46,4,FALSE),E43)</f>
        <v>0</v>
      </c>
      <c r="F43" s="299">
        <f>_xlfn.IFNA(VLOOKUP(B43,Worksheet!$C$3:$G$46,5,FALSE),F43)</f>
        <v>0</v>
      </c>
      <c r="G43" s="207" t="s">
        <v>67</v>
      </c>
    </row>
    <row r="44" ht="45" customHeight="1" s="250" customFormat="1">
      <c r="A44" s="226"/>
      <c r="B44" s="238">
        <v>1159</v>
      </c>
      <c r="C44" s="242" t="s">
        <v>116</v>
      </c>
      <c r="D44" s="299">
        <f>_xlfn.IFNA(VLOOKUP(B44,Worksheet!$C$3:$G$46,3,FALSE),D44)</f>
        <v>0</v>
      </c>
      <c r="E44" s="299">
        <f>_xlfn.IFNA(VLOOKUP(B44,Worksheet!$C$3:$G$46,4,FALSE),E44)</f>
        <v>0</v>
      </c>
      <c r="F44" s="299">
        <f>_xlfn.IFNA(VLOOKUP(B44,Worksheet!$C$3:$G$46,5,FALSE),F44)</f>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f>_xlfn.IFNA(VLOOKUP(B51,Worksheet!$C$3:$G$46,3,FALSE),D51)</f>
        <v>0</v>
      </c>
      <c r="E51" s="299">
        <f>_xlfn.IFNA(VLOOKUP(B51,Worksheet!$C$3:$G$46,4,FALSE),E51)</f>
        <v>0</v>
      </c>
      <c r="F51" s="299">
        <f>_xlfn.IFNA(VLOOKUP(B51,Worksheet!$C$3:$G$46,5,FALSE),F51)</f>
        <v>0</v>
      </c>
      <c r="G51" s="207" t="s">
        <v>117</v>
      </c>
    </row>
    <row r="52" ht="45" customHeight="1">
      <c r="A52" s="263" t="s">
        <v>129</v>
      </c>
      <c r="B52" s="238">
        <v>1212</v>
      </c>
      <c r="C52" s="242" t="s">
        <v>130</v>
      </c>
      <c r="D52" s="299">
        <f>_xlfn.IFNA(VLOOKUP(B52,Worksheet!$C$3:$G$46,3,FALSE),D52)</f>
        <v>0</v>
      </c>
      <c r="E52" s="299">
        <f>_xlfn.IFNA(VLOOKUP(B52,Worksheet!$C$3:$G$46,4,FALSE),E52)</f>
        <v>0</v>
      </c>
      <c r="F52" s="299">
        <f>_xlfn.IFNA(VLOOKUP(B52,Worksheet!$C$3:$G$46,5,FALSE),F52)</f>
        <v>0</v>
      </c>
      <c r="G52" s="207" t="s">
        <v>117</v>
      </c>
    </row>
    <row r="53" ht="45" customHeight="1">
      <c r="A53" s="226"/>
      <c r="B53" s="238">
        <v>1213</v>
      </c>
      <c r="C53" s="242" t="s">
        <v>131</v>
      </c>
      <c r="D53" s="299">
        <f>_xlfn.IFNA(VLOOKUP(B53,Worksheet!$C$3:$G$46,3,FALSE),D53)</f>
        <v>0</v>
      </c>
      <c r="E53" s="299">
        <f>_xlfn.IFNA(VLOOKUP(B53,Worksheet!$C$3:$G$46,4,FALSE),E53)</f>
        <v>0</v>
      </c>
      <c r="F53" s="299">
        <f>_xlfn.IFNA(VLOOKUP(B53,Worksheet!$C$3:$G$46,5,FALSE),F53)</f>
        <v>0</v>
      </c>
      <c r="G53" s="207" t="s">
        <v>117</v>
      </c>
    </row>
    <row r="54" ht="45" customHeight="1">
      <c r="A54" s="226"/>
      <c r="B54" s="238">
        <v>1214</v>
      </c>
      <c r="C54" s="264" t="s">
        <v>132</v>
      </c>
      <c r="D54" s="299">
        <f>_xlfn.IFNA(VLOOKUP(B54,Worksheet!$C$3:$G$46,3,FALSE),D54)</f>
        <v>0</v>
      </c>
      <c r="E54" s="299">
        <f>_xlfn.IFNA(VLOOKUP(B54,Worksheet!$C$3:$G$46,4,FALSE),E54)</f>
        <v>0</v>
      </c>
      <c r="F54" s="299">
        <f>_xlfn.IFNA(VLOOKUP(B54,Worksheet!$C$3:$G$46,5,FALSE),F54)</f>
        <v>0</v>
      </c>
      <c r="G54" s="207" t="s">
        <v>117</v>
      </c>
    </row>
    <row r="55" ht="45" customHeight="1">
      <c r="A55" s="226"/>
      <c r="B55" s="238">
        <v>1215</v>
      </c>
      <c r="C55" s="242" t="s">
        <v>133</v>
      </c>
      <c r="D55" s="299">
        <f>_xlfn.IFNA(VLOOKUP(B55,Worksheet!$C$3:$G$46,3,FALSE),D55)</f>
        <v>0</v>
      </c>
      <c r="E55" s="299">
        <f>_xlfn.IFNA(VLOOKUP(B55,Worksheet!$C$3:$G$46,4,FALSE),E55)</f>
        <v>0</v>
      </c>
      <c r="F55" s="299">
        <f>_xlfn.IFNA(VLOOKUP(B55,Worksheet!$C$3:$G$46,5,FALSE),F55)</f>
        <v>0</v>
      </c>
      <c r="G55" s="207" t="s">
        <v>117</v>
      </c>
    </row>
    <row r="56" ht="45" customHeight="1">
      <c r="A56" s="226"/>
      <c r="B56" s="238">
        <v>1216</v>
      </c>
      <c r="C56" s="243" t="s">
        <v>134</v>
      </c>
      <c r="D56" s="299">
        <f>_xlfn.IFNA(VLOOKUP(B56,Worksheet!$C$3:$G$46,3,FALSE),D56)</f>
        <v>0</v>
      </c>
      <c r="E56" s="299">
        <f>_xlfn.IFNA(VLOOKUP(B56,Worksheet!$C$3:$G$46,4,FALSE),E56)</f>
        <v>0</v>
      </c>
      <c r="F56" s="299">
        <f>_xlfn.IFNA(VLOOKUP(B56,Worksheet!$C$3:$G$46,5,FALSE),F56)</f>
        <v>0</v>
      </c>
      <c r="G56" s="207" t="s">
        <v>117</v>
      </c>
    </row>
    <row r="57" ht="45" customHeight="1">
      <c r="A57" s="226"/>
      <c r="B57" s="238">
        <v>1217</v>
      </c>
      <c r="C57" s="243" t="s">
        <v>135</v>
      </c>
      <c r="D57" s="299">
        <f>_xlfn.IFNA(VLOOKUP(B57,Worksheet!$C$3:$G$46,3,FALSE),D57)</f>
        <v>0</v>
      </c>
      <c r="E57" s="299">
        <f>_xlfn.IFNA(VLOOKUP(B57,Worksheet!$C$3:$G$46,4,FALSE),E57)</f>
        <v>0</v>
      </c>
      <c r="F57" s="299">
        <f>_xlfn.IFNA(VLOOKUP(B57,Worksheet!$C$3:$G$46,5,FALSE),F57)</f>
        <v>0</v>
      </c>
      <c r="G57" s="207" t="s">
        <v>117</v>
      </c>
    </row>
    <row r="58" ht="45" customHeight="1">
      <c r="A58" s="226"/>
      <c r="B58" s="238">
        <v>1218</v>
      </c>
      <c r="C58" s="243" t="s">
        <v>136</v>
      </c>
      <c r="D58" s="299">
        <f>_xlfn.IFNA(VLOOKUP(B58,Worksheet!$C$3:$G$46,3,FALSE),D58)</f>
        <v>0</v>
      </c>
      <c r="E58" s="299">
        <f>_xlfn.IFNA(VLOOKUP(B58,Worksheet!$C$3:$G$46,4,FALSE),E58)</f>
        <v>0</v>
      </c>
      <c r="F58" s="299">
        <f>_xlfn.IFNA(VLOOKUP(B58,Worksheet!$C$3:$G$46,5,FALSE),F58)</f>
        <v>0</v>
      </c>
      <c r="G58" s="207" t="s">
        <v>117</v>
      </c>
    </row>
    <row r="59" ht="45" customHeight="1">
      <c r="A59" s="226"/>
      <c r="B59" s="238">
        <v>1221</v>
      </c>
      <c r="C59" s="264" t="s">
        <v>137</v>
      </c>
      <c r="D59" s="299">
        <f>_xlfn.IFNA(VLOOKUP(B59,Worksheet!$C$3:$G$46,3,FALSE),D59)</f>
        <v>0</v>
      </c>
      <c r="E59" s="299">
        <f>_xlfn.IFNA(VLOOKUP(B59,Worksheet!$C$3:$G$46,4,FALSE),E59)</f>
        <v>0</v>
      </c>
      <c r="F59" s="299">
        <f>_xlfn.IFNA(VLOOKUP(B59,Worksheet!$C$3:$G$46,5,FALSE),F59)</f>
        <v>0</v>
      </c>
      <c r="G59" s="207" t="s">
        <v>117</v>
      </c>
    </row>
    <row r="60" ht="45" customHeight="1">
      <c r="A60" s="226"/>
      <c r="B60" s="238">
        <v>1222</v>
      </c>
      <c r="C60" s="264" t="s">
        <v>138</v>
      </c>
      <c r="D60" s="299">
        <f>_xlfn.IFNA(VLOOKUP(B60,Worksheet!$C$3:$G$46,3,FALSE),D60)</f>
        <v>0</v>
      </c>
      <c r="E60" s="299">
        <f>_xlfn.IFNA(VLOOKUP(B60,Worksheet!$C$3:$G$46,4,FALSE),E60)</f>
        <v>0</v>
      </c>
      <c r="F60" s="299">
        <f>_xlfn.IFNA(VLOOKUP(B60,Worksheet!$C$3:$G$46,5,FALSE),F60)</f>
        <v>0</v>
      </c>
      <c r="G60" s="207" t="s">
        <v>117</v>
      </c>
    </row>
    <row r="61" ht="45" customHeight="1">
      <c r="A61" s="226"/>
      <c r="B61" s="238">
        <v>1223</v>
      </c>
      <c r="C61" s="264" t="s">
        <v>139</v>
      </c>
      <c r="D61" s="299">
        <f>_xlfn.IFNA(VLOOKUP(B61,Worksheet!$C$3:$G$46,3,FALSE),D61)</f>
        <v>0</v>
      </c>
      <c r="E61" s="299">
        <f>_xlfn.IFNA(VLOOKUP(B61,Worksheet!$C$3:$G$46,4,FALSE),E61)</f>
        <v>0</v>
      </c>
      <c r="F61" s="299">
        <f>_xlfn.IFNA(VLOOKUP(B61,Worksheet!$C$3:$G$46,5,FALSE),F61)</f>
        <v>0</v>
      </c>
      <c r="G61" s="207" t="s">
        <v>117</v>
      </c>
    </row>
    <row r="62" ht="54.65" customHeight="1">
      <c r="A62" s="226"/>
      <c r="B62" s="238">
        <v>1224</v>
      </c>
      <c r="C62" s="264" t="s">
        <v>140</v>
      </c>
      <c r="D62" s="299">
        <f>_xlfn.IFNA(VLOOKUP(B62,Worksheet!$C$3:$G$46,3,FALSE),D62)</f>
        <v>0</v>
      </c>
      <c r="E62" s="299">
        <f>_xlfn.IFNA(VLOOKUP(B62,Worksheet!$C$3:$G$46,4,FALSE),E62)</f>
        <v>0</v>
      </c>
      <c r="F62" s="299">
        <f>_xlfn.IFNA(VLOOKUP(B62,Worksheet!$C$3:$G$46,5,FALSE),F62)</f>
        <v>0</v>
      </c>
      <c r="G62" s="207" t="s">
        <v>117</v>
      </c>
    </row>
    <row r="63" ht="66.65" customHeight="1">
      <c r="A63" s="226"/>
      <c r="B63" s="238">
        <v>1225</v>
      </c>
      <c r="C63" s="264" t="s">
        <v>141</v>
      </c>
      <c r="D63" s="299">
        <f>_xlfn.IFNA(VLOOKUP(B63,Worksheet!$C$3:$G$46,3,FALSE),D63)</f>
        <v>0</v>
      </c>
      <c r="E63" s="299">
        <f>_xlfn.IFNA(VLOOKUP(B63,Worksheet!$C$3:$G$46,4,FALSE),E63)</f>
        <v>0</v>
      </c>
      <c r="F63" s="299">
        <f>_xlfn.IFNA(VLOOKUP(B63,Worksheet!$C$3:$G$46,5,FALSE),F63)</f>
        <v>0</v>
      </c>
      <c r="G63" s="207" t="s">
        <v>117</v>
      </c>
    </row>
    <row r="64" ht="45" customHeight="1">
      <c r="A64" s="226"/>
      <c r="B64" s="238">
        <v>1226</v>
      </c>
      <c r="C64" s="264" t="s">
        <v>142</v>
      </c>
      <c r="D64" s="299">
        <f>_xlfn.IFNA(VLOOKUP(B64,Worksheet!$C$3:$G$46,3,FALSE),D64)</f>
        <v>0</v>
      </c>
      <c r="E64" s="299">
        <f>_xlfn.IFNA(VLOOKUP(B64,Worksheet!$C$3:$G$46,4,FALSE),E64)</f>
        <v>0</v>
      </c>
      <c r="F64" s="299">
        <f>_xlfn.IFNA(VLOOKUP(B64,Worksheet!$C$3:$G$46,5,FALSE),F64)</f>
        <v>0</v>
      </c>
      <c r="G64" s="207" t="s">
        <v>117</v>
      </c>
    </row>
    <row r="65" ht="45" customHeight="1">
      <c r="A65" s="226"/>
      <c r="B65" s="238">
        <v>1227</v>
      </c>
      <c r="C65" s="264" t="s">
        <v>143</v>
      </c>
      <c r="D65" s="299">
        <f>_xlfn.IFNA(VLOOKUP(B65,Worksheet!$C$3:$G$46,3,FALSE),D65)</f>
        <v>0</v>
      </c>
      <c r="E65" s="299">
        <f>_xlfn.IFNA(VLOOKUP(B65,Worksheet!$C$3:$G$46,4,FALSE),E65)</f>
        <v>0</v>
      </c>
      <c r="F65" s="299">
        <f>_xlfn.IFNA(VLOOKUP(B65,Worksheet!$C$3:$G$46,5,FALSE),F65)</f>
        <v>0</v>
      </c>
      <c r="G65" s="207" t="s">
        <v>117</v>
      </c>
    </row>
    <row r="66" ht="45" customHeight="1">
      <c r="A66" s="226"/>
      <c r="B66" s="238"/>
      <c r="C66" s="245" t="s">
        <v>144</v>
      </c>
      <c r="D66" s="246"/>
      <c r="E66" s="246"/>
      <c r="F66" s="247"/>
      <c r="G66" s="207" t="s">
        <v>117</v>
      </c>
    </row>
    <row r="67" ht="45" customHeight="1">
      <c r="A67" s="226"/>
      <c r="B67" s="238">
        <v>1231</v>
      </c>
      <c r="C67" s="242" t="s">
        <v>145</v>
      </c>
      <c r="D67" s="299">
        <f>_xlfn.IFNA(VLOOKUP(B67,Worksheet!$C$3:$G$46,3,FALSE),D67)</f>
        <v>0</v>
      </c>
      <c r="E67" s="299">
        <f>_xlfn.IFNA(VLOOKUP(B67,Worksheet!$C$3:$G$46,4,FALSE),E67)</f>
        <v>0</v>
      </c>
      <c r="F67" s="299">
        <f>_xlfn.IFNA(VLOOKUP(B67,Worksheet!$C$3:$G$46,5,FALSE),F67)</f>
        <v>0</v>
      </c>
      <c r="G67" s="207" t="s">
        <v>117</v>
      </c>
    </row>
    <row r="68" ht="42" customHeight="1">
      <c r="A68" s="226"/>
      <c r="B68" s="238">
        <v>1232</v>
      </c>
      <c r="C68" s="242" t="s">
        <v>146</v>
      </c>
      <c r="D68" s="299">
        <f>_xlfn.IFNA(VLOOKUP(B68,Worksheet!$C$3:$G$46,3,FALSE),D68)</f>
        <v>0</v>
      </c>
      <c r="E68" s="299">
        <f>_xlfn.IFNA(VLOOKUP(B68,Worksheet!$C$3:$G$46,4,FALSE),E68)</f>
        <v>0</v>
      </c>
      <c r="F68" s="299">
        <f>_xlfn.IFNA(VLOOKUP(B68,Worksheet!$C$3:$G$46,5,FALSE),F68)</f>
        <v>0</v>
      </c>
      <c r="G68" s="207" t="s">
        <v>117</v>
      </c>
    </row>
    <row r="69" ht="44.5" customHeight="1">
      <c r="A69" s="226"/>
      <c r="B69" s="238">
        <v>1233</v>
      </c>
      <c r="C69" s="242" t="s">
        <v>147</v>
      </c>
      <c r="D69" s="299">
        <f>_xlfn.IFNA(VLOOKUP(B69,Worksheet!$C$3:$G$46,3,FALSE),D69)</f>
        <v>0</v>
      </c>
      <c r="E69" s="299">
        <f>_xlfn.IFNA(VLOOKUP(B69,Worksheet!$C$3:$G$46,4,FALSE),E69)</f>
        <v>0</v>
      </c>
      <c r="F69" s="299">
        <f>_xlfn.IFNA(VLOOKUP(B69,Worksheet!$C$3:$G$46,5,FALSE),F69)</f>
        <v>0</v>
      </c>
      <c r="G69" s="207" t="s">
        <v>117</v>
      </c>
    </row>
    <row r="70" ht="45" customHeight="1">
      <c r="A70" s="226"/>
      <c r="B70" s="238">
        <v>1234</v>
      </c>
      <c r="C70" s="242" t="s">
        <v>148</v>
      </c>
      <c r="D70" s="299">
        <f>_xlfn.IFNA(VLOOKUP(B70,Worksheet!$C$3:$G$46,3,FALSE),D70)</f>
        <v>0</v>
      </c>
      <c r="E70" s="299">
        <f>_xlfn.IFNA(VLOOKUP(B70,Worksheet!$C$3:$G$46,4,FALSE),E70)</f>
        <v>0</v>
      </c>
      <c r="F70" s="299">
        <f>_xlfn.IFNA(VLOOKUP(B70,Worksheet!$C$3:$G$46,5,FALSE),F70)</f>
        <v>0</v>
      </c>
      <c r="G70" s="207" t="s">
        <v>117</v>
      </c>
    </row>
    <row r="71" ht="45" customHeight="1">
      <c r="A71" s="226"/>
      <c r="B71" s="238">
        <v>1235</v>
      </c>
      <c r="C71" s="242" t="s">
        <v>149</v>
      </c>
      <c r="D71" s="299">
        <f>_xlfn.IFNA(VLOOKUP(B71,Worksheet!$C$3:$G$46,3,FALSE),D71)</f>
        <v>0</v>
      </c>
      <c r="E71" s="299">
        <f>_xlfn.IFNA(VLOOKUP(B71,Worksheet!$C$3:$G$46,4,FALSE),E71)</f>
        <v>0</v>
      </c>
      <c r="F71" s="299">
        <f>_xlfn.IFNA(VLOOKUP(B71,Worksheet!$C$3:$G$46,5,FALSE),F71)</f>
        <v>0</v>
      </c>
      <c r="G71" s="207" t="s">
        <v>117</v>
      </c>
    </row>
    <row r="72" ht="45" customHeight="1">
      <c r="A72" s="226"/>
      <c r="B72" s="238">
        <v>1236</v>
      </c>
      <c r="C72" s="242" t="s">
        <v>150</v>
      </c>
      <c r="D72" s="299">
        <f>_xlfn.IFNA(VLOOKUP(B72,Worksheet!$C$3:$G$46,3,FALSE),D72)</f>
        <v>0</v>
      </c>
      <c r="E72" s="299">
        <f>_xlfn.IFNA(VLOOKUP(B72,Worksheet!$C$3:$G$46,4,FALSE),E72)</f>
        <v>0</v>
      </c>
      <c r="F72" s="299">
        <f>_xlfn.IFNA(VLOOKUP(B72,Worksheet!$C$3:$G$46,5,FALSE),F72)</f>
        <v>0</v>
      </c>
      <c r="G72" s="207" t="s">
        <v>117</v>
      </c>
    </row>
    <row r="73" ht="45" customHeight="1">
      <c r="A73" s="226"/>
      <c r="B73" s="238">
        <v>1241</v>
      </c>
      <c r="C73" s="242" t="s">
        <v>151</v>
      </c>
      <c r="D73" s="299">
        <f>_xlfn.IFNA(VLOOKUP(B73,Worksheet!$C$3:$G$46,3,FALSE),D73)</f>
        <v>0</v>
      </c>
      <c r="E73" s="299">
        <f>_xlfn.IFNA(VLOOKUP(B73,Worksheet!$C$3:$G$46,4,FALSE),E73)</f>
        <v>0</v>
      </c>
      <c r="F73" s="299">
        <f>_xlfn.IFNA(VLOOKUP(B73,Worksheet!$C$3:$G$46,5,FALSE),F73)</f>
        <v>0</v>
      </c>
      <c r="G73" s="207" t="s">
        <v>117</v>
      </c>
    </row>
    <row r="74" ht="45" customHeight="1">
      <c r="A74" s="226"/>
      <c r="B74" s="238">
        <v>1242</v>
      </c>
      <c r="C74" s="242" t="s">
        <v>152</v>
      </c>
      <c r="D74" s="299">
        <f>_xlfn.IFNA(VLOOKUP(B74,Worksheet!$C$3:$G$46,3,FALSE),D74)</f>
        <v>0</v>
      </c>
      <c r="E74" s="299">
        <f>_xlfn.IFNA(VLOOKUP(B74,Worksheet!$C$3:$G$46,4,FALSE),E74)</f>
        <v>0</v>
      </c>
      <c r="F74" s="299">
        <f>_xlfn.IFNA(VLOOKUP(B74,Worksheet!$C$3:$G$46,5,FALSE),F74)</f>
        <v>0</v>
      </c>
      <c r="G74" s="207" t="s">
        <v>117</v>
      </c>
    </row>
    <row r="75" ht="45" customHeight="1">
      <c r="A75" s="226"/>
      <c r="B75" s="238">
        <v>1243</v>
      </c>
      <c r="C75" s="243" t="s">
        <v>153</v>
      </c>
      <c r="D75" s="299">
        <f>_xlfn.IFNA(VLOOKUP(B75,Worksheet!$C$3:$G$46,3,FALSE),D75)</f>
        <v>0</v>
      </c>
      <c r="E75" s="299">
        <f>_xlfn.IFNA(VLOOKUP(B75,Worksheet!$C$3:$G$46,4,FALSE),E75)</f>
        <v>0</v>
      </c>
      <c r="F75" s="299">
        <f>_xlfn.IFNA(VLOOKUP(B75,Worksheet!$C$3:$G$46,5,FALSE),F75)</f>
        <v>0</v>
      </c>
      <c r="G75" s="207" t="s">
        <v>117</v>
      </c>
    </row>
    <row r="76" ht="45" customHeight="1">
      <c r="A76" s="226"/>
      <c r="B76" s="238">
        <v>1244</v>
      </c>
      <c r="C76" s="243" t="s">
        <v>154</v>
      </c>
      <c r="D76" s="299">
        <f>_xlfn.IFNA(VLOOKUP(B76,Worksheet!$C$3:$G$46,3,FALSE),D76)</f>
        <v>0</v>
      </c>
      <c r="E76" s="299">
        <f>_xlfn.IFNA(VLOOKUP(B76,Worksheet!$C$3:$G$46,4,FALSE),E76)</f>
        <v>0</v>
      </c>
      <c r="F76" s="299">
        <f>_xlfn.IFNA(VLOOKUP(B76,Worksheet!$C$3:$G$46,5,FALSE),F76)</f>
        <v>0</v>
      </c>
      <c r="G76" s="207" t="s">
        <v>117</v>
      </c>
    </row>
    <row r="77" ht="45" customHeight="1">
      <c r="A77" s="226"/>
      <c r="B77" s="238">
        <v>1245</v>
      </c>
      <c r="C77" s="243" t="s">
        <v>155</v>
      </c>
      <c r="D77" s="299">
        <f>_xlfn.IFNA(VLOOKUP(B77,Worksheet!$C$3:$G$46,3,FALSE),D77)</f>
        <v>0</v>
      </c>
      <c r="E77" s="299">
        <f>_xlfn.IFNA(VLOOKUP(B77,Worksheet!$C$3:$G$46,4,FALSE),E77)</f>
        <v>0</v>
      </c>
      <c r="F77" s="299">
        <f>_xlfn.IFNA(VLOOKUP(B77,Worksheet!$C$3:$G$46,5,FALSE),F77)</f>
        <v>0</v>
      </c>
      <c r="G77" s="207" t="s">
        <v>117</v>
      </c>
    </row>
    <row r="78" ht="45" customHeight="1">
      <c r="A78" s="226"/>
      <c r="B78" s="238">
        <v>1246</v>
      </c>
      <c r="C78" s="243" t="s">
        <v>156</v>
      </c>
      <c r="D78" s="299">
        <f>_xlfn.IFNA(VLOOKUP(B78,Worksheet!$C$3:$G$46,3,FALSE),D78)</f>
        <v>0</v>
      </c>
      <c r="E78" s="299">
        <f>_xlfn.IFNA(VLOOKUP(B78,Worksheet!$C$3:$G$46,4,FALSE),E78)</f>
        <v>0</v>
      </c>
      <c r="F78" s="299">
        <f>_xlfn.IFNA(VLOOKUP(B78,Worksheet!$C$3:$G$46,5,FALSE),F78)</f>
        <v>0</v>
      </c>
      <c r="G78" s="207" t="s">
        <v>117</v>
      </c>
    </row>
    <row r="79" ht="45" customHeight="1">
      <c r="A79" s="226"/>
      <c r="B79" s="238">
        <v>1247</v>
      </c>
      <c r="C79" s="242" t="s">
        <v>157</v>
      </c>
      <c r="D79" s="299">
        <f>_xlfn.IFNA(VLOOKUP(B79,Worksheet!$C$3:$G$46,3,FALSE),D79)</f>
        <v>0</v>
      </c>
      <c r="E79" s="299">
        <f>_xlfn.IFNA(VLOOKUP(B79,Worksheet!$C$3:$G$46,4,FALSE),E79)</f>
        <v>0</v>
      </c>
      <c r="F79" s="299">
        <f>_xlfn.IFNA(VLOOKUP(B79,Worksheet!$C$3:$G$46,5,FALSE),F79)</f>
        <v>0</v>
      </c>
      <c r="G79" s="207" t="s">
        <v>117</v>
      </c>
    </row>
    <row r="80" ht="45" customHeight="1">
      <c r="A80" s="226"/>
      <c r="B80" s="238">
        <v>1248</v>
      </c>
      <c r="C80" s="242" t="s">
        <v>158</v>
      </c>
      <c r="D80" s="299">
        <f>_xlfn.IFNA(VLOOKUP(B80,Worksheet!$C$3:$G$46,3,FALSE),D80)</f>
        <v>0</v>
      </c>
      <c r="E80" s="299">
        <f>_xlfn.IFNA(VLOOKUP(B80,Worksheet!$C$3:$G$46,4,FALSE),E80)</f>
        <v>0</v>
      </c>
      <c r="F80" s="299">
        <f>_xlfn.IFNA(VLOOKUP(B80,Worksheet!$C$3:$G$46,5,FALSE),F80)</f>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f>_xlfn.IFNA(VLOOKUP(B82,Worksheet!$C$3:$G$46,3,FALSE),D82)</f>
        <v>0</v>
      </c>
      <c r="E82" s="299">
        <f>_xlfn.IFNA(VLOOKUP(B82,Worksheet!$C$3:$G$46,4,FALSE),E82)</f>
        <v>0</v>
      </c>
      <c r="F82" s="299">
        <f>_xlfn.IFNA(VLOOKUP(B82,Worksheet!$C$3:$G$46,5,FALSE),F82)</f>
        <v>0</v>
      </c>
      <c r="G82" s="207" t="s">
        <v>117</v>
      </c>
    </row>
    <row r="83" ht="45" customHeight="1">
      <c r="A83" s="226"/>
      <c r="B83" s="238">
        <v>1253</v>
      </c>
      <c r="C83" s="242" t="s">
        <v>161</v>
      </c>
      <c r="D83" s="299">
        <f>_xlfn.IFNA(VLOOKUP(B83,Worksheet!$C$3:$G$46,3,FALSE),D83)</f>
        <v>0</v>
      </c>
      <c r="E83" s="299">
        <f>_xlfn.IFNA(VLOOKUP(B83,Worksheet!$C$3:$G$46,4,FALSE),E83)</f>
        <v>0</v>
      </c>
      <c r="F83" s="299">
        <f>_xlfn.IFNA(VLOOKUP(B83,Worksheet!$C$3:$G$46,5,FALSE),F83)</f>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f>_xlfn.IFNA(VLOOKUP(B85,Worksheet!$C$3:$G$46,3,FALSE),D85)</f>
        <v>0</v>
      </c>
      <c r="E85" s="299">
        <f>_xlfn.IFNA(VLOOKUP(B85,Worksheet!$C$3:$G$46,4,FALSE),E85)</f>
        <v>0</v>
      </c>
      <c r="F85" s="299">
        <f>_xlfn.IFNA(VLOOKUP(B85,Worksheet!$C$3:$G$46,5,FALSE),F85)</f>
        <v>0</v>
      </c>
      <c r="G85" s="207" t="s">
        <v>117</v>
      </c>
    </row>
    <row r="86" ht="45" customHeight="1">
      <c r="A86" s="226"/>
      <c r="B86" s="238">
        <v>1256</v>
      </c>
      <c r="C86" s="242" t="s">
        <v>164</v>
      </c>
      <c r="D86" s="299">
        <f>_xlfn.IFNA(VLOOKUP(B86,Worksheet!$C$3:$G$46,3,FALSE),D86)</f>
        <v>0</v>
      </c>
      <c r="E86" s="299">
        <f>_xlfn.IFNA(VLOOKUP(B86,Worksheet!$C$3:$G$46,4,FALSE),E86)</f>
        <v>0</v>
      </c>
      <c r="F86" s="299">
        <f>_xlfn.IFNA(VLOOKUP(B86,Worksheet!$C$3:$G$46,5,FALSE),F86)</f>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f>_xlfn.IFNA(VLOOKUP(B88,Worksheet!$C$3:$G$46,4,FALSE),E88)</f>
        <v>0</v>
      </c>
      <c r="F88" s="299">
        <f>_xlfn.IFNA(VLOOKUP(B88,Worksheet!$C$3:$G$46,5,FALSE),F88)</f>
        <v>0</v>
      </c>
      <c r="G88" s="207" t="s">
        <v>117</v>
      </c>
    </row>
    <row r="89" ht="45" customHeight="1">
      <c r="A89" s="226"/>
      <c r="B89" s="238">
        <v>1259</v>
      </c>
      <c r="C89" s="242" t="s">
        <v>167</v>
      </c>
      <c r="D89" s="299">
        <v>0</v>
      </c>
      <c r="E89" s="299">
        <f>_xlfn.IFNA(VLOOKUP(B89,Worksheet!$C$3:$G$46,4,FALSE),E89)</f>
        <v>0</v>
      </c>
      <c r="F89" s="299">
        <f>_xlfn.IFNA(VLOOKUP(B89,Worksheet!$C$3:$G$46,5,FALSE),F89)</f>
        <v>0</v>
      </c>
      <c r="G89" s="207" t="s">
        <v>117</v>
      </c>
    </row>
    <row r="90" ht="45" customHeight="1">
      <c r="A90" s="226"/>
      <c r="C90" s="252"/>
      <c r="D90" s="253"/>
      <c r="E90" s="254"/>
      <c r="F90" s="254"/>
      <c r="G90" s="265"/>
    </row>
    <row r="91" ht="45" customHeight="1">
      <c r="A91" s="226"/>
      <c r="B91" s="220" t="s">
        <v>168</v>
      </c>
      <c r="C91" s="260" t="s">
        <v>169</v>
      </c>
      <c r="D91" s="228"/>
      <c r="E91" s="231"/>
      <c r="F91" s="298">
        <v>11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f>_xlfn.IFNA(VLOOKUP(B93,Worksheet!$C$3:$G$46,3,FALSE),D93)</f>
        <v>0</v>
      </c>
      <c r="E93" s="299">
        <f>_xlfn.IFNA(VLOOKUP(B93,Worksheet!$C$3:$G$46,4,FALSE),E93)</f>
        <v>0</v>
      </c>
      <c r="F93" s="299">
        <f>_xlfn.IFNA(VLOOKUP(B93,Worksheet!$C$3:$G$46,5,FALSE),F93)</f>
        <v>0</v>
      </c>
      <c r="G93" s="265" t="s">
        <v>168</v>
      </c>
    </row>
    <row r="94" ht="45" customHeight="1">
      <c r="A94" s="226"/>
      <c r="B94" s="238">
        <v>1314</v>
      </c>
      <c r="C94" s="268" t="s">
        <v>173</v>
      </c>
      <c r="D94" s="299">
        <f>_xlfn.IFNA(VLOOKUP(B94,Worksheet!$C$3:$G$46,3,FALSE),D94)</f>
        <v>0</v>
      </c>
      <c r="E94" s="299">
        <f>_xlfn.IFNA(VLOOKUP(B94,Worksheet!$C$3:$G$46,4,FALSE),E94)</f>
        <v>0</v>
      </c>
      <c r="F94" s="299">
        <f>_xlfn.IFNA(VLOOKUP(B94,Worksheet!$C$3:$G$46,5,FALSE),F94)</f>
        <v>0</v>
      </c>
      <c r="G94" s="265" t="s">
        <v>168</v>
      </c>
    </row>
    <row r="95" ht="45" customHeight="1">
      <c r="A95" s="226"/>
      <c r="B95" s="238">
        <v>1315</v>
      </c>
      <c r="C95" s="243" t="s">
        <v>174</v>
      </c>
      <c r="D95" s="299">
        <f>_xlfn.IFNA(VLOOKUP(B95,Worksheet!$C$3:$G$46,3,FALSE),D95)</f>
        <v>0</v>
      </c>
      <c r="E95" s="299">
        <f>_xlfn.IFNA(VLOOKUP(B95,Worksheet!$C$3:$G$46,4,FALSE),E95)</f>
        <v>0</v>
      </c>
      <c r="F95" s="299">
        <f>_xlfn.IFNA(VLOOKUP(B95,Worksheet!$C$3:$G$46,5,FALSE),F95)</f>
        <v>0</v>
      </c>
      <c r="G95" s="265" t="s">
        <v>168</v>
      </c>
    </row>
    <row r="96" ht="45" customHeight="1" s="269" customFormat="1">
      <c r="A96" s="226"/>
      <c r="B96" s="238">
        <v>1316</v>
      </c>
      <c r="C96" s="243" t="s">
        <v>175</v>
      </c>
      <c r="D96" s="299">
        <f>_xlfn.IFNA(VLOOKUP(B96,Worksheet!$C$3:$G$46,3,FALSE),D96)</f>
        <v>0</v>
      </c>
      <c r="E96" s="299">
        <f>_xlfn.IFNA(VLOOKUP(B96,Worksheet!$C$3:$G$46,4,FALSE),E96)</f>
        <v>0</v>
      </c>
      <c r="F96" s="299">
        <f>_xlfn.IFNA(VLOOKUP(B96,Worksheet!$C$3:$G$46,5,FALSE),F96)</f>
        <v>0</v>
      </c>
      <c r="G96" s="265" t="s">
        <v>168</v>
      </c>
    </row>
    <row r="97" ht="45" customHeight="1" s="269" customFormat="1">
      <c r="A97" s="226"/>
      <c r="B97" s="238">
        <v>1321</v>
      </c>
      <c r="C97" s="242" t="s">
        <v>176</v>
      </c>
      <c r="D97" s="299">
        <f>_xlfn.IFNA(VLOOKUP(B97,Worksheet!$C$3:$G$46,3,FALSE),D97)</f>
        <v>0</v>
      </c>
      <c r="E97" s="299">
        <f>_xlfn.IFNA(VLOOKUP(B97,Worksheet!$C$3:$G$46,4,FALSE),E97)</f>
        <v>0</v>
      </c>
      <c r="F97" s="299">
        <f>_xlfn.IFNA(VLOOKUP(B97,Worksheet!$C$3:$G$46,5,FALSE),F97)</f>
        <v>0</v>
      </c>
      <c r="G97" s="265" t="s">
        <v>168</v>
      </c>
    </row>
    <row r="98" ht="45" customHeight="1" s="269" customFormat="1">
      <c r="A98" s="226"/>
      <c r="B98" s="238">
        <v>1322</v>
      </c>
      <c r="C98" s="242" t="s">
        <v>177</v>
      </c>
      <c r="D98" s="299">
        <f>_xlfn.IFNA(VLOOKUP(B98,Worksheet!$C$3:$G$46,3,FALSE),D98)</f>
        <v>0</v>
      </c>
      <c r="E98" s="299">
        <f>_xlfn.IFNA(VLOOKUP(B98,Worksheet!$C$3:$G$46,4,FALSE),E98)</f>
        <v>0</v>
      </c>
      <c r="F98" s="299">
        <f>_xlfn.IFNA(VLOOKUP(B98,Worksheet!$C$3:$G$46,5,FALSE),F98)</f>
        <v>0</v>
      </c>
      <c r="G98" s="265" t="s">
        <v>168</v>
      </c>
    </row>
    <row r="99" ht="45" customHeight="1" s="269" customFormat="1">
      <c r="A99" s="226"/>
      <c r="B99" s="238">
        <v>1323</v>
      </c>
      <c r="C99" s="242" t="s">
        <v>178</v>
      </c>
      <c r="D99" s="299">
        <f>_xlfn.IFNA(VLOOKUP(B99,Worksheet!$C$3:$G$46,3,FALSE),D99)</f>
        <v>0</v>
      </c>
      <c r="E99" s="299">
        <f>_xlfn.IFNA(VLOOKUP(B99,Worksheet!$C$3:$G$46,4,FALSE),E99)</f>
        <v>0</v>
      </c>
      <c r="F99" s="299">
        <f>_xlfn.IFNA(VLOOKUP(B99,Worksheet!$C$3:$G$46,5,FALSE),F99)</f>
        <v>0</v>
      </c>
      <c r="G99" s="265" t="s">
        <v>168</v>
      </c>
    </row>
    <row r="100" ht="45" customHeight="1" s="269" customFormat="1">
      <c r="A100" s="226"/>
      <c r="B100" s="238">
        <v>1324</v>
      </c>
      <c r="C100" s="242" t="s">
        <v>179</v>
      </c>
      <c r="D100" s="299">
        <f>_xlfn.IFNA(VLOOKUP(B100,Worksheet!$C$3:$G$46,3,FALSE),D100)</f>
        <v>0</v>
      </c>
      <c r="E100" s="299">
        <f>_xlfn.IFNA(VLOOKUP(B100,Worksheet!$C$3:$G$46,4,FALSE),E100)</f>
        <v>0</v>
      </c>
      <c r="F100" s="299">
        <f>_xlfn.IFNA(VLOOKUP(B100,Worksheet!$C$3:$G$46,5,FALSE),F100)</f>
        <v>0</v>
      </c>
      <c r="G100" s="265" t="s">
        <v>168</v>
      </c>
    </row>
    <row r="101" ht="45" customHeight="1" s="269" customFormat="1">
      <c r="A101" s="226"/>
      <c r="B101" s="238">
        <v>1331</v>
      </c>
      <c r="C101" s="242" t="s">
        <v>180</v>
      </c>
      <c r="D101" s="299">
        <f>_xlfn.IFNA(VLOOKUP(B101,Worksheet!$C$3:$G$46,3,FALSE),D101)</f>
        <v>0</v>
      </c>
      <c r="E101" s="299">
        <f>_xlfn.IFNA(VLOOKUP(B101,Worksheet!$C$3:$G$46,4,FALSE),E101)</f>
        <v>0</v>
      </c>
      <c r="F101" s="299">
        <f>_xlfn.IFNA(VLOOKUP(B101,Worksheet!$C$3:$G$46,5,FALSE),F101)</f>
        <v>0</v>
      </c>
      <c r="G101" s="265" t="s">
        <v>168</v>
      </c>
    </row>
    <row r="102" ht="45" customHeight="1" s="269" customFormat="1">
      <c r="A102" s="226"/>
      <c r="B102" s="238">
        <v>1332</v>
      </c>
      <c r="C102" s="242" t="s">
        <v>181</v>
      </c>
      <c r="D102" s="299">
        <f>_xlfn.IFNA(VLOOKUP(B102,Worksheet!$C$3:$G$46,3,FALSE),D102)</f>
        <v>0</v>
      </c>
      <c r="E102" s="299">
        <f>_xlfn.IFNA(VLOOKUP(B102,Worksheet!$C$3:$G$46,4,FALSE),E102)</f>
        <v>0</v>
      </c>
      <c r="F102" s="299">
        <f>_xlfn.IFNA(VLOOKUP(B102,Worksheet!$C$3:$G$46,5,FALSE),F102)</f>
        <v>0</v>
      </c>
      <c r="G102" s="265" t="s">
        <v>168</v>
      </c>
    </row>
    <row r="103" ht="45" customHeight="1" s="269" customFormat="1">
      <c r="A103" s="226"/>
      <c r="B103" s="238">
        <v>1333</v>
      </c>
      <c r="C103" s="242" t="s">
        <v>182</v>
      </c>
      <c r="D103" s="299">
        <f>_xlfn.IFNA(VLOOKUP(B103,Worksheet!$C$3:$G$46,3,FALSE),D103)</f>
        <v>0</v>
      </c>
      <c r="E103" s="299">
        <f>_xlfn.IFNA(VLOOKUP(B103,Worksheet!$C$3:$G$46,4,FALSE),E103)</f>
        <v>0</v>
      </c>
      <c r="F103" s="299">
        <f>_xlfn.IFNA(VLOOKUP(B103,Worksheet!$C$3:$G$46,5,FALSE),F103)</f>
        <v>0</v>
      </c>
      <c r="G103" s="265" t="s">
        <v>168</v>
      </c>
    </row>
    <row r="104" ht="45" customHeight="1" s="269" customFormat="1">
      <c r="A104" s="226"/>
      <c r="B104" s="238">
        <v>1334</v>
      </c>
      <c r="C104" s="242" t="s">
        <v>183</v>
      </c>
      <c r="D104" s="299">
        <f>_xlfn.IFNA(VLOOKUP(B104,Worksheet!$C$3:$G$46,3,FALSE),D104)</f>
        <v>0</v>
      </c>
      <c r="E104" s="299">
        <f>_xlfn.IFNA(VLOOKUP(B104,Worksheet!$C$3:$G$46,4,FALSE),E104)</f>
        <v>0</v>
      </c>
      <c r="F104" s="299">
        <f>_xlfn.IFNA(VLOOKUP(B104,Worksheet!$C$3:$G$46,5,FALSE),F104)</f>
        <v>0</v>
      </c>
      <c r="G104" s="265" t="s">
        <v>168</v>
      </c>
    </row>
    <row r="105" ht="45" customHeight="1" s="269" customFormat="1">
      <c r="A105" s="226"/>
      <c r="B105" s="238">
        <v>1335</v>
      </c>
      <c r="C105" s="242" t="s">
        <v>184</v>
      </c>
      <c r="D105" s="299">
        <f>_xlfn.IFNA(VLOOKUP(B105,Worksheet!$C$3:$G$46,3,FALSE),D105)</f>
        <v>0</v>
      </c>
      <c r="E105" s="299">
        <f>_xlfn.IFNA(VLOOKUP(B105,Worksheet!$C$3:$G$46,4,FALSE),E105)</f>
        <v>0</v>
      </c>
      <c r="F105" s="299">
        <f>_xlfn.IFNA(VLOOKUP(B105,Worksheet!$C$3:$G$46,5,FALSE),F105)</f>
        <v>0</v>
      </c>
      <c r="G105" s="265" t="s">
        <v>168</v>
      </c>
    </row>
    <row r="106" ht="45" customHeight="1" s="269" customFormat="1">
      <c r="A106" s="226"/>
      <c r="B106" s="238">
        <v>1341</v>
      </c>
      <c r="C106" s="242" t="s">
        <v>185</v>
      </c>
      <c r="D106" s="299">
        <f>_xlfn.IFNA(VLOOKUP(B106,Worksheet!$C$3:$G$46,3,FALSE),D106)</f>
        <v>0</v>
      </c>
      <c r="E106" s="299">
        <f>_xlfn.IFNA(VLOOKUP(B106,Worksheet!$C$3:$G$46,4,FALSE),E106)</f>
        <v>0</v>
      </c>
      <c r="F106" s="299">
        <f>_xlfn.IFNA(VLOOKUP(B106,Worksheet!$C$3:$G$46,5,FALSE),F106)</f>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f>_xlfn.IFNA(VLOOKUP(B108,Worksheet!$C$3:$G$46,3,FALSE),D108)</f>
        <v>0</v>
      </c>
      <c r="E108" s="299">
        <f>_xlfn.IFNA(VLOOKUP(B108,Worksheet!$C$3:$G$46,4,FALSE),E108)</f>
        <v>0</v>
      </c>
      <c r="F108" s="299">
        <f>_xlfn.IFNA(VLOOKUP(B108,Worksheet!$C$3:$G$46,5,FALSE),F108)</f>
        <v>0</v>
      </c>
      <c r="G108" s="265" t="s">
        <v>168</v>
      </c>
    </row>
    <row r="109" ht="45" customHeight="1" s="269" customFormat="1">
      <c r="A109" s="226"/>
      <c r="B109" s="238">
        <v>1344</v>
      </c>
      <c r="C109" s="242" t="s">
        <v>188</v>
      </c>
      <c r="D109" s="299">
        <f>_xlfn.IFNA(VLOOKUP(B109,Worksheet!$C$3:$G$46,3,FALSE),D109)</f>
        <v>0</v>
      </c>
      <c r="E109" s="299">
        <f>_xlfn.IFNA(VLOOKUP(B109,Worksheet!$C$3:$G$46,4,FALSE),E109)</f>
        <v>0</v>
      </c>
      <c r="F109" s="299">
        <f>_xlfn.IFNA(VLOOKUP(B109,Worksheet!$C$3:$G$46,5,FALSE),F109)</f>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f>_xlfn.IFNA(VLOOKUP(B111,Worksheet!$C$3:$G$46,3,FALSE),D111)</f>
        <v>0</v>
      </c>
      <c r="E111" s="299">
        <f>_xlfn.IFNA(VLOOKUP(B111,Worksheet!$C$3:$G$46,4,FALSE),E111)</f>
        <v>0</v>
      </c>
      <c r="F111" s="299">
        <f>_xlfn.IFNA(VLOOKUP(B111,Worksheet!$C$3:$G$46,5,FALSE),F111)</f>
        <v>0</v>
      </c>
      <c r="G111" s="265" t="s">
        <v>168</v>
      </c>
    </row>
    <row r="112" ht="45" customHeight="1" s="269" customFormat="1">
      <c r="A112" s="226"/>
      <c r="B112" s="238">
        <v>1353</v>
      </c>
      <c r="C112" s="242" t="s">
        <v>191</v>
      </c>
      <c r="D112" s="299">
        <f>_xlfn.IFNA(VLOOKUP(B112,Worksheet!$C$3:$G$46,3,FALSE),D112)</f>
        <v>0</v>
      </c>
      <c r="E112" s="299">
        <f>_xlfn.IFNA(VLOOKUP(B112,Worksheet!$C$3:$G$46,4,FALSE),E112)</f>
        <v>0</v>
      </c>
      <c r="F112" s="299">
        <f>_xlfn.IFNA(VLOOKUP(B112,Worksheet!$C$3:$G$46,5,FALSE),F112)</f>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f>_xlfn.IFNA(VLOOKUP(B114,Worksheet!$C$3:$G$46,3,FALSE),D114)</f>
        <v>0</v>
      </c>
      <c r="E114" s="299">
        <f>_xlfn.IFNA(VLOOKUP(B114,Worksheet!$C$3:$G$46,4,FALSE),E114)</f>
        <v>0</v>
      </c>
      <c r="F114" s="299">
        <f>_xlfn.IFNA(VLOOKUP(B114,Worksheet!$C$3:$G$46,5,FALSE),F114)</f>
        <v>0</v>
      </c>
      <c r="G114" s="265" t="s">
        <v>168</v>
      </c>
    </row>
    <row r="115" ht="45" customHeight="1" s="269" customFormat="1">
      <c r="A115" s="226"/>
      <c r="B115" s="238">
        <v>1356</v>
      </c>
      <c r="C115" s="242" t="s">
        <v>193</v>
      </c>
      <c r="D115" s="299">
        <f>_xlfn.IFNA(VLOOKUP(B115,Worksheet!$C$3:$G$46,3,FALSE),D115)</f>
        <v>0</v>
      </c>
      <c r="E115" s="299">
        <f>_xlfn.IFNA(VLOOKUP(B115,Worksheet!$C$3:$G$46,4,FALSE),E115)</f>
        <v>0</v>
      </c>
      <c r="F115" s="299">
        <f>_xlfn.IFNA(VLOOKUP(B115,Worksheet!$C$3:$G$46,5,FALSE),F115)</f>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7</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f>_xlfn.IFNA(VLOOKUP(B119,Worksheet!$C$3:$G$46,3,FALSE),D119)</f>
        <v>0</v>
      </c>
      <c r="E119" s="299">
        <f>_xlfn.IFNA(VLOOKUP(B119,Worksheet!$C$3:$G$46,4,FALSE),E119)</f>
        <v>0</v>
      </c>
      <c r="F119" s="299">
        <f>_xlfn.IFNA(VLOOKUP(B119,Worksheet!$C$3:$G$46,5,FALSE),F119)</f>
        <v>0</v>
      </c>
      <c r="G119" s="207" t="s">
        <v>194</v>
      </c>
    </row>
    <row r="120" ht="45" customHeight="1" s="269" customFormat="1">
      <c r="A120" s="226"/>
      <c r="B120" s="238">
        <v>1414</v>
      </c>
      <c r="C120" s="243" t="s">
        <v>198</v>
      </c>
      <c r="D120" s="299">
        <f>_xlfn.IFNA(VLOOKUP(B120,Worksheet!$C$3:$G$46,3,FALSE),D120)</f>
        <v>0</v>
      </c>
      <c r="E120" s="299">
        <f>_xlfn.IFNA(VLOOKUP(B120,Worksheet!$C$3:$G$46,4,FALSE),E120)</f>
        <v>0</v>
      </c>
      <c r="F120" s="299">
        <f>_xlfn.IFNA(VLOOKUP(B120,Worksheet!$C$3:$G$46,5,FALSE),F120)</f>
        <v>0</v>
      </c>
      <c r="G120" s="207" t="s">
        <v>194</v>
      </c>
    </row>
    <row r="121" ht="45" customHeight="1" s="269" customFormat="1">
      <c r="A121" s="226"/>
      <c r="B121" s="238">
        <v>1422</v>
      </c>
      <c r="C121" s="242" t="s">
        <v>199</v>
      </c>
      <c r="D121" s="299">
        <f>_xlfn.IFNA(VLOOKUP(B121,Worksheet!$C$3:$G$46,3,FALSE),D121)</f>
        <v>0</v>
      </c>
      <c r="E121" s="299">
        <f>_xlfn.IFNA(VLOOKUP(B121,Worksheet!$C$3:$G$46,4,FALSE),E121)</f>
        <v>0</v>
      </c>
      <c r="F121" s="299">
        <f>_xlfn.IFNA(VLOOKUP(B121,Worksheet!$C$3:$G$46,5,FALSE),F121)</f>
        <v>0</v>
      </c>
      <c r="G121" s="207" t="s">
        <v>194</v>
      </c>
    </row>
    <row r="122" ht="45" customHeight="1" s="269" customFormat="1">
      <c r="A122" s="226"/>
      <c r="B122" s="238">
        <v>1423</v>
      </c>
      <c r="C122" s="242" t="s">
        <v>200</v>
      </c>
      <c r="D122" s="299">
        <f>_xlfn.IFNA(VLOOKUP(B122,Worksheet!$C$3:$G$46,3,FALSE),D122)</f>
        <v>0</v>
      </c>
      <c r="E122" s="299">
        <f>_xlfn.IFNA(VLOOKUP(B122,Worksheet!$C$3:$G$46,4,FALSE),E122)</f>
        <v>0</v>
      </c>
      <c r="F122" s="299">
        <f>_xlfn.IFNA(VLOOKUP(B122,Worksheet!$C$3:$G$46,5,FALSE),F122)</f>
        <v>0</v>
      </c>
      <c r="G122" s="207" t="s">
        <v>194</v>
      </c>
    </row>
    <row r="123" ht="45" customHeight="1" s="269" customFormat="1">
      <c r="A123" s="226"/>
      <c r="B123" s="238">
        <v>1424</v>
      </c>
      <c r="C123" s="242" t="s">
        <v>201</v>
      </c>
      <c r="D123" s="299">
        <f>_xlfn.IFNA(VLOOKUP(B123,Worksheet!$C$3:$G$46,3,FALSE),D123)</f>
        <v>0</v>
      </c>
      <c r="E123" s="299">
        <f>_xlfn.IFNA(VLOOKUP(B123,Worksheet!$C$3:$G$46,4,FALSE),E123)</f>
        <v>0</v>
      </c>
      <c r="F123" s="299">
        <f>_xlfn.IFNA(VLOOKUP(B123,Worksheet!$C$3:$G$46,5,FALSE),F123)</f>
        <v>0</v>
      </c>
      <c r="G123" s="207" t="s">
        <v>194</v>
      </c>
    </row>
    <row r="124" ht="45" customHeight="1" s="269" customFormat="1">
      <c r="A124" s="226"/>
      <c r="B124" s="238">
        <v>1425</v>
      </c>
      <c r="C124" s="242" t="s">
        <v>202</v>
      </c>
      <c r="D124" s="299">
        <f>_xlfn.IFNA(VLOOKUP(B124,Worksheet!$C$3:$G$46,3,FALSE),D124)</f>
        <v>0</v>
      </c>
      <c r="E124" s="299">
        <f>_xlfn.IFNA(VLOOKUP(B124,Worksheet!$C$3:$G$46,4,FALSE),E124)</f>
        <v>0</v>
      </c>
      <c r="F124" s="299">
        <f>_xlfn.IFNA(VLOOKUP(B124,Worksheet!$C$3:$G$46,5,FALSE),F124)</f>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f>_xlfn.IFNA(VLOOKUP(B126,Worksheet!$C$3:$G$46,3,FALSE),D126)</f>
        <v>0</v>
      </c>
      <c r="E126" s="299">
        <f>_xlfn.IFNA(VLOOKUP(B126,Worksheet!$C$3:$G$46,4,FALSE),E126)</f>
        <v>0</v>
      </c>
      <c r="F126" s="299">
        <f>_xlfn.IFNA(VLOOKUP(B126,Worksheet!$C$3:$G$46,5,FALSE),F126)</f>
        <v>0</v>
      </c>
      <c r="G126" s="207" t="s">
        <v>194</v>
      </c>
    </row>
    <row r="127" ht="45" customHeight="1" s="269" customFormat="1">
      <c r="A127" s="226"/>
      <c r="B127" s="238">
        <v>1432</v>
      </c>
      <c r="C127" s="242" t="s">
        <v>206</v>
      </c>
      <c r="D127" s="299">
        <f>_xlfn.IFNA(VLOOKUP(B127,Worksheet!$C$3:$G$46,3,FALSE),D127)</f>
        <v>0</v>
      </c>
      <c r="E127" s="299">
        <f>_xlfn.IFNA(VLOOKUP(B127,Worksheet!$C$3:$G$46,4,FALSE),E127)</f>
        <v>0</v>
      </c>
      <c r="F127" s="299">
        <f>_xlfn.IFNA(VLOOKUP(B127,Worksheet!$C$3:$G$46,5,FALSE),F127)</f>
        <v>0</v>
      </c>
      <c r="G127" s="207" t="s">
        <v>194</v>
      </c>
    </row>
    <row r="128" ht="45" customHeight="1" s="269" customFormat="1">
      <c r="A128" s="226"/>
      <c r="B128" s="238">
        <v>1433</v>
      </c>
      <c r="C128" s="242" t="s">
        <v>207</v>
      </c>
      <c r="D128" s="299">
        <f>_xlfn.IFNA(VLOOKUP(B128,Worksheet!$C$3:$G$46,3,FALSE),D128)</f>
        <v>0</v>
      </c>
      <c r="E128" s="299">
        <f>_xlfn.IFNA(VLOOKUP(B128,Worksheet!$C$3:$G$46,4,FALSE),E128)</f>
        <v>0</v>
      </c>
      <c r="F128" s="299">
        <f>_xlfn.IFNA(VLOOKUP(B128,Worksheet!$C$3:$G$46,5,FALSE),F128)</f>
        <v>0</v>
      </c>
      <c r="G128" s="207" t="s">
        <v>194</v>
      </c>
    </row>
    <row r="129" ht="45" customHeight="1" s="269" customFormat="1">
      <c r="A129" s="226"/>
      <c r="B129" s="238">
        <v>1434</v>
      </c>
      <c r="C129" s="242" t="s">
        <v>208</v>
      </c>
      <c r="D129" s="299">
        <f>_xlfn.IFNA(VLOOKUP(B129,Worksheet!$C$3:$G$46,3,FALSE),D129)</f>
        <v>0</v>
      </c>
      <c r="E129" s="299">
        <f>_xlfn.IFNA(VLOOKUP(B129,Worksheet!$C$3:$G$46,4,FALSE),E129)</f>
        <v>0</v>
      </c>
      <c r="F129" s="299">
        <f>_xlfn.IFNA(VLOOKUP(B129,Worksheet!$C$3:$G$46,5,FALSE),F129)</f>
        <v>0</v>
      </c>
      <c r="G129" s="207" t="s">
        <v>194</v>
      </c>
    </row>
    <row r="130" ht="45" customHeight="1" s="269" customFormat="1">
      <c r="A130" s="226"/>
      <c r="B130" s="238">
        <v>1435</v>
      </c>
      <c r="C130" s="242" t="s">
        <v>209</v>
      </c>
      <c r="D130" s="299">
        <f>_xlfn.IFNA(VLOOKUP(B130,Worksheet!$C$3:$G$46,3,FALSE),D130)</f>
        <v>0</v>
      </c>
      <c r="E130" s="299">
        <f>_xlfn.IFNA(VLOOKUP(B130,Worksheet!$C$3:$G$46,4,FALSE),E130)</f>
        <v>0</v>
      </c>
      <c r="F130" s="299">
        <f>_xlfn.IFNA(VLOOKUP(B130,Worksheet!$C$3:$G$46,5,FALSE),F130)</f>
        <v>0</v>
      </c>
      <c r="G130" s="207" t="s">
        <v>194</v>
      </c>
    </row>
    <row r="131" ht="45" customHeight="1" s="269" customFormat="1">
      <c r="A131" s="226"/>
      <c r="B131" s="238">
        <v>1441</v>
      </c>
      <c r="C131" s="242" t="s">
        <v>210</v>
      </c>
      <c r="D131" s="299">
        <f>_xlfn.IFNA(VLOOKUP(B131,Worksheet!$C$3:$G$46,3,FALSE),D131)</f>
        <v>0</v>
      </c>
      <c r="E131" s="299">
        <f>_xlfn.IFNA(VLOOKUP(B131,Worksheet!$C$3:$G$46,4,FALSE),E131)</f>
        <v>0</v>
      </c>
      <c r="F131" s="299">
        <f>_xlfn.IFNA(VLOOKUP(B131,Worksheet!$C$3:$G$46,5,FALSE),F131)</f>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f>_xlfn.IFNA(VLOOKUP(B133,Worksheet!$C$3:$G$46,3,FALSE),D133)</f>
        <v>0</v>
      </c>
      <c r="E133" s="299">
        <f>_xlfn.IFNA(VLOOKUP(B133,Worksheet!$C$3:$G$46,4,FALSE),E133)</f>
        <v>0</v>
      </c>
      <c r="F133" s="299">
        <f>_xlfn.IFNA(VLOOKUP(B133,Worksheet!$C$3:$G$46,5,FALSE),F133)</f>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f>_xlfn.IFNA(VLOOKUP(B135,Worksheet!$C$3:$G$46,3,FALSE),D135)</f>
        <v>0</v>
      </c>
      <c r="E135" s="299">
        <f>_xlfn.IFNA(VLOOKUP(B135,Worksheet!$C$3:$G$46,4,FALSE),E135)</f>
        <v>0</v>
      </c>
      <c r="F135" s="299">
        <f>_xlfn.IFNA(VLOOKUP(B135,Worksheet!$C$3:$G$46,5,FALSE),F135)</f>
        <v>0</v>
      </c>
      <c r="G135" s="207" t="s">
        <v>194</v>
      </c>
    </row>
    <row r="136" ht="45" customHeight="1" s="269" customFormat="1">
      <c r="A136" s="226"/>
      <c r="B136" s="238">
        <v>1453</v>
      </c>
      <c r="C136" s="242" t="s">
        <v>215</v>
      </c>
      <c r="D136" s="299">
        <f>_xlfn.IFNA(VLOOKUP(B136,Worksheet!$C$3:$G$46,3,FALSE),D136)</f>
        <v>0</v>
      </c>
      <c r="E136" s="299">
        <f>_xlfn.IFNA(VLOOKUP(B136,Worksheet!$C$3:$G$46,4,FALSE),E136)</f>
        <v>0</v>
      </c>
      <c r="F136" s="299">
        <f>_xlfn.IFNA(VLOOKUP(B136,Worksheet!$C$3:$G$46,5,FALSE),F136)</f>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f>_xlfn.IFNA(VLOOKUP(B138,Worksheet!$C$3:$G$46,3,FALSE),D138)</f>
        <v>0</v>
      </c>
      <c r="E138" s="299">
        <f>_xlfn.IFNA(VLOOKUP(B138,Worksheet!$C$3:$G$46,4,FALSE),E138)</f>
        <v>0</v>
      </c>
      <c r="F138" s="299">
        <f>_xlfn.IFNA(VLOOKUP(B138,Worksheet!$C$3:$G$46,5,FALSE),F138)</f>
        <v>0</v>
      </c>
      <c r="G138" s="207" t="s">
        <v>194</v>
      </c>
    </row>
    <row r="139" ht="45" customHeight="1">
      <c r="A139" s="226"/>
      <c r="B139" s="238">
        <v>1456</v>
      </c>
      <c r="C139" s="242" t="s">
        <v>218</v>
      </c>
      <c r="D139" s="299">
        <f>_xlfn.IFNA(VLOOKUP(B139,Worksheet!$C$3:$G$46,3,FALSE),D139)</f>
        <v>0</v>
      </c>
      <c r="E139" s="299">
        <f>_xlfn.IFNA(VLOOKUP(B139,Worksheet!$C$3:$G$46,4,FALSE),E139)</f>
        <v>0</v>
      </c>
      <c r="F139" s="299">
        <f>_xlfn.IFNA(VLOOKUP(B139,Worksheet!$C$3:$G$46,5,FALSE),F139)</f>
        <v>0</v>
      </c>
      <c r="G139" s="207" t="s">
        <v>194</v>
      </c>
    </row>
    <row r="140" ht="45" customHeight="1">
      <c r="A140" s="226"/>
      <c r="B140" s="273"/>
      <c r="D140" s="271"/>
      <c r="E140" s="244"/>
      <c r="F140" s="244"/>
      <c r="G140" s="207"/>
    </row>
    <row r="141" ht="45" customHeight="1">
      <c r="A141" s="226"/>
      <c r="B141" s="227" t="s">
        <v>219</v>
      </c>
      <c r="C141" s="228" t="s">
        <v>220</v>
      </c>
      <c r="D141" s="228"/>
      <c r="E141" s="258"/>
      <c r="F141" s="298">
        <v>115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f>_xlfn.IFNA(VLOOKUP(B144,Worksheet!$C$3:$G$46,3,FALSE),D144)</f>
        <v>0</v>
      </c>
      <c r="E144" s="299">
        <f>_xlfn.IFNA(VLOOKUP(B144,Worksheet!$C$3:$G$46,4,FALSE),E144)</f>
        <v>0</v>
      </c>
      <c r="F144" s="299">
        <f>_xlfn.IFNA(VLOOKUP(B144,Worksheet!$C$3:$G$46,5,FALSE),F144)</f>
        <v>0</v>
      </c>
      <c r="G144" s="207" t="s">
        <v>219</v>
      </c>
    </row>
    <row r="145" ht="45" customHeight="1">
      <c r="A145" s="226"/>
      <c r="B145" s="238">
        <v>1514</v>
      </c>
      <c r="C145" s="264" t="s">
        <v>225</v>
      </c>
      <c r="D145" s="299">
        <f>_xlfn.IFNA(VLOOKUP(B145,Worksheet!$C$3:$G$46,3,FALSE),D145)</f>
        <v>0</v>
      </c>
      <c r="E145" s="299">
        <f>_xlfn.IFNA(VLOOKUP(B145,Worksheet!$C$3:$G$46,4,FALSE),E145)</f>
        <v>0</v>
      </c>
      <c r="F145" s="299">
        <f>_xlfn.IFNA(VLOOKUP(B145,Worksheet!$C$3:$G$46,5,FALSE),F145)</f>
        <v>0</v>
      </c>
      <c r="G145" s="207" t="s">
        <v>219</v>
      </c>
    </row>
    <row r="146" ht="45" customHeight="1">
      <c r="A146" s="226">
        <v>1541</v>
      </c>
      <c r="B146" s="238">
        <v>1515</v>
      </c>
      <c r="C146" s="264" t="s">
        <v>226</v>
      </c>
      <c r="D146" s="299">
        <f>_xlfn.IFNA(VLOOKUP(B146,Worksheet!$C$3:$G$46,3,FALSE),D146)</f>
        <v>0</v>
      </c>
      <c r="E146" s="299">
        <f>_xlfn.IFNA(VLOOKUP(B146,Worksheet!$C$3:$G$46,4,FALSE),E146)</f>
        <v>0</v>
      </c>
      <c r="F146" s="299">
        <f>_xlfn.IFNA(VLOOKUP(B146,Worksheet!$C$3:$G$46,5,FALSE),F146)</f>
        <v>0</v>
      </c>
      <c r="G146" s="207" t="s">
        <v>219</v>
      </c>
    </row>
    <row r="147" ht="45" customHeight="1">
      <c r="A147" s="226"/>
      <c r="B147" s="238">
        <v>1521</v>
      </c>
      <c r="C147" s="264" t="s">
        <v>227</v>
      </c>
      <c r="D147" s="299">
        <f>_xlfn.IFNA(VLOOKUP(B147,Worksheet!$C$3:$G$46,3,FALSE),D147)</f>
        <v>0</v>
      </c>
      <c r="E147" s="299">
        <f>_xlfn.IFNA(VLOOKUP(B147,Worksheet!$C$3:$G$46,4,FALSE),E147)</f>
        <v>0</v>
      </c>
      <c r="F147" s="299">
        <f>_xlfn.IFNA(VLOOKUP(B147,Worksheet!$C$3:$G$46,5,FALSE),F147)</f>
        <v>0</v>
      </c>
      <c r="G147" s="207" t="s">
        <v>219</v>
      </c>
    </row>
    <row r="148" ht="45" customHeight="1">
      <c r="A148" s="226"/>
      <c r="B148" s="238">
        <v>1522</v>
      </c>
      <c r="C148" s="264" t="s">
        <v>228</v>
      </c>
      <c r="D148" s="299">
        <f>_xlfn.IFNA(VLOOKUP(B148,Worksheet!$C$3:$G$46,3,FALSE),D148)</f>
        <v>0</v>
      </c>
      <c r="E148" s="299">
        <f>_xlfn.IFNA(VLOOKUP(B148,Worksheet!$C$3:$G$46,4,FALSE),E148)</f>
        <v>0</v>
      </c>
      <c r="F148" s="299">
        <f>_xlfn.IFNA(VLOOKUP(B148,Worksheet!$C$3:$G$46,5,FALSE),F148)</f>
        <v>0</v>
      </c>
      <c r="G148" s="207" t="s">
        <v>219</v>
      </c>
    </row>
    <row r="149" ht="45" customHeight="1">
      <c r="A149" s="226"/>
      <c r="B149" s="238">
        <v>1523</v>
      </c>
      <c r="C149" s="264" t="s">
        <v>229</v>
      </c>
      <c r="D149" s="299">
        <f>_xlfn.IFNA(VLOOKUP(B149,Worksheet!$C$3:$G$46,3,FALSE),D149)</f>
        <v>0</v>
      </c>
      <c r="E149" s="299">
        <f>_xlfn.IFNA(VLOOKUP(B149,Worksheet!$C$3:$G$46,4,FALSE),E149)</f>
        <v>0</v>
      </c>
      <c r="F149" s="299">
        <f>_xlfn.IFNA(VLOOKUP(B149,Worksheet!$C$3:$G$46,5,FALSE),F149)</f>
        <v>0</v>
      </c>
      <c r="G149" s="207" t="s">
        <v>219</v>
      </c>
    </row>
    <row r="150" ht="45" customHeight="1">
      <c r="A150" s="226"/>
      <c r="B150" s="238">
        <v>1524</v>
      </c>
      <c r="C150" s="264" t="s">
        <v>230</v>
      </c>
      <c r="D150" s="299">
        <f>_xlfn.IFNA(VLOOKUP(B150,Worksheet!$C$3:$G$46,3,FALSE),D150)</f>
        <v>0</v>
      </c>
      <c r="E150" s="299">
        <f>_xlfn.IFNA(VLOOKUP(B150,Worksheet!$C$3:$G$46,4,FALSE),E150)</f>
        <v>0</v>
      </c>
      <c r="F150" s="299">
        <f>_xlfn.IFNA(VLOOKUP(B150,Worksheet!$C$3:$G$46,5,FALSE),F150)</f>
        <v>0</v>
      </c>
      <c r="G150" s="207" t="s">
        <v>219</v>
      </c>
    </row>
    <row r="151" ht="45" customHeight="1">
      <c r="A151" s="226"/>
      <c r="B151" s="238">
        <v>1531</v>
      </c>
      <c r="C151" s="242" t="s">
        <v>231</v>
      </c>
      <c r="D151" s="299">
        <f>_xlfn.IFNA(VLOOKUP(B151,Worksheet!$C$3:$G$46,3,FALSE),D151)</f>
        <v>0</v>
      </c>
      <c r="E151" s="299">
        <f>_xlfn.IFNA(VLOOKUP(B151,Worksheet!$C$3:$G$46,4,FALSE),E151)</f>
        <v>0</v>
      </c>
      <c r="F151" s="299">
        <f>_xlfn.IFNA(VLOOKUP(B151,Worksheet!$C$3:$G$46,5,FALSE),F151)</f>
        <v>0</v>
      </c>
      <c r="G151" s="207" t="s">
        <v>219</v>
      </c>
    </row>
    <row r="152" ht="45" customHeight="1">
      <c r="A152" s="226"/>
      <c r="B152" s="238">
        <v>1532</v>
      </c>
      <c r="C152" s="242" t="s">
        <v>232</v>
      </c>
      <c r="D152" s="299">
        <f>_xlfn.IFNA(VLOOKUP(B152,Worksheet!$C$3:$G$46,3,FALSE),D152)</f>
        <v>0</v>
      </c>
      <c r="E152" s="299">
        <f>_xlfn.IFNA(VLOOKUP(B152,Worksheet!$C$3:$G$46,4,FALSE),E152)</f>
        <v>0</v>
      </c>
      <c r="F152" s="299">
        <f>_xlfn.IFNA(VLOOKUP(B152,Worksheet!$C$3:$G$46,5,FALSE),F152)</f>
        <v>0</v>
      </c>
      <c r="G152" s="207" t="s">
        <v>219</v>
      </c>
    </row>
    <row r="153" ht="45" customHeight="1">
      <c r="A153" s="226"/>
      <c r="B153" s="238">
        <v>1533</v>
      </c>
      <c r="C153" s="242" t="s">
        <v>233</v>
      </c>
      <c r="D153" s="299">
        <f>_xlfn.IFNA(VLOOKUP(B153,Worksheet!$C$3:$G$46,3,FALSE),D153)</f>
        <v>0</v>
      </c>
      <c r="E153" s="299">
        <f>_xlfn.IFNA(VLOOKUP(B153,Worksheet!$C$3:$G$46,4,FALSE),E153)</f>
        <v>0</v>
      </c>
      <c r="F153" s="299">
        <f>_xlfn.IFNA(VLOOKUP(B153,Worksheet!$C$3:$G$46,5,FALSE),F153)</f>
        <v>0</v>
      </c>
      <c r="G153" s="207" t="s">
        <v>219</v>
      </c>
    </row>
    <row r="154" ht="45" customHeight="1">
      <c r="A154" s="226"/>
      <c r="B154" s="238">
        <v>1534</v>
      </c>
      <c r="C154" s="242" t="s">
        <v>234</v>
      </c>
      <c r="D154" s="299">
        <f>_xlfn.IFNA(VLOOKUP(B154,Worksheet!$C$3:$G$46,3,FALSE),D154)</f>
        <v>0</v>
      </c>
      <c r="E154" s="299">
        <f>_xlfn.IFNA(VLOOKUP(B154,Worksheet!$C$3:$G$46,4,FALSE),E154)</f>
        <v>0</v>
      </c>
      <c r="F154" s="299">
        <f>_xlfn.IFNA(VLOOKUP(B154,Worksheet!$C$3:$G$46,5,FALSE),F154)</f>
        <v>0</v>
      </c>
      <c r="G154" s="207" t="s">
        <v>219</v>
      </c>
    </row>
    <row r="155" ht="45" customHeight="1">
      <c r="A155" s="226"/>
      <c r="B155" s="238">
        <v>1541</v>
      </c>
      <c r="C155" s="242" t="s">
        <v>235</v>
      </c>
      <c r="D155" s="299">
        <f>_xlfn.IFNA(VLOOKUP(B155,Worksheet!$C$3:$G$46,3,FALSE),D155)</f>
        <v>0</v>
      </c>
      <c r="E155" s="299">
        <f>_xlfn.IFNA(VLOOKUP(B155,Worksheet!$C$3:$G$46,4,FALSE),E155)</f>
        <v>0</v>
      </c>
      <c r="F155" s="299">
        <f>_xlfn.IFNA(VLOOKUP(B155,Worksheet!$C$3:$G$46,5,FALSE),F155)</f>
        <v>0</v>
      </c>
      <c r="G155" s="207" t="s">
        <v>219</v>
      </c>
    </row>
    <row r="156" ht="45" customHeight="1">
      <c r="A156" s="226"/>
      <c r="B156" s="238">
        <v>1542</v>
      </c>
      <c r="C156" s="264" t="s">
        <v>236</v>
      </c>
      <c r="D156" s="299">
        <f>_xlfn.IFNA(VLOOKUP(B156,Worksheet!$C$3:$G$46,3,FALSE),D156)</f>
        <v>0</v>
      </c>
      <c r="E156" s="299">
        <f>_xlfn.IFNA(VLOOKUP(B156,Worksheet!$C$3:$G$46,4,FALSE),E156)</f>
        <v>0</v>
      </c>
      <c r="F156" s="299">
        <f>_xlfn.IFNA(VLOOKUP(B156,Worksheet!$C$3:$G$46,5,FALSE),F156)</f>
        <v>0</v>
      </c>
      <c r="G156" s="207" t="s">
        <v>219</v>
      </c>
    </row>
    <row r="157" ht="45" customHeight="1">
      <c r="A157" s="226"/>
      <c r="B157" s="238">
        <v>1543</v>
      </c>
      <c r="C157" s="264" t="s">
        <v>237</v>
      </c>
      <c r="D157" s="299">
        <f>_xlfn.IFNA(VLOOKUP(B157,Worksheet!$C$3:$G$46,3,FALSE),D157)</f>
        <v>0</v>
      </c>
      <c r="E157" s="299">
        <f>_xlfn.IFNA(VLOOKUP(B157,Worksheet!$C$3:$G$46,4,FALSE),E157)</f>
        <v>0</v>
      </c>
      <c r="F157" s="299">
        <f>_xlfn.IFNA(VLOOKUP(B157,Worksheet!$C$3:$G$46,5,FALSE),F157)</f>
        <v>0</v>
      </c>
      <c r="G157" s="207" t="s">
        <v>219</v>
      </c>
    </row>
    <row r="158" ht="45" customHeight="1">
      <c r="A158" s="226"/>
      <c r="B158" s="238">
        <v>1544</v>
      </c>
      <c r="C158" s="242" t="s">
        <v>238</v>
      </c>
      <c r="D158" s="299">
        <f>_xlfn.IFNA(VLOOKUP(B158,Worksheet!$C$3:$G$46,3,FALSE),D158)</f>
        <v>0</v>
      </c>
      <c r="E158" s="299">
        <f>_xlfn.IFNA(VLOOKUP(B158,Worksheet!$C$3:$G$46,4,FALSE),E158)</f>
        <v>0</v>
      </c>
      <c r="F158" s="299">
        <f>_xlfn.IFNA(VLOOKUP(B158,Worksheet!$C$3:$G$46,5,FALSE),F158)</f>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f>_xlfn.IFNA(VLOOKUP(B160,Worksheet!$C$3:$G$46,3,FALSE),D160)</f>
        <v>0</v>
      </c>
      <c r="E160" s="299">
        <f>_xlfn.IFNA(VLOOKUP(B160,Worksheet!$C$3:$G$46,4,FALSE),E160)</f>
        <v>0</v>
      </c>
      <c r="F160" s="299">
        <f>_xlfn.IFNA(VLOOKUP(B160,Worksheet!$C$3:$G$46,5,FALSE),F160)</f>
        <v>0</v>
      </c>
      <c r="G160" s="207" t="s">
        <v>219</v>
      </c>
    </row>
    <row r="161" ht="45" customHeight="1">
      <c r="A161" s="226"/>
      <c r="B161" s="238">
        <v>1553</v>
      </c>
      <c r="C161" s="242" t="s">
        <v>241</v>
      </c>
      <c r="D161" s="299">
        <f>_xlfn.IFNA(VLOOKUP(B161,Worksheet!$C$3:$G$46,3,FALSE),D161)</f>
        <v>0</v>
      </c>
      <c r="E161" s="299">
        <f>_xlfn.IFNA(VLOOKUP(B161,Worksheet!$C$3:$G$46,4,FALSE),E161)</f>
        <v>0</v>
      </c>
      <c r="F161" s="299">
        <f>_xlfn.IFNA(VLOOKUP(B161,Worksheet!$C$3:$G$46,5,FALSE),F161)</f>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f>_xlfn.IFNA(VLOOKUP(B163,Worksheet!$C$3:$G$46,3,FALSE),D163)</f>
        <v>0</v>
      </c>
      <c r="E163" s="299">
        <f>_xlfn.IFNA(VLOOKUP(B163,Worksheet!$C$3:$G$46,4,FALSE),E163)</f>
        <v>0</v>
      </c>
      <c r="F163" s="299">
        <f>_xlfn.IFNA(VLOOKUP(B163,Worksheet!$C$3:$G$46,5,FALSE),F163)</f>
        <v>0</v>
      </c>
      <c r="G163" s="207" t="s">
        <v>219</v>
      </c>
    </row>
    <row r="164" ht="45" customHeight="1">
      <c r="A164" s="226"/>
      <c r="B164" s="238">
        <v>1556</v>
      </c>
      <c r="C164" s="242" t="s">
        <v>241</v>
      </c>
      <c r="D164" s="299">
        <f>_xlfn.IFNA(VLOOKUP(B164,Worksheet!$C$3:$G$46,3,FALSE),D164)</f>
        <v>0</v>
      </c>
      <c r="E164" s="299">
        <f>_xlfn.IFNA(VLOOKUP(B164,Worksheet!$C$3:$G$46,4,FALSE),E164)</f>
        <v>0</v>
      </c>
      <c r="F164" s="299">
        <f>_xlfn.IFNA(VLOOKUP(B164,Worksheet!$C$3:$G$46,5,FALSE),F164)</f>
        <v>0</v>
      </c>
      <c r="G164" s="207" t="s">
        <v>219</v>
      </c>
    </row>
    <row r="165" ht="45" customHeight="1">
      <c r="A165" s="226"/>
      <c r="C165" s="276"/>
      <c r="D165" s="277"/>
      <c r="G165" s="207"/>
    </row>
    <row r="166" ht="45" customHeight="1">
      <c r="A166" s="226"/>
      <c r="B166" s="279" t="s">
        <v>244</v>
      </c>
      <c r="C166" s="260" t="s">
        <v>245</v>
      </c>
      <c r="D166" s="228"/>
      <c r="E166" s="231"/>
      <c r="F166" s="298">
        <v>557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f>_xlfn.IFNA(VLOOKUP(B169,Worksheet!$C$3:$G$46,3,FALSE),D169)</f>
        <v>0</v>
      </c>
      <c r="E169" s="299">
        <f>_xlfn.IFNA(VLOOKUP(B169,Worksheet!$C$3:$G$46,4,FALSE),E169)</f>
        <v>0</v>
      </c>
      <c r="F169" s="299">
        <f>_xlfn.IFNA(VLOOKUP(B169,Worksheet!$C$3:$G$46,5,FALSE),F169)</f>
        <v>0</v>
      </c>
      <c r="G169" s="207" t="s">
        <v>244</v>
      </c>
    </row>
    <row r="170" ht="45" customHeight="1">
      <c r="A170" s="226"/>
      <c r="B170" s="238">
        <v>1612</v>
      </c>
      <c r="C170" s="242" t="s">
        <v>250</v>
      </c>
      <c r="D170" s="299">
        <f>_xlfn.IFNA(VLOOKUP(B170,Worksheet!$C$3:$G$46,3,FALSE),D170)</f>
        <v>0</v>
      </c>
      <c r="E170" s="299">
        <f>_xlfn.IFNA(VLOOKUP(B170,Worksheet!$C$3:$G$46,4,FALSE),E170)</f>
        <v>0</v>
      </c>
      <c r="F170" s="299">
        <f>_xlfn.IFNA(VLOOKUP(B170,Worksheet!$C$3:$G$46,5,FALSE),F170)</f>
        <v>0</v>
      </c>
      <c r="G170" s="207" t="s">
        <v>244</v>
      </c>
    </row>
    <row r="171" ht="45" customHeight="1">
      <c r="A171" s="226"/>
      <c r="B171" s="238">
        <v>1613</v>
      </c>
      <c r="C171" s="242" t="s">
        <v>224</v>
      </c>
      <c r="D171" s="299">
        <f>_xlfn.IFNA(VLOOKUP(B171,Worksheet!$C$3:$G$46,3,FALSE),D171)</f>
        <v>0</v>
      </c>
      <c r="E171" s="299">
        <f>_xlfn.IFNA(VLOOKUP(B171,Worksheet!$C$3:$G$46,4,FALSE),E171)</f>
        <v>0</v>
      </c>
      <c r="F171" s="299">
        <f>_xlfn.IFNA(VLOOKUP(B171,Worksheet!$C$3:$G$46,5,FALSE),F171)</f>
        <v>0</v>
      </c>
      <c r="G171" s="207" t="s">
        <v>244</v>
      </c>
    </row>
    <row r="172" ht="45" customHeight="1">
      <c r="A172" s="226"/>
      <c r="B172" s="238">
        <v>1614</v>
      </c>
      <c r="C172" s="281" t="s">
        <v>251</v>
      </c>
      <c r="D172" s="299">
        <f>_xlfn.IFNA(VLOOKUP(B172,Worksheet!$C$3:$G$46,3,FALSE),D172)</f>
        <v>0</v>
      </c>
      <c r="E172" s="299">
        <f>_xlfn.IFNA(VLOOKUP(B172,Worksheet!$C$3:$G$46,4,FALSE),E172)</f>
        <v>0</v>
      </c>
      <c r="F172" s="299">
        <f>_xlfn.IFNA(VLOOKUP(B172,Worksheet!$C$3:$G$46,5,FALSE),F172)</f>
        <v>0</v>
      </c>
      <c r="G172" s="207" t="s">
        <v>244</v>
      </c>
    </row>
    <row r="173" ht="45" customHeight="1">
      <c r="A173" s="226"/>
      <c r="B173" s="238">
        <v>1615</v>
      </c>
      <c r="C173" s="242" t="s">
        <v>252</v>
      </c>
      <c r="D173" s="299">
        <f>_xlfn.IFNA(VLOOKUP(B173,Worksheet!$C$3:$G$46,3,FALSE),D173)</f>
        <v>0</v>
      </c>
      <c r="E173" s="299">
        <f>_xlfn.IFNA(VLOOKUP(B173,Worksheet!$C$3:$G$46,4,FALSE),E173)</f>
        <v>0</v>
      </c>
      <c r="F173" s="299">
        <f>_xlfn.IFNA(VLOOKUP(B173,Worksheet!$C$3:$G$46,5,FALSE),F173)</f>
        <v>0</v>
      </c>
      <c r="G173" s="207" t="s">
        <v>244</v>
      </c>
    </row>
    <row r="174" ht="45" customHeight="1">
      <c r="A174" s="226"/>
      <c r="B174" s="238">
        <v>1616</v>
      </c>
      <c r="C174" s="242" t="s">
        <v>253</v>
      </c>
      <c r="D174" s="299">
        <f>_xlfn.IFNA(VLOOKUP(B174,Worksheet!$C$3:$G$46,3,FALSE),D174)</f>
        <v>0</v>
      </c>
      <c r="E174" s="299">
        <f>_xlfn.IFNA(VLOOKUP(B174,Worksheet!$C$3:$G$46,4,FALSE),E174)</f>
        <v>0</v>
      </c>
      <c r="F174" s="299">
        <f>_xlfn.IFNA(VLOOKUP(B174,Worksheet!$C$3:$G$46,5,FALSE),F174)</f>
        <v>0</v>
      </c>
      <c r="G174" s="207" t="s">
        <v>244</v>
      </c>
    </row>
    <row r="175" ht="45" customHeight="1">
      <c r="A175" s="226"/>
      <c r="B175" s="238">
        <v>1621</v>
      </c>
      <c r="C175" s="242" t="s">
        <v>254</v>
      </c>
      <c r="D175" s="299">
        <f>_xlfn.IFNA(VLOOKUP(B175,Worksheet!$C$3:$G$46,3,FALSE),D175)</f>
        <v>0</v>
      </c>
      <c r="E175" s="299">
        <f>_xlfn.IFNA(VLOOKUP(B175,Worksheet!$C$3:$G$46,4,FALSE),E175)</f>
        <v>0</v>
      </c>
      <c r="F175" s="299">
        <f>_xlfn.IFNA(VLOOKUP(B175,Worksheet!$C$3:$G$46,5,FALSE),F175)</f>
        <v>0</v>
      </c>
      <c r="G175" s="207" t="s">
        <v>244</v>
      </c>
    </row>
    <row r="176" ht="45" customHeight="1">
      <c r="A176" s="226"/>
      <c r="B176" s="238">
        <v>1622</v>
      </c>
      <c r="C176" s="242" t="s">
        <v>255</v>
      </c>
      <c r="D176" s="299">
        <f>_xlfn.IFNA(VLOOKUP(B176,Worksheet!$C$3:$G$46,3,FALSE),D176)</f>
        <v>0</v>
      </c>
      <c r="E176" s="299">
        <f>_xlfn.IFNA(VLOOKUP(B176,Worksheet!$C$3:$G$46,4,FALSE),E176)</f>
        <v>0</v>
      </c>
      <c r="F176" s="299">
        <f>_xlfn.IFNA(VLOOKUP(B176,Worksheet!$C$3:$G$46,5,FALSE),F176)</f>
        <v>0</v>
      </c>
      <c r="G176" s="207" t="s">
        <v>244</v>
      </c>
    </row>
    <row r="177" ht="45" customHeight="1">
      <c r="A177" s="226"/>
      <c r="B177" s="238">
        <v>1623</v>
      </c>
      <c r="C177" s="242" t="s">
        <v>256</v>
      </c>
      <c r="D177" s="299">
        <f>_xlfn.IFNA(VLOOKUP(B177,Worksheet!$C$3:$G$46,3,FALSE),D177)</f>
        <v>0</v>
      </c>
      <c r="E177" s="299">
        <f>_xlfn.IFNA(VLOOKUP(B177,Worksheet!$C$3:$G$46,4,FALSE),E177)</f>
        <v>0</v>
      </c>
      <c r="F177" s="299">
        <f>_xlfn.IFNA(VLOOKUP(B177,Worksheet!$C$3:$G$46,5,FALSE),F177)</f>
        <v>0</v>
      </c>
      <c r="G177" s="207" t="s">
        <v>244</v>
      </c>
    </row>
    <row r="178" ht="45" customHeight="1">
      <c r="A178" s="226"/>
      <c r="B178" s="238">
        <v>1624</v>
      </c>
      <c r="C178" s="242" t="s">
        <v>257</v>
      </c>
      <c r="D178" s="299">
        <f>_xlfn.IFNA(VLOOKUP(B178,Worksheet!$C$3:$G$46,3,FALSE),D178)</f>
        <v>0</v>
      </c>
      <c r="E178" s="299">
        <f>_xlfn.IFNA(VLOOKUP(B178,Worksheet!$C$3:$G$46,4,FALSE),E178)</f>
        <v>0</v>
      </c>
      <c r="F178" s="299">
        <f>_xlfn.IFNA(VLOOKUP(B178,Worksheet!$C$3:$G$46,5,FALSE),F178)</f>
        <v>0</v>
      </c>
      <c r="G178" s="207" t="s">
        <v>244</v>
      </c>
    </row>
    <row r="179" ht="45" customHeight="1">
      <c r="A179" s="226"/>
      <c r="B179" s="238">
        <v>1625</v>
      </c>
      <c r="C179" s="242" t="s">
        <v>258</v>
      </c>
      <c r="D179" s="299">
        <f>_xlfn.IFNA(VLOOKUP(B179,Worksheet!$C$3:$G$46,3,FALSE),D179)</f>
        <v>0</v>
      </c>
      <c r="E179" s="299">
        <f>_xlfn.IFNA(VLOOKUP(B179,Worksheet!$C$3:$G$46,4,FALSE),E179)</f>
        <v>0</v>
      </c>
      <c r="F179" s="299">
        <f>_xlfn.IFNA(VLOOKUP(B179,Worksheet!$C$3:$G$46,5,FALSE),F179)</f>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f>_xlfn.IFNA(VLOOKUP(B181,Worksheet!$C$3:$G$46,3,FALSE),D181)</f>
        <v>0</v>
      </c>
      <c r="E181" s="299">
        <f>_xlfn.IFNA(VLOOKUP(B181,Worksheet!$C$3:$G$46,4,FALSE),E181)</f>
        <v>0</v>
      </c>
      <c r="F181" s="299">
        <f>_xlfn.IFNA(VLOOKUP(B181,Worksheet!$C$3:$G$46,5,FALSE),F181)</f>
        <v>0</v>
      </c>
      <c r="G181" s="207" t="s">
        <v>244</v>
      </c>
    </row>
    <row r="182" ht="45" customHeight="1">
      <c r="A182" s="226"/>
      <c r="B182" s="238">
        <v>1632</v>
      </c>
      <c r="C182" s="242" t="s">
        <v>261</v>
      </c>
      <c r="D182" s="299">
        <f>_xlfn.IFNA(VLOOKUP(B182,Worksheet!$C$3:$G$46,3,FALSE),D182)</f>
        <v>0</v>
      </c>
      <c r="E182" s="299">
        <f>_xlfn.IFNA(VLOOKUP(B182,Worksheet!$C$3:$G$46,4,FALSE),E182)</f>
        <v>0</v>
      </c>
      <c r="F182" s="299">
        <f>_xlfn.IFNA(VLOOKUP(B182,Worksheet!$C$3:$G$46,5,FALSE),F182)</f>
        <v>0</v>
      </c>
      <c r="G182" s="207" t="s">
        <v>244</v>
      </c>
    </row>
    <row r="183" ht="45" customHeight="1">
      <c r="A183" s="226"/>
      <c r="B183" s="238">
        <v>1633</v>
      </c>
      <c r="C183" s="242" t="s">
        <v>262</v>
      </c>
      <c r="D183" s="299">
        <f>_xlfn.IFNA(VLOOKUP(B183,Worksheet!$C$3:$G$46,3,FALSE),D183)</f>
        <v>0</v>
      </c>
      <c r="E183" s="299">
        <f>_xlfn.IFNA(VLOOKUP(B183,Worksheet!$C$3:$G$46,4,FALSE),E183)</f>
        <v>0</v>
      </c>
      <c r="F183" s="299">
        <f>_xlfn.IFNA(VLOOKUP(B183,Worksheet!$C$3:$G$46,5,FALSE),F183)</f>
        <v>0</v>
      </c>
      <c r="G183" s="207" t="s">
        <v>244</v>
      </c>
    </row>
    <row r="184" ht="45" customHeight="1">
      <c r="A184" s="226"/>
      <c r="B184" s="238">
        <v>1634</v>
      </c>
      <c r="C184" s="242" t="s">
        <v>263</v>
      </c>
      <c r="D184" s="299">
        <f>_xlfn.IFNA(VLOOKUP(B184,Worksheet!$C$3:$G$46,3,FALSE),D184)</f>
        <v>0</v>
      </c>
      <c r="E184" s="299">
        <f>_xlfn.IFNA(VLOOKUP(B184,Worksheet!$C$3:$G$46,4,FALSE),E184)</f>
        <v>0</v>
      </c>
      <c r="F184" s="299">
        <f>_xlfn.IFNA(VLOOKUP(B184,Worksheet!$C$3:$G$46,5,FALSE),F184)</f>
        <v>0</v>
      </c>
      <c r="G184" s="207" t="s">
        <v>244</v>
      </c>
    </row>
    <row r="185" ht="45" customHeight="1">
      <c r="A185" s="226"/>
      <c r="B185" s="238">
        <v>1635</v>
      </c>
      <c r="C185" s="242" t="s">
        <v>264</v>
      </c>
      <c r="D185" s="299">
        <f>_xlfn.IFNA(VLOOKUP(B185,Worksheet!$C$3:$G$46,3,FALSE),D185)</f>
        <v>0</v>
      </c>
      <c r="E185" s="299">
        <f>_xlfn.IFNA(VLOOKUP(B185,Worksheet!$C$3:$G$46,4,FALSE),E185)</f>
        <v>0</v>
      </c>
      <c r="F185" s="299">
        <f>_xlfn.IFNA(VLOOKUP(B185,Worksheet!$C$3:$G$46,5,FALSE),F185)</f>
        <v>0</v>
      </c>
      <c r="G185" s="207" t="s">
        <v>244</v>
      </c>
    </row>
    <row r="186" ht="45" customHeight="1">
      <c r="A186" s="226"/>
      <c r="B186" s="238">
        <v>1641</v>
      </c>
      <c r="C186" s="242" t="s">
        <v>265</v>
      </c>
      <c r="D186" s="299">
        <f>_xlfn.IFNA(VLOOKUP(B186,Worksheet!$C$3:$G$46,3,FALSE),D186)</f>
        <v>0</v>
      </c>
      <c r="E186" s="299">
        <f>_xlfn.IFNA(VLOOKUP(B186,Worksheet!$C$3:$G$46,4,FALSE),E186)</f>
        <v>0</v>
      </c>
      <c r="F186" s="299">
        <f>_xlfn.IFNA(VLOOKUP(B186,Worksheet!$C$3:$G$46,5,FALSE),F186)</f>
        <v>0</v>
      </c>
      <c r="G186" s="207" t="s">
        <v>244</v>
      </c>
    </row>
    <row r="187" ht="45" customHeight="1">
      <c r="A187" s="226"/>
      <c r="B187" s="238">
        <v>1642</v>
      </c>
      <c r="C187" s="242" t="s">
        <v>264</v>
      </c>
      <c r="D187" s="299">
        <f>_xlfn.IFNA(VLOOKUP(B187,Worksheet!$C$3:$G$46,3,FALSE),D187)</f>
        <v>0</v>
      </c>
      <c r="E187" s="299">
        <f>_xlfn.IFNA(VLOOKUP(B187,Worksheet!$C$3:$G$46,4,FALSE),E187)</f>
        <v>0</v>
      </c>
      <c r="F187" s="299">
        <f>_xlfn.IFNA(VLOOKUP(B187,Worksheet!$C$3:$G$46,5,FALSE),F187)</f>
        <v>0</v>
      </c>
      <c r="G187" s="207" t="s">
        <v>244</v>
      </c>
    </row>
    <row r="188" ht="45" customHeight="1">
      <c r="A188" s="226"/>
      <c r="B188" s="238">
        <v>1643</v>
      </c>
      <c r="C188" s="242" t="s">
        <v>266</v>
      </c>
      <c r="D188" s="299">
        <f>_xlfn.IFNA(VLOOKUP(B188,Worksheet!$C$3:$G$46,3,FALSE),D188)</f>
        <v>0</v>
      </c>
      <c r="E188" s="299">
        <f>_xlfn.IFNA(VLOOKUP(B188,Worksheet!$C$3:$G$46,4,FALSE),E188)</f>
        <v>0</v>
      </c>
      <c r="F188" s="299">
        <f>_xlfn.IFNA(VLOOKUP(B188,Worksheet!$C$3:$G$46,5,FALSE),F188)</f>
        <v>0</v>
      </c>
      <c r="G188" s="207" t="s">
        <v>244</v>
      </c>
    </row>
    <row r="189" ht="45" customHeight="1">
      <c r="A189" s="226"/>
      <c r="B189" s="238">
        <v>1644</v>
      </c>
      <c r="C189" s="242" t="s">
        <v>267</v>
      </c>
      <c r="D189" s="299">
        <f>_xlfn.IFNA(VLOOKUP(B189,Worksheet!$C$3:$G$46,3,FALSE),D189)</f>
        <v>0</v>
      </c>
      <c r="E189" s="299">
        <f>_xlfn.IFNA(VLOOKUP(B189,Worksheet!$C$3:$G$46,4,FALSE),E189)</f>
        <v>0</v>
      </c>
      <c r="F189" s="299">
        <f>_xlfn.IFNA(VLOOKUP(B189,Worksheet!$C$3:$G$46,5,FALSE),F189)</f>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f>_xlfn.IFNA(VLOOKUP(B191,Worksheet!$C$3:$G$46,3,FALSE),D191)</f>
        <v>0</v>
      </c>
      <c r="E191" s="299">
        <f>_xlfn.IFNA(VLOOKUP(B191,Worksheet!$C$3:$G$46,4,FALSE),E191)</f>
        <v>0</v>
      </c>
      <c r="F191" s="299">
        <f>_xlfn.IFNA(VLOOKUP(B191,Worksheet!$C$3:$G$46,5,FALSE),F191)</f>
        <v>0</v>
      </c>
      <c r="G191" s="207" t="s">
        <v>244</v>
      </c>
    </row>
    <row r="192" ht="45" customHeight="1">
      <c r="A192" s="226"/>
      <c r="B192" s="238">
        <v>1653</v>
      </c>
      <c r="C192" s="242" t="s">
        <v>270</v>
      </c>
      <c r="D192" s="299">
        <f>_xlfn.IFNA(VLOOKUP(B192,Worksheet!$C$3:$G$46,3,FALSE),D192)</f>
        <v>0</v>
      </c>
      <c r="E192" s="299">
        <f>_xlfn.IFNA(VLOOKUP(B192,Worksheet!$C$3:$G$46,4,FALSE),E192)</f>
        <v>0</v>
      </c>
      <c r="F192" s="299">
        <f>_xlfn.IFNA(VLOOKUP(B192,Worksheet!$C$3:$G$46,5,FALSE),F192)</f>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f>_xlfn.IFNA(VLOOKUP(B194,Worksheet!$C$3:$G$46,3,FALSE),D194)</f>
        <v>0</v>
      </c>
      <c r="E194" s="299">
        <f>_xlfn.IFNA(VLOOKUP(B194,Worksheet!$C$3:$G$46,4,FALSE),E194)</f>
        <v>0</v>
      </c>
      <c r="F194" s="299">
        <f>_xlfn.IFNA(VLOOKUP(B194,Worksheet!$C$3:$G$46,5,FALSE),F194)</f>
        <v>0</v>
      </c>
      <c r="G194" s="207" t="s">
        <v>244</v>
      </c>
    </row>
    <row r="195" ht="45" customHeight="1">
      <c r="A195" s="226"/>
      <c r="B195" s="238">
        <v>1656</v>
      </c>
      <c r="C195" s="242" t="s">
        <v>273</v>
      </c>
      <c r="D195" s="299">
        <f>_xlfn.IFNA(VLOOKUP(B195,Worksheet!$C$3:$G$46,3,FALSE),D195)</f>
        <v>0</v>
      </c>
      <c r="E195" s="299">
        <f>_xlfn.IFNA(VLOOKUP(B195,Worksheet!$C$3:$G$46,4,FALSE),E195)</f>
        <v>0</v>
      </c>
      <c r="F195" s="299">
        <f>_xlfn.IFNA(VLOOKUP(B195,Worksheet!$C$3:$G$46,5,FALSE),F195)</f>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f>_xlfn.IFNA(VLOOKUP(B197,Worksheet!$C$3:$G$46,3,FALSE),D197)</f>
        <v>0</v>
      </c>
      <c r="E197" s="299">
        <f>_xlfn.IFNA(VLOOKUP(B197,Worksheet!$C$3:$G$46,4,FALSE),E197)</f>
        <v>0</v>
      </c>
      <c r="F197" s="299">
        <f>_xlfn.IFNA(VLOOKUP(B197,Worksheet!$C$3:$G$46,5,FALSE),F197)</f>
        <v>0</v>
      </c>
      <c r="G197" s="207" t="s">
        <v>244</v>
      </c>
    </row>
    <row r="198" ht="45" customHeight="1">
      <c r="A198" s="226"/>
      <c r="B198" s="238">
        <v>1659</v>
      </c>
      <c r="C198" s="242" t="s">
        <v>276</v>
      </c>
      <c r="D198" s="299">
        <f>_xlfn.IFNA(VLOOKUP(B198,Worksheet!$C$3:$G$46,3,FALSE),D198)</f>
        <v>0</v>
      </c>
      <c r="E198" s="299">
        <f>_xlfn.IFNA(VLOOKUP(B198,Worksheet!$C$3:$G$46,4,FALSE),E198)</f>
        <v>0</v>
      </c>
      <c r="F198" s="299">
        <f>_xlfn.IFNA(VLOOKUP(B198,Worksheet!$C$3:$G$46,5,FALSE),F198)</f>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f>_xlfn.IFNA(VLOOKUP(B200,Worksheet!$C$3:$G$46,3,FALSE),D200)</f>
        <v>0</v>
      </c>
      <c r="E200" s="299">
        <f>_xlfn.IFNA(VLOOKUP(B200,Worksheet!$C$3:$G$46,4,FALSE),E200)</f>
        <v>0</v>
      </c>
      <c r="F200" s="299">
        <f>_xlfn.IFNA(VLOOKUP(B200,Worksheet!$C$3:$G$46,5,FALSE),F200)</f>
        <v>0</v>
      </c>
      <c r="G200" s="207" t="s">
        <v>244</v>
      </c>
    </row>
    <row r="201" ht="45" customHeight="1">
      <c r="A201" s="226"/>
      <c r="B201" s="238">
        <v>1662</v>
      </c>
      <c r="C201" s="242" t="s">
        <v>279</v>
      </c>
      <c r="D201" s="299">
        <f>_xlfn.IFNA(VLOOKUP(B201,Worksheet!$C$3:$G$46,3,FALSE),D201)</f>
        <v>0</v>
      </c>
      <c r="E201" s="299">
        <f>_xlfn.IFNA(VLOOKUP(B201,Worksheet!$C$3:$G$46,4,FALSE),E201)</f>
        <v>0</v>
      </c>
      <c r="F201" s="299">
        <f>_xlfn.IFNA(VLOOKUP(B201,Worksheet!$C$3:$G$46,5,FALSE),F201)</f>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289</v>
      </c>
      <c r="AZ648" s="0" t="s">
        <v>293</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