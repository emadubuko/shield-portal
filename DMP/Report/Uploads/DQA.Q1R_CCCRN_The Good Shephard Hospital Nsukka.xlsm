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R17" i="11"/>
  <c r="S17" i="11"/>
  <c r="P24" i="11" s="1"/>
  <c r="T17" i="11"/>
  <c r="Q24" i="11" s="1"/>
  <c r="U17" i="11"/>
  <c r="V17" i="11"/>
  <c r="W17" i="11"/>
  <c r="T24" i="11" s="1"/>
  <c r="X17" i="11"/>
  <c r="P25" i="11" s="1"/>
  <c r="Y17" i="11"/>
  <c r="Z17" i="11"/>
  <c r="R25" i="11" s="1"/>
  <c r="AA17" i="11"/>
  <c r="S25" i="11" s="1"/>
  <c r="AB17" i="11"/>
  <c r="T25" i="11" s="1"/>
  <c r="Q25" i="11"/>
  <c r="S24" i="11"/>
  <c r="R24" i="11"/>
  <c r="T23" i="11"/>
  <c r="S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6" i="11" l="1"/>
  <c r="F46" i="10"/>
  <c r="F49" i="10" s="1"/>
  <c r="F47" i="10"/>
  <c r="S13" i="12" s="1"/>
  <c r="S12" i="12" l="1"/>
  <c r="E51" i="10"/>
  <c r="D51" i="10"/>
  <c r="D52" i="10"/>
  <c r="E52" i="10"/>
  <c r="D53" i="10"/>
  <c r="E53" i="10"/>
  <c r="F53" i="10"/>
  <c r="D54" i="10"/>
  <c r="E54" i="10"/>
  <c r="F54" i="10"/>
  <c r="D55" i="10"/>
  <c r="E55" i="10"/>
  <c r="F55" i="10"/>
  <c r="D56" i="10"/>
  <c r="E56" i="10"/>
  <c r="F56" i="10"/>
  <c r="D59" i="10"/>
  <c r="E59" i="10"/>
  <c r="F59" i="10"/>
  <c r="D60" i="10"/>
  <c r="E60" i="10"/>
  <c r="F60" i="10"/>
  <c r="D61" i="10"/>
  <c r="F61" i="10"/>
  <c r="E61" i="10"/>
  <c r="F67" i="10"/>
  <c r="D67" i="10"/>
  <c r="E67" i="10"/>
  <c r="D73" i="10"/>
  <c r="E73" i="10"/>
  <c r="F73" i="10"/>
  <c r="D75" i="10"/>
  <c r="E75" i="10"/>
  <c r="F75" i="10"/>
  <c r="D79" i="10"/>
  <c r="E79" i="10"/>
  <c r="D82" i="10"/>
  <c r="D81" i="10" s="1"/>
  <c r="E82" i="10"/>
  <c r="E81" i="10" l="1"/>
  <c r="F82" i="10"/>
  <c r="F81" i="10" l="1"/>
  <c r="D83" i="10"/>
  <c r="H12" i="12" s="1"/>
  <c r="E83" i="10"/>
  <c r="M12" i="12" s="1"/>
  <c r="M8" i="12"/>
  <c r="E36" i="10"/>
  <c r="E37" i="10"/>
  <c r="M10" i="12"/>
  <c r="F36" i="10"/>
  <c r="R8" i="12"/>
  <c r="F37" i="10"/>
  <c r="R10" i="12"/>
  <c r="D36" i="10"/>
  <c r="H10" i="12"/>
  <c r="D37" i="10"/>
  <c r="H8" i="12"/>
  <c r="Q15" i="12"/>
  <c r="F131" i="10"/>
  <c r="R15" i="12"/>
  <c r="K11" i="12"/>
  <c r="E29" i="10"/>
  <c r="K9" i="12"/>
  <c r="I10" i="12"/>
  <c r="I8" i="12"/>
  <c r="E10" i="10"/>
  <c r="E194" i="10"/>
  <c r="E193" i="10"/>
  <c r="N10" i="12"/>
  <c r="F10" i="10"/>
  <c r="N8" i="12"/>
  <c r="G21" i="11"/>
  <c r="F64" i="10"/>
  <c r="K8" i="12"/>
  <c r="E23" i="10"/>
  <c r="K10" i="12"/>
  <c r="D114" i="10"/>
  <c r="D113" i="10"/>
  <c r="F167" i="10"/>
  <c r="F166" i="10"/>
  <c r="S18" i="12"/>
  <c r="E80" i="10"/>
  <c r="F37" i="11"/>
  <c r="D107" i="10"/>
  <c r="D94" i="10"/>
  <c r="F78" i="10"/>
  <c r="G35" i="11"/>
  <c r="P10" i="12"/>
  <c r="F23" i="10"/>
  <c r="P8" i="12"/>
  <c r="F43" i="11"/>
  <c r="E89" i="10"/>
  <c r="E135" i="10"/>
  <c r="M15" i="12"/>
  <c r="F6" i="10"/>
  <c r="F2" i="10"/>
  <c r="S8" i="12"/>
  <c r="R16" i="12"/>
  <c r="F110" i="10"/>
  <c r="F111" i="10"/>
  <c r="D110" i="10"/>
  <c r="D111" i="10"/>
  <c r="H16" i="12"/>
  <c r="F33" i="11"/>
  <c r="E76" i="10"/>
  <c r="O10" i="12"/>
  <c r="O8" i="12"/>
  <c r="M16" i="12"/>
  <c r="E111" i="10"/>
  <c r="E110" i="10"/>
  <c r="E10" i="12"/>
  <c r="E8" i="12"/>
  <c r="G14" i="12"/>
  <c r="G12" i="12"/>
  <c r="G10" i="12"/>
  <c r="G8" i="12"/>
  <c r="F15" i="12"/>
  <c r="D126" i="10"/>
  <c r="E70" i="10"/>
  <c r="F27" i="11"/>
  <c r="K16" i="12"/>
  <c r="E101" i="10"/>
  <c r="E27" i="11"/>
  <c r="D70" i="10"/>
  <c r="Q8" i="12"/>
  <c r="Q10" i="12"/>
  <c r="E182" i="10"/>
  <c r="F132" i="10"/>
  <c r="F120" i="10"/>
  <c r="F52" i="10"/>
  <c r="G9" i="11"/>
  <c r="I17" i="12"/>
  <c r="E144" i="10"/>
  <c r="F51" i="10"/>
  <c r="G8" i="11"/>
  <c r="F170" i="10"/>
  <c r="S17" i="12"/>
  <c r="F141" i="10"/>
  <c r="F142" i="10"/>
  <c r="R18" i="12"/>
  <c r="F191" i="10"/>
  <c r="F190" i="10"/>
  <c r="E190" i="10"/>
  <c r="E191" i="10"/>
  <c r="M18" i="12"/>
  <c r="G27" i="11"/>
  <c r="F70" i="10"/>
  <c r="O16" i="12"/>
  <c r="F97" i="10"/>
  <c r="J10" i="12"/>
  <c r="J8" i="12"/>
  <c r="D101" i="10"/>
  <c r="F16" i="12"/>
  <c r="F58" i="10"/>
  <c r="G15" i="11"/>
  <c r="E18" i="10"/>
  <c r="E32" i="10"/>
  <c r="E181" i="10"/>
  <c r="K18" i="12"/>
  <c r="F63" i="10"/>
  <c r="G20" i="11"/>
  <c r="F43" i="10"/>
  <c r="F42" i="10"/>
  <c r="F155" i="10"/>
  <c r="Q17" i="12"/>
  <c r="F69" i="10"/>
  <c r="G26" i="11"/>
  <c r="E31" i="11"/>
  <c r="D74" i="10"/>
  <c r="F126" i="10"/>
  <c r="P15" i="12"/>
  <c r="Q18" i="12"/>
  <c r="F186" i="10"/>
  <c r="E171" i="10"/>
  <c r="I18" i="12"/>
  <c r="E198" i="10"/>
  <c r="D106" i="10"/>
  <c r="G16" i="12"/>
  <c r="O18" i="12"/>
  <c r="F175" i="10"/>
  <c r="D195" i="10"/>
  <c r="I16" i="12"/>
  <c r="E93" i="10"/>
  <c r="D132" i="10"/>
  <c r="D120" i="10"/>
  <c r="D131" i="10"/>
  <c r="G15" i="12"/>
  <c r="F3" i="10"/>
  <c r="S9" i="12"/>
  <c r="D65" i="10"/>
  <c r="E22" i="11"/>
  <c r="E37" i="11"/>
  <c r="D80" i="10"/>
  <c r="L14" i="12"/>
  <c r="L12" i="12"/>
  <c r="E39" i="10"/>
  <c r="E40" i="10"/>
  <c r="P12" i="12"/>
  <c r="F133" i="10"/>
  <c r="F189" i="10"/>
  <c r="E38" i="10"/>
  <c r="F138" i="10"/>
  <c r="K13" i="12"/>
  <c r="E14" i="12"/>
  <c r="F14" i="10"/>
  <c r="E30" i="10"/>
  <c r="E130" i="10"/>
  <c r="D155" i="10"/>
  <c r="G17" i="12"/>
  <c r="D31" i="10"/>
  <c r="D15" i="10"/>
  <c r="D13" i="10"/>
  <c r="K17" i="12"/>
  <c r="E151" i="10"/>
  <c r="L17" i="12"/>
  <c r="E155" i="10"/>
  <c r="H18" i="12"/>
  <c r="D191" i="10"/>
  <c r="D190" i="10"/>
  <c r="N18" i="12"/>
  <c r="F171" i="10"/>
  <c r="E86" i="10"/>
  <c r="F41" i="11"/>
  <c r="F40" i="10"/>
  <c r="F39" i="10"/>
  <c r="G28" i="11"/>
  <c r="F71" i="10"/>
  <c r="E58" i="10"/>
  <c r="F15" i="11"/>
  <c r="P9" i="12"/>
  <c r="F29" i="10"/>
  <c r="P11" i="12"/>
  <c r="D193" i="10"/>
  <c r="D194" i="10"/>
  <c r="Q12" i="12"/>
  <c r="G31" i="11"/>
  <c r="F74" i="10"/>
  <c r="Q14" i="12"/>
  <c r="D71" i="10"/>
  <c r="E28" i="11"/>
  <c r="F8" i="12"/>
  <c r="D23" i="10"/>
  <c r="F10" i="12"/>
  <c r="F31" i="10"/>
  <c r="F13" i="10"/>
  <c r="F15" i="10"/>
  <c r="J12" i="12"/>
  <c r="D186" i="10"/>
  <c r="G18" i="12"/>
  <c r="F113" i="10"/>
  <c r="F114" i="10"/>
  <c r="N12" i="12"/>
  <c r="G14" i="11"/>
  <c r="F57" i="10"/>
  <c r="N14" i="12"/>
  <c r="K15" i="12"/>
  <c r="E126" i="10"/>
  <c r="F181" i="10"/>
  <c r="P18" i="12"/>
  <c r="E20" i="11"/>
  <c r="D63" i="10"/>
  <c r="E94" i="10"/>
  <c r="E107" i="10"/>
  <c r="H15" i="12"/>
  <c r="D135" i="10"/>
  <c r="D89" i="10"/>
  <c r="E43" i="11"/>
  <c r="E15" i="11"/>
  <c r="D58" i="10"/>
  <c r="I15" i="12"/>
  <c r="E119" i="10"/>
  <c r="L18" i="12"/>
  <c r="E186" i="10"/>
  <c r="F106" i="10"/>
  <c r="Q16" i="12"/>
  <c r="F117" i="10"/>
  <c r="S15" i="12"/>
  <c r="E176" i="10"/>
  <c r="O15" i="12"/>
  <c r="F121" i="10"/>
  <c r="F194" i="10"/>
  <c r="F193" i="10"/>
  <c r="F28" i="11"/>
  <c r="E71" i="10"/>
  <c r="D177" i="10"/>
  <c r="J18" i="12"/>
  <c r="E175" i="10"/>
  <c r="D42" i="10"/>
  <c r="D43" i="10"/>
  <c r="F79" i="10"/>
  <c r="G36" i="11"/>
  <c r="E63" i="10"/>
  <c r="F20" i="11"/>
  <c r="E146" i="10"/>
  <c r="F123" i="10"/>
  <c r="E197" i="10"/>
  <c r="F101" i="10"/>
  <c r="P16" i="12"/>
  <c r="E192" i="10"/>
  <c r="F33" i="10"/>
  <c r="F65" i="10"/>
  <c r="G22" i="11"/>
  <c r="E105" i="10"/>
  <c r="F38" i="10"/>
  <c r="M17" i="12"/>
  <c r="E160" i="10"/>
  <c r="F4" i="10"/>
  <c r="S10" i="12"/>
  <c r="D160" i="10"/>
  <c r="H17" i="12"/>
  <c r="E97" i="10"/>
  <c r="J16" i="12"/>
  <c r="F94" i="10"/>
  <c r="F107" i="10"/>
  <c r="F119" i="10"/>
  <c r="N15" i="12"/>
  <c r="F89" i="10"/>
  <c r="G43" i="11"/>
  <c r="D32" i="10"/>
  <c r="D18" i="10"/>
  <c r="G34" i="11"/>
  <c r="F77" i="10"/>
  <c r="E41" i="11"/>
  <c r="D86" i="10"/>
  <c r="F80" i="10"/>
  <c r="G37" i="11"/>
  <c r="N17" i="12"/>
  <c r="F144" i="10"/>
  <c r="D147" i="10"/>
  <c r="E17" i="12"/>
  <c r="F91" i="10"/>
  <c r="S16" i="12"/>
  <c r="E147" i="10"/>
  <c r="J17" i="12"/>
  <c r="E78" i="10"/>
  <c r="F35" i="11"/>
  <c r="E25" i="11"/>
  <c r="D68" i="10"/>
  <c r="F12" i="12"/>
  <c r="F160" i="10"/>
  <c r="R17" i="12"/>
  <c r="E184" i="10"/>
  <c r="F32" i="10"/>
  <c r="F18" i="10"/>
  <c r="O17" i="12"/>
  <c r="F147" i="10"/>
  <c r="F154" i="10"/>
  <c r="F108" i="10"/>
  <c r="E158" i="10"/>
  <c r="E16" i="12"/>
  <c r="D97" i="10"/>
  <c r="F22" i="11"/>
  <c r="E65" i="10"/>
  <c r="M13" i="12"/>
  <c r="F200" i="10"/>
  <c r="D14" i="10"/>
  <c r="D158" i="10"/>
  <c r="E200" i="10"/>
  <c r="L15" i="12"/>
  <c r="E131" i="10"/>
  <c r="D121" i="10"/>
  <c r="E15" i="12"/>
  <c r="F34" i="11"/>
  <c r="E77" i="10"/>
  <c r="I14" i="12"/>
  <c r="F14" i="11"/>
  <c r="E57" i="10"/>
  <c r="I12" i="12"/>
  <c r="E15" i="10"/>
  <c r="E163" i="10"/>
  <c r="T14" i="12"/>
  <c r="E103" i="10"/>
  <c r="F16" i="10"/>
  <c r="D34" i="10"/>
  <c r="L16" i="12"/>
  <c r="E106" i="10"/>
  <c r="E33" i="11"/>
  <c r="D76" i="10"/>
  <c r="D77" i="10"/>
  <c r="E34" i="11"/>
  <c r="D157" i="10"/>
  <c r="K14" i="12"/>
  <c r="E24" i="10"/>
  <c r="F5" i="10"/>
  <c r="S11" i="12"/>
  <c r="D173" i="10"/>
  <c r="F176" i="10"/>
  <c r="E35" i="11"/>
  <c r="D78" i="10"/>
  <c r="E43" i="10"/>
  <c r="E42" i="10"/>
  <c r="E128" i="10"/>
  <c r="E25" i="10"/>
  <c r="D136" i="10"/>
  <c r="D170" i="10"/>
  <c r="F25" i="10"/>
  <c r="F99" i="10"/>
  <c r="F198" i="10"/>
  <c r="D11" i="10"/>
  <c r="E9" i="10"/>
  <c r="E132" i="10"/>
  <c r="E120" i="10"/>
  <c r="P13" i="12"/>
  <c r="T16" i="12"/>
  <c r="F135" i="10"/>
  <c r="E18" i="12"/>
  <c r="D175" i="10"/>
  <c r="F86" i="10"/>
  <c r="G41" i="11"/>
  <c r="P17" i="12"/>
  <c r="F151" i="10"/>
  <c r="D64" i="10"/>
  <c r="E21" i="11"/>
  <c r="F68" i="10"/>
  <c r="G25" i="11"/>
  <c r="E152" i="10"/>
  <c r="D184" i="10"/>
  <c r="F145" i="10"/>
  <c r="F98" i="10"/>
  <c r="F182" i="10"/>
  <c r="D95" i="10"/>
  <c r="F103" i="10"/>
  <c r="D198" i="10"/>
  <c r="E104" i="10"/>
  <c r="D139" i="10"/>
  <c r="F178" i="10"/>
  <c r="D20" i="10"/>
  <c r="D133" i="10"/>
  <c r="D189" i="10"/>
  <c r="D25" i="10"/>
  <c r="F136" i="10"/>
  <c r="F24" i="10"/>
  <c r="D96" i="10"/>
  <c r="F115" i="10"/>
  <c r="D150" i="10"/>
  <c r="F122" i="10"/>
  <c r="D181" i="10"/>
  <c r="F18" i="12"/>
  <c r="T18" i="12"/>
  <c r="D145" i="10"/>
  <c r="D30" i="10"/>
  <c r="J14" i="12"/>
  <c r="F21" i="11"/>
  <c r="E64" i="10"/>
  <c r="O14" i="12"/>
  <c r="J15" i="12"/>
  <c r="E121" i="10"/>
  <c r="D40" i="10"/>
  <c r="D39" i="10"/>
  <c r="D19" i="10"/>
  <c r="E123" i="10"/>
  <c r="F17" i="12"/>
  <c r="E62" i="10"/>
  <c r="F19" i="11"/>
  <c r="D188" i="10"/>
  <c r="D115" i="10"/>
  <c r="E19" i="11"/>
  <c r="D62" i="10"/>
  <c r="E12" i="12"/>
  <c r="F42" i="11"/>
  <c r="E88" i="10"/>
  <c r="M14" i="12"/>
  <c r="D183" i="10"/>
  <c r="D164" i="10"/>
  <c r="D146" i="10"/>
  <c r="D130" i="10"/>
  <c r="F25" i="11"/>
  <c r="E68" i="10"/>
  <c r="K12" i="12"/>
  <c r="F17" i="10"/>
  <c r="D105" i="10"/>
  <c r="E115" i="10"/>
  <c r="E27" i="10"/>
  <c r="F128" i="10"/>
  <c r="E14" i="10"/>
  <c r="F19" i="10"/>
  <c r="F8" i="10"/>
  <c r="D192" i="10"/>
  <c r="E41" i="10"/>
  <c r="E74" i="10"/>
  <c r="F31" i="11"/>
  <c r="E72" i="10"/>
  <c r="F29" i="11"/>
  <c r="E19" i="10"/>
  <c r="D112" i="10"/>
  <c r="E187" i="10"/>
  <c r="F173" i="10"/>
  <c r="E99" i="10"/>
  <c r="F105" i="10"/>
  <c r="E164" i="10"/>
  <c r="F30" i="10"/>
  <c r="D119" i="10"/>
  <c r="D15" i="12"/>
  <c r="T15" i="12"/>
  <c r="F35" i="10"/>
  <c r="E17" i="10"/>
  <c r="F109" i="10"/>
  <c r="G40" i="11"/>
  <c r="F85" i="10"/>
  <c r="R13" i="12"/>
  <c r="E21" i="10"/>
  <c r="E179" i="10"/>
  <c r="D98" i="10"/>
  <c r="E138" i="10"/>
  <c r="D197" i="10"/>
  <c r="E154" i="10"/>
  <c r="N16" i="12"/>
  <c r="F93" i="10"/>
  <c r="F150" i="10"/>
  <c r="E113" i="10"/>
  <c r="E114" i="10"/>
  <c r="F185" i="10"/>
  <c r="E69" i="10"/>
  <c r="F26" i="11"/>
  <c r="F9" i="10"/>
  <c r="E20" i="10"/>
  <c r="L10" i="12"/>
  <c r="E13" i="10"/>
  <c r="E31" i="10"/>
  <c r="L8" i="12"/>
  <c r="E28" i="10"/>
  <c r="F102" i="10"/>
  <c r="E109" i="10"/>
  <c r="F174" i="10"/>
  <c r="D41" i="10"/>
  <c r="F96" i="10"/>
  <c r="F172" i="10"/>
  <c r="E34" i="10"/>
  <c r="G33" i="11"/>
  <c r="F76" i="10"/>
  <c r="P14" i="12"/>
  <c r="E35" i="10"/>
  <c r="D8" i="10"/>
  <c r="D154" i="10"/>
  <c r="E189" i="10"/>
  <c r="F72" i="10"/>
  <c r="G29" i="11"/>
  <c r="D16" i="12"/>
  <c r="D93" i="10"/>
  <c r="D171" i="10"/>
  <c r="D18" i="12"/>
  <c r="F40" i="11"/>
  <c r="E85" i="10"/>
  <c r="F156" i="10"/>
  <c r="F149" i="10"/>
  <c r="D44" i="10"/>
  <c r="D109" i="10"/>
  <c r="D200" i="10"/>
  <c r="E185" i="10"/>
  <c r="F100" i="10"/>
  <c r="E174" i="10"/>
  <c r="E100" i="10"/>
  <c r="D169" i="10"/>
  <c r="D108" i="10"/>
  <c r="F164" i="10"/>
  <c r="D14" i="12"/>
  <c r="F129" i="10"/>
  <c r="D182" i="10"/>
  <c r="F183" i="10"/>
  <c r="E157" i="10"/>
  <c r="E153" i="10"/>
  <c r="D102" i="10"/>
  <c r="E188" i="10"/>
  <c r="E33" i="10"/>
  <c r="F148" i="10"/>
  <c r="D176" i="10"/>
  <c r="D104" i="10"/>
  <c r="E201" i="10"/>
  <c r="D122" i="10"/>
  <c r="E8" i="10"/>
  <c r="E14" i="11"/>
  <c r="D57" i="10"/>
  <c r="D12" i="12"/>
  <c r="T12" i="12"/>
  <c r="D128" i="10"/>
  <c r="E44" i="10"/>
  <c r="D8" i="12"/>
  <c r="T8" i="12"/>
  <c r="F152" i="10"/>
  <c r="F201" i="10"/>
  <c r="D38" i="10"/>
  <c r="F41" i="10"/>
  <c r="E183" i="10"/>
  <c r="E12" i="10"/>
  <c r="F12" i="10"/>
  <c r="D153" i="10"/>
  <c r="D152" i="10"/>
  <c r="E112" i="10"/>
  <c r="D16" i="10"/>
  <c r="F146" i="10"/>
  <c r="F11" i="10"/>
  <c r="E148" i="10"/>
  <c r="E26" i="10"/>
  <c r="F127" i="10"/>
  <c r="R14" i="12"/>
  <c r="D185" i="10"/>
  <c r="T13" i="12"/>
  <c r="F157" i="10"/>
  <c r="D149" i="10"/>
  <c r="D100" i="10"/>
  <c r="E133" i="10"/>
  <c r="F169" i="10"/>
  <c r="D161" i="10"/>
  <c r="F104" i="10"/>
  <c r="D124" i="10"/>
  <c r="E127" i="10"/>
  <c r="F112" i="10"/>
  <c r="E173" i="10"/>
  <c r="F197" i="10"/>
  <c r="E95" i="10"/>
  <c r="F158" i="10"/>
  <c r="D27" i="10"/>
  <c r="D26" i="10"/>
  <c r="E177" i="10"/>
  <c r="E129" i="10"/>
  <c r="H13" i="12"/>
  <c r="F27" i="10"/>
  <c r="F179" i="10"/>
  <c r="F44" i="10"/>
  <c r="E124" i="10"/>
  <c r="F130" i="10"/>
  <c r="D12" i="10"/>
  <c r="F163" i="10"/>
  <c r="D172" i="10"/>
  <c r="F192" i="10"/>
  <c r="E98" i="10"/>
  <c r="F21" i="10"/>
  <c r="E11" i="10"/>
  <c r="E150" i="10"/>
  <c r="D99" i="10"/>
  <c r="E169" i="10"/>
  <c r="F187" i="10"/>
  <c r="F139" i="10"/>
  <c r="D21" i="10"/>
  <c r="F161" i="10"/>
  <c r="D10" i="10"/>
  <c r="D10" i="12"/>
  <c r="T10" i="12"/>
  <c r="F188" i="10"/>
  <c r="D163" i="10"/>
  <c r="F9" i="12"/>
  <c r="T9" i="12"/>
  <c r="E149" i="10"/>
  <c r="E108" i="10"/>
  <c r="E172" i="10"/>
  <c r="F26" i="10"/>
  <c r="E161" i="10"/>
  <c r="D28" i="10"/>
  <c r="F184" i="10"/>
  <c r="D179" i="10"/>
  <c r="E178" i="10"/>
  <c r="D35" i="10"/>
  <c r="E195" i="10"/>
  <c r="E96" i="10"/>
  <c r="F88" i="10"/>
  <c r="G42" i="11"/>
  <c r="E29" i="11"/>
  <c r="D72" i="10"/>
  <c r="F13" i="12"/>
  <c r="G19" i="11"/>
  <c r="F62" i="10"/>
  <c r="O12" i="12"/>
  <c r="E42" i="11"/>
  <c r="D88" i="10"/>
  <c r="H14" i="12"/>
  <c r="D187" i="10"/>
  <c r="D24" i="10"/>
  <c r="G5" i="11"/>
  <c r="F48" i="10"/>
  <c r="S14" i="12"/>
  <c r="E122" i="10"/>
  <c r="G39" i="11"/>
  <c r="F83" i="10"/>
  <c r="R12" i="12"/>
  <c r="E16" i="10"/>
  <c r="D148" i="10"/>
  <c r="F195" i="10"/>
  <c r="D138" i="10"/>
  <c r="D156" i="10"/>
  <c r="D129" i="10"/>
  <c r="E145" i="10"/>
  <c r="D103" i="10"/>
  <c r="E136" i="10"/>
  <c r="E170" i="10"/>
  <c r="E156" i="10"/>
  <c r="D127" i="10"/>
  <c r="E139" i="10"/>
  <c r="D174" i="10"/>
  <c r="D17" i="10"/>
  <c r="D178" i="10"/>
  <c r="F20" i="10"/>
  <c r="F28" i="10"/>
  <c r="F95" i="10"/>
  <c r="E102" i="10"/>
  <c r="E40" i="11"/>
  <c r="D85" i="10"/>
  <c r="D144" i="10"/>
  <c r="D17" i="12"/>
  <c r="T17" i="12"/>
  <c r="D201" i="10"/>
  <c r="F153" i="10"/>
  <c r="D9" i="10"/>
  <c r="F34" i="10"/>
  <c r="D33" i="10"/>
  <c r="F177" i="10"/>
  <c r="D123" i="10"/>
  <c r="E26" i="11"/>
  <c r="D69" i="10"/>
  <c r="F14" i="12"/>
  <c r="D151" i="10"/>
  <c r="F124" i="10"/>
  <c r="D29" i="10"/>
  <c r="F11" i="12"/>
  <c r="T11" i="12"/>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<sst xmlns="http://schemas.openxmlformats.org/spreadsheetml/2006/main" count="27101" uniqueCount="4025">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</sst>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12.277777777777779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15.166666666666666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9.7777777777777786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25292720"/>
        <c:axId val="325291936"/>
      </c:radarChart>
      <c:catAx>
        <c:axId val="32529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25291936"/>
        <c:crosses val="autoZero"/>
        <c:auto val="1"/>
        <c:lblAlgn val="ctr"/>
        <c:lblOffset val="100"/>
        <c:noMultiLvlLbl val="0"/>
      </c:catAx>
      <c:valAx>
        <c:axId val="3252919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9272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Enugu</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en Nsukka</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The Good Shepherd Hospital - Nsukka</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319</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69</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89</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88</v>
      </c>
      <c r="S10" s="138">
        <f ca="1">'All Questions'!F4</f>
        <v>319</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0</v>
      </c>
      <c r="E12" s="170">
        <f ca="1">SUM('All Questions'!D60:D75)/6</f>
        <v>0</v>
      </c>
      <c r="F12" s="170">
        <f ca="1">SUM('All Questions'!D67:D72)/3</f>
        <v>0</v>
      </c>
      <c r="G12" s="170">
        <f ca="1">SUM('All Questions'!D73:D80)/4</f>
        <v>0</v>
      </c>
      <c r="H12" s="171">
        <f>SUM('All Questions'!D82:D83)/2</f>
        <v>41.5</v>
      </c>
      <c r="I12" s="172">
        <f ca="1">SUM('All Questions'!E55:E58)/4</f>
        <v>0</v>
      </c>
      <c r="J12" s="173">
        <f ca="1">SUM('All Questions'!E60:E75)/6</f>
        <v>0</v>
      </c>
      <c r="K12" s="173">
        <f ca="1">SUM('All Questions'!E67:E72)/3</f>
        <v>0</v>
      </c>
      <c r="L12" s="173">
        <f ca="1">SUM('All Questions'!E73:E80)/4</f>
        <v>0</v>
      </c>
      <c r="M12" s="174">
        <f>SUM('All Questions'!E82:E83)/2</f>
        <v>47.5</v>
      </c>
      <c r="N12" s="175">
        <f ca="1">SUM('All Questions'!F55:F58)/4</f>
        <v>0</v>
      </c>
      <c r="O12" s="173">
        <f ca="1">SUM('All Questions'!F60:F75)/6</f>
        <v>0</v>
      </c>
      <c r="P12" s="173">
        <f ca="1">SUM('All Questions'!F67:F72)/3</f>
        <v>0</v>
      </c>
      <c r="Q12" s="173">
        <f ca="1">SUM('All Questions'!F73:F80)/4</f>
        <v>0</v>
      </c>
      <c r="R12" s="174">
        <f ca="1">SUM('All Questions'!F82:F83)/2</f>
        <v>0</v>
      </c>
      <c r="S12" s="142">
        <f>'All Questions'!F46</f>
        <v>96</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83</v>
      </c>
      <c r="N2" s="331" t="s">
        <v>158</v>
      </c>
      <c r="O2" s="331"/>
      <c r="P2" s="66" t="s">
        <v>143</v>
      </c>
      <c r="Q2" s="303" t="s">
        <v>1</v>
      </c>
      <c r="R2" s="66" t="s">
        <v>174</v>
      </c>
      <c r="S2" s="303" t="s">
        <v>3</v>
      </c>
      <c r="T2" s="66" t="s">
        <v>631</v>
      </c>
      <c r="U2" s="67" t="s">
        <v>159</v>
      </c>
      <c r="V2" s="66" t="s">
        <v>1489</v>
      </c>
      <c r="W2" s="66"/>
      <c r="X2" s="67" t="s">
        <v>160</v>
      </c>
      <c r="Y2" s="66" t="s">
        <v>149</v>
      </c>
      <c r="Z2" s="96" t="s">
        <v>3803</v>
      </c>
      <c r="AA2" s="68" t="str">
        <f>VLOOKUP(V2,[2]Data_donotedit!AY2:AZ1504,2,FALSE)</f>
        <v>nD3KsCJ7cA7</v>
      </c>
      <c r="AB2" s="68"/>
      <c r="AC2" s="68"/>
      <c r="AD2" s="68"/>
    </row>
    <row r="3" spans="1:30" ht="40.15" customHeight="1" x14ac:dyDescent="0.25">
      <c r="A3" s="63"/>
      <c r="B3" s="224"/>
      <c r="C3" s="253" t="s">
        <v>83</v>
      </c>
      <c r="D3" s="254" t="s">
        <v>3987</v>
      </c>
      <c r="E3" s="226"/>
      <c r="F3" s="229"/>
      <c r="G3" s="478">
        <v>96</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478">
        <v>0</v>
      </c>
      <c r="H4" s="205" t="s">
        <v>83</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55" t="s">
        <v>4015</v>
      </c>
      <c r="D5" s="226" t="s">
        <v>3976</v>
      </c>
      <c r="E5" s="226"/>
      <c r="F5" s="256"/>
      <c r="G5" s="478">
        <f ca="1">_xlfn.IFNA(VLOOKUP(C5,Worksheet!$C$3:$G$46,5,FALSE),G5)</f>
        <v>0</v>
      </c>
      <c r="H5" s="205" t="s">
        <v>83</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57" t="s">
        <v>4016</v>
      </c>
      <c r="D6" s="258" t="s">
        <v>3988</v>
      </c>
      <c r="E6" s="233"/>
      <c r="F6" s="259"/>
      <c r="G6" s="235">
        <f>_xlfn.IFNA(VLOOKUP(G3,Data_donotedit!$BE$2:$BG$25,3,TRUE),0)</f>
        <v>52</v>
      </c>
      <c r="H6" s="205" t="s">
        <v>83</v>
      </c>
      <c r="I6" s="63"/>
      <c r="J6" s="63"/>
      <c r="K6" s="132" t="s">
        <v>89</v>
      </c>
      <c r="L6" s="339" t="s">
        <v>3970</v>
      </c>
      <c r="M6" s="340"/>
      <c r="N6" s="71">
        <v>0</v>
      </c>
      <c r="O6" s="71">
        <v>0</v>
      </c>
      <c r="P6" s="71">
        <v>0</v>
      </c>
      <c r="Q6" s="71">
        <v>0</v>
      </c>
      <c r="R6" s="72">
        <v>0</v>
      </c>
      <c r="S6" s="71">
        <v>0</v>
      </c>
      <c r="T6" s="71">
        <v>0</v>
      </c>
      <c r="U6" s="71">
        <v>0</v>
      </c>
      <c r="V6" s="71">
        <v>0</v>
      </c>
      <c r="W6" s="72">
        <v>0</v>
      </c>
      <c r="X6" s="71">
        <v>0</v>
      </c>
      <c r="Y6" s="71">
        <v>0</v>
      </c>
      <c r="Z6" s="71">
        <v>0</v>
      </c>
      <c r="AA6" s="71">
        <v>0</v>
      </c>
      <c r="AB6" s="71">
        <v>0</v>
      </c>
      <c r="AC6" s="73">
        <v>319</v>
      </c>
      <c r="AD6" s="74" t="e">
        <v>#DIV/0!</v>
      </c>
    </row>
    <row r="7" spans="1:30" ht="40.15" customHeight="1" x14ac:dyDescent="0.25">
      <c r="A7" s="63"/>
      <c r="B7" s="224"/>
      <c r="C7" s="236"/>
      <c r="D7" s="260" t="s">
        <v>3840</v>
      </c>
      <c r="E7" s="238" t="s">
        <v>76</v>
      </c>
      <c r="F7" s="238" t="s">
        <v>77</v>
      </c>
      <c r="G7" s="239" t="s">
        <v>78</v>
      </c>
      <c r="H7" s="205" t="s">
        <v>83</v>
      </c>
      <c r="I7" s="63"/>
      <c r="J7" s="65"/>
      <c r="K7" s="59" t="s">
        <v>89</v>
      </c>
      <c r="L7" s="341" t="s">
        <v>3971</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479">
        <v>1</v>
      </c>
      <c r="F8" s="479">
        <v>1</v>
      </c>
      <c r="G8" s="479">
        <f ca="1">_xlfn.IFNA(VLOOKUP(C8,Worksheet!$C$3:$G$46,5,FALSE),G8)</f>
        <v>0</v>
      </c>
      <c r="H8" s="205" t="s">
        <v>83</v>
      </c>
      <c r="I8" s="63"/>
      <c r="J8" s="70"/>
      <c r="K8" s="58" t="s">
        <v>79</v>
      </c>
      <c r="L8" s="354" t="s">
        <v>3972</v>
      </c>
      <c r="M8" s="355"/>
      <c r="N8" s="71">
        <v>0</v>
      </c>
      <c r="O8" s="71">
        <v>0</v>
      </c>
      <c r="P8" s="71">
        <v>0</v>
      </c>
      <c r="Q8" s="71">
        <v>0</v>
      </c>
      <c r="R8" s="72">
        <v>69</v>
      </c>
      <c r="S8" s="71">
        <v>0</v>
      </c>
      <c r="T8" s="71">
        <v>0</v>
      </c>
      <c r="U8" s="71">
        <v>0</v>
      </c>
      <c r="V8" s="71">
        <v>0</v>
      </c>
      <c r="W8" s="72">
        <v>89</v>
      </c>
      <c r="X8" s="71">
        <v>0</v>
      </c>
      <c r="Y8" s="71">
        <v>0</v>
      </c>
      <c r="Z8" s="71">
        <v>0</v>
      </c>
      <c r="AA8" s="71">
        <v>0</v>
      </c>
      <c r="AB8" s="71">
        <v>88</v>
      </c>
      <c r="AC8" s="75">
        <v>319</v>
      </c>
      <c r="AD8" s="76" t="e">
        <v>#DIV/0!</v>
      </c>
    </row>
    <row r="9" spans="1:30" ht="40.15" customHeight="1" x14ac:dyDescent="0.25">
      <c r="A9" s="63"/>
      <c r="B9" s="261" t="s">
        <v>3843</v>
      </c>
      <c r="C9" s="236">
        <v>1212</v>
      </c>
      <c r="D9" s="240" t="s">
        <v>3844</v>
      </c>
      <c r="E9" s="479">
        <v>1</v>
      </c>
      <c r="F9" s="479">
        <v>1</v>
      </c>
      <c r="G9" s="479">
        <f ca="1">_xlfn.IFNA(VLOOKUP(C9,Worksheet!$C$3:$G$46,5,FALSE),G9)</f>
        <v>0</v>
      </c>
      <c r="H9" s="205" t="s">
        <v>83</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479">
        <v>3</v>
      </c>
      <c r="F10" s="479">
        <v>3</v>
      </c>
      <c r="G10" s="479">
        <v>2</v>
      </c>
      <c r="H10" s="205" t="s">
        <v>83</v>
      </c>
      <c r="I10" s="63"/>
      <c r="J10" s="70"/>
      <c r="K10" s="121" t="s">
        <v>83</v>
      </c>
      <c r="L10" s="356" t="s">
        <v>3974</v>
      </c>
      <c r="M10" s="357"/>
      <c r="N10" s="122">
        <v>0</v>
      </c>
      <c r="O10" s="71">
        <v>0</v>
      </c>
      <c r="P10" s="71">
        <v>0</v>
      </c>
      <c r="Q10" s="71">
        <v>0</v>
      </c>
      <c r="R10" s="71">
        <v>41.5</v>
      </c>
      <c r="S10" s="122">
        <v>0</v>
      </c>
      <c r="T10" s="71">
        <v>0</v>
      </c>
      <c r="U10" s="71">
        <v>0</v>
      </c>
      <c r="V10" s="71">
        <v>0</v>
      </c>
      <c r="W10" s="71">
        <v>47.5</v>
      </c>
      <c r="X10" s="122">
        <v>0</v>
      </c>
      <c r="Y10" s="71">
        <v>0</v>
      </c>
      <c r="Z10" s="71">
        <v>0</v>
      </c>
      <c r="AA10" s="71">
        <v>0</v>
      </c>
      <c r="AB10" s="71">
        <v>0</v>
      </c>
      <c r="AC10" s="124">
        <v>96</v>
      </c>
      <c r="AD10" s="125" t="e">
        <v>#DIV/0!</v>
      </c>
    </row>
    <row r="11" spans="1:30" ht="50.45" customHeight="1" x14ac:dyDescent="0.25">
      <c r="A11" s="63"/>
      <c r="B11" s="224"/>
      <c r="C11" s="236">
        <v>1214</v>
      </c>
      <c r="D11" s="262" t="s">
        <v>3846</v>
      </c>
      <c r="E11" s="479">
        <v>57</v>
      </c>
      <c r="F11" s="479">
        <v>53</v>
      </c>
      <c r="G11" s="479">
        <v>36</v>
      </c>
      <c r="H11" s="205" t="s">
        <v>83</v>
      </c>
      <c r="I11" s="63"/>
      <c r="J11" s="65"/>
      <c r="K11" s="120" t="s">
        <v>83</v>
      </c>
      <c r="L11" s="358" t="s">
        <v>3975</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479">
        <v>2</v>
      </c>
      <c r="F12" s="479">
        <v>2</v>
      </c>
      <c r="G12" s="479">
        <v>1</v>
      </c>
      <c r="H12" s="205" t="s">
        <v>83</v>
      </c>
      <c r="I12" s="63"/>
      <c r="J12" s="65"/>
      <c r="K12" s="127" t="s">
        <v>83</v>
      </c>
      <c r="L12" s="350" t="s">
        <v>3976</v>
      </c>
      <c r="M12" s="36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1216</v>
      </c>
      <c r="D13" s="241" t="s">
        <v>3848</v>
      </c>
      <c r="E13" s="479">
        <v>27</v>
      </c>
      <c r="F13" s="479">
        <v>42</v>
      </c>
      <c r="G13" s="479">
        <v>19</v>
      </c>
      <c r="H13" s="205" t="s">
        <v>83</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479">
        <f ca="1">_xlfn.IFNA(VLOOKUP(C14,Worksheet!$C$3:$G$46,3,FALSE),E14)</f>
        <v>0</v>
      </c>
      <c r="F14" s="479">
        <f ca="1">_xlfn.IFNA(VLOOKUP(C14,Worksheet!$C$3:$G$46,4,FALSE),F14)</f>
        <v>0</v>
      </c>
      <c r="G14" s="479">
        <f ca="1">_xlfn.IFNA(VLOOKUP(C14,Worksheet!$C$3:$G$46,5,FALSE),G14)</f>
        <v>0</v>
      </c>
      <c r="H14" s="205" t="s">
        <v>83</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479">
        <f ca="1">_xlfn.IFNA(VLOOKUP(C15,Worksheet!$C$3:$G$46,3,FALSE),E15)</f>
        <v>0</v>
      </c>
      <c r="F15" s="479">
        <f ca="1">_xlfn.IFNA(VLOOKUP(C15,Worksheet!$C$3:$G$46,4,FALSE),F15)</f>
        <v>0</v>
      </c>
      <c r="G15" s="479">
        <f ca="1">_xlfn.IFNA(VLOOKUP(C15,Worksheet!$C$3:$G$46,5,FALSE),G15)</f>
        <v>0</v>
      </c>
      <c r="H15" s="205" t="s">
        <v>83</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479">
        <v>57</v>
      </c>
      <c r="F16" s="479">
        <v>53</v>
      </c>
      <c r="G16" s="479">
        <v>36</v>
      </c>
      <c r="H16" s="205" t="s">
        <v>83</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479">
        <v>27</v>
      </c>
      <c r="F17" s="479">
        <v>42</v>
      </c>
      <c r="G17" s="479">
        <v>19</v>
      </c>
      <c r="H17" s="205" t="s">
        <v>83</v>
      </c>
      <c r="I17" s="63"/>
      <c r="J17" s="65"/>
      <c r="K17" s="63"/>
      <c r="L17" s="63"/>
      <c r="M17" s="63"/>
      <c r="N17" s="87">
        <f>AVERAGE(N6:N16)</f>
        <v>0</v>
      </c>
      <c r="O17" s="87">
        <f t="shared" ref="O17:AB17" si="0">AVERAGE(O6:O16)</f>
        <v>0</v>
      </c>
      <c r="P17" s="87">
        <f t="shared" si="0"/>
        <v>0</v>
      </c>
      <c r="Q17" s="87">
        <f t="shared" si="0"/>
        <v>0</v>
      </c>
      <c r="R17" s="87">
        <f t="shared" si="0"/>
        <v>12.277777777777779</v>
      </c>
      <c r="S17" s="87">
        <f t="shared" si="0"/>
        <v>0</v>
      </c>
      <c r="T17" s="87">
        <f t="shared" si="0"/>
        <v>0</v>
      </c>
      <c r="U17" s="87">
        <f t="shared" si="0"/>
        <v>0</v>
      </c>
      <c r="V17" s="87">
        <f t="shared" si="0"/>
        <v>0</v>
      </c>
      <c r="W17" s="87">
        <f t="shared" si="0"/>
        <v>15.166666666666666</v>
      </c>
      <c r="X17" s="87">
        <f t="shared" si="0"/>
        <v>0</v>
      </c>
      <c r="Y17" s="87">
        <f t="shared" si="0"/>
        <v>0</v>
      </c>
      <c r="Z17" s="87">
        <f t="shared" si="0"/>
        <v>0</v>
      </c>
      <c r="AA17" s="87">
        <f t="shared" si="0"/>
        <v>0</v>
      </c>
      <c r="AB17" s="87">
        <f t="shared" si="0"/>
        <v>9.7777777777777786</v>
      </c>
      <c r="AC17" s="63"/>
      <c r="AD17" s="63"/>
    </row>
    <row r="18" spans="1:30" ht="40.15" customHeight="1" x14ac:dyDescent="0.3">
      <c r="A18" s="63"/>
      <c r="B18" s="224"/>
      <c r="C18" s="236">
        <v>1223</v>
      </c>
      <c r="D18" s="262" t="s">
        <v>3853</v>
      </c>
      <c r="E18" s="479">
        <v>27</v>
      </c>
      <c r="F18" s="479">
        <v>42</v>
      </c>
      <c r="G18" s="479">
        <v>19</v>
      </c>
      <c r="H18" s="205" t="s">
        <v>83</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1224</v>
      </c>
      <c r="D19" s="262" t="s">
        <v>3854</v>
      </c>
      <c r="E19" s="479">
        <f ca="1">_xlfn.IFNA(VLOOKUP(C19,Worksheet!$C$3:$G$46,3,FALSE),E19)</f>
        <v>0</v>
      </c>
      <c r="F19" s="479">
        <f ca="1">_xlfn.IFNA(VLOOKUP(C19,Worksheet!$C$3:$G$46,4,FALSE),F19)</f>
        <v>0</v>
      </c>
      <c r="G19" s="479">
        <f ca="1">_xlfn.IFNA(VLOOKUP(C19,Worksheet!$C$3:$G$46,5,FALSE),G19)</f>
        <v>0</v>
      </c>
      <c r="H19" s="205" t="s">
        <v>83</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1225</v>
      </c>
      <c r="D20" s="262" t="s">
        <v>3855</v>
      </c>
      <c r="E20" s="479">
        <f ca="1">_xlfn.IFNA(VLOOKUP(C20,Worksheet!$C$3:$G$46,3,FALSE),E20)</f>
        <v>0</v>
      </c>
      <c r="F20" s="479">
        <f ca="1">_xlfn.IFNA(VLOOKUP(C20,Worksheet!$C$3:$G$46,4,FALSE),F20)</f>
        <v>0</v>
      </c>
      <c r="G20" s="479">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0</v>
      </c>
      <c r="Q23" s="93">
        <f>O17</f>
        <v>0</v>
      </c>
      <c r="R23" s="93">
        <f>P17</f>
        <v>0</v>
      </c>
      <c r="S23" s="93">
        <f>Q17</f>
        <v>0</v>
      </c>
      <c r="T23" s="93">
        <f>R17</f>
        <v>12.277777777777779</v>
      </c>
      <c r="U23" s="63"/>
      <c r="V23" s="63"/>
      <c r="W23" s="63"/>
      <c r="X23" s="63"/>
      <c r="Y23" s="63"/>
      <c r="Z23" s="63"/>
      <c r="AA23" s="63"/>
      <c r="AB23" s="63"/>
      <c r="AC23" s="63"/>
      <c r="AD23" s="63"/>
    </row>
    <row r="24" spans="1:30" ht="40.15" customHeight="1" x14ac:dyDescent="0.25">
      <c r="A24" s="63"/>
      <c r="B24" s="224"/>
      <c r="C24" s="236">
        <v>1231</v>
      </c>
      <c r="D24" s="240" t="s">
        <v>3858</v>
      </c>
      <c r="E24" s="479">
        <v>27</v>
      </c>
      <c r="F24" s="479">
        <v>42</v>
      </c>
      <c r="G24" s="479">
        <v>19</v>
      </c>
      <c r="H24" s="205" t="s">
        <v>83</v>
      </c>
      <c r="I24" s="63"/>
      <c r="J24" s="65"/>
      <c r="K24" s="63"/>
      <c r="L24" s="63"/>
      <c r="M24" s="63"/>
      <c r="N24" s="63"/>
      <c r="O24" s="91">
        <v>42675</v>
      </c>
      <c r="P24" s="92">
        <f>S17</f>
        <v>0</v>
      </c>
      <c r="Q24" s="93">
        <f>T17</f>
        <v>0</v>
      </c>
      <c r="R24" s="93">
        <f>U17</f>
        <v>0</v>
      </c>
      <c r="S24" s="93">
        <f>V17</f>
        <v>0</v>
      </c>
      <c r="T24" s="93">
        <f>W17</f>
        <v>15.166666666666666</v>
      </c>
      <c r="U24" s="63"/>
      <c r="V24" s="63"/>
      <c r="W24" s="63"/>
      <c r="X24" s="63"/>
      <c r="Y24" s="63"/>
      <c r="Z24" s="63"/>
      <c r="AA24" s="63"/>
      <c r="AB24" s="63"/>
      <c r="AC24" s="63"/>
      <c r="AD24" s="63"/>
    </row>
    <row r="25" spans="1:30" ht="40.15" customHeight="1" x14ac:dyDescent="0.25">
      <c r="A25" s="63"/>
      <c r="B25" s="224"/>
      <c r="C25" s="236">
        <v>1232</v>
      </c>
      <c r="D25" s="240" t="s">
        <v>3859</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0</v>
      </c>
      <c r="Q25" s="93">
        <f>Y17</f>
        <v>0</v>
      </c>
      <c r="R25" s="93">
        <f>Z17</f>
        <v>0</v>
      </c>
      <c r="S25" s="93">
        <f>AA17</f>
        <v>0</v>
      </c>
      <c r="T25" s="93">
        <f>AB17</f>
        <v>9.7777777777777786</v>
      </c>
      <c r="U25" s="63"/>
      <c r="V25" s="63"/>
      <c r="W25" s="63"/>
      <c r="X25" s="63"/>
      <c r="Y25" s="63"/>
      <c r="Z25" s="63"/>
      <c r="AA25" s="63"/>
      <c r="AB25" s="63"/>
      <c r="AC25" s="63"/>
      <c r="AD25" s="63"/>
    </row>
    <row r="26" spans="1:30" ht="40.15" customHeight="1" x14ac:dyDescent="0.25">
      <c r="A26" s="63"/>
      <c r="B26" s="224"/>
      <c r="C26" s="236">
        <v>1233</v>
      </c>
      <c r="D26" s="240" t="s">
        <v>3860</v>
      </c>
      <c r="E26" s="479">
        <f ca="1">_xlfn.IFNA(VLOOKUP(C26,Worksheet!$C$3:$G$46,3,FALSE),E26)</f>
        <v>0</v>
      </c>
      <c r="F26" s="479">
        <f ca="1">_xlfn.IFNA(VLOOKUP(C26,Worksheet!$C$3:$G$46,4,FALSE),F26)</f>
        <v>0</v>
      </c>
      <c r="G26" s="479">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479">
        <f ca="1">_xlfn.IFNA(VLOOKUP(C28,Worksheet!$C$3:$G$46,3,FALSE),E28)</f>
        <v>0</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479">
        <v>57</v>
      </c>
      <c r="F30" s="479">
        <v>53</v>
      </c>
      <c r="G30" s="479">
        <v>36</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479">
        <v>27</v>
      </c>
      <c r="F32" s="479">
        <v>42</v>
      </c>
      <c r="G32" s="479">
        <v>19</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479">
        <f ca="1">_xlfn.IFNA(VLOOKUP(C34,Worksheet!$C$3:$G$46,3,FALSE),E34)</f>
        <v>0</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479">
        <v>56</v>
      </c>
      <c r="F36" s="479">
        <v>53</v>
      </c>
      <c r="G36" s="479">
        <f ca="1">_xlfn.IFNA(VLOOKUP(C36,Worksheet!$C$3:$G$46,5,FALSE),G36)</f>
        <v>0</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479">
        <f ca="1">_xlfn.IFNA(VLOOKUP(C37,Worksheet!$C$3:$G$46,3,FALSE),E37)</f>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479">
        <v>27</v>
      </c>
      <c r="F38" s="479">
        <v>42</v>
      </c>
      <c r="G38" s="479">
        <v>19</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479">
        <v>56</v>
      </c>
      <c r="F39" s="479">
        <v>53</v>
      </c>
      <c r="G39" s="479">
        <f ca="1">_xlfn.IFNA(VLOOKUP(C39,Worksheet!$C$3:$G$46,5,FALSE),G39)</f>
        <v>0</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sGpEZVh+4XkyxZua/dx6BZ2U6HgJz1MzNDg3VBAZ8ubuyV1j+IqR5pYMtmcz5gMPRJ1dYJewB+ptMgwh98Bk6g==" saltValue="4maQES6hpnsa504IlTOTg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319</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319</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82</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4</v>
      </c>
      <c r="E10" s="299">
        <f ca="1">_xlfn.IFNA(VLOOKUP(B10,Worksheet!$C$3:$G$46,4,FALSE),E10)</f>
        <v>5</v>
      </c>
      <c r="F10" s="299">
        <f ca="1">_xlfn.IFNA(VLOOKUP(B10,Worksheet!$C$3:$G$46,5,FALSE),F10)</f>
        <v>5</v>
      </c>
      <c r="G10" s="205" t="s">
        <v>150</v>
      </c>
    </row>
    <row r="11" spans="1:7" ht="45" hidden="1" customHeight="1" x14ac:dyDescent="0.25">
      <c r="A11" s="224"/>
      <c r="B11" s="236">
        <v>1114</v>
      </c>
      <c r="C11" s="241" t="s">
        <v>3808</v>
      </c>
      <c r="D11" s="299">
        <f ca="1">_xlfn.IFNA(VLOOKUP(B11,Worksheet!$C$3:$G$46,3,FALSE),D11)</f>
        <v>69</v>
      </c>
      <c r="E11" s="299">
        <f ca="1">_xlfn.IFNA(VLOOKUP(B11,Worksheet!$C$3:$G$46,4,FALSE),E11)</f>
        <v>89</v>
      </c>
      <c r="F11" s="299">
        <f ca="1">_xlfn.IFNA(VLOOKUP(B11,Worksheet!$C$3:$G$46,5,FALSE),F11)</f>
        <v>81</v>
      </c>
      <c r="G11" s="205" t="s">
        <v>150</v>
      </c>
    </row>
    <row r="12" spans="1:7" ht="45" hidden="1" customHeight="1" x14ac:dyDescent="0.25">
      <c r="A12" s="224"/>
      <c r="B12" s="236">
        <v>1115</v>
      </c>
      <c r="C12" s="240" t="s">
        <v>3809</v>
      </c>
      <c r="D12" s="299">
        <f ca="1">_xlfn.IFNA(VLOOKUP(B12,Worksheet!$C$3:$G$46,3,FALSE),D12)</f>
        <v>69</v>
      </c>
      <c r="E12" s="299">
        <f ca="1">_xlfn.IFNA(VLOOKUP(B12,Worksheet!$C$3:$G$46,4,FALSE),E12)</f>
        <v>89</v>
      </c>
      <c r="F12" s="299">
        <f ca="1">_xlfn.IFNA(VLOOKUP(B12,Worksheet!$C$3:$G$46,5,FALSE),F12)</f>
        <v>81</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63</v>
      </c>
      <c r="E25" s="299">
        <f ca="1">_xlfn.IFNA(VLOOKUP(B25,Worksheet!$C$3:$G$46,4,FALSE),E25)</f>
        <v>86</v>
      </c>
      <c r="F25" s="299">
        <f ca="1">_xlfn.IFNA(VLOOKUP(B25,Worksheet!$C$3:$G$46,5,FALSE),F25)</f>
        <v>74</v>
      </c>
      <c r="G25" s="205" t="s">
        <v>150</v>
      </c>
    </row>
    <row r="26" spans="1:7" ht="45" hidden="1" customHeight="1" x14ac:dyDescent="0.25">
      <c r="A26" s="224"/>
      <c r="B26" s="236">
        <v>1134</v>
      </c>
      <c r="C26" s="240" t="s">
        <v>3822</v>
      </c>
      <c r="D26" s="299">
        <f ca="1">_xlfn.IFNA(VLOOKUP(B26,Worksheet!$C$3:$G$46,3,FALSE),D26)</f>
        <v>6</v>
      </c>
      <c r="E26" s="299">
        <f ca="1">_xlfn.IFNA(VLOOKUP(B26,Worksheet!$C$3:$G$46,4,FALSE),E26)</f>
        <v>3</v>
      </c>
      <c r="F26" s="299">
        <f ca="1">_xlfn.IFNA(VLOOKUP(B26,Worksheet!$C$3:$G$46,5,FALSE),F26)</f>
        <v>7</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69</v>
      </c>
      <c r="E33" s="299">
        <f ca="1">_xlfn.IFNA(VLOOKUP(B33,Worksheet!$C$3:$G$46,4,FALSE),E33)</f>
        <v>89</v>
      </c>
      <c r="F33" s="299">
        <f ca="1">_xlfn.IFNA(VLOOKUP(B33,Worksheet!$C$3:$G$46,5,FALSE),F33)</f>
        <v>81</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65</v>
      </c>
      <c r="E35" s="299">
        <f ca="1">_xlfn.IFNA(VLOOKUP(B35,Worksheet!$C$3:$G$46,4,FALSE),E35)</f>
        <v>82</v>
      </c>
      <c r="F35" s="299">
        <f ca="1">_xlfn.IFNA(VLOOKUP(B35,Worksheet!$C$3:$G$46,5,FALSE),F35)</f>
        <v>88</v>
      </c>
      <c r="G35" s="205" t="s">
        <v>150</v>
      </c>
    </row>
    <row r="36" spans="1:7" ht="45" hidden="1" customHeight="1" x14ac:dyDescent="0.25">
      <c r="A36" s="224"/>
      <c r="B36" s="236">
        <v>1151</v>
      </c>
      <c r="C36" s="246" t="s">
        <v>3832</v>
      </c>
      <c r="D36" s="247">
        <f ca="1">D37/D38</f>
        <v>1</v>
      </c>
      <c r="E36" s="247">
        <f t="shared" ref="E36:F36" ca="1" si="1">E37/E38</f>
        <v>1.0617283950617284</v>
      </c>
      <c r="F36" s="247">
        <f t="shared" ca="1" si="1"/>
        <v>0.9135802469135802</v>
      </c>
      <c r="G36" s="205"/>
    </row>
    <row r="37" spans="1:7" ht="45" hidden="1" customHeight="1" x14ac:dyDescent="0.25">
      <c r="A37" s="224"/>
      <c r="B37" s="236">
        <v>1152</v>
      </c>
      <c r="C37" s="240" t="s">
        <v>3833</v>
      </c>
      <c r="D37" s="299">
        <f ca="1">_xlfn.IFNA(VLOOKUP(B37,Worksheet!$C$3:$G$46,3,FALSE),D37)</f>
        <v>63</v>
      </c>
      <c r="E37" s="299">
        <f ca="1">_xlfn.IFNA(VLOOKUP(B37,Worksheet!$C$3:$G$46,4,FALSE),E37)</f>
        <v>86</v>
      </c>
      <c r="F37" s="299">
        <f ca="1">_xlfn.IFNA(VLOOKUP(B37,Worksheet!$C$3:$G$46,5,FALSE),F37)</f>
        <v>74</v>
      </c>
      <c r="G37" s="205" t="s">
        <v>150</v>
      </c>
    </row>
    <row r="38" spans="1:7" ht="45" hidden="1" customHeight="1" x14ac:dyDescent="0.25">
      <c r="A38" s="224"/>
      <c r="B38" s="236">
        <v>1153</v>
      </c>
      <c r="C38" s="240" t="s">
        <v>3834</v>
      </c>
      <c r="D38" s="299">
        <f ca="1">_xlfn.IFNA(VLOOKUP(B38,Worksheet!$C$3:$G$46,3,FALSE),D38)</f>
        <v>63</v>
      </c>
      <c r="E38" s="299">
        <f ca="1">_xlfn.IFNA(VLOOKUP(B38,Worksheet!$C$3:$G$46,4,FALSE),E38)</f>
        <v>81</v>
      </c>
      <c r="F38" s="299">
        <f ca="1">_xlfn.IFNA(VLOOKUP(B38,Worksheet!$C$3:$G$46,5,FALSE),F38)</f>
        <v>81</v>
      </c>
      <c r="G38" s="205" t="s">
        <v>150</v>
      </c>
    </row>
    <row r="39" spans="1:7" ht="45" hidden="1" customHeight="1" x14ac:dyDescent="0.25">
      <c r="A39" s="224"/>
      <c r="B39" s="236">
        <v>1154</v>
      </c>
      <c r="C39" s="246" t="s">
        <v>3835</v>
      </c>
      <c r="D39" s="247">
        <f ca="1">D40/D41</f>
        <v>1</v>
      </c>
      <c r="E39" s="247">
        <f t="shared" ref="E39:F39" ca="1" si="2">E40/E41</f>
        <v>1.0617283950617284</v>
      </c>
      <c r="F39" s="247">
        <f t="shared" ca="1" si="2"/>
        <v>1.0864197530864197</v>
      </c>
      <c r="G39" s="205"/>
    </row>
    <row r="40" spans="1:7" ht="45" hidden="1" customHeight="1" x14ac:dyDescent="0.25">
      <c r="A40" s="224"/>
      <c r="B40" s="236">
        <v>1155</v>
      </c>
      <c r="C40" s="240" t="s">
        <v>3833</v>
      </c>
      <c r="D40" s="299">
        <f ca="1">_xlfn.IFNA(VLOOKUP(B40,Worksheet!$C$3:$G$46,3,FALSE),D40)</f>
        <v>63</v>
      </c>
      <c r="E40" s="299">
        <f ca="1">_xlfn.IFNA(VLOOKUP(B40,Worksheet!$C$3:$G$46,4,FALSE),E40)</f>
        <v>86</v>
      </c>
      <c r="F40" s="299">
        <f ca="1">_xlfn.IFNA(VLOOKUP(B40,Worksheet!$C$3:$G$46,5,FALSE),F40)</f>
        <v>88</v>
      </c>
      <c r="G40" s="205" t="s">
        <v>150</v>
      </c>
    </row>
    <row r="41" spans="1:7" ht="45" hidden="1" customHeight="1" x14ac:dyDescent="0.25">
      <c r="A41" s="224"/>
      <c r="B41" s="236">
        <v>1156</v>
      </c>
      <c r="C41" s="240" t="s">
        <v>3836</v>
      </c>
      <c r="D41" s="299">
        <f ca="1">_xlfn.IFNA(VLOOKUP(B41,Worksheet!$C$3:$G$46,3,FALSE),D41)</f>
        <v>63</v>
      </c>
      <c r="E41" s="299">
        <f ca="1">_xlfn.IFNA(VLOOKUP(B41,Worksheet!$C$3:$G$46,4,FALSE),E41)</f>
        <v>81</v>
      </c>
      <c r="F41" s="299">
        <f ca="1">_xlfn.IFNA(VLOOKUP(B41,Worksheet!$C$3:$G$46,5,FALSE),F41)</f>
        <v>81</v>
      </c>
      <c r="G41" s="205" t="s">
        <v>150</v>
      </c>
    </row>
    <row r="42" spans="1:7" ht="45" hidden="1" customHeight="1" x14ac:dyDescent="0.25">
      <c r="A42" s="224"/>
      <c r="B42" s="236">
        <v>1157</v>
      </c>
      <c r="C42" s="246" t="s">
        <v>3837</v>
      </c>
      <c r="D42" s="247">
        <f ca="1">D43/D44</f>
        <v>4.6153846153846156E-2</v>
      </c>
      <c r="E42" s="247">
        <f t="shared" ref="E42:F42" ca="1" si="3">E43/E44</f>
        <v>6.097560975609756E-2</v>
      </c>
      <c r="F42" s="247">
        <f t="shared" ca="1" si="3"/>
        <v>4</v>
      </c>
      <c r="G42" s="205"/>
    </row>
    <row r="43" spans="1:7" ht="45" hidden="1" customHeight="1" x14ac:dyDescent="0.25">
      <c r="A43" s="224"/>
      <c r="B43" s="236">
        <v>1158</v>
      </c>
      <c r="C43" s="240" t="s">
        <v>3838</v>
      </c>
      <c r="D43" s="299">
        <f ca="1">_xlfn.IFNA(VLOOKUP(B43,Worksheet!$C$3:$G$46,3,FALSE),D43)</f>
        <v>3</v>
      </c>
      <c r="E43" s="299">
        <f ca="1">_xlfn.IFNA(VLOOKUP(B43,Worksheet!$C$3:$G$46,4,FALSE),E43)</f>
        <v>5</v>
      </c>
      <c r="F43" s="299">
        <f ca="1">_xlfn.IFNA(VLOOKUP(B43,Worksheet!$C$3:$G$46,5,FALSE),F43)</f>
        <v>4</v>
      </c>
      <c r="G43" s="205" t="s">
        <v>150</v>
      </c>
    </row>
    <row r="44" spans="1:7" s="248" customFormat="1" ht="45" hidden="1" customHeight="1" x14ac:dyDescent="0.25">
      <c r="A44" s="224"/>
      <c r="B44" s="236">
        <v>1159</v>
      </c>
      <c r="C44" s="240" t="s">
        <v>3839</v>
      </c>
      <c r="D44" s="299">
        <f ca="1">_xlfn.IFNA(VLOOKUP(B44,Worksheet!$C$3:$G$46,3,FALSE),D44)</f>
        <v>65</v>
      </c>
      <c r="E44" s="299">
        <f ca="1">_xlfn.IFNA(VLOOKUP(B44,Worksheet!$C$3:$G$46,4,FALSE),E44)</f>
        <v>82</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_xlfn.IFNA(VLOOKUP(B46,Worksheet!$C$3:$G$46,5,FALSE),F46)</f>
        <v>96</v>
      </c>
      <c r="G46" s="205" t="s">
        <v>83</v>
      </c>
    </row>
    <row r="47" spans="1:7" s="248" customFormat="1" ht="45" customHeight="1" x14ac:dyDescent="0.25">
      <c r="A47" s="224"/>
      <c r="B47" s="255" t="s">
        <v>4014</v>
      </c>
      <c r="C47" s="226" t="s">
        <v>3975</v>
      </c>
      <c r="D47" s="230"/>
      <c r="E47" s="229"/>
      <c r="F47" s="298">
        <f>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_xlfn.IFNA(VLOOKUP(F46,Data_donotedit!$BE$2:$BG$25,3,TRUE),0)</f>
        <v>52</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_xlfn.IFNA(VLOOKUP(B51,Worksheet!$C$3:$G$46,4,FALSE),E51)</f>
        <v>1</v>
      </c>
      <c r="F51" s="299">
        <f ca="1">_xlfn.IFNA(VLOOKUP(B51,Worksheet!$C$3:$G$46,5,FALSE),F51)</f>
        <v>0</v>
      </c>
      <c r="G51" s="205" t="s">
        <v>83</v>
      </c>
    </row>
    <row r="52" spans="1:7" ht="45" customHeight="1" x14ac:dyDescent="0.25">
      <c r="A52" s="261" t="s">
        <v>3843</v>
      </c>
      <c r="B52" s="236">
        <v>1212</v>
      </c>
      <c r="C52" s="240" t="s">
        <v>3844</v>
      </c>
      <c r="D52" s="299">
        <f>_xlfn.IFNA(VLOOKUP(B52,Worksheet!$C$3:$G$46,3,FALSE),D52)</f>
        <v>1</v>
      </c>
      <c r="E52" s="299">
        <f>_xlfn.IFNA(VLOOKUP(B52,Worksheet!$C$3:$G$46,4,FALSE),E52)</f>
        <v>1</v>
      </c>
      <c r="F52" s="299">
        <f ca="1">_xlfn.IFNA(VLOOKUP(B52,Worksheet!$C$3:$G$46,5,FALSE),F52)</f>
        <v>0</v>
      </c>
      <c r="G52" s="205" t="s">
        <v>83</v>
      </c>
    </row>
    <row r="53" spans="1:7" ht="45" customHeight="1" x14ac:dyDescent="0.25">
      <c r="A53" s="224"/>
      <c r="B53" s="236">
        <v>1213</v>
      </c>
      <c r="C53" s="240" t="s">
        <v>3845</v>
      </c>
      <c r="D53" s="299">
        <f>_xlfn.IFNA(VLOOKUP(B53,Worksheet!$C$3:$G$46,3,FALSE),D53)</f>
        <v>3</v>
      </c>
      <c r="E53" s="299">
        <f>_xlfn.IFNA(VLOOKUP(B53,Worksheet!$C$3:$G$46,4,FALSE),E53)</f>
        <v>3</v>
      </c>
      <c r="F53" s="299">
        <f>_xlfn.IFNA(VLOOKUP(B53,Worksheet!$C$3:$G$46,5,FALSE),F53)</f>
        <v>2</v>
      </c>
      <c r="G53" s="205" t="s">
        <v>83</v>
      </c>
    </row>
    <row r="54" spans="1:7" ht="45" customHeight="1" x14ac:dyDescent="0.25">
      <c r="A54" s="224"/>
      <c r="B54" s="236">
        <v>1214</v>
      </c>
      <c r="C54" s="262" t="s">
        <v>3846</v>
      </c>
      <c r="D54" s="299">
        <f>_xlfn.IFNA(VLOOKUP(B54,Worksheet!$C$3:$G$46,3,FALSE),D54)</f>
        <v>57</v>
      </c>
      <c r="E54" s="299">
        <f>_xlfn.IFNA(VLOOKUP(B54,Worksheet!$C$3:$G$46,4,FALSE),E54)</f>
        <v>53</v>
      </c>
      <c r="F54" s="299">
        <f>_xlfn.IFNA(VLOOKUP(B54,Worksheet!$C$3:$G$46,5,FALSE),F54)</f>
        <v>36</v>
      </c>
      <c r="G54" s="205" t="s">
        <v>83</v>
      </c>
    </row>
    <row r="55" spans="1:7" ht="45" customHeight="1" x14ac:dyDescent="0.25">
      <c r="A55" s="224"/>
      <c r="B55" s="236">
        <v>1215</v>
      </c>
      <c r="C55" s="240" t="s">
        <v>3847</v>
      </c>
      <c r="D55" s="299">
        <f>_xlfn.IFNA(VLOOKUP(B55,Worksheet!$C$3:$G$46,3,FALSE),D55)</f>
        <v>2</v>
      </c>
      <c r="E55" s="299">
        <f>_xlfn.IFNA(VLOOKUP(B55,Worksheet!$C$3:$G$46,4,FALSE),E55)</f>
        <v>2</v>
      </c>
      <c r="F55" s="299">
        <f>_xlfn.IFNA(VLOOKUP(B55,Worksheet!$C$3:$G$46,5,FALSE),F55)</f>
        <v>1</v>
      </c>
      <c r="G55" s="205" t="s">
        <v>83</v>
      </c>
    </row>
    <row r="56" spans="1:7" ht="45" customHeight="1" x14ac:dyDescent="0.25">
      <c r="A56" s="224"/>
      <c r="B56" s="236">
        <v>1216</v>
      </c>
      <c r="C56" s="241" t="s">
        <v>3848</v>
      </c>
      <c r="D56" s="299">
        <f>_xlfn.IFNA(VLOOKUP(B56,Worksheet!$C$3:$G$46,3,FALSE),D56)</f>
        <v>27</v>
      </c>
      <c r="E56" s="299">
        <f>_xlfn.IFNA(VLOOKUP(B56,Worksheet!$C$3:$G$46,4,FALSE),E56)</f>
        <v>42</v>
      </c>
      <c r="F56" s="299">
        <f>_xlfn.IFNA(VLOOKUP(B56,Worksheet!$C$3:$G$46,5,FALSE),F56)</f>
        <v>19</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3851</v>
      </c>
      <c r="D59" s="299">
        <f>_xlfn.IFNA(VLOOKUP(B59,Worksheet!$C$3:$G$46,3,FALSE),D59)</f>
        <v>57</v>
      </c>
      <c r="E59" s="299">
        <f>_xlfn.IFNA(VLOOKUP(B59,Worksheet!$C$3:$G$46,4,FALSE),E59)</f>
        <v>53</v>
      </c>
      <c r="F59" s="299">
        <f>_xlfn.IFNA(VLOOKUP(B59,Worksheet!$C$3:$G$46,5,FALSE),F59)</f>
        <v>36</v>
      </c>
      <c r="G59" s="205" t="s">
        <v>83</v>
      </c>
    </row>
    <row r="60" spans="1:7" ht="45" customHeight="1" x14ac:dyDescent="0.25">
      <c r="A60" s="224"/>
      <c r="B60" s="236">
        <v>1222</v>
      </c>
      <c r="C60" s="262" t="s">
        <v>3852</v>
      </c>
      <c r="D60" s="299">
        <f>_xlfn.IFNA(VLOOKUP(B60,Worksheet!$C$3:$G$46,3,FALSE),D60)</f>
        <v>27</v>
      </c>
      <c r="E60" s="299">
        <f>_xlfn.IFNA(VLOOKUP(B60,Worksheet!$C$3:$G$46,4,FALSE),E60)</f>
        <v>42</v>
      </c>
      <c r="F60" s="299">
        <f>_xlfn.IFNA(VLOOKUP(B60,Worksheet!$C$3:$G$46,5,FALSE),F60)</f>
        <v>19</v>
      </c>
      <c r="G60" s="205" t="s">
        <v>83</v>
      </c>
    </row>
    <row r="61" spans="1:7" ht="45" customHeight="1" x14ac:dyDescent="0.25">
      <c r="A61" s="224"/>
      <c r="B61" s="236">
        <v>1223</v>
      </c>
      <c r="C61" s="262" t="s">
        <v>3853</v>
      </c>
      <c r="D61" s="299">
        <f>_xlfn.IFNA(VLOOKUP(B61,Worksheet!$C$3:$G$46,3,FALSE),D61)</f>
        <v>27</v>
      </c>
      <c r="E61" s="299">
        <f>_xlfn.IFNA(VLOOKUP(B61,Worksheet!$C$3:$G$46,4,FALSE),E61)</f>
        <v>42</v>
      </c>
      <c r="F61" s="299">
        <f>_xlfn.IFNA(VLOOKUP(B61,Worksheet!$C$3:$G$46,5,FALSE),F61)</f>
        <v>19</v>
      </c>
      <c r="G61" s="205" t="s">
        <v>83</v>
      </c>
    </row>
    <row r="62" spans="1:7" ht="54.6"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27</v>
      </c>
      <c r="E67" s="299">
        <f>_xlfn.IFNA(VLOOKUP(B67,Worksheet!$C$3:$G$46,4,FALSE),E67)</f>
        <v>42</v>
      </c>
      <c r="F67" s="299">
        <f>_xlfn.IFNA(VLOOKUP(B67,Worksheet!$C$3:$G$46,5,FALSE),F67)</f>
        <v>19</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57</v>
      </c>
      <c r="E73" s="299">
        <f>_xlfn.IFNA(VLOOKUP(B73,Worksheet!$C$3:$G$46,4,FALSE),E73)</f>
        <v>53</v>
      </c>
      <c r="F73" s="299">
        <f>_xlfn.IFNA(VLOOKUP(B73,Worksheet!$C$3:$G$46,5,FALSE),F73)</f>
        <v>36</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27</v>
      </c>
      <c r="E75" s="299">
        <f>_xlfn.IFNA(VLOOKUP(B75,Worksheet!$C$3:$G$46,4,FALSE),E75)</f>
        <v>42</v>
      </c>
      <c r="F75" s="299">
        <f>_xlfn.IFNA(VLOOKUP(B75,Worksheet!$C$3:$G$46,5,FALSE),F75)</f>
        <v>19</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_xlfn.IFNA(VLOOKUP(B79,Worksheet!$C$3:$G$46,3,FALSE),D79)</f>
        <v>56</v>
      </c>
      <c r="E79" s="299">
        <f>_xlfn.IFNA(VLOOKUP(B79,Worksheet!$C$3:$G$46,4,FALSE),E79)</f>
        <v>53</v>
      </c>
      <c r="F79" s="299">
        <f ca="1">_xlfn.IFNA(VLOOKUP(B79,Worksheet!$C$3:$G$46,5,FALSE),F79)</f>
        <v>0</v>
      </c>
      <c r="G79" s="205" t="s">
        <v>83</v>
      </c>
    </row>
    <row r="80" spans="1:7" ht="45"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27</v>
      </c>
      <c r="E81" s="263">
        <f t="shared" ref="E81:F81" si="4">E82</f>
        <v>42</v>
      </c>
      <c r="F81" s="263">
        <f t="shared" si="4"/>
        <v>19</v>
      </c>
      <c r="G81" s="205"/>
    </row>
    <row r="82" spans="1:7" ht="45" customHeight="1" x14ac:dyDescent="0.25">
      <c r="A82" s="224"/>
      <c r="B82" s="236">
        <v>1252</v>
      </c>
      <c r="C82" s="240" t="s">
        <v>3873</v>
      </c>
      <c r="D82" s="299">
        <f>_xlfn.IFNA(VLOOKUP(B82,Worksheet!$C$3:$G$46,3,FALSE),D82)</f>
        <v>27</v>
      </c>
      <c r="E82" s="299">
        <f>_xlfn.IFNA(VLOOKUP(B82,Worksheet!$C$3:$G$46,4,FALSE),E82)</f>
        <v>42</v>
      </c>
      <c r="F82" s="299">
        <f>_xlfn.IFNA(VLOOKUP(B82,Worksheet!$C$3:$G$46,5,FALSE),F82)</f>
        <v>19</v>
      </c>
      <c r="G82" s="205" t="s">
        <v>83</v>
      </c>
    </row>
    <row r="83" spans="1:7" ht="45" customHeight="1" x14ac:dyDescent="0.25">
      <c r="A83" s="224"/>
      <c r="B83" s="236">
        <v>1253</v>
      </c>
      <c r="C83" s="240" t="s">
        <v>3874</v>
      </c>
      <c r="D83" s="299">
        <f>_xlfn.IFNA(VLOOKUP(B83,Worksheet!$C$3:$G$46,3,FALSE),D83)</f>
        <v>56</v>
      </c>
      <c r="E83" s="299">
        <f>_xlfn.IFNA(VLOOKUP(B83,Worksheet!$C$3:$G$46,4,FALSE),E83)</f>
        <v>53</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kMEMU+8D+N3W2B881GTEyZ4XPknlJP1WU5CMHpuJaAkSToukP4AQrCvrOMIuG6DJPipHAjlu4j5A2NLyb12/gw==" saltValue="ts6bB4amhfjb4vJcMs+jkw=="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2017-02-22T10:44:27Z</dcterms:modified>
</cp:coreProperties>
</file>