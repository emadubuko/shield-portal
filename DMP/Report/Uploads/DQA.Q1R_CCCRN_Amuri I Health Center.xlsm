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ser\Documents\SERS PROJECT\SHIELD\20170220\"/>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6" i="11"/>
  <c r="F46" i="10"/>
  <c r="S12" i="12"/>
  <c r="F49" i="10"/>
  <c r="D51" i="10"/>
  <c r="D52" i="10"/>
  <c r="D53" i="10"/>
  <c r="E53" i="10"/>
  <c r="F53" i="10"/>
  <c r="D54" i="10"/>
  <c r="E54" i="10"/>
  <c r="F54" i="10"/>
  <c r="D59" i="10"/>
  <c r="E59" i="10"/>
  <c r="F59" i="10"/>
  <c r="F58" i="10"/>
  <c r="E58" i="10"/>
  <c r="D58" i="10"/>
  <c r="D57" i="10"/>
  <c r="D14" i="12"/>
  <c r="F57" i="10"/>
  <c r="N14" i="12"/>
  <c r="E57" i="10"/>
  <c r="I14" i="12"/>
  <c r="D60" i="10"/>
  <c r="D61" i="10"/>
  <c r="D55" i="10"/>
  <c r="E55" i="10"/>
  <c r="F55" i="10"/>
  <c r="D56" i="10"/>
  <c r="D12" i="12"/>
  <c r="E56" i="10"/>
  <c r="I12" i="12"/>
  <c r="F56" i="10"/>
  <c r="N12" i="12"/>
  <c r="E61" i="10"/>
  <c r="E60" i="10"/>
  <c r="F61" i="10"/>
  <c r="F60" i="10"/>
  <c r="D62" i="10"/>
  <c r="D63" i="10"/>
  <c r="D67" i="10"/>
  <c r="D68" i="10"/>
  <c r="E67" i="10"/>
  <c r="F67" i="10"/>
  <c r="D71" i="10"/>
  <c r="D73" i="10"/>
  <c r="D74" i="10"/>
  <c r="D75" i="10"/>
  <c r="E73" i="10"/>
  <c r="F73" i="10"/>
  <c r="E75" i="10"/>
  <c r="F75" i="10"/>
  <c r="D77" i="10"/>
  <c r="D79" i="10"/>
  <c r="E79" i="10"/>
  <c r="F79" i="10"/>
  <c r="D80" i="10"/>
  <c r="D83" i="10"/>
  <c r="D82" i="10"/>
  <c r="D81" i="10"/>
  <c r="H12" i="12"/>
  <c r="E82" i="10"/>
  <c r="E81" i="10"/>
  <c r="F82" i="10"/>
  <c r="F81" i="10"/>
  <c r="F6" i="10"/>
  <c r="F2" i="10"/>
  <c r="S8" i="12"/>
  <c r="F4" i="10"/>
  <c r="S10" i="12"/>
  <c r="D8" i="10"/>
  <c r="D9" i="10"/>
  <c r="D11" i="10"/>
  <c r="E11" i="10"/>
  <c r="F11" i="10"/>
  <c r="F12" i="10"/>
  <c r="E12" i="10"/>
  <c r="D12" i="10"/>
  <c r="D16" i="10"/>
  <c r="F18" i="10"/>
  <c r="F32" i="10"/>
  <c r="F16" i="10"/>
  <c r="F17" i="10"/>
  <c r="E18" i="10"/>
  <c r="E32" i="10"/>
  <c r="E16" i="10"/>
  <c r="E17" i="10"/>
  <c r="D18" i="10"/>
  <c r="D32" i="10"/>
  <c r="D17" i="10"/>
  <c r="D19" i="10"/>
  <c r="D20" i="10"/>
  <c r="D21" i="10"/>
  <c r="E10" i="12"/>
  <c r="D24" i="10"/>
  <c r="E24" i="10"/>
  <c r="F24" i="10"/>
  <c r="D25" i="10"/>
  <c r="E25" i="10"/>
  <c r="F25" i="10"/>
  <c r="D26" i="10"/>
  <c r="E26" i="10"/>
  <c r="F26" i="10"/>
  <c r="D27" i="10"/>
  <c r="D28" i="10"/>
  <c r="E28" i="10"/>
  <c r="F28" i="10"/>
  <c r="D30" i="10"/>
  <c r="D33" i="10"/>
  <c r="E33" i="10"/>
  <c r="F33" i="10"/>
  <c r="D34" i="10"/>
  <c r="D35" i="10"/>
  <c r="G10" i="12"/>
  <c r="D38" i="10"/>
  <c r="D36" i="10"/>
  <c r="H10" i="12"/>
  <c r="M10" i="12"/>
  <c r="R10" i="12"/>
  <c r="D41" i="10"/>
  <c r="D40" i="10"/>
  <c r="D39" i="10"/>
  <c r="D182" i="10"/>
  <c r="D183" i="10"/>
  <c r="D184" i="10"/>
  <c r="D185" i="10"/>
  <c r="D187" i="10"/>
  <c r="D188" i="10"/>
  <c r="D189" i="10"/>
  <c r="D186" i="10"/>
  <c r="G18" i="12"/>
  <c r="D197" i="10"/>
  <c r="D200" i="10"/>
  <c r="H18" i="12"/>
  <c r="E182" i="10"/>
  <c r="E183" i="10"/>
  <c r="E184" i="10"/>
  <c r="E185" i="10"/>
  <c r="E181" i="10"/>
  <c r="K18" i="12"/>
  <c r="E187" i="10"/>
  <c r="E188" i="10"/>
  <c r="E189" i="10"/>
  <c r="E186" i="10"/>
  <c r="L18" i="12"/>
  <c r="E197" i="10"/>
  <c r="E200" i="10"/>
  <c r="M18" i="12"/>
  <c r="F182" i="10"/>
  <c r="F183" i="10"/>
  <c r="F184" i="10"/>
  <c r="F185" i="10"/>
  <c r="F181" i="10"/>
  <c r="P18" i="12"/>
  <c r="F187" i="10"/>
  <c r="F188" i="10"/>
  <c r="F189" i="10"/>
  <c r="F186" i="10"/>
  <c r="Q18" i="12"/>
  <c r="F197" i="10"/>
  <c r="F200" i="10"/>
  <c r="R18" i="12"/>
  <c r="S18" i="12"/>
  <c r="D181" i="10"/>
  <c r="F18" i="12"/>
  <c r="T18" i="12"/>
  <c r="D192" i="10"/>
  <c r="D191" i="10"/>
  <c r="D190" i="10"/>
  <c r="E192" i="10"/>
  <c r="E191" i="10"/>
  <c r="E190" i="10"/>
  <c r="F192" i="10"/>
  <c r="F191" i="10"/>
  <c r="F190" i="10"/>
  <c r="D195" i="10"/>
  <c r="D194" i="10"/>
  <c r="D193" i="10"/>
  <c r="E195" i="10"/>
  <c r="E194" i="10"/>
  <c r="E193" i="10"/>
  <c r="F195" i="10"/>
  <c r="F194" i="10"/>
  <c r="F193" i="10"/>
  <c r="D198" i="10"/>
  <c r="E198" i="10"/>
  <c r="F198" i="10"/>
  <c r="D201" i="10"/>
  <c r="E201" i="10"/>
  <c r="F201" i="10"/>
  <c r="F176" i="10"/>
  <c r="F177" i="10"/>
  <c r="F178" i="10"/>
  <c r="F179" i="10"/>
  <c r="F175" i="10"/>
  <c r="O18" i="12"/>
  <c r="E176" i="10"/>
  <c r="E177" i="10"/>
  <c r="E178" i="10"/>
  <c r="E179" i="10"/>
  <c r="E175" i="10"/>
  <c r="J18" i="12"/>
  <c r="D176" i="10"/>
  <c r="D177" i="10"/>
  <c r="D178" i="10"/>
  <c r="D179" i="10"/>
  <c r="D175" i="10"/>
  <c r="E18" i="12"/>
  <c r="D169" i="10"/>
  <c r="E169" i="10"/>
  <c r="F169" i="10"/>
  <c r="D172" i="10"/>
  <c r="D173" i="10"/>
  <c r="D174" i="10"/>
  <c r="D171" i="10"/>
  <c r="D18" i="12"/>
  <c r="E172" i="10"/>
  <c r="E173" i="10"/>
  <c r="E174" i="10"/>
  <c r="E171" i="10"/>
  <c r="I18" i="12"/>
  <c r="F172" i="10"/>
  <c r="F173" i="10"/>
  <c r="F174" i="10"/>
  <c r="F171" i="10"/>
  <c r="N18" i="12"/>
  <c r="F170" i="10"/>
  <c r="E170" i="10"/>
  <c r="D170" i="10"/>
  <c r="F166" i="10"/>
  <c r="F167" i="10"/>
  <c r="D122" i="10"/>
  <c r="E122" i="10"/>
  <c r="F122" i="10"/>
  <c r="D123" i="10"/>
  <c r="E123" i="10"/>
  <c r="F123" i="10"/>
  <c r="F135" i="10"/>
  <c r="D136" i="10"/>
  <c r="E136" i="10"/>
  <c r="F136" i="10"/>
  <c r="F138" i="10"/>
  <c r="D139" i="10"/>
  <c r="E139" i="10"/>
  <c r="F139" i="10"/>
  <c r="D124" i="10"/>
  <c r="D121" i="10"/>
  <c r="E15" i="12"/>
  <c r="D127" i="10"/>
  <c r="D128" i="10"/>
  <c r="D129" i="10"/>
  <c r="D130" i="10"/>
  <c r="D126" i="10"/>
  <c r="F15" i="12"/>
  <c r="D120" i="10"/>
  <c r="D132" i="10"/>
  <c r="D133" i="10"/>
  <c r="D131" i="10"/>
  <c r="G15" i="12"/>
  <c r="D138" i="10"/>
  <c r="D135" i="10"/>
  <c r="H15" i="12"/>
  <c r="E119" i="10"/>
  <c r="I15" i="12"/>
  <c r="E124" i="10"/>
  <c r="E121" i="10"/>
  <c r="J15" i="12"/>
  <c r="E127" i="10"/>
  <c r="E128" i="10"/>
  <c r="E129" i="10"/>
  <c r="E130" i="10"/>
  <c r="E126" i="10"/>
  <c r="K15" i="12"/>
  <c r="E120" i="10"/>
  <c r="E132" i="10"/>
  <c r="E133" i="10"/>
  <c r="E131" i="10"/>
  <c r="L15" i="12"/>
  <c r="E138" i="10"/>
  <c r="E135" i="10"/>
  <c r="M15" i="12"/>
  <c r="F119" i="10"/>
  <c r="N15" i="12"/>
  <c r="F124" i="10"/>
  <c r="F121" i="10"/>
  <c r="O15" i="12"/>
  <c r="F127" i="10"/>
  <c r="F128" i="10"/>
  <c r="F129" i="10"/>
  <c r="F130" i="10"/>
  <c r="F126" i="10"/>
  <c r="P15" i="12"/>
  <c r="F120" i="10"/>
  <c r="F132" i="10"/>
  <c r="F133" i="10"/>
  <c r="Q15" i="12"/>
  <c r="F131" i="10"/>
  <c r="R15" i="12"/>
  <c r="F117" i="10"/>
  <c r="S15" i="12"/>
  <c r="D119" i="10"/>
  <c r="D15" i="12"/>
  <c r="T15" i="12"/>
  <c r="R8" i="12"/>
  <c r="M8" i="12"/>
  <c r="D37" i="10"/>
  <c r="H8" i="12"/>
  <c r="P8" i="12"/>
  <c r="K8" i="12"/>
  <c r="F8" i="12"/>
  <c r="Q8" i="12"/>
  <c r="O8" i="12"/>
  <c r="N8" i="12"/>
  <c r="L8" i="12"/>
  <c r="J8" i="12"/>
  <c r="I8" i="12"/>
  <c r="D31" i="10"/>
  <c r="G8" i="12"/>
  <c r="D13" i="10"/>
  <c r="D15" i="10"/>
  <c r="E8" i="12"/>
  <c r="D8" i="12"/>
  <c r="T8" i="12"/>
  <c r="F42" i="10"/>
  <c r="F43" i="10"/>
  <c r="F44" i="10"/>
  <c r="E42" i="10"/>
  <c r="E43" i="10"/>
  <c r="E44" i="10"/>
  <c r="D42" i="10"/>
  <c r="D43" i="10"/>
  <c r="D44" i="10"/>
  <c r="F40" i="10"/>
  <c r="F39" i="10"/>
  <c r="F41" i="10"/>
  <c r="E40" i="10"/>
  <c r="E39" i="10"/>
  <c r="E41" i="10"/>
  <c r="F37" i="10"/>
  <c r="F36" i="10"/>
  <c r="F38" i="10"/>
  <c r="E37" i="10"/>
  <c r="E36" i="10"/>
  <c r="E38" i="10"/>
  <c r="F9" i="10"/>
  <c r="E9" i="10"/>
  <c r="F8" i="10"/>
  <c r="E8" i="10"/>
  <c r="T11" i="12"/>
  <c r="F11" i="12"/>
  <c r="S11" i="12"/>
  <c r="F5" i="10"/>
  <c r="P11" i="12"/>
  <c r="K11" i="12"/>
  <c r="T10" i="12"/>
  <c r="D10" i="10"/>
  <c r="D10" i="12"/>
  <c r="D14" i="10"/>
  <c r="F34" i="10"/>
  <c r="F31" i="10"/>
  <c r="Q10" i="12"/>
  <c r="F27" i="10"/>
  <c r="F23" i="10"/>
  <c r="P10" i="12"/>
  <c r="F19" i="10"/>
  <c r="F13" i="10"/>
  <c r="F15" i="10"/>
  <c r="O10" i="12"/>
  <c r="F14" i="10"/>
  <c r="F10" i="10"/>
  <c r="N10" i="12"/>
  <c r="E34" i="10"/>
  <c r="E31" i="10"/>
  <c r="L10" i="12"/>
  <c r="E27" i="10"/>
  <c r="E23" i="10"/>
  <c r="K10" i="12"/>
  <c r="E19" i="10"/>
  <c r="E13" i="10"/>
  <c r="E15" i="10"/>
  <c r="J10" i="12"/>
  <c r="E14" i="10"/>
  <c r="E10" i="10"/>
  <c r="I10" i="12"/>
  <c r="D23" i="10"/>
  <c r="F10" i="12"/>
  <c r="T9" i="12"/>
  <c r="D29" i="10"/>
  <c r="F9" i="12"/>
  <c r="S9" i="12"/>
  <c r="F3" i="10"/>
  <c r="F29" i="10"/>
  <c r="P9" i="12"/>
  <c r="E29" i="10"/>
  <c r="K9" i="12"/>
  <c r="F30" i="10"/>
  <c r="E30" i="10"/>
  <c r="F35" i="10"/>
  <c r="F21" i="10"/>
  <c r="F20" i="10"/>
  <c r="E35" i="10"/>
  <c r="E21" i="10"/>
  <c r="E20" i="10"/>
  <c r="F109" i="10"/>
  <c r="E109" i="10"/>
  <c r="D109" i="10"/>
  <c r="F96" i="10"/>
  <c r="E96" i="10"/>
  <c r="D96" i="10"/>
  <c r="F95" i="10"/>
  <c r="E95" i="10"/>
  <c r="D95" i="10"/>
  <c r="T16" i="12"/>
  <c r="D16" i="12"/>
  <c r="D93" i="10"/>
  <c r="S16" i="12"/>
  <c r="F91" i="10"/>
  <c r="R16" i="12"/>
  <c r="F115" i="10"/>
  <c r="F112" i="10"/>
  <c r="Q16" i="12"/>
  <c r="F106" i="10"/>
  <c r="F108" i="10"/>
  <c r="F107" i="10"/>
  <c r="F94" i="10"/>
  <c r="P16" i="12"/>
  <c r="F101" i="10"/>
  <c r="F105" i="10"/>
  <c r="F104" i="10"/>
  <c r="F103" i="10"/>
  <c r="F102" i="10"/>
  <c r="O16" i="12"/>
  <c r="F97" i="10"/>
  <c r="F100" i="10"/>
  <c r="F99" i="10"/>
  <c r="F98" i="10"/>
  <c r="N16" i="12"/>
  <c r="F93" i="10"/>
  <c r="M16" i="12"/>
  <c r="E115" i="10"/>
  <c r="E112" i="10"/>
  <c r="L16" i="12"/>
  <c r="E106" i="10"/>
  <c r="E108" i="10"/>
  <c r="E107" i="10"/>
  <c r="E94" i="10"/>
  <c r="K16" i="12"/>
  <c r="E101" i="10"/>
  <c r="E105" i="10"/>
  <c r="E104" i="10"/>
  <c r="E103" i="10"/>
  <c r="E102" i="10"/>
  <c r="J16" i="12"/>
  <c r="E97" i="10"/>
  <c r="E100" i="10"/>
  <c r="E99" i="10"/>
  <c r="E98" i="10"/>
  <c r="I16" i="12"/>
  <c r="E93" i="10"/>
  <c r="H16" i="12"/>
  <c r="D115" i="10"/>
  <c r="D112" i="10"/>
  <c r="G16" i="12"/>
  <c r="D106" i="10"/>
  <c r="D108" i="10"/>
  <c r="D107" i="10"/>
  <c r="D94" i="10"/>
  <c r="F16" i="12"/>
  <c r="D101" i="10"/>
  <c r="D105" i="10"/>
  <c r="D104" i="10"/>
  <c r="D103" i="10"/>
  <c r="D102" i="10"/>
  <c r="E16" i="12"/>
  <c r="D97" i="10"/>
  <c r="D100" i="10"/>
  <c r="D99" i="10"/>
  <c r="D98" i="10"/>
  <c r="F113" i="10"/>
  <c r="F114" i="10"/>
  <c r="E113" i="10"/>
  <c r="E114" i="10"/>
  <c r="D113" i="10"/>
  <c r="D114" i="10"/>
  <c r="F111" i="10"/>
  <c r="F110" i="10"/>
  <c r="E111" i="10"/>
  <c r="E110" i="10"/>
  <c r="D111" i="10"/>
  <c r="D110" i="10"/>
  <c r="D151" i="10"/>
  <c r="D152" i="10"/>
  <c r="D153" i="10"/>
  <c r="D154" i="10"/>
  <c r="D158" i="10"/>
  <c r="E158" i="10"/>
  <c r="F158" i="10"/>
  <c r="D161" i="10"/>
  <c r="E161" i="10"/>
  <c r="F161" i="10"/>
  <c r="D164" i="10"/>
  <c r="E164" i="10"/>
  <c r="F164" i="10"/>
  <c r="T17" i="12"/>
  <c r="D17" i="12"/>
  <c r="S17" i="12"/>
  <c r="R17" i="12"/>
  <c r="F160" i="10"/>
  <c r="F163" i="10"/>
  <c r="Q17" i="12"/>
  <c r="F155" i="10"/>
  <c r="F157" i="10"/>
  <c r="F156" i="10"/>
  <c r="P17" i="12"/>
  <c r="F151" i="10"/>
  <c r="F154" i="10"/>
  <c r="F153" i="10"/>
  <c r="F152" i="10"/>
  <c r="O17" i="12"/>
  <c r="F147" i="10"/>
  <c r="F150" i="10"/>
  <c r="F149" i="10"/>
  <c r="F148" i="10"/>
  <c r="N17" i="12"/>
  <c r="F144" i="10"/>
  <c r="F146" i="10"/>
  <c r="F145" i="10"/>
  <c r="M17" i="12"/>
  <c r="E160" i="10"/>
  <c r="E163" i="10"/>
  <c r="L17" i="12"/>
  <c r="E155" i="10"/>
  <c r="E157" i="10"/>
  <c r="E156" i="10"/>
  <c r="K17" i="12"/>
  <c r="E151" i="10"/>
  <c r="E154" i="10"/>
  <c r="E153" i="10"/>
  <c r="E152" i="10"/>
  <c r="J17" i="12"/>
  <c r="E147" i="10"/>
  <c r="E150" i="10"/>
  <c r="E149" i="10"/>
  <c r="E148" i="10"/>
  <c r="I17" i="12"/>
  <c r="E144" i="10"/>
  <c r="E146" i="10"/>
  <c r="E145" i="10"/>
  <c r="H17" i="12"/>
  <c r="D160" i="10"/>
  <c r="D163" i="10"/>
  <c r="G17" i="12"/>
  <c r="D155" i="10"/>
  <c r="D157" i="10"/>
  <c r="D156" i="10"/>
  <c r="D144" i="10"/>
  <c r="F17" i="12"/>
  <c r="E17" i="12"/>
  <c r="D147" i="10"/>
  <c r="D150" i="10"/>
  <c r="D149" i="10"/>
  <c r="D148" i="10"/>
  <c r="D146" i="10"/>
  <c r="D145" i="10"/>
  <c r="F141" i="10"/>
  <c r="F142" i="10"/>
  <c r="E52" i="10"/>
  <c r="F9" i="11"/>
  <c r="F52" i="10"/>
  <c r="G9" i="11"/>
  <c r="F51" i="10"/>
  <c r="G8" i="11"/>
  <c r="E51" i="10"/>
  <c r="F8" i="11"/>
  <c r="T12" i="12"/>
  <c r="E12" i="12"/>
  <c r="Q12" i="12"/>
  <c r="F77" i="10"/>
  <c r="G34" i="11"/>
  <c r="P12" i="12"/>
  <c r="F68" i="10"/>
  <c r="G25" i="11"/>
  <c r="O12" i="12"/>
  <c r="F62" i="10"/>
  <c r="G19" i="11"/>
  <c r="F71" i="10"/>
  <c r="G28" i="11"/>
  <c r="F70" i="10"/>
  <c r="G27" i="11"/>
  <c r="F69" i="10"/>
  <c r="G26" i="11"/>
  <c r="F65" i="10"/>
  <c r="G22" i="11"/>
  <c r="F64" i="10"/>
  <c r="G21" i="11"/>
  <c r="F63" i="10"/>
  <c r="G20" i="11"/>
  <c r="L12" i="12"/>
  <c r="E77" i="10"/>
  <c r="F34" i="11"/>
  <c r="K12" i="12"/>
  <c r="E68" i="10"/>
  <c r="F25" i="11"/>
  <c r="J12" i="12"/>
  <c r="E62" i="10"/>
  <c r="F19" i="11"/>
  <c r="E71" i="10"/>
  <c r="F28" i="11"/>
  <c r="E65" i="10"/>
  <c r="F22" i="11"/>
  <c r="E63" i="10"/>
  <c r="F20" i="11"/>
  <c r="F12" i="12"/>
  <c r="T14" i="12"/>
  <c r="E21" i="11"/>
  <c r="D64" i="10"/>
  <c r="E14" i="12"/>
  <c r="S14" i="12"/>
  <c r="F48" i="10"/>
  <c r="G5" i="11"/>
  <c r="R14" i="12"/>
  <c r="F88" i="10"/>
  <c r="G42" i="11"/>
  <c r="F89" i="10"/>
  <c r="G43" i="11"/>
  <c r="G31" i="11"/>
  <c r="F74" i="10"/>
  <c r="Q14" i="12"/>
  <c r="F80" i="10"/>
  <c r="G37" i="11"/>
  <c r="F78" i="10"/>
  <c r="G35" i="11"/>
  <c r="P14" i="12"/>
  <c r="F76" i="10"/>
  <c r="G33" i="11"/>
  <c r="O14" i="12"/>
  <c r="M14" i="12"/>
  <c r="E88" i="10"/>
  <c r="F42" i="11"/>
  <c r="E89" i="10"/>
  <c r="F43" i="11"/>
  <c r="F31" i="11"/>
  <c r="E74" i="10"/>
  <c r="L14" i="12"/>
  <c r="E80" i="10"/>
  <c r="F37" i="11"/>
  <c r="E78" i="10"/>
  <c r="F35" i="11"/>
  <c r="E76" i="10"/>
  <c r="F33" i="11"/>
  <c r="K14" i="12"/>
  <c r="E69" i="10"/>
  <c r="F26" i="11"/>
  <c r="E70" i="10"/>
  <c r="F27" i="11"/>
  <c r="F21" i="11"/>
  <c r="E64" i="10"/>
  <c r="J14" i="12"/>
  <c r="H14" i="12"/>
  <c r="D88" i="10"/>
  <c r="E42" i="11"/>
  <c r="D89" i="10"/>
  <c r="E43" i="11"/>
  <c r="G14" i="12"/>
  <c r="E26" i="11"/>
  <c r="D69" i="10"/>
  <c r="F14" i="12"/>
  <c r="T13" i="12"/>
  <c r="F13" i="12"/>
  <c r="D72" i="10"/>
  <c r="E29" i="11"/>
  <c r="S13" i="12"/>
  <c r="F47" i="10"/>
  <c r="G4" i="11"/>
  <c r="R13" i="12"/>
  <c r="F85" i="10"/>
  <c r="G40" i="11"/>
  <c r="F86" i="10"/>
  <c r="G41" i="11"/>
  <c r="P13" i="12"/>
  <c r="F72" i="10"/>
  <c r="G29" i="11"/>
  <c r="M13" i="12"/>
  <c r="E85" i="10"/>
  <c r="F40" i="11"/>
  <c r="E86" i="10"/>
  <c r="F41" i="11"/>
  <c r="K13" i="12"/>
  <c r="E72" i="10"/>
  <c r="F29" i="11"/>
  <c r="H13" i="12"/>
  <c r="D85" i="10"/>
  <c r="E40" i="11"/>
  <c r="D86" i="10"/>
  <c r="E41" i="11"/>
  <c r="R12" i="12"/>
  <c r="F83" i="10"/>
  <c r="G39" i="11"/>
  <c r="M12" i="12"/>
  <c r="E83" i="10"/>
  <c r="F39" i="11"/>
  <c r="E33" i="11"/>
  <c r="D76" i="10"/>
  <c r="G12" i="12"/>
  <c r="D78" i="10"/>
  <c r="E35" i="11"/>
  <c r="D70" i="10"/>
  <c r="E27" i="11"/>
  <c r="D65" i="10"/>
  <c r="E22" i="11"/>
</calcChain>
</file>

<file path=xl/sharedStrings.xml><?xml version="1.0" encoding="utf-8"?>
<sst xmlns="http://schemas.openxmlformats.org/spreadsheetml/2006/main" count="27101" uniqueCount="4025">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</sst>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0.25</c:v>
                </c:pt>
                <c:pt idx="1">
                  <c:v>4.9107142857142856</c:v>
                </c:pt>
                <c:pt idx="2">
                  <c:v>0</c:v>
                </c:pt>
                <c:pt idx="3">
                  <c:v>6.625</c:v>
                </c:pt>
                <c:pt idx="4">
                  <c:v>8</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0.25</c:v>
                </c:pt>
                <c:pt idx="1">
                  <c:v>0</c:v>
                </c:pt>
                <c:pt idx="2">
                  <c:v>0</c:v>
                </c:pt>
                <c:pt idx="3">
                  <c:v>0</c:v>
                </c:pt>
                <c:pt idx="4">
                  <c:v>9.8888888888888893</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0.1875</c:v>
                </c:pt>
                <c:pt idx="1">
                  <c:v>0</c:v>
                </c:pt>
                <c:pt idx="2">
                  <c:v>0</c:v>
                </c:pt>
                <c:pt idx="3">
                  <c:v>0</c:v>
                </c:pt>
                <c:pt idx="4">
                  <c:v>6</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596031312"/>
        <c:axId val="596031704"/>
      </c:radarChart>
      <c:catAx>
        <c:axId val="596031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96031704"/>
        <c:crosses val="autoZero"/>
        <c:auto val="1"/>
        <c:lblAlgn val="ctr"/>
        <c:lblOffset val="100"/>
        <c:noMultiLvlLbl val="0"/>
      </c:catAx>
      <c:valAx>
        <c:axId val="5960317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603131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26" t="s">
        <v>62</v>
      </c>
      <c r="B1" s="327"/>
      <c r="C1" s="327"/>
      <c r="D1" s="327"/>
      <c r="E1" s="327"/>
      <c r="F1" s="327"/>
      <c r="G1" s="327"/>
      <c r="H1" s="327"/>
      <c r="I1" s="327"/>
      <c r="J1" s="327"/>
      <c r="K1" s="327"/>
      <c r="L1" s="327"/>
      <c r="M1" s="327"/>
      <c r="N1" s="327"/>
      <c r="O1" s="327"/>
      <c r="P1" s="327"/>
      <c r="Q1" s="327"/>
      <c r="R1" s="327"/>
      <c r="S1" s="327"/>
      <c r="T1" s="328"/>
    </row>
    <row r="2" spans="1:20" ht="24" thickBot="1" x14ac:dyDescent="0.4">
      <c r="A2" s="315" t="s">
        <v>95</v>
      </c>
      <c r="B2" s="316"/>
      <c r="C2" s="317"/>
      <c r="D2" s="318" t="str">
        <f>Worksheet!P2</f>
        <v>CCCRN</v>
      </c>
      <c r="E2" s="319"/>
      <c r="F2" s="319"/>
      <c r="G2" s="319"/>
      <c r="H2" s="319"/>
      <c r="I2" s="319"/>
      <c r="J2" s="320"/>
      <c r="K2" s="321" t="s">
        <v>4022</v>
      </c>
      <c r="L2" s="322"/>
      <c r="M2" s="322"/>
      <c r="N2" s="322"/>
      <c r="O2" s="323" t="str">
        <f>Worksheet!M18</f>
        <v>John Doe</v>
      </c>
      <c r="P2" s="324"/>
      <c r="Q2" s="324"/>
      <c r="R2" s="324"/>
      <c r="S2" s="324"/>
      <c r="T2" s="325"/>
    </row>
    <row r="3" spans="1:20" ht="24" thickBot="1" x14ac:dyDescent="0.4">
      <c r="A3" s="315" t="s">
        <v>94</v>
      </c>
      <c r="B3" s="316" t="s">
        <v>1</v>
      </c>
      <c r="C3" s="317"/>
      <c r="D3" s="318" t="str">
        <f>Worksheet!R2</f>
        <v>Enugu</v>
      </c>
      <c r="E3" s="319"/>
      <c r="F3" s="319"/>
      <c r="G3" s="319"/>
      <c r="H3" s="319"/>
      <c r="I3" s="319"/>
      <c r="J3" s="320"/>
      <c r="K3" s="321" t="s">
        <v>3969</v>
      </c>
      <c r="L3" s="322"/>
      <c r="M3" s="322"/>
      <c r="N3" s="322"/>
      <c r="O3" s="323" t="str">
        <f>Worksheet!W18</f>
        <v>10th Feb 2017</v>
      </c>
      <c r="P3" s="324"/>
      <c r="Q3" s="324"/>
      <c r="R3" s="324"/>
      <c r="S3" s="324"/>
      <c r="T3" s="325"/>
    </row>
    <row r="4" spans="1:20" ht="24" thickBot="1" x14ac:dyDescent="0.4">
      <c r="A4" s="315" t="s">
        <v>93</v>
      </c>
      <c r="B4" s="316"/>
      <c r="C4" s="317" t="s">
        <v>3</v>
      </c>
      <c r="D4" s="318" t="str">
        <f>Worksheet!T2</f>
        <v>en Nkanu West</v>
      </c>
      <c r="E4" s="319"/>
      <c r="F4" s="319"/>
      <c r="G4" s="319"/>
      <c r="H4" s="319"/>
      <c r="I4" s="319"/>
      <c r="J4" s="320"/>
      <c r="K4" s="321" t="s">
        <v>4023</v>
      </c>
      <c r="L4" s="322"/>
      <c r="M4" s="322"/>
      <c r="N4" s="322"/>
      <c r="O4" s="323" t="str">
        <f>Worksheet!M19</f>
        <v>Mary Doe</v>
      </c>
      <c r="P4" s="324"/>
      <c r="Q4" s="324"/>
      <c r="R4" s="324"/>
      <c r="S4" s="324"/>
      <c r="T4" s="325"/>
    </row>
    <row r="5" spans="1:20" ht="24" thickBot="1" x14ac:dyDescent="0.4">
      <c r="A5" s="315" t="s">
        <v>92</v>
      </c>
      <c r="B5" s="316"/>
      <c r="C5" s="317" t="s">
        <v>6</v>
      </c>
      <c r="D5" s="318" t="str">
        <f>Worksheet!V2</f>
        <v>Amurri 1 Health Center</v>
      </c>
      <c r="E5" s="319"/>
      <c r="F5" s="319"/>
      <c r="G5" s="319"/>
      <c r="H5" s="319"/>
      <c r="I5" s="319"/>
      <c r="J5" s="320"/>
      <c r="K5" s="321" t="s">
        <v>3969</v>
      </c>
      <c r="L5" s="322"/>
      <c r="M5" s="322"/>
      <c r="N5" s="322"/>
      <c r="O5" s="323">
        <f>Worksheet!W19</f>
        <v>0</v>
      </c>
      <c r="P5" s="324"/>
      <c r="Q5" s="324"/>
      <c r="R5" s="324"/>
      <c r="S5" s="324"/>
      <c r="T5" s="325"/>
    </row>
    <row r="6" spans="1:20" ht="24" thickBot="1" x14ac:dyDescent="0.3">
      <c r="A6" s="306" t="s">
        <v>68</v>
      </c>
      <c r="B6" s="306" t="s">
        <v>80</v>
      </c>
      <c r="C6" s="100" t="s">
        <v>81</v>
      </c>
      <c r="D6" s="308">
        <v>42644</v>
      </c>
      <c r="E6" s="309"/>
      <c r="F6" s="309"/>
      <c r="G6" s="309"/>
      <c r="H6" s="310"/>
      <c r="I6" s="308">
        <v>42675</v>
      </c>
      <c r="J6" s="311"/>
      <c r="K6" s="311"/>
      <c r="L6" s="311"/>
      <c r="M6" s="312"/>
      <c r="N6" s="308">
        <v>42705</v>
      </c>
      <c r="O6" s="311"/>
      <c r="P6" s="311"/>
      <c r="Q6" s="311"/>
      <c r="R6" s="312"/>
      <c r="S6" s="313" t="s">
        <v>63</v>
      </c>
      <c r="T6" s="304" t="s">
        <v>96</v>
      </c>
    </row>
    <row r="7" spans="1:20" ht="31.9" customHeight="1" thickBot="1" x14ac:dyDescent="0.3">
      <c r="A7" s="307"/>
      <c r="B7" s="307"/>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4"/>
      <c r="T7" s="305"/>
    </row>
    <row r="8" spans="1:20" ht="72.599999999999994" customHeight="1" thickBot="1" x14ac:dyDescent="0.3">
      <c r="A8" s="102">
        <v>1</v>
      </c>
      <c r="B8" s="103" t="s">
        <v>89</v>
      </c>
      <c r="C8" s="104" t="s">
        <v>3970</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206</v>
      </c>
      <c r="T8" s="139" t="e">
        <f t="shared" ref="T8:T17" ca="1" si="0">(((SUM(D8:H8)/5)+(SUM(I8:M8)/5)+(SUM(N8:R8)/5)))/S8</f>
        <v>#DIV/0!</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0</v>
      </c>
      <c r="E10" s="156">
        <f ca="1">SUM('All Questions'!D15:D21)/7</f>
        <v>39.285714285714285</v>
      </c>
      <c r="F10" s="156">
        <f ca="1">(SUM('All Questions'!D23:D24)+SUM('All Questions'!D25:D26)+SUM('All Questions'!D27:D28)+SUM('All Questions'!D29:D30))/4</f>
        <v>0</v>
      </c>
      <c r="G10" s="156">
        <f ca="1">SUM('All Questions'!D31:D35)/5</f>
        <v>53</v>
      </c>
      <c r="H10" s="159">
        <f ca="1">('All Questions'!D37+'All Questions'!D40)/2+'All Questions'!D26</f>
        <v>65</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89</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54</v>
      </c>
      <c r="S10" s="138">
        <f ca="1">'All Questions'!F4</f>
        <v>206</v>
      </c>
      <c r="T10" s="140" t="e">
        <f t="shared" ca="1" si="0"/>
        <v>#DIV/0!</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SUM('All Questions'!D55:D58)/4</f>
        <v>2</v>
      </c>
      <c r="E12" s="170">
        <f ca="1">SUM('All Questions'!D60:D75)/6</f>
        <v>0</v>
      </c>
      <c r="F12" s="170">
        <f ca="1">SUM('All Questions'!D67:D72)/3</f>
        <v>0</v>
      </c>
      <c r="G12" s="170">
        <f ca="1">SUM('All Questions'!D73:D80)/4</f>
        <v>0</v>
      </c>
      <c r="H12" s="171">
        <f>SUM('All Questions'!D82:D83)/2</f>
        <v>7</v>
      </c>
      <c r="I12" s="172">
        <f>SUM('All Questions'!E55:E58)/4</f>
        <v>2</v>
      </c>
      <c r="J12" s="173">
        <f ca="1">SUM('All Questions'!E60:E75)/6</f>
        <v>0</v>
      </c>
      <c r="K12" s="173">
        <f ca="1">SUM('All Questions'!E67:E72)/3</f>
        <v>0</v>
      </c>
      <c r="L12" s="173">
        <f ca="1">SUM('All Questions'!E73:E80)/4</f>
        <v>0</v>
      </c>
      <c r="M12" s="174">
        <f ca="1">SUM('All Questions'!E82:E83)/2</f>
        <v>0</v>
      </c>
      <c r="N12" s="175">
        <f>SUM('All Questions'!F55:F58)/4</f>
        <v>1.5</v>
      </c>
      <c r="O12" s="173">
        <f ca="1">SUM('All Questions'!F60:F75)/6</f>
        <v>0</v>
      </c>
      <c r="P12" s="173">
        <f ca="1">SUM('All Questions'!F67:F72)/3</f>
        <v>0</v>
      </c>
      <c r="Q12" s="173">
        <f ca="1">SUM('All Questions'!F73:F80)/4</f>
        <v>0</v>
      </c>
      <c r="R12" s="174">
        <f ca="1">SUM('All Questions'!F82:F83)/2</f>
        <v>0</v>
      </c>
      <c r="S12" s="142">
        <f>'All Questions'!F46</f>
        <v>19</v>
      </c>
      <c r="T12" s="143" t="e">
        <f t="shared" ca="1" si="0"/>
        <v>#DIV/0!</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'All Questions'!D57</f>
        <v>0</v>
      </c>
      <c r="E14" s="176">
        <f ca="1">'All Questions'!D64</f>
        <v>0</v>
      </c>
      <c r="F14" s="176">
        <f ca="1">SUM('All Questions'!D69:D70)</f>
        <v>0</v>
      </c>
      <c r="G14" s="176">
        <f ca="1">SUM('All Questions'!D74,'All Questions'!D76,'All Questions'!D78,'All Questions'!D80)/4</f>
        <v>0</v>
      </c>
      <c r="H14" s="177">
        <f ca="1">SUM('All Questions'!D88:D89)/2</f>
        <v>0</v>
      </c>
      <c r="I14" s="184">
        <f>'All Questions'!E57</f>
        <v>0</v>
      </c>
      <c r="J14" s="180">
        <f ca="1">'All Questions'!E64</f>
        <v>0</v>
      </c>
      <c r="K14" s="180">
        <f ca="1">SUM('All Questions'!E69:E70)</f>
        <v>0</v>
      </c>
      <c r="L14" s="180">
        <f ca="1">SUM('All Questions'!E74,'All Questions'!E76,'All Questions'!E78,'All Questions'!E80)/4</f>
        <v>0</v>
      </c>
      <c r="M14" s="181">
        <f ca="1">SUM('All Questions'!E88:E89)/2</f>
        <v>0</v>
      </c>
      <c r="N14" s="185">
        <f>'All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D370"/>
  <sheetViews>
    <sheetView showGridLines="0" showRowColHeaders="0" tabSelected="1" view="pageBreakPreview" topLeftCell="A5" zoomScale="60" zoomScaleNormal="60" zoomScalePageLayoutView="10" workbookViewId="0">
      <pane xSplit="9" topLeftCell="V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53">
        <v>20170218</v>
      </c>
      <c r="G1" s="354"/>
      <c r="H1" s="63"/>
      <c r="I1" s="63"/>
      <c r="J1" s="63"/>
      <c r="K1" s="356" t="s">
        <v>4024</v>
      </c>
      <c r="L1" s="356"/>
      <c r="M1" s="356"/>
      <c r="N1" s="356"/>
      <c r="O1" s="356"/>
      <c r="P1" s="356"/>
      <c r="Q1" s="356"/>
      <c r="R1" s="356"/>
      <c r="S1" s="356"/>
      <c r="T1" s="356"/>
      <c r="U1" s="356"/>
      <c r="V1" s="356"/>
      <c r="W1" s="356"/>
      <c r="X1" s="356"/>
      <c r="Y1" s="356"/>
      <c r="Z1" s="356"/>
      <c r="AA1" s="356"/>
      <c r="AB1" s="356"/>
      <c r="AC1" s="356"/>
      <c r="AD1" s="356"/>
    </row>
    <row r="2" spans="1:30" ht="40.15" customHeight="1" x14ac:dyDescent="0.25">
      <c r="A2" s="63"/>
      <c r="B2" s="217" t="s">
        <v>3804</v>
      </c>
      <c r="C2" s="218" t="s">
        <v>4008</v>
      </c>
      <c r="D2" s="219" t="s">
        <v>3978</v>
      </c>
      <c r="E2" s="220"/>
      <c r="F2" s="221" t="s">
        <v>4009</v>
      </c>
      <c r="G2" s="222"/>
      <c r="H2" s="223"/>
      <c r="I2" s="63"/>
      <c r="J2" s="63"/>
      <c r="K2" s="355" t="s">
        <v>157</v>
      </c>
      <c r="L2" s="355"/>
      <c r="M2" s="66" t="s">
        <v>83</v>
      </c>
      <c r="N2" s="355" t="s">
        <v>158</v>
      </c>
      <c r="O2" s="355"/>
      <c r="P2" s="66" t="s">
        <v>143</v>
      </c>
      <c r="Q2" s="301" t="s">
        <v>1</v>
      </c>
      <c r="R2" s="66" t="s">
        <v>174</v>
      </c>
      <c r="S2" s="301" t="s">
        <v>3</v>
      </c>
      <c r="T2" s="66" t="s">
        <v>630</v>
      </c>
      <c r="U2" s="67" t="s">
        <v>159</v>
      </c>
      <c r="V2" s="66" t="s">
        <v>1465</v>
      </c>
      <c r="W2" s="66"/>
      <c r="X2" s="67" t="s">
        <v>160</v>
      </c>
      <c r="Y2" s="66" t="s">
        <v>146</v>
      </c>
      <c r="Z2" s="96" t="s">
        <v>3803</v>
      </c>
      <c r="AA2" s="68" t="str">
        <f>VLOOKUP(V2,[2]Data_donotedit!AY2:AZ1504,2,FALSE)</f>
        <v>EieEFMENYmf</v>
      </c>
      <c r="AB2" s="68"/>
      <c r="AC2" s="68"/>
      <c r="AD2" s="68"/>
    </row>
    <row r="3" spans="1:30" ht="40.15" customHeight="1" x14ac:dyDescent="0.25">
      <c r="A3" s="63"/>
      <c r="B3" s="224"/>
      <c r="C3" s="253" t="s">
        <v>83</v>
      </c>
      <c r="D3" s="254" t="s">
        <v>3987</v>
      </c>
      <c r="E3" s="226"/>
      <c r="F3" s="229"/>
      <c r="G3" s="478">
        <v>19</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4014</v>
      </c>
      <c r="D4" s="226" t="s">
        <v>3975</v>
      </c>
      <c r="E4" s="230"/>
      <c r="F4" s="229"/>
      <c r="G4" s="478">
        <f ca="1">_xlfn.IFNA(VLOOKUP(C4,Worksheet!$C$3:$G$46,5,FALSE),G4)</f>
        <v>0</v>
      </c>
      <c r="H4" s="205" t="s">
        <v>83</v>
      </c>
      <c r="I4" s="63"/>
      <c r="J4" s="63"/>
      <c r="K4" s="360" t="s">
        <v>80</v>
      </c>
      <c r="L4" s="351" t="s">
        <v>81</v>
      </c>
      <c r="M4" s="352"/>
      <c r="N4" s="348">
        <v>42644</v>
      </c>
      <c r="O4" s="349"/>
      <c r="P4" s="349"/>
      <c r="Q4" s="349"/>
      <c r="R4" s="350"/>
      <c r="S4" s="348">
        <v>42675</v>
      </c>
      <c r="T4" s="349"/>
      <c r="U4" s="349"/>
      <c r="V4" s="349"/>
      <c r="W4" s="350"/>
      <c r="X4" s="348">
        <v>42705</v>
      </c>
      <c r="Y4" s="349"/>
      <c r="Z4" s="349"/>
      <c r="AA4" s="349"/>
      <c r="AB4" s="350"/>
      <c r="AC4" s="357" t="s">
        <v>63</v>
      </c>
      <c r="AD4" s="357" t="s">
        <v>96</v>
      </c>
    </row>
    <row r="5" spans="1:30" ht="40.15" customHeight="1" x14ac:dyDescent="0.25">
      <c r="A5" s="63"/>
      <c r="B5" s="224"/>
      <c r="C5" s="255" t="s">
        <v>4015</v>
      </c>
      <c r="D5" s="226" t="s">
        <v>3976</v>
      </c>
      <c r="E5" s="226"/>
      <c r="F5" s="256"/>
      <c r="G5" s="478">
        <f ca="1">_xlfn.IFNA(VLOOKUP(C5,Worksheet!$C$3:$G$46,5,FALSE),G5)</f>
        <v>0</v>
      </c>
      <c r="H5" s="205" t="s">
        <v>83</v>
      </c>
      <c r="I5" s="63"/>
      <c r="J5" s="63"/>
      <c r="K5" s="360"/>
      <c r="L5" s="351" t="s">
        <v>82</v>
      </c>
      <c r="M5" s="352"/>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58"/>
      <c r="AD5" s="359"/>
    </row>
    <row r="6" spans="1:30" ht="40.15" customHeight="1" x14ac:dyDescent="0.25">
      <c r="A6" s="63"/>
      <c r="B6" s="224"/>
      <c r="C6" s="257" t="s">
        <v>4016</v>
      </c>
      <c r="D6" s="258" t="s">
        <v>3988</v>
      </c>
      <c r="E6" s="233"/>
      <c r="F6" s="259"/>
      <c r="G6" s="235">
        <f>_xlfn.IFNA(VLOOKUP(G3,Data_donotedit!$BE$2:$BG$25,3,TRUE),0)</f>
        <v>20</v>
      </c>
      <c r="H6" s="205" t="s">
        <v>83</v>
      </c>
      <c r="I6" s="63"/>
      <c r="J6" s="63"/>
      <c r="K6" s="132" t="s">
        <v>89</v>
      </c>
      <c r="L6" s="346" t="s">
        <v>3970</v>
      </c>
      <c r="M6" s="347"/>
      <c r="N6" s="71">
        <v>0</v>
      </c>
      <c r="O6" s="71">
        <v>0</v>
      </c>
      <c r="P6" s="71">
        <v>0</v>
      </c>
      <c r="Q6" s="71">
        <v>0</v>
      </c>
      <c r="R6" s="72">
        <v>0</v>
      </c>
      <c r="S6" s="71">
        <v>0</v>
      </c>
      <c r="T6" s="71">
        <v>0</v>
      </c>
      <c r="U6" s="71">
        <v>0</v>
      </c>
      <c r="V6" s="71">
        <v>0</v>
      </c>
      <c r="W6" s="72">
        <v>0</v>
      </c>
      <c r="X6" s="71">
        <v>0</v>
      </c>
      <c r="Y6" s="71">
        <v>0</v>
      </c>
      <c r="Z6" s="71">
        <v>0</v>
      </c>
      <c r="AA6" s="71">
        <v>0</v>
      </c>
      <c r="AB6" s="71">
        <v>0</v>
      </c>
      <c r="AC6" s="73">
        <v>206</v>
      </c>
      <c r="AD6" s="74" t="e">
        <v>#DIV/0!</v>
      </c>
    </row>
    <row r="7" spans="1:30" ht="40.15" customHeight="1" x14ac:dyDescent="0.25">
      <c r="A7" s="63"/>
      <c r="B7" s="224"/>
      <c r="C7" s="236"/>
      <c r="D7" s="260" t="s">
        <v>3840</v>
      </c>
      <c r="E7" s="238" t="s">
        <v>76</v>
      </c>
      <c r="F7" s="238" t="s">
        <v>77</v>
      </c>
      <c r="G7" s="239" t="s">
        <v>78</v>
      </c>
      <c r="H7" s="205" t="s">
        <v>83</v>
      </c>
      <c r="I7" s="63"/>
      <c r="J7" s="65"/>
      <c r="K7" s="59" t="s">
        <v>89</v>
      </c>
      <c r="L7" s="333" t="s">
        <v>3971</v>
      </c>
      <c r="M7" s="334"/>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61" t="s">
        <v>3841</v>
      </c>
      <c r="C8" s="236">
        <v>1211</v>
      </c>
      <c r="D8" s="240" t="s">
        <v>3842</v>
      </c>
      <c r="E8" s="479">
        <v>1</v>
      </c>
      <c r="F8" s="479">
        <f ca="1">_xlfn.IFNA(VLOOKUP(C8,Worksheet!$C$3:$G$46,4,FALSE),F8)</f>
        <v>0</v>
      </c>
      <c r="G8" s="479">
        <f ca="1">_xlfn.IFNA(VLOOKUP(C8,Worksheet!$C$3:$G$46,5,FALSE),G8)</f>
        <v>0</v>
      </c>
      <c r="H8" s="205" t="s">
        <v>83</v>
      </c>
      <c r="I8" s="63"/>
      <c r="J8" s="70"/>
      <c r="K8" s="58" t="s">
        <v>79</v>
      </c>
      <c r="L8" s="331" t="s">
        <v>3972</v>
      </c>
      <c r="M8" s="332"/>
      <c r="N8" s="71">
        <v>0</v>
      </c>
      <c r="O8" s="71">
        <v>39.285714285714285</v>
      </c>
      <c r="P8" s="71">
        <v>0</v>
      </c>
      <c r="Q8" s="71">
        <v>53</v>
      </c>
      <c r="R8" s="72">
        <v>65</v>
      </c>
      <c r="S8" s="71">
        <v>0</v>
      </c>
      <c r="T8" s="71">
        <v>0</v>
      </c>
      <c r="U8" s="71">
        <v>0</v>
      </c>
      <c r="V8" s="71">
        <v>0</v>
      </c>
      <c r="W8" s="72">
        <v>89</v>
      </c>
      <c r="X8" s="71">
        <v>0</v>
      </c>
      <c r="Y8" s="71">
        <v>0</v>
      </c>
      <c r="Z8" s="71">
        <v>0</v>
      </c>
      <c r="AA8" s="71">
        <v>0</v>
      </c>
      <c r="AB8" s="71">
        <v>54</v>
      </c>
      <c r="AC8" s="75">
        <v>206</v>
      </c>
      <c r="AD8" s="76" t="e">
        <v>#DIV/0!</v>
      </c>
    </row>
    <row r="9" spans="1:30" ht="40.15" customHeight="1" x14ac:dyDescent="0.25">
      <c r="A9" s="63"/>
      <c r="B9" s="261" t="s">
        <v>3843</v>
      </c>
      <c r="C9" s="236">
        <v>1212</v>
      </c>
      <c r="D9" s="240" t="s">
        <v>3844</v>
      </c>
      <c r="E9" s="479">
        <v>1</v>
      </c>
      <c r="F9" s="479">
        <f ca="1">_xlfn.IFNA(VLOOKUP(C9,Worksheet!$C$3:$G$46,4,FALSE),F9)</f>
        <v>0</v>
      </c>
      <c r="G9" s="479">
        <f ca="1">_xlfn.IFNA(VLOOKUP(C9,Worksheet!$C$3:$G$46,5,FALSE),G9)</f>
        <v>0</v>
      </c>
      <c r="H9" s="205" t="s">
        <v>83</v>
      </c>
      <c r="I9" s="63"/>
      <c r="J9" s="70"/>
      <c r="K9" s="59" t="s">
        <v>79</v>
      </c>
      <c r="L9" s="333" t="s">
        <v>88</v>
      </c>
      <c r="M9" s="334"/>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4"/>
      <c r="C10" s="236">
        <v>1213</v>
      </c>
      <c r="D10" s="240" t="s">
        <v>3845</v>
      </c>
      <c r="E10" s="479">
        <v>1</v>
      </c>
      <c r="F10" s="479">
        <v>1</v>
      </c>
      <c r="G10" s="479">
        <v>1</v>
      </c>
      <c r="H10" s="205" t="s">
        <v>83</v>
      </c>
      <c r="I10" s="63"/>
      <c r="J10" s="70"/>
      <c r="K10" s="121" t="s">
        <v>83</v>
      </c>
      <c r="L10" s="335" t="s">
        <v>3974</v>
      </c>
      <c r="M10" s="336"/>
      <c r="N10" s="122">
        <v>2</v>
      </c>
      <c r="O10" s="71">
        <v>0</v>
      </c>
      <c r="P10" s="71">
        <v>0</v>
      </c>
      <c r="Q10" s="71">
        <v>0</v>
      </c>
      <c r="R10" s="71">
        <v>7</v>
      </c>
      <c r="S10" s="122">
        <v>2</v>
      </c>
      <c r="T10" s="71">
        <v>0</v>
      </c>
      <c r="U10" s="71">
        <v>0</v>
      </c>
      <c r="V10" s="71">
        <v>0</v>
      </c>
      <c r="W10" s="71">
        <v>0</v>
      </c>
      <c r="X10" s="122">
        <v>1.5</v>
      </c>
      <c r="Y10" s="71">
        <v>0</v>
      </c>
      <c r="Z10" s="71">
        <v>0</v>
      </c>
      <c r="AA10" s="71">
        <v>0</v>
      </c>
      <c r="AB10" s="71">
        <v>0</v>
      </c>
      <c r="AC10" s="124">
        <v>19</v>
      </c>
      <c r="AD10" s="125" t="e">
        <v>#DIV/0!</v>
      </c>
    </row>
    <row r="11" spans="1:30" ht="50.45" customHeight="1" x14ac:dyDescent="0.25">
      <c r="A11" s="63"/>
      <c r="B11" s="224"/>
      <c r="C11" s="236">
        <v>1214</v>
      </c>
      <c r="D11" s="262" t="s">
        <v>3846</v>
      </c>
      <c r="E11" s="479">
        <v>7</v>
      </c>
      <c r="F11" s="479">
        <v>7</v>
      </c>
      <c r="G11" s="479">
        <v>5</v>
      </c>
      <c r="H11" s="205" t="s">
        <v>83</v>
      </c>
      <c r="I11" s="63"/>
      <c r="J11" s="65"/>
      <c r="K11" s="120" t="s">
        <v>83</v>
      </c>
      <c r="L11" s="337" t="s">
        <v>3975</v>
      </c>
      <c r="M11" s="338"/>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1215</v>
      </c>
      <c r="D12" s="240" t="s">
        <v>3847</v>
      </c>
      <c r="E12" s="479">
        <v>1</v>
      </c>
      <c r="F12" s="479">
        <v>1</v>
      </c>
      <c r="G12" s="479">
        <v>1</v>
      </c>
      <c r="H12" s="205" t="s">
        <v>83</v>
      </c>
      <c r="I12" s="63"/>
      <c r="J12" s="65"/>
      <c r="K12" s="127" t="s">
        <v>83</v>
      </c>
      <c r="L12" s="339" t="s">
        <v>3976</v>
      </c>
      <c r="M12" s="340"/>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4"/>
      <c r="C13" s="236">
        <v>1216</v>
      </c>
      <c r="D13" s="241" t="s">
        <v>3848</v>
      </c>
      <c r="E13" s="479">
        <v>7</v>
      </c>
      <c r="F13" s="479">
        <v>7</v>
      </c>
      <c r="G13" s="479">
        <v>5</v>
      </c>
      <c r="H13" s="205" t="s">
        <v>83</v>
      </c>
      <c r="I13" s="63"/>
      <c r="J13" s="65"/>
      <c r="K13" s="60" t="s">
        <v>86</v>
      </c>
      <c r="L13" s="329" t="s">
        <v>87</v>
      </c>
      <c r="M13" s="330"/>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1217</v>
      </c>
      <c r="D14" s="241" t="s">
        <v>3849</v>
      </c>
      <c r="E14" s="479">
        <v>0</v>
      </c>
      <c r="F14" s="479">
        <v>0</v>
      </c>
      <c r="G14" s="479">
        <v>0</v>
      </c>
      <c r="H14" s="205" t="s">
        <v>83</v>
      </c>
      <c r="I14" s="63"/>
      <c r="J14" s="70"/>
      <c r="K14" s="59" t="s">
        <v>84</v>
      </c>
      <c r="L14" s="339" t="s">
        <v>85</v>
      </c>
      <c r="M14" s="34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1218</v>
      </c>
      <c r="D15" s="241" t="s">
        <v>3850</v>
      </c>
      <c r="E15" s="479">
        <v>0</v>
      </c>
      <c r="F15" s="479">
        <v>0</v>
      </c>
      <c r="G15" s="479">
        <v>0</v>
      </c>
      <c r="H15" s="205" t="s">
        <v>83</v>
      </c>
      <c r="I15" s="63"/>
      <c r="J15" s="70"/>
      <c r="K15" s="60" t="s">
        <v>90</v>
      </c>
      <c r="L15" s="329" t="s">
        <v>74</v>
      </c>
      <c r="M15" s="343"/>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1221</v>
      </c>
      <c r="D16" s="262" t="s">
        <v>3851</v>
      </c>
      <c r="E16" s="479">
        <v>7</v>
      </c>
      <c r="F16" s="479">
        <v>7</v>
      </c>
      <c r="G16" s="479">
        <v>5</v>
      </c>
      <c r="H16" s="205" t="s">
        <v>83</v>
      </c>
      <c r="I16" s="63"/>
      <c r="J16" s="70"/>
      <c r="K16" s="60" t="s">
        <v>91</v>
      </c>
      <c r="L16" s="329" t="s">
        <v>75</v>
      </c>
      <c r="M16" s="343"/>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1222</v>
      </c>
      <c r="D17" s="262" t="s">
        <v>3852</v>
      </c>
      <c r="E17" s="479">
        <v>7</v>
      </c>
      <c r="F17" s="479">
        <v>7</v>
      </c>
      <c r="G17" s="479">
        <v>5</v>
      </c>
      <c r="H17" s="205" t="s">
        <v>83</v>
      </c>
      <c r="I17" s="63"/>
      <c r="J17" s="65"/>
      <c r="K17" s="63"/>
      <c r="L17" s="63"/>
      <c r="M17" s="63"/>
      <c r="N17" s="87">
        <f>AVERAGE(N6:N16)</f>
        <v>0.25</v>
      </c>
      <c r="O17" s="87">
        <f t="shared" ref="O17:AB17" si="0">AVERAGE(O6:O16)</f>
        <v>4.9107142857142856</v>
      </c>
      <c r="P17" s="87">
        <f t="shared" si="0"/>
        <v>0</v>
      </c>
      <c r="Q17" s="87">
        <f t="shared" si="0"/>
        <v>6.625</v>
      </c>
      <c r="R17" s="87">
        <f t="shared" si="0"/>
        <v>8</v>
      </c>
      <c r="S17" s="87">
        <f t="shared" si="0"/>
        <v>0.25</v>
      </c>
      <c r="T17" s="87">
        <f t="shared" si="0"/>
        <v>0</v>
      </c>
      <c r="U17" s="87">
        <f t="shared" si="0"/>
        <v>0</v>
      </c>
      <c r="V17" s="87">
        <f t="shared" si="0"/>
        <v>0</v>
      </c>
      <c r="W17" s="87">
        <f t="shared" si="0"/>
        <v>9.8888888888888893</v>
      </c>
      <c r="X17" s="87">
        <f t="shared" si="0"/>
        <v>0.1875</v>
      </c>
      <c r="Y17" s="87">
        <f t="shared" si="0"/>
        <v>0</v>
      </c>
      <c r="Z17" s="87">
        <f t="shared" si="0"/>
        <v>0</v>
      </c>
      <c r="AA17" s="87">
        <f t="shared" si="0"/>
        <v>0</v>
      </c>
      <c r="AB17" s="87">
        <f t="shared" si="0"/>
        <v>6</v>
      </c>
      <c r="AC17" s="63"/>
      <c r="AD17" s="63"/>
    </row>
    <row r="18" spans="1:30" ht="40.15" customHeight="1" x14ac:dyDescent="0.3">
      <c r="A18" s="63"/>
      <c r="B18" s="224"/>
      <c r="C18" s="236">
        <v>1223</v>
      </c>
      <c r="D18" s="262" t="s">
        <v>3853</v>
      </c>
      <c r="E18" s="479">
        <v>7</v>
      </c>
      <c r="F18" s="479">
        <v>7</v>
      </c>
      <c r="G18" s="479">
        <v>5</v>
      </c>
      <c r="H18" s="205" t="s">
        <v>83</v>
      </c>
      <c r="I18" s="63"/>
      <c r="J18" s="65"/>
      <c r="K18" s="345" t="s">
        <v>563</v>
      </c>
      <c r="L18" s="345"/>
      <c r="M18" s="206" t="s">
        <v>564</v>
      </c>
      <c r="N18" s="207"/>
      <c r="O18" s="208"/>
      <c r="P18" s="208"/>
      <c r="Q18" s="208"/>
      <c r="R18" s="303" t="s">
        <v>561</v>
      </c>
      <c r="S18" s="480" t="s">
        <v>567</v>
      </c>
      <c r="T18" s="209"/>
      <c r="U18" s="342" t="s">
        <v>562</v>
      </c>
      <c r="V18" s="342"/>
      <c r="W18" s="210" t="s">
        <v>566</v>
      </c>
      <c r="X18" s="210"/>
      <c r="Y18" s="88"/>
      <c r="Z18" s="88"/>
      <c r="AA18" s="88"/>
      <c r="AB18" s="88"/>
      <c r="AC18" s="63"/>
      <c r="AD18" s="63"/>
    </row>
    <row r="19" spans="1:30" ht="40.15" customHeight="1" x14ac:dyDescent="0.3">
      <c r="A19" s="63"/>
      <c r="B19" s="224"/>
      <c r="C19" s="236">
        <v>1224</v>
      </c>
      <c r="D19" s="262" t="s">
        <v>3854</v>
      </c>
      <c r="E19" s="479">
        <v>2</v>
      </c>
      <c r="F19" s="479">
        <f ca="1">_xlfn.IFNA(VLOOKUP(C19,Worksheet!$C$3:$G$46,4,FALSE),F19)</f>
        <v>0</v>
      </c>
      <c r="G19" s="479">
        <f ca="1">_xlfn.IFNA(VLOOKUP(C19,Worksheet!$C$3:$G$46,5,FALSE),G19)</f>
        <v>0</v>
      </c>
      <c r="H19" s="205" t="s">
        <v>83</v>
      </c>
      <c r="I19" s="63"/>
      <c r="J19" s="65"/>
      <c r="K19" s="341" t="s">
        <v>61</v>
      </c>
      <c r="L19" s="341"/>
      <c r="M19" s="206" t="s">
        <v>565</v>
      </c>
      <c r="N19" s="206"/>
      <c r="O19" s="206"/>
      <c r="P19" s="206"/>
      <c r="Q19" s="206"/>
      <c r="R19" s="303" t="s">
        <v>561</v>
      </c>
      <c r="S19" s="209"/>
      <c r="T19" s="209"/>
      <c r="U19" s="342" t="s">
        <v>562</v>
      </c>
      <c r="V19" s="342"/>
      <c r="W19" s="210"/>
      <c r="X19" s="210"/>
      <c r="Y19" s="63"/>
      <c r="Z19" s="63"/>
      <c r="AA19" s="63"/>
      <c r="AB19" s="63"/>
      <c r="AC19" s="63"/>
      <c r="AD19" s="63"/>
    </row>
    <row r="20" spans="1:30" ht="40.15" customHeight="1" x14ac:dyDescent="0.25">
      <c r="A20" s="63"/>
      <c r="B20" s="224"/>
      <c r="C20" s="236">
        <v>1225</v>
      </c>
      <c r="D20" s="262" t="s">
        <v>3855</v>
      </c>
      <c r="E20" s="479">
        <v>2</v>
      </c>
      <c r="F20" s="479">
        <f ca="1">_xlfn.IFNA(VLOOKUP(C20,Worksheet!$C$3:$G$46,4,FALSE),F20)</f>
        <v>0</v>
      </c>
      <c r="G20" s="479">
        <f ca="1">_xlfn.IFNA(VLOOKUP(C20,Worksheet!$C$3:$G$46,5,FALSE),G20)</f>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3856</v>
      </c>
      <c r="E21" s="479">
        <f ca="1">_xlfn.IFNA(VLOOKUP(C21,Worksheet!$C$3:$G$46,3,FALSE),E21)</f>
        <v>0</v>
      </c>
      <c r="F21" s="479">
        <f ca="1">_xlfn.IFNA(VLOOKUP(C21,Worksheet!$C$3:$G$46,4,FALSE),F21)</f>
        <v>0</v>
      </c>
      <c r="G21" s="479">
        <f ca="1">_xlfn.IFNA(VLOOKUP(C21,Worksheet!$C$3:$G$46,5,FALSE),G21)</f>
        <v>0</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3857</v>
      </c>
      <c r="E22" s="479">
        <f ca="1">_xlfn.IFNA(VLOOKUP(C22,Worksheet!$C$3:$G$46,3,FALSE),E22)</f>
        <v>0</v>
      </c>
      <c r="F22" s="479">
        <f ca="1">_xlfn.IFNA(VLOOKUP(C22,Worksheet!$C$3:$G$46,4,FALSE),F22)</f>
        <v>0</v>
      </c>
      <c r="G22" s="479">
        <f ca="1">_xlfn.IFNA(VLOOKUP(C22,Worksheet!$C$3:$G$46,5,FALSE),G22)</f>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3989</v>
      </c>
      <c r="E23" s="244"/>
      <c r="F23" s="244"/>
      <c r="G23" s="245"/>
      <c r="H23" s="205" t="s">
        <v>83</v>
      </c>
      <c r="I23" s="63"/>
      <c r="J23" s="65"/>
      <c r="K23" s="63"/>
      <c r="L23" s="63"/>
      <c r="M23" s="63"/>
      <c r="N23" s="63"/>
      <c r="O23" s="91">
        <v>42644</v>
      </c>
      <c r="P23" s="92">
        <f>N17</f>
        <v>0.25</v>
      </c>
      <c r="Q23" s="93">
        <f>O17</f>
        <v>4.9107142857142856</v>
      </c>
      <c r="R23" s="93">
        <f>P17</f>
        <v>0</v>
      </c>
      <c r="S23" s="93">
        <f>Q17</f>
        <v>6.625</v>
      </c>
      <c r="T23" s="93">
        <f>R17</f>
        <v>8</v>
      </c>
      <c r="U23" s="63"/>
      <c r="V23" s="63"/>
      <c r="W23" s="63"/>
      <c r="X23" s="63"/>
      <c r="Y23" s="63"/>
      <c r="Z23" s="63"/>
      <c r="AA23" s="63"/>
      <c r="AB23" s="63"/>
      <c r="AC23" s="63"/>
      <c r="AD23" s="63"/>
    </row>
    <row r="24" spans="1:30" ht="40.15" customHeight="1" x14ac:dyDescent="0.25">
      <c r="A24" s="63"/>
      <c r="B24" s="224"/>
      <c r="C24" s="236">
        <v>1231</v>
      </c>
      <c r="D24" s="240" t="s">
        <v>3858</v>
      </c>
      <c r="E24" s="479">
        <v>7</v>
      </c>
      <c r="F24" s="479">
        <v>7</v>
      </c>
      <c r="G24" s="479">
        <v>5</v>
      </c>
      <c r="H24" s="205" t="s">
        <v>83</v>
      </c>
      <c r="I24" s="63"/>
      <c r="J24" s="65"/>
      <c r="K24" s="63"/>
      <c r="L24" s="63"/>
      <c r="M24" s="63"/>
      <c r="N24" s="63"/>
      <c r="O24" s="91">
        <v>42675</v>
      </c>
      <c r="P24" s="92">
        <f>S17</f>
        <v>0.25</v>
      </c>
      <c r="Q24" s="93">
        <f>T17</f>
        <v>0</v>
      </c>
      <c r="R24" s="93">
        <f>U17</f>
        <v>0</v>
      </c>
      <c r="S24" s="93">
        <f>V17</f>
        <v>0</v>
      </c>
      <c r="T24" s="93">
        <f>W17</f>
        <v>9.8888888888888893</v>
      </c>
      <c r="U24" s="63"/>
      <c r="V24" s="63"/>
      <c r="W24" s="63"/>
      <c r="X24" s="63"/>
      <c r="Y24" s="63"/>
      <c r="Z24" s="63"/>
      <c r="AA24" s="63"/>
      <c r="AB24" s="63"/>
      <c r="AC24" s="63"/>
      <c r="AD24" s="63"/>
    </row>
    <row r="25" spans="1:30" ht="40.15" customHeight="1" x14ac:dyDescent="0.25">
      <c r="A25" s="63"/>
      <c r="B25" s="224"/>
      <c r="C25" s="236">
        <v>1232</v>
      </c>
      <c r="D25" s="240" t="s">
        <v>3859</v>
      </c>
      <c r="E25" s="479">
        <v>0</v>
      </c>
      <c r="F25" s="479">
        <f ca="1">_xlfn.IFNA(VLOOKUP(C25,Worksheet!$C$3:$G$46,4,FALSE),F25)</f>
        <v>0</v>
      </c>
      <c r="G25" s="479">
        <f ca="1">_xlfn.IFNA(VLOOKUP(C25,Worksheet!$C$3:$G$46,5,FALSE),G25)</f>
        <v>0</v>
      </c>
      <c r="H25" s="205" t="s">
        <v>83</v>
      </c>
      <c r="I25" s="63"/>
      <c r="J25" s="63"/>
      <c r="K25" s="63"/>
      <c r="L25" s="63"/>
      <c r="M25" s="63"/>
      <c r="N25" s="63"/>
      <c r="O25" s="91">
        <v>42705</v>
      </c>
      <c r="P25" s="92">
        <f>X17</f>
        <v>0.1875</v>
      </c>
      <c r="Q25" s="93">
        <f>Y17</f>
        <v>0</v>
      </c>
      <c r="R25" s="93">
        <f>Z17</f>
        <v>0</v>
      </c>
      <c r="S25" s="93">
        <f>AA17</f>
        <v>0</v>
      </c>
      <c r="T25" s="93">
        <f>AB17</f>
        <v>6</v>
      </c>
      <c r="U25" s="63"/>
      <c r="V25" s="63"/>
      <c r="W25" s="63"/>
      <c r="X25" s="63"/>
      <c r="Y25" s="63"/>
      <c r="Z25" s="63"/>
      <c r="AA25" s="63"/>
      <c r="AB25" s="63"/>
      <c r="AC25" s="63"/>
      <c r="AD25" s="63"/>
    </row>
    <row r="26" spans="1:30" ht="40.15" customHeight="1" x14ac:dyDescent="0.25">
      <c r="A26" s="63"/>
      <c r="B26" s="224"/>
      <c r="C26" s="236">
        <v>1233</v>
      </c>
      <c r="D26" s="240" t="s">
        <v>3860</v>
      </c>
      <c r="E26" s="479">
        <f ca="1">_xlfn.IFNA(VLOOKUP(C26,Worksheet!$C$3:$G$46,3,FALSE),E26)</f>
        <v>0</v>
      </c>
      <c r="F26" s="479">
        <f ca="1">_xlfn.IFNA(VLOOKUP(C26,Worksheet!$C$3:$G$46,4,FALSE),F26)</f>
        <v>0</v>
      </c>
      <c r="G26" s="479">
        <f ca="1">_xlfn.IFNA(VLOOKUP(C26,Worksheet!$C$3:$G$46,5,FALSE),G26)</f>
        <v>0</v>
      </c>
      <c r="H26" s="205" t="s">
        <v>83</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3861</v>
      </c>
      <c r="E27" s="479">
        <f ca="1">_xlfn.IFNA(VLOOKUP(C27,Worksheet!$C$3:$G$46,3,FALSE),E27)</f>
        <v>0</v>
      </c>
      <c r="F27" s="479">
        <f ca="1">_xlfn.IFNA(VLOOKUP(C27,Worksheet!$C$3:$G$46,4,FALSE),F27)</f>
        <v>0</v>
      </c>
      <c r="G27" s="479">
        <f ca="1">_xlfn.IFNA(VLOOKUP(C27,Worksheet!$C$3:$G$46,5,FALSE),G27)</f>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3862</v>
      </c>
      <c r="E28" s="479">
        <v>2</v>
      </c>
      <c r="F28" s="479">
        <f ca="1">_xlfn.IFNA(VLOOKUP(C28,Worksheet!$C$3:$G$46,4,FALSE),F28)</f>
        <v>0</v>
      </c>
      <c r="G28" s="479">
        <f ca="1">_xlfn.IFNA(VLOOKUP(C28,Worksheet!$C$3:$G$46,5,FALSE),G28)</f>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3863</v>
      </c>
      <c r="E29" s="479">
        <f ca="1">_xlfn.IFNA(VLOOKUP(C29,Worksheet!$C$3:$G$46,3,FALSE),E29)</f>
        <v>0</v>
      </c>
      <c r="F29" s="479">
        <f ca="1">_xlfn.IFNA(VLOOKUP(C29,Worksheet!$C$3:$G$46,4,FALSE),F29)</f>
        <v>0</v>
      </c>
      <c r="G29" s="479">
        <f ca="1">_xlfn.IFNA(VLOOKUP(C29,Worksheet!$C$3:$G$46,5,FALSE),G29)</f>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3864</v>
      </c>
      <c r="E30" s="479">
        <v>7</v>
      </c>
      <c r="F30" s="479">
        <v>7</v>
      </c>
      <c r="G30" s="479">
        <v>5</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3865</v>
      </c>
      <c r="E31" s="479">
        <v>0</v>
      </c>
      <c r="F31" s="479">
        <f ca="1">_xlfn.IFNA(VLOOKUP(C31,Worksheet!$C$3:$G$46,4,FALSE),F31)</f>
        <v>0</v>
      </c>
      <c r="G31" s="479">
        <f ca="1">_xlfn.IFNA(VLOOKUP(C31,Worksheet!$C$3:$G$46,5,FALSE),G31)</f>
        <v>0</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3866</v>
      </c>
      <c r="E32" s="479">
        <v>7</v>
      </c>
      <c r="F32" s="479">
        <v>7</v>
      </c>
      <c r="G32" s="479">
        <v>5</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3867</v>
      </c>
      <c r="E33" s="479">
        <f ca="1">_xlfn.IFNA(VLOOKUP(C33,Worksheet!$C$3:$G$46,3,FALSE),E33)</f>
        <v>0</v>
      </c>
      <c r="F33" s="479">
        <f ca="1">_xlfn.IFNA(VLOOKUP(C33,Worksheet!$C$3:$G$46,4,FALSE),F33)</f>
        <v>0</v>
      </c>
      <c r="G33" s="479">
        <f ca="1">_xlfn.IFNA(VLOOKUP(C33,Worksheet!$C$3:$G$46,5,FALSE),G33)</f>
        <v>0</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3868</v>
      </c>
      <c r="E34" s="479">
        <v>2</v>
      </c>
      <c r="F34" s="479">
        <f ca="1">_xlfn.IFNA(VLOOKUP(C34,Worksheet!$C$3:$G$46,4,FALSE),F34)</f>
        <v>0</v>
      </c>
      <c r="G34" s="479">
        <f ca="1">_xlfn.IFNA(VLOOKUP(C34,Worksheet!$C$3:$G$46,5,FALSE),G34)</f>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3869</v>
      </c>
      <c r="E35" s="479">
        <f ca="1">_xlfn.IFNA(VLOOKUP(C35,Worksheet!$C$3:$G$46,3,FALSE),E35)</f>
        <v>0</v>
      </c>
      <c r="F35" s="479">
        <f ca="1">_xlfn.IFNA(VLOOKUP(C35,Worksheet!$C$3:$G$46,4,FALSE),F35)</f>
        <v>0</v>
      </c>
      <c r="G35" s="479">
        <f ca="1">_xlfn.IFNA(VLOOKUP(C35,Worksheet!$C$3:$G$46,5,FALSE),G35)</f>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3870</v>
      </c>
      <c r="E36" s="479">
        <v>7</v>
      </c>
      <c r="F36" s="479">
        <v>0</v>
      </c>
      <c r="G36" s="479">
        <v>0</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3871</v>
      </c>
      <c r="E37" s="479">
        <v>0</v>
      </c>
      <c r="F37" s="479">
        <f ca="1">_xlfn.IFNA(VLOOKUP(C37,Worksheet!$C$3:$G$46,4,FALSE),F37)</f>
        <v>0</v>
      </c>
      <c r="G37" s="479">
        <f ca="1">_xlfn.IFNA(VLOOKUP(C37,Worksheet!$C$3:$G$46,5,FALSE),G37)</f>
        <v>0</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3873</v>
      </c>
      <c r="E38" s="479">
        <v>7</v>
      </c>
      <c r="F38" s="479">
        <v>7</v>
      </c>
      <c r="G38" s="479">
        <v>5</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3874</v>
      </c>
      <c r="E39" s="479">
        <v>7</v>
      </c>
      <c r="F39" s="479">
        <f ca="1">_xlfn.IFNA(VLOOKUP(C39,Worksheet!$C$3:$G$46,4,FALSE),F39)</f>
        <v>0</v>
      </c>
      <c r="G39" s="479">
        <f ca="1">_xlfn.IFNA(VLOOKUP(C39,Worksheet!$C$3:$G$46,5,FALSE),G39)</f>
        <v>0</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3876</v>
      </c>
      <c r="E40" s="479">
        <f ca="1">_xlfn.IFNA(VLOOKUP(C40,Worksheet!$C$3:$G$46,3,FALSE),E40)</f>
        <v>0</v>
      </c>
      <c r="F40" s="479">
        <f ca="1">_xlfn.IFNA(VLOOKUP(C40,Worksheet!$C$3:$G$46,4,FALSE),F40)</f>
        <v>0</v>
      </c>
      <c r="G40" s="479">
        <f ca="1">_xlfn.IFNA(VLOOKUP(C40,Worksheet!$C$3:$G$46,5,FALSE),G40)</f>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3877</v>
      </c>
      <c r="E41" s="479">
        <f ca="1">_xlfn.IFNA(VLOOKUP(C41,Worksheet!$C$3:$G$46,3,FALSE),E41)</f>
        <v>0</v>
      </c>
      <c r="F41" s="479">
        <f ca="1">_xlfn.IFNA(VLOOKUP(C41,Worksheet!$C$3:$G$46,4,FALSE),F41)</f>
        <v>0</v>
      </c>
      <c r="G41" s="479">
        <f ca="1">_xlfn.IFNA(VLOOKUP(C41,Worksheet!$C$3:$G$46,5,FALSE),G41)</f>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3879</v>
      </c>
      <c r="E42" s="479">
        <f ca="1">_xlfn.IFNA(VLOOKUP(C42,Worksheet!$C$3:$G$46,3,FALSE),E42)</f>
        <v>0</v>
      </c>
      <c r="F42" s="479">
        <f ca="1">_xlfn.IFNA(VLOOKUP(C42,Worksheet!$C$3:$G$46,4,FALSE),F42)</f>
        <v>0</v>
      </c>
      <c r="G42" s="479">
        <f ca="1">_xlfn.IFNA(VLOOKUP(C42,Worksheet!$C$3:$G$46,5,FALSE),G42)</f>
        <v>0</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3880</v>
      </c>
      <c r="E43" s="479">
        <f ca="1">_xlfn.IFNA(VLOOKUP(C43,Worksheet!$C$3:$G$46,3,FALSE),E43)</f>
        <v>0</v>
      </c>
      <c r="F43" s="479">
        <f ca="1">_xlfn.IFNA(VLOOKUP(C43,Worksheet!$C$3:$G$46,4,FALSE),F43)</f>
        <v>0</v>
      </c>
      <c r="G43" s="479">
        <f ca="1">_xlfn.IFNA(VLOOKUP(C43,Worksheet!$C$3:$G$46,5,FALSE),G43)</f>
        <v>0</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n/VQsnmSMEGoQk358Ne7+uafZGI4ctcXxCGqmHInxqciE1sUVfhxGJC38adMIsscq0dN6iG3klOsVb/4OXE9Dg==" saltValue="d+IwtNtHcMU/hyoaLTuc8A=="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36" fitToWidth="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hidden="1" customHeight="1" x14ac:dyDescent="0.25">
      <c r="A2" s="224"/>
      <c r="B2" s="225" t="s">
        <v>150</v>
      </c>
      <c r="C2" s="226" t="s">
        <v>3979</v>
      </c>
      <c r="D2" s="226"/>
      <c r="E2" s="227"/>
      <c r="F2" s="298">
        <f ca="1">_xlfn.IFNA(VLOOKUP(B2,Worksheet!$C$3:$G$46,5,FALSE),F2)</f>
        <v>206</v>
      </c>
      <c r="G2" s="205" t="s">
        <v>150</v>
      </c>
    </row>
    <row r="3" spans="1:7" ht="45" hidden="1" customHeight="1" x14ac:dyDescent="0.25">
      <c r="A3" s="224"/>
      <c r="B3" s="228" t="s">
        <v>4010</v>
      </c>
      <c r="C3" s="226" t="s">
        <v>3980</v>
      </c>
      <c r="D3" s="226"/>
      <c r="E3" s="229"/>
      <c r="F3" s="298">
        <f ca="1">_xlfn.IFNA(VLOOKUP(B3,Worksheet!$C$3:$G$46,5,FALSE),F3)</f>
        <v>0</v>
      </c>
      <c r="G3" s="205" t="s">
        <v>150</v>
      </c>
    </row>
    <row r="4" spans="1:7" ht="45" hidden="1" customHeight="1" x14ac:dyDescent="0.25">
      <c r="A4" s="224"/>
      <c r="B4" s="228" t="s">
        <v>4011</v>
      </c>
      <c r="C4" s="226" t="s">
        <v>3981</v>
      </c>
      <c r="D4" s="230"/>
      <c r="E4" s="229"/>
      <c r="F4" s="298">
        <f ca="1">_xlfn.IFNA(VLOOKUP(B4,Worksheet!$C$3:$G$46,5,FALSE),F4)</f>
        <v>206</v>
      </c>
      <c r="G4" s="205" t="s">
        <v>150</v>
      </c>
    </row>
    <row r="5" spans="1:7" ht="45" hidden="1" customHeight="1" x14ac:dyDescent="0.25">
      <c r="A5" s="224"/>
      <c r="B5" s="228" t="s">
        <v>4012</v>
      </c>
      <c r="C5" s="226" t="s">
        <v>3982</v>
      </c>
      <c r="D5" s="226"/>
      <c r="E5" s="229"/>
      <c r="F5" s="298">
        <f ca="1">_xlfn.IFNA(VLOOKUP(B5,Worksheet!$C$3:$G$46,5,FALSE),F5)</f>
        <v>0</v>
      </c>
      <c r="G5" s="205" t="s">
        <v>150</v>
      </c>
    </row>
    <row r="6" spans="1:7" ht="45" hidden="1" customHeight="1" x14ac:dyDescent="0.25">
      <c r="A6" s="224"/>
      <c r="B6" s="231" t="s">
        <v>4013</v>
      </c>
      <c r="C6" s="232" t="s">
        <v>3983</v>
      </c>
      <c r="D6" s="233"/>
      <c r="E6" s="234"/>
      <c r="F6" s="235">
        <f ca="1">_xlfn.IFNA(VLOOKUP(F2,Data_donotedit!$BE$2:$BG$25,3,TRUE),0)</f>
        <v>75</v>
      </c>
      <c r="G6" s="205" t="s">
        <v>150</v>
      </c>
    </row>
    <row r="7" spans="1:7" ht="45" hidden="1" customHeight="1" x14ac:dyDescent="0.25">
      <c r="A7" s="224"/>
      <c r="B7" s="236"/>
      <c r="C7" s="237" t="s">
        <v>3984</v>
      </c>
      <c r="D7" s="238" t="s">
        <v>3985</v>
      </c>
      <c r="E7" s="238" t="s">
        <v>77</v>
      </c>
      <c r="F7" s="239" t="s">
        <v>78</v>
      </c>
      <c r="G7" s="205" t="s">
        <v>150</v>
      </c>
    </row>
    <row r="8" spans="1:7" ht="45" hidden="1" customHeight="1" x14ac:dyDescent="0.25">
      <c r="A8" s="224"/>
      <c r="B8" s="236">
        <v>1111</v>
      </c>
      <c r="C8" s="240" t="s">
        <v>3805</v>
      </c>
      <c r="D8" s="299">
        <f ca="1">_xlfn.IFNA(VLOOKUP(B8,Worksheet!$C$3:$G$46,3,FALSE),D8)</f>
        <v>1</v>
      </c>
      <c r="E8" s="299">
        <f ca="1">_xlfn.IFNA(VLOOKUP(B8,Worksheet!$C$3:$G$46,4,FALSE),E8)</f>
        <v>0</v>
      </c>
      <c r="F8" s="299">
        <f ca="1">_xlfn.IFNA(VLOOKUP(B8,Worksheet!$C$3:$G$46,5,FALSE),F8)</f>
        <v>0</v>
      </c>
      <c r="G8" s="205" t="s">
        <v>150</v>
      </c>
    </row>
    <row r="9" spans="1:7" ht="45" hidden="1" customHeight="1" x14ac:dyDescent="0.25">
      <c r="A9" s="224"/>
      <c r="B9" s="236">
        <v>1112</v>
      </c>
      <c r="C9" s="240" t="s">
        <v>3806</v>
      </c>
      <c r="D9" s="299">
        <f ca="1">_xlfn.IFNA(VLOOKUP(B9,Worksheet!$C$3:$G$46,3,FALSE),D9)</f>
        <v>1</v>
      </c>
      <c r="E9" s="299">
        <f ca="1">_xlfn.IFNA(VLOOKUP(B9,Worksheet!$C$3:$G$46,4,FALSE),E9)</f>
        <v>0</v>
      </c>
      <c r="F9" s="299">
        <f ca="1">_xlfn.IFNA(VLOOKUP(B9,Worksheet!$C$3:$G$46,5,FALSE),F9)</f>
        <v>0</v>
      </c>
      <c r="G9" s="205" t="s">
        <v>150</v>
      </c>
    </row>
    <row r="10" spans="1:7" ht="45" hidden="1" customHeight="1" x14ac:dyDescent="0.25">
      <c r="A10" s="224"/>
      <c r="B10" s="236">
        <v>1113</v>
      </c>
      <c r="C10" s="240" t="s">
        <v>3807</v>
      </c>
      <c r="D10" s="299">
        <f ca="1">_xlfn.IFNA(VLOOKUP(B10,Worksheet!$C$3:$G$46,3,FALSE),D10)</f>
        <v>7</v>
      </c>
      <c r="E10" s="299">
        <f ca="1">_xlfn.IFNA(VLOOKUP(B10,Worksheet!$C$3:$G$46,4,FALSE),E10)</f>
        <v>10</v>
      </c>
      <c r="F10" s="299">
        <f ca="1">_xlfn.IFNA(VLOOKUP(B10,Worksheet!$C$3:$G$46,5,FALSE),F10)</f>
        <v>6</v>
      </c>
      <c r="G10" s="205" t="s">
        <v>150</v>
      </c>
    </row>
    <row r="11" spans="1:7" ht="45" hidden="1" customHeight="1" x14ac:dyDescent="0.25">
      <c r="A11" s="224"/>
      <c r="B11" s="236">
        <v>1114</v>
      </c>
      <c r="C11" s="241" t="s">
        <v>3808</v>
      </c>
      <c r="D11" s="299">
        <f ca="1">_xlfn.IFNA(VLOOKUP(B11,Worksheet!$C$3:$G$46,3,FALSE),D11)</f>
        <v>65</v>
      </c>
      <c r="E11" s="299">
        <f ca="1">_xlfn.IFNA(VLOOKUP(B11,Worksheet!$C$3:$G$46,4,FALSE),E11)</f>
        <v>89</v>
      </c>
      <c r="F11" s="299">
        <f ca="1">_xlfn.IFNA(VLOOKUP(B11,Worksheet!$C$3:$G$46,5,FALSE),F11)</f>
        <v>54</v>
      </c>
      <c r="G11" s="205" t="s">
        <v>150</v>
      </c>
    </row>
    <row r="12" spans="1:7" ht="45" hidden="1" customHeight="1" x14ac:dyDescent="0.25">
      <c r="A12" s="224"/>
      <c r="B12" s="236">
        <v>1115</v>
      </c>
      <c r="C12" s="240" t="s">
        <v>3809</v>
      </c>
      <c r="D12" s="299">
        <f ca="1">_xlfn.IFNA(VLOOKUP(B12,Worksheet!$C$3:$G$46,3,FALSE),D12)</f>
        <v>65</v>
      </c>
      <c r="E12" s="299">
        <f ca="1">_xlfn.IFNA(VLOOKUP(B12,Worksheet!$C$3:$G$46,4,FALSE),E12)</f>
        <v>89</v>
      </c>
      <c r="F12" s="299">
        <f ca="1">_xlfn.IFNA(VLOOKUP(B12,Worksheet!$C$3:$G$46,5,FALSE),F12)</f>
        <v>54</v>
      </c>
      <c r="G12" s="205" t="s">
        <v>150</v>
      </c>
    </row>
    <row r="13" spans="1:7" ht="45" hidden="1" customHeight="1" x14ac:dyDescent="0.25">
      <c r="A13" s="224" t="s">
        <v>3810</v>
      </c>
      <c r="B13" s="236">
        <v>1116</v>
      </c>
      <c r="C13" s="240" t="s">
        <v>3811</v>
      </c>
      <c r="D13" s="299">
        <f ca="1">_xlfn.IFNA(VLOOKUP(B13,Worksheet!$C$3:$G$46,3,FALSE),D13)</f>
        <v>65</v>
      </c>
      <c r="E13" s="299">
        <f ca="1">_xlfn.IFNA(VLOOKUP(B13,Worksheet!$C$3:$G$46,4,FALSE),E13)</f>
        <v>89</v>
      </c>
      <c r="F13" s="299">
        <f ca="1">_xlfn.IFNA(VLOOKUP(B13,Worksheet!$C$3:$G$46,5,FALSE),F13)</f>
        <v>54</v>
      </c>
      <c r="G13" s="205" t="s">
        <v>150</v>
      </c>
    </row>
    <row r="14" spans="1:7" ht="45" hidden="1" customHeight="1" x14ac:dyDescent="0.25">
      <c r="A14" s="224"/>
      <c r="B14" s="236">
        <v>1117</v>
      </c>
      <c r="C14" s="240" t="s">
        <v>3812</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65</v>
      </c>
      <c r="E15" s="300">
        <f t="shared" ref="E15:F15" ca="1" si="0">E13</f>
        <v>89</v>
      </c>
      <c r="F15" s="300">
        <f t="shared" ca="1" si="0"/>
        <v>54</v>
      </c>
      <c r="G15" s="205"/>
    </row>
    <row r="16" spans="1:7" ht="45" hidden="1" customHeight="1" x14ac:dyDescent="0.25">
      <c r="A16" s="224"/>
      <c r="B16" s="236">
        <v>1122</v>
      </c>
      <c r="C16" s="241" t="s">
        <v>3813</v>
      </c>
      <c r="D16" s="299">
        <f ca="1">_xlfn.IFNA(VLOOKUP(B16,Worksheet!$C$3:$G$46,3,FALSE),D16)</f>
        <v>65</v>
      </c>
      <c r="E16" s="299">
        <f ca="1">_xlfn.IFNA(VLOOKUP(B16,Worksheet!$C$3:$G$46,4,FALSE),E16)</f>
        <v>89</v>
      </c>
      <c r="F16" s="299">
        <f ca="1">_xlfn.IFNA(VLOOKUP(B16,Worksheet!$C$3:$G$46,5,FALSE),F16)</f>
        <v>54</v>
      </c>
      <c r="G16" s="205" t="s">
        <v>150</v>
      </c>
    </row>
    <row r="17" spans="1:7" ht="45" hidden="1" customHeight="1" x14ac:dyDescent="0.25">
      <c r="A17" s="224"/>
      <c r="B17" s="236">
        <v>1123</v>
      </c>
      <c r="C17" s="240" t="s">
        <v>3814</v>
      </c>
      <c r="D17" s="299">
        <f ca="1">_xlfn.IFNA(VLOOKUP(B17,Worksheet!$C$3:$G$46,3,FALSE),D17)</f>
        <v>65</v>
      </c>
      <c r="E17" s="299">
        <f ca="1">_xlfn.IFNA(VLOOKUP(B17,Worksheet!$C$3:$G$46,4,FALSE),E17)</f>
        <v>89</v>
      </c>
      <c r="F17" s="299">
        <f ca="1">_xlfn.IFNA(VLOOKUP(B17,Worksheet!$C$3:$G$46,5,FALSE),F17)</f>
        <v>54</v>
      </c>
      <c r="G17" s="205" t="s">
        <v>150</v>
      </c>
    </row>
    <row r="18" spans="1:7" ht="45" hidden="1" customHeight="1" x14ac:dyDescent="0.25">
      <c r="A18" s="224"/>
      <c r="B18" s="236">
        <v>1124</v>
      </c>
      <c r="C18" s="240" t="s">
        <v>3815</v>
      </c>
      <c r="D18" s="299">
        <f ca="1">_xlfn.IFNA(VLOOKUP(B18,Worksheet!$C$3:$G$46,3,FALSE),D18)</f>
        <v>65</v>
      </c>
      <c r="E18" s="299">
        <f ca="1">_xlfn.IFNA(VLOOKUP(B18,Worksheet!$C$3:$G$46,4,FALSE),E18)</f>
        <v>89</v>
      </c>
      <c r="F18" s="299">
        <f ca="1">_xlfn.IFNA(VLOOKUP(B18,Worksheet!$C$3:$G$46,5,FALSE),F18)</f>
        <v>54</v>
      </c>
      <c r="G18" s="205" t="s">
        <v>150</v>
      </c>
    </row>
    <row r="19" spans="1:7" ht="45" hidden="1" customHeight="1" x14ac:dyDescent="0.25">
      <c r="A19" s="224"/>
      <c r="B19" s="236">
        <v>1125</v>
      </c>
      <c r="C19" s="240" t="s">
        <v>3816</v>
      </c>
      <c r="D19" s="299">
        <f ca="1">_xlfn.IFNA(VLOOKUP(B19,Worksheet!$C$3:$G$46,3,FALSE),D19)</f>
        <v>5</v>
      </c>
      <c r="E19" s="299">
        <f ca="1">_xlfn.IFNA(VLOOKUP(B19,Worksheet!$C$3:$G$46,4,FALSE),E19)</f>
        <v>0</v>
      </c>
      <c r="F19" s="299">
        <f ca="1">_xlfn.IFNA(VLOOKUP(B19,Worksheet!$C$3:$G$46,5,FALSE),F19)</f>
        <v>0</v>
      </c>
      <c r="G19" s="205" t="s">
        <v>150</v>
      </c>
    </row>
    <row r="20" spans="1:7" ht="45" hidden="1" customHeight="1" x14ac:dyDescent="0.25">
      <c r="A20" s="224"/>
      <c r="B20" s="236">
        <v>1126</v>
      </c>
      <c r="C20" s="240" t="s">
        <v>3817</v>
      </c>
      <c r="D20" s="299">
        <f ca="1">_xlfn.IFNA(VLOOKUP(B20,Worksheet!$C$3:$G$46,3,FALSE),D20)</f>
        <v>5</v>
      </c>
      <c r="E20" s="299">
        <f ca="1">_xlfn.IFNA(VLOOKUP(B20,Worksheet!$C$3:$G$46,4,FALSE),E20)</f>
        <v>0</v>
      </c>
      <c r="F20" s="299">
        <f ca="1">_xlfn.IFNA(VLOOKUP(B20,Worksheet!$C$3:$G$46,5,FALSE),F20)</f>
        <v>0</v>
      </c>
      <c r="G20" s="205" t="s">
        <v>150</v>
      </c>
    </row>
    <row r="21" spans="1:7" ht="45" hidden="1" customHeight="1" x14ac:dyDescent="0.25">
      <c r="A21" s="224"/>
      <c r="B21" s="236">
        <v>1127</v>
      </c>
      <c r="C21" s="240" t="s">
        <v>3818</v>
      </c>
      <c r="D21" s="299">
        <f ca="1">_xlfn.IFNA(VLOOKUP(B21,Worksheet!$C$3:$G$46,3,FALSE),D21)</f>
        <v>5</v>
      </c>
      <c r="E21" s="299">
        <f ca="1">_xlfn.IFNA(VLOOKUP(B21,Worksheet!$C$3:$G$46,4,FALSE),E21)</f>
        <v>0</v>
      </c>
      <c r="F21" s="299">
        <f ca="1">_xlfn.IFNA(VLOOKUP(B21,Worksheet!$C$3:$G$46,5,FALSE),F21)</f>
        <v>0</v>
      </c>
      <c r="G21" s="205" t="s">
        <v>150</v>
      </c>
    </row>
    <row r="22" spans="1:7" ht="45" hidden="1" customHeight="1" x14ac:dyDescent="0.25">
      <c r="A22" s="224"/>
      <c r="B22" s="236"/>
      <c r="C22" s="243" t="s">
        <v>3986</v>
      </c>
      <c r="D22" s="244"/>
      <c r="E22" s="244"/>
      <c r="F22" s="245"/>
      <c r="G22" s="205" t="s">
        <v>150</v>
      </c>
    </row>
    <row r="23" spans="1:7" ht="45" hidden="1" customHeight="1" x14ac:dyDescent="0.25">
      <c r="A23" s="224"/>
      <c r="B23" s="236">
        <v>1131</v>
      </c>
      <c r="C23" s="240" t="s">
        <v>3819</v>
      </c>
      <c r="D23" s="299">
        <f ca="1">_xlfn.IFNA(VLOOKUP(B23,Worksheet!$C$3:$G$46,3,FALSE),D23)</f>
        <v>24</v>
      </c>
      <c r="E23" s="299">
        <f ca="1">_xlfn.IFNA(VLOOKUP(B23,Worksheet!$C$3:$G$46,4,FALSE),E23)</f>
        <v>23</v>
      </c>
      <c r="F23" s="299">
        <f ca="1">_xlfn.IFNA(VLOOKUP(B23,Worksheet!$C$3:$G$46,5,FALSE),F23)</f>
        <v>10</v>
      </c>
      <c r="G23" s="205" t="s">
        <v>150</v>
      </c>
    </row>
    <row r="24" spans="1:7" ht="45" hidden="1" customHeight="1" x14ac:dyDescent="0.25">
      <c r="A24" s="224"/>
      <c r="B24" s="236">
        <v>1132</v>
      </c>
      <c r="C24" s="240" t="s">
        <v>3820</v>
      </c>
      <c r="D24" s="299">
        <f ca="1">_xlfn.IFNA(VLOOKUP(B24,Worksheet!$C$3:$G$46,3,FALSE),D24)</f>
        <v>41</v>
      </c>
      <c r="E24" s="299">
        <f ca="1">_xlfn.IFNA(VLOOKUP(B24,Worksheet!$C$3:$G$46,4,FALSE),E24)</f>
        <v>66</v>
      </c>
      <c r="F24" s="299">
        <f ca="1">_xlfn.IFNA(VLOOKUP(B24,Worksheet!$C$3:$G$46,5,FALSE),F24)</f>
        <v>44</v>
      </c>
      <c r="G24" s="205" t="s">
        <v>150</v>
      </c>
    </row>
    <row r="25" spans="1:7" ht="45" hidden="1" customHeight="1" x14ac:dyDescent="0.25">
      <c r="A25" s="224"/>
      <c r="B25" s="236">
        <v>1133</v>
      </c>
      <c r="C25" s="240" t="s">
        <v>3821</v>
      </c>
      <c r="D25" s="299">
        <f ca="1">_xlfn.IFNA(VLOOKUP(B25,Worksheet!$C$3:$G$46,3,FALSE),D25)</f>
        <v>54</v>
      </c>
      <c r="E25" s="299">
        <f ca="1">_xlfn.IFNA(VLOOKUP(B25,Worksheet!$C$3:$G$46,4,FALSE),E25)</f>
        <v>58</v>
      </c>
      <c r="F25" s="299">
        <f ca="1">_xlfn.IFNA(VLOOKUP(B25,Worksheet!$C$3:$G$46,5,FALSE),F25)</f>
        <v>49</v>
      </c>
      <c r="G25" s="205" t="s">
        <v>150</v>
      </c>
    </row>
    <row r="26" spans="1:7" ht="45" hidden="1" customHeight="1" x14ac:dyDescent="0.25">
      <c r="A26" s="224"/>
      <c r="B26" s="236">
        <v>1134</v>
      </c>
      <c r="C26" s="240" t="s">
        <v>3822</v>
      </c>
      <c r="D26" s="299">
        <f ca="1">_xlfn.IFNA(VLOOKUP(B26,Worksheet!$C$3:$G$46,3,FALSE),D26)</f>
        <v>11</v>
      </c>
      <c r="E26" s="299">
        <f ca="1">_xlfn.IFNA(VLOOKUP(B26,Worksheet!$C$3:$G$46,4,FALSE),E26)</f>
        <v>31</v>
      </c>
      <c r="F26" s="299">
        <f ca="1">_xlfn.IFNA(VLOOKUP(B26,Worksheet!$C$3:$G$46,5,FALSE),F26)</f>
        <v>5</v>
      </c>
      <c r="G26" s="205" t="s">
        <v>150</v>
      </c>
    </row>
    <row r="27" spans="1:7" ht="45" hidden="1" customHeight="1" x14ac:dyDescent="0.25">
      <c r="A27" s="224"/>
      <c r="B27" s="236">
        <v>1135</v>
      </c>
      <c r="C27" s="240" t="s">
        <v>3823</v>
      </c>
      <c r="D27" s="299">
        <f ca="1">_xlfn.IFNA(VLOOKUP(B27,Worksheet!$C$3:$G$46,3,FALSE),D27)</f>
        <v>1</v>
      </c>
      <c r="E27" s="299">
        <f ca="1">_xlfn.IFNA(VLOOKUP(B27,Worksheet!$C$3:$G$46,4,FALSE),E27)</f>
        <v>0</v>
      </c>
      <c r="F27" s="299">
        <f ca="1">_xlfn.IFNA(VLOOKUP(B27,Worksheet!$C$3:$G$46,5,FALSE),F27)</f>
        <v>0</v>
      </c>
      <c r="G27" s="205" t="s">
        <v>150</v>
      </c>
    </row>
    <row r="28" spans="1:7" ht="45" hidden="1" customHeight="1" x14ac:dyDescent="0.25">
      <c r="A28" s="224"/>
      <c r="B28" s="236">
        <v>1136</v>
      </c>
      <c r="C28" s="240" t="s">
        <v>3824</v>
      </c>
      <c r="D28" s="299">
        <f ca="1">_xlfn.IFNA(VLOOKUP(B28,Worksheet!$C$3:$G$46,3,FALSE),D28)</f>
        <v>64</v>
      </c>
      <c r="E28" s="299">
        <f ca="1">_xlfn.IFNA(VLOOKUP(B28,Worksheet!$C$3:$G$46,4,FALSE),E28)</f>
        <v>89</v>
      </c>
      <c r="F28" s="299">
        <f ca="1">_xlfn.IFNA(VLOOKUP(B28,Worksheet!$C$3:$G$46,5,FALSE),F28)</f>
        <v>54</v>
      </c>
      <c r="G28" s="205" t="s">
        <v>150</v>
      </c>
    </row>
    <row r="29" spans="1:7" ht="45" hidden="1" customHeight="1" x14ac:dyDescent="0.25">
      <c r="A29" s="224"/>
      <c r="B29" s="236">
        <v>1137</v>
      </c>
      <c r="C29" s="240" t="s">
        <v>3825</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3826</v>
      </c>
      <c r="D30" s="299">
        <f ca="1">_xlfn.IFNA(VLOOKUP(B30,Worksheet!$C$3:$G$46,3,FALSE),D30)</f>
        <v>5</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3827</v>
      </c>
      <c r="D31" s="300">
        <f ca="1">D13</f>
        <v>65</v>
      </c>
      <c r="E31" s="300">
        <f ca="1">E13</f>
        <v>89</v>
      </c>
      <c r="F31" s="300">
        <f ca="1">F13</f>
        <v>54</v>
      </c>
      <c r="G31" s="205"/>
    </row>
    <row r="32" spans="1:7" ht="45" hidden="1" customHeight="1" x14ac:dyDescent="0.25">
      <c r="A32" s="224"/>
      <c r="B32" s="236">
        <v>1142</v>
      </c>
      <c r="C32" s="241" t="s">
        <v>3828</v>
      </c>
      <c r="D32" s="300">
        <f ca="1">D18</f>
        <v>65</v>
      </c>
      <c r="E32" s="300">
        <f ca="1">E18</f>
        <v>89</v>
      </c>
      <c r="F32" s="300">
        <f ca="1">F18</f>
        <v>54</v>
      </c>
      <c r="G32" s="205"/>
    </row>
    <row r="33" spans="1:7" ht="45" hidden="1" customHeight="1" x14ac:dyDescent="0.25">
      <c r="A33" s="224"/>
      <c r="B33" s="236">
        <v>1143</v>
      </c>
      <c r="C33" s="240" t="s">
        <v>3829</v>
      </c>
      <c r="D33" s="299">
        <f ca="1">_xlfn.IFNA(VLOOKUP(B33,Worksheet!$C$3:$G$46,3,FALSE),D33)</f>
        <v>65</v>
      </c>
      <c r="E33" s="299">
        <f ca="1">_xlfn.IFNA(VLOOKUP(B33,Worksheet!$C$3:$G$46,4,FALSE),E33)</f>
        <v>89</v>
      </c>
      <c r="F33" s="299">
        <f ca="1">_xlfn.IFNA(VLOOKUP(B33,Worksheet!$C$3:$G$46,5,FALSE),F33)</f>
        <v>54</v>
      </c>
      <c r="G33" s="205" t="s">
        <v>150</v>
      </c>
    </row>
    <row r="34" spans="1:7" ht="45" hidden="1" customHeight="1" x14ac:dyDescent="0.25">
      <c r="A34" s="224"/>
      <c r="B34" s="236">
        <v>1144</v>
      </c>
      <c r="C34" s="240" t="s">
        <v>3830</v>
      </c>
      <c r="D34" s="299">
        <f ca="1">_xlfn.IFNA(VLOOKUP(B34,Worksheet!$C$3:$G$46,3,FALSE),D34)</f>
        <v>5</v>
      </c>
      <c r="E34" s="299">
        <f ca="1">_xlfn.IFNA(VLOOKUP(B34,Worksheet!$C$3:$G$46,4,FALSE),E34)</f>
        <v>0</v>
      </c>
      <c r="F34" s="299">
        <f ca="1">_xlfn.IFNA(VLOOKUP(B34,Worksheet!$C$3:$G$46,5,FALSE),F34)</f>
        <v>0</v>
      </c>
      <c r="G34" s="205" t="s">
        <v>150</v>
      </c>
    </row>
    <row r="35" spans="1:7" ht="45" hidden="1" customHeight="1" x14ac:dyDescent="0.25">
      <c r="A35" s="224"/>
      <c r="B35" s="236">
        <v>1145</v>
      </c>
      <c r="C35" s="240" t="s">
        <v>3831</v>
      </c>
      <c r="D35" s="299">
        <f ca="1">_xlfn.IFNA(VLOOKUP(B35,Worksheet!$C$3:$G$46,3,FALSE),D35)</f>
        <v>65</v>
      </c>
      <c r="E35" s="299">
        <f ca="1">_xlfn.IFNA(VLOOKUP(B35,Worksheet!$C$3:$G$46,4,FALSE),E35)</f>
        <v>0</v>
      </c>
      <c r="F35" s="299">
        <f ca="1">_xlfn.IFNA(VLOOKUP(B35,Worksheet!$C$3:$G$46,5,FALSE),F35)</f>
        <v>0</v>
      </c>
      <c r="G35" s="205" t="s">
        <v>150</v>
      </c>
    </row>
    <row r="36" spans="1:7" ht="45" hidden="1" customHeight="1" x14ac:dyDescent="0.25">
      <c r="A36" s="224"/>
      <c r="B36" s="236">
        <v>1151</v>
      </c>
      <c r="C36" s="246" t="s">
        <v>3832</v>
      </c>
      <c r="D36" s="247">
        <f ca="1">D37/D38</f>
        <v>1</v>
      </c>
      <c r="E36" s="247" t="e">
        <f t="shared" ref="E36:F36" ca="1" si="1">E37/E38</f>
        <v>#DIV/0!</v>
      </c>
      <c r="F36" s="247" t="e">
        <f t="shared" ca="1" si="1"/>
        <v>#DIV/0!</v>
      </c>
      <c r="G36" s="205"/>
    </row>
    <row r="37" spans="1:7" ht="45" hidden="1" customHeight="1" x14ac:dyDescent="0.25">
      <c r="A37" s="224"/>
      <c r="B37" s="236">
        <v>1152</v>
      </c>
      <c r="C37" s="240" t="s">
        <v>3833</v>
      </c>
      <c r="D37" s="299">
        <f ca="1">_xlfn.IFNA(VLOOKUP(B37,Worksheet!$C$3:$G$46,3,FALSE),D37)</f>
        <v>54</v>
      </c>
      <c r="E37" s="299">
        <f ca="1">_xlfn.IFNA(VLOOKUP(B37,Worksheet!$C$3:$G$46,4,FALSE),E37)</f>
        <v>58</v>
      </c>
      <c r="F37" s="299">
        <f ca="1">_xlfn.IFNA(VLOOKUP(B37,Worksheet!$C$3:$G$46,5,FALSE),F37)</f>
        <v>49</v>
      </c>
      <c r="G37" s="205" t="s">
        <v>150</v>
      </c>
    </row>
    <row r="38" spans="1:7" ht="45" hidden="1" customHeight="1" x14ac:dyDescent="0.25">
      <c r="A38" s="224"/>
      <c r="B38" s="236">
        <v>1153</v>
      </c>
      <c r="C38" s="240" t="s">
        <v>3834</v>
      </c>
      <c r="D38" s="299">
        <f ca="1">_xlfn.IFNA(VLOOKUP(B38,Worksheet!$C$3:$G$46,3,FALSE),D38)</f>
        <v>54</v>
      </c>
      <c r="E38" s="299">
        <f ca="1">_xlfn.IFNA(VLOOKUP(B38,Worksheet!$C$3:$G$46,4,FALSE),E38)</f>
        <v>0</v>
      </c>
      <c r="F38" s="299">
        <f ca="1">_xlfn.IFNA(VLOOKUP(B38,Worksheet!$C$3:$G$46,5,FALSE),F38)</f>
        <v>0</v>
      </c>
      <c r="G38" s="205" t="s">
        <v>150</v>
      </c>
    </row>
    <row r="39" spans="1:7" ht="45" hidden="1" customHeight="1" x14ac:dyDescent="0.25">
      <c r="A39" s="224"/>
      <c r="B39" s="236">
        <v>1154</v>
      </c>
      <c r="C39" s="246" t="s">
        <v>3835</v>
      </c>
      <c r="D39" s="247">
        <f ca="1">D40/D41</f>
        <v>1</v>
      </c>
      <c r="E39" s="247" t="e">
        <f t="shared" ref="E39:F39" ca="1" si="2">E40/E41</f>
        <v>#DIV/0!</v>
      </c>
      <c r="F39" s="247" t="e">
        <f t="shared" ca="1" si="2"/>
        <v>#DIV/0!</v>
      </c>
      <c r="G39" s="205"/>
    </row>
    <row r="40" spans="1:7" ht="45" hidden="1" customHeight="1" x14ac:dyDescent="0.25">
      <c r="A40" s="224"/>
      <c r="B40" s="236">
        <v>1155</v>
      </c>
      <c r="C40" s="240" t="s">
        <v>3833</v>
      </c>
      <c r="D40" s="299">
        <f ca="1">_xlfn.IFNA(VLOOKUP(B40,Worksheet!$C$3:$G$46,3,FALSE),D40)</f>
        <v>54</v>
      </c>
      <c r="E40" s="299">
        <f ca="1">_xlfn.IFNA(VLOOKUP(B40,Worksheet!$C$3:$G$46,4,FALSE),E40)</f>
        <v>58</v>
      </c>
      <c r="F40" s="299">
        <f ca="1">_xlfn.IFNA(VLOOKUP(B40,Worksheet!$C$3:$G$46,5,FALSE),F40)</f>
        <v>49</v>
      </c>
      <c r="G40" s="205" t="s">
        <v>150</v>
      </c>
    </row>
    <row r="41" spans="1:7" ht="45" hidden="1" customHeight="1" x14ac:dyDescent="0.25">
      <c r="A41" s="224"/>
      <c r="B41" s="236">
        <v>1156</v>
      </c>
      <c r="C41" s="240" t="s">
        <v>3836</v>
      </c>
      <c r="D41" s="299">
        <f ca="1">_xlfn.IFNA(VLOOKUP(B41,Worksheet!$C$3:$G$46,3,FALSE),D41)</f>
        <v>54</v>
      </c>
      <c r="E41" s="299">
        <f ca="1">_xlfn.IFNA(VLOOKUP(B41,Worksheet!$C$3:$G$46,4,FALSE),E41)</f>
        <v>0</v>
      </c>
      <c r="F41" s="299">
        <f ca="1">_xlfn.IFNA(VLOOKUP(B41,Worksheet!$C$3:$G$46,5,FALSE),F41)</f>
        <v>0</v>
      </c>
      <c r="G41" s="205" t="s">
        <v>150</v>
      </c>
    </row>
    <row r="42" spans="1:7" ht="45" hidden="1" customHeight="1" x14ac:dyDescent="0.25">
      <c r="A42" s="224"/>
      <c r="B42" s="236">
        <v>1157</v>
      </c>
      <c r="C42" s="246" t="s">
        <v>3837</v>
      </c>
      <c r="D42" s="247" t="e">
        <f ca="1">D43/D44</f>
        <v>#DIV/0!</v>
      </c>
      <c r="E42" s="247" t="e">
        <f t="shared" ref="E42:F42" ca="1" si="3">E43/E44</f>
        <v>#DIV/0!</v>
      </c>
      <c r="F42" s="247" t="e">
        <f t="shared" ca="1" si="3"/>
        <v>#DIV/0!</v>
      </c>
      <c r="G42" s="205"/>
    </row>
    <row r="43" spans="1:7" ht="45" hidden="1" customHeight="1" x14ac:dyDescent="0.25">
      <c r="A43" s="224"/>
      <c r="B43" s="236">
        <v>1158</v>
      </c>
      <c r="C43" s="240" t="s">
        <v>3838</v>
      </c>
      <c r="D43" s="299">
        <f ca="1">_xlfn.IFNA(VLOOKUP(B43,Worksheet!$C$3:$G$46,3,FALSE),D43)</f>
        <v>0</v>
      </c>
      <c r="E43" s="299">
        <f ca="1">_xlfn.IFNA(VLOOKUP(B43,Worksheet!$C$3:$G$46,4,FALSE),E43)</f>
        <v>0</v>
      </c>
      <c r="F43" s="299">
        <f ca="1">_xlfn.IFNA(VLOOKUP(B43,Worksheet!$C$3:$G$46,5,FALSE),F43)</f>
        <v>0</v>
      </c>
      <c r="G43" s="205" t="s">
        <v>150</v>
      </c>
    </row>
    <row r="44" spans="1:7" s="248" customFormat="1" ht="45" hidden="1" customHeight="1" x14ac:dyDescent="0.25">
      <c r="A44" s="224"/>
      <c r="B44" s="236">
        <v>1159</v>
      </c>
      <c r="C44" s="240" t="s">
        <v>3839</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3987</v>
      </c>
      <c r="D46" s="226"/>
      <c r="E46" s="229"/>
      <c r="F46" s="298">
        <f>_xlfn.IFNA(VLOOKUP(B46,Worksheet!$C$3:$G$46,5,FALSE),F46)</f>
        <v>19</v>
      </c>
      <c r="G46" s="205" t="s">
        <v>83</v>
      </c>
    </row>
    <row r="47" spans="1:7" s="248" customFormat="1" ht="45" customHeight="1" x14ac:dyDescent="0.25">
      <c r="A47" s="224"/>
      <c r="B47" s="255" t="s">
        <v>4014</v>
      </c>
      <c r="C47" s="226" t="s">
        <v>3975</v>
      </c>
      <c r="D47" s="230"/>
      <c r="E47" s="229"/>
      <c r="F47" s="298">
        <f ca="1">_xlfn.IFNA(VLOOKUP(B47,Worksheet!$C$3:$G$46,5,FALSE),F47)</f>
        <v>0</v>
      </c>
      <c r="G47" s="205" t="s">
        <v>83</v>
      </c>
    </row>
    <row r="48" spans="1:7" ht="45" customHeight="1" x14ac:dyDescent="0.25">
      <c r="A48" s="224"/>
      <c r="B48" s="255" t="s">
        <v>4015</v>
      </c>
      <c r="C48" s="226" t="s">
        <v>3976</v>
      </c>
      <c r="D48" s="226"/>
      <c r="E48" s="256"/>
      <c r="F48" s="298">
        <f ca="1">_xlfn.IFNA(VLOOKUP(B48,Worksheet!$C$3:$G$46,5,FALSE),F48)</f>
        <v>0</v>
      </c>
      <c r="G48" s="205" t="s">
        <v>83</v>
      </c>
    </row>
    <row r="49" spans="1:7" ht="45" customHeight="1" x14ac:dyDescent="0.25">
      <c r="A49" s="224"/>
      <c r="B49" s="257" t="s">
        <v>4016</v>
      </c>
      <c r="C49" s="258" t="s">
        <v>3988</v>
      </c>
      <c r="D49" s="233"/>
      <c r="E49" s="259"/>
      <c r="F49" s="235">
        <f>_xlfn.IFNA(VLOOKUP(F46,Data_donotedit!$BE$2:$BG$25,3,TRUE),0)</f>
        <v>20</v>
      </c>
      <c r="G49" s="205" t="s">
        <v>83</v>
      </c>
    </row>
    <row r="50" spans="1:7" ht="45" customHeight="1" x14ac:dyDescent="0.25">
      <c r="A50" s="224"/>
      <c r="B50" s="236"/>
      <c r="C50" s="260" t="s">
        <v>3840</v>
      </c>
      <c r="D50" s="238" t="s">
        <v>76</v>
      </c>
      <c r="E50" s="238" t="s">
        <v>77</v>
      </c>
      <c r="F50" s="239" t="s">
        <v>78</v>
      </c>
      <c r="G50" s="205" t="s">
        <v>83</v>
      </c>
    </row>
    <row r="51" spans="1:7" ht="45" customHeight="1" x14ac:dyDescent="0.25">
      <c r="A51" s="261" t="s">
        <v>3841</v>
      </c>
      <c r="B51" s="236">
        <v>1211</v>
      </c>
      <c r="C51" s="240" t="s">
        <v>3842</v>
      </c>
      <c r="D51" s="299">
        <f>_xlfn.IFNA(VLOOKUP(B51,Worksheet!$C$3:$G$46,3,FALSE),D51)</f>
        <v>1</v>
      </c>
      <c r="E51" s="299">
        <f ca="1">_xlfn.IFNA(VLOOKUP(B51,Worksheet!$C$3:$G$46,4,FALSE),E51)</f>
        <v>0</v>
      </c>
      <c r="F51" s="299">
        <f ca="1">_xlfn.IFNA(VLOOKUP(B51,Worksheet!$C$3:$G$46,5,FALSE),F51)</f>
        <v>0</v>
      </c>
      <c r="G51" s="205" t="s">
        <v>83</v>
      </c>
    </row>
    <row r="52" spans="1:7" ht="45" customHeight="1" x14ac:dyDescent="0.25">
      <c r="A52" s="261" t="s">
        <v>3843</v>
      </c>
      <c r="B52" s="236">
        <v>1212</v>
      </c>
      <c r="C52" s="240" t="s">
        <v>3844</v>
      </c>
      <c r="D52" s="299">
        <f>_xlfn.IFNA(VLOOKUP(B52,Worksheet!$C$3:$G$46,3,FALSE),D52)</f>
        <v>1</v>
      </c>
      <c r="E52" s="299">
        <f ca="1">_xlfn.IFNA(VLOOKUP(B52,Worksheet!$C$3:$G$46,4,FALSE),E52)</f>
        <v>0</v>
      </c>
      <c r="F52" s="299">
        <f ca="1">_xlfn.IFNA(VLOOKUP(B52,Worksheet!$C$3:$G$46,5,FALSE),F52)</f>
        <v>0</v>
      </c>
      <c r="G52" s="205" t="s">
        <v>83</v>
      </c>
    </row>
    <row r="53" spans="1:7" ht="45" customHeight="1" x14ac:dyDescent="0.25">
      <c r="A53" s="224"/>
      <c r="B53" s="236">
        <v>1213</v>
      </c>
      <c r="C53" s="240" t="s">
        <v>3845</v>
      </c>
      <c r="D53" s="299">
        <f>_xlfn.IFNA(VLOOKUP(B53,Worksheet!$C$3:$G$46,3,FALSE),D53)</f>
        <v>1</v>
      </c>
      <c r="E53" s="299">
        <f>_xlfn.IFNA(VLOOKUP(B53,Worksheet!$C$3:$G$46,4,FALSE),E53)</f>
        <v>1</v>
      </c>
      <c r="F53" s="299">
        <f>_xlfn.IFNA(VLOOKUP(B53,Worksheet!$C$3:$G$46,5,FALSE),F53)</f>
        <v>1</v>
      </c>
      <c r="G53" s="205" t="s">
        <v>83</v>
      </c>
    </row>
    <row r="54" spans="1:7" ht="45" customHeight="1" x14ac:dyDescent="0.25">
      <c r="A54" s="224"/>
      <c r="B54" s="236">
        <v>1214</v>
      </c>
      <c r="C54" s="262" t="s">
        <v>3846</v>
      </c>
      <c r="D54" s="299">
        <f>_xlfn.IFNA(VLOOKUP(B54,Worksheet!$C$3:$G$46,3,FALSE),D54)</f>
        <v>7</v>
      </c>
      <c r="E54" s="299">
        <f>_xlfn.IFNA(VLOOKUP(B54,Worksheet!$C$3:$G$46,4,FALSE),E54)</f>
        <v>7</v>
      </c>
      <c r="F54" s="299">
        <f>_xlfn.IFNA(VLOOKUP(B54,Worksheet!$C$3:$G$46,5,FALSE),F54)</f>
        <v>5</v>
      </c>
      <c r="G54" s="205" t="s">
        <v>83</v>
      </c>
    </row>
    <row r="55" spans="1:7" ht="45" customHeight="1" x14ac:dyDescent="0.25">
      <c r="A55" s="224"/>
      <c r="B55" s="236">
        <v>1215</v>
      </c>
      <c r="C55" s="240" t="s">
        <v>3847</v>
      </c>
      <c r="D55" s="299">
        <f>_xlfn.IFNA(VLOOKUP(B55,Worksheet!$C$3:$G$46,3,FALSE),D55)</f>
        <v>1</v>
      </c>
      <c r="E55" s="299">
        <f>_xlfn.IFNA(VLOOKUP(B55,Worksheet!$C$3:$G$46,4,FALSE),E55)</f>
        <v>1</v>
      </c>
      <c r="F55" s="299">
        <f>_xlfn.IFNA(VLOOKUP(B55,Worksheet!$C$3:$G$46,5,FALSE),F55)</f>
        <v>1</v>
      </c>
      <c r="G55" s="205" t="s">
        <v>83</v>
      </c>
    </row>
    <row r="56" spans="1:7" ht="45" customHeight="1" x14ac:dyDescent="0.25">
      <c r="A56" s="224"/>
      <c r="B56" s="236">
        <v>1216</v>
      </c>
      <c r="C56" s="241" t="s">
        <v>3848</v>
      </c>
      <c r="D56" s="299">
        <f>_xlfn.IFNA(VLOOKUP(B56,Worksheet!$C$3:$G$46,3,FALSE),D56)</f>
        <v>7</v>
      </c>
      <c r="E56" s="299">
        <f>_xlfn.IFNA(VLOOKUP(B56,Worksheet!$C$3:$G$46,4,FALSE),E56)</f>
        <v>7</v>
      </c>
      <c r="F56" s="299">
        <f>_xlfn.IFNA(VLOOKUP(B56,Worksheet!$C$3:$G$46,5,FALSE),F56)</f>
        <v>5</v>
      </c>
      <c r="G56" s="205" t="s">
        <v>83</v>
      </c>
    </row>
    <row r="57" spans="1:7" ht="45" customHeight="1" x14ac:dyDescent="0.25">
      <c r="A57" s="224"/>
      <c r="B57" s="236">
        <v>1217</v>
      </c>
      <c r="C57" s="241" t="s">
        <v>3849</v>
      </c>
      <c r="D57" s="299">
        <f>_xlfn.IFNA(VLOOKUP(B57,Worksheet!$C$3:$G$46,3,FALSE),D57)</f>
        <v>0</v>
      </c>
      <c r="E57" s="299">
        <f>_xlfn.IFNA(VLOOKUP(B57,Worksheet!$C$3:$G$46,4,FALSE),E57)</f>
        <v>0</v>
      </c>
      <c r="F57" s="299">
        <f>_xlfn.IFNA(VLOOKUP(B57,Worksheet!$C$3:$G$46,5,FALSE),F57)</f>
        <v>0</v>
      </c>
      <c r="G57" s="205" t="s">
        <v>83</v>
      </c>
    </row>
    <row r="58" spans="1:7" ht="45" customHeight="1" x14ac:dyDescent="0.25">
      <c r="A58" s="224"/>
      <c r="B58" s="236">
        <v>1218</v>
      </c>
      <c r="C58" s="241" t="s">
        <v>3850</v>
      </c>
      <c r="D58" s="299">
        <f>_xlfn.IFNA(VLOOKUP(B58,Worksheet!$C$3:$G$46,3,FALSE),D58)</f>
        <v>0</v>
      </c>
      <c r="E58" s="299">
        <f>_xlfn.IFNA(VLOOKUP(B58,Worksheet!$C$3:$G$46,4,FALSE),E58)</f>
        <v>0</v>
      </c>
      <c r="F58" s="299">
        <f>_xlfn.IFNA(VLOOKUP(B58,Worksheet!$C$3:$G$46,5,FALSE),F58)</f>
        <v>0</v>
      </c>
      <c r="G58" s="205" t="s">
        <v>83</v>
      </c>
    </row>
    <row r="59" spans="1:7" ht="45" customHeight="1" x14ac:dyDescent="0.25">
      <c r="A59" s="224"/>
      <c r="B59" s="236">
        <v>1221</v>
      </c>
      <c r="C59" s="262" t="s">
        <v>3851</v>
      </c>
      <c r="D59" s="299">
        <f>_xlfn.IFNA(VLOOKUP(B59,Worksheet!$C$3:$G$46,3,FALSE),D59)</f>
        <v>7</v>
      </c>
      <c r="E59" s="299">
        <f>_xlfn.IFNA(VLOOKUP(B59,Worksheet!$C$3:$G$46,4,FALSE),E59)</f>
        <v>7</v>
      </c>
      <c r="F59" s="299">
        <f>_xlfn.IFNA(VLOOKUP(B59,Worksheet!$C$3:$G$46,5,FALSE),F59)</f>
        <v>5</v>
      </c>
      <c r="G59" s="205" t="s">
        <v>83</v>
      </c>
    </row>
    <row r="60" spans="1:7" ht="45" customHeight="1" x14ac:dyDescent="0.25">
      <c r="A60" s="224"/>
      <c r="B60" s="236">
        <v>1222</v>
      </c>
      <c r="C60" s="262" t="s">
        <v>3852</v>
      </c>
      <c r="D60" s="299">
        <f>_xlfn.IFNA(VLOOKUP(B60,Worksheet!$C$3:$G$46,3,FALSE),D60)</f>
        <v>7</v>
      </c>
      <c r="E60" s="299">
        <f>_xlfn.IFNA(VLOOKUP(B60,Worksheet!$C$3:$G$46,4,FALSE),E60)</f>
        <v>7</v>
      </c>
      <c r="F60" s="299">
        <f>_xlfn.IFNA(VLOOKUP(B60,Worksheet!$C$3:$G$46,5,FALSE),F60)</f>
        <v>5</v>
      </c>
      <c r="G60" s="205" t="s">
        <v>83</v>
      </c>
    </row>
    <row r="61" spans="1:7" ht="45" customHeight="1" x14ac:dyDescent="0.25">
      <c r="A61" s="224"/>
      <c r="B61" s="236">
        <v>1223</v>
      </c>
      <c r="C61" s="262" t="s">
        <v>3853</v>
      </c>
      <c r="D61" s="299">
        <f>_xlfn.IFNA(VLOOKUP(B61,Worksheet!$C$3:$G$46,3,FALSE),D61)</f>
        <v>7</v>
      </c>
      <c r="E61" s="299">
        <f>_xlfn.IFNA(VLOOKUP(B61,Worksheet!$C$3:$G$46,4,FALSE),E61)</f>
        <v>7</v>
      </c>
      <c r="F61" s="299">
        <f>_xlfn.IFNA(VLOOKUP(B61,Worksheet!$C$3:$G$46,5,FALSE),F61)</f>
        <v>5</v>
      </c>
      <c r="G61" s="205" t="s">
        <v>83</v>
      </c>
    </row>
    <row r="62" spans="1:7" ht="54.6" customHeight="1" x14ac:dyDescent="0.25">
      <c r="A62" s="224"/>
      <c r="B62" s="236">
        <v>1224</v>
      </c>
      <c r="C62" s="262" t="s">
        <v>3854</v>
      </c>
      <c r="D62" s="299">
        <f>_xlfn.IFNA(VLOOKUP(B62,Worksheet!$C$3:$G$46,3,FALSE),D62)</f>
        <v>2</v>
      </c>
      <c r="E62" s="299">
        <f ca="1">_xlfn.IFNA(VLOOKUP(B62,Worksheet!$C$3:$G$46,4,FALSE),E62)</f>
        <v>0</v>
      </c>
      <c r="F62" s="299">
        <f ca="1">_xlfn.IFNA(VLOOKUP(B62,Worksheet!$C$3:$G$46,5,FALSE),F62)</f>
        <v>0</v>
      </c>
      <c r="G62" s="205" t="s">
        <v>83</v>
      </c>
    </row>
    <row r="63" spans="1:7" ht="66.599999999999994" customHeight="1" x14ac:dyDescent="0.25">
      <c r="A63" s="224"/>
      <c r="B63" s="236">
        <v>1225</v>
      </c>
      <c r="C63" s="262" t="s">
        <v>3855</v>
      </c>
      <c r="D63" s="299">
        <f>_xlfn.IFNA(VLOOKUP(B63,Worksheet!$C$3:$G$46,3,FALSE),D63)</f>
        <v>2</v>
      </c>
      <c r="E63" s="299">
        <f ca="1">_xlfn.IFNA(VLOOKUP(B63,Worksheet!$C$3:$G$46,4,FALSE),E63)</f>
        <v>0</v>
      </c>
      <c r="F63" s="299">
        <f ca="1">_xlfn.IFNA(VLOOKUP(B63,Worksheet!$C$3:$G$46,5,FALSE),F63)</f>
        <v>0</v>
      </c>
      <c r="G63" s="205" t="s">
        <v>83</v>
      </c>
    </row>
    <row r="64" spans="1:7" ht="45"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customHeight="1" x14ac:dyDescent="0.25">
      <c r="A66" s="224"/>
      <c r="B66" s="236"/>
      <c r="C66" s="243" t="s">
        <v>3989</v>
      </c>
      <c r="D66" s="244"/>
      <c r="E66" s="244"/>
      <c r="F66" s="245"/>
      <c r="G66" s="205" t="s">
        <v>83</v>
      </c>
    </row>
    <row r="67" spans="1:7" ht="45" customHeight="1" x14ac:dyDescent="0.25">
      <c r="A67" s="224"/>
      <c r="B67" s="236">
        <v>1231</v>
      </c>
      <c r="C67" s="240" t="s">
        <v>3858</v>
      </c>
      <c r="D67" s="299">
        <f>_xlfn.IFNA(VLOOKUP(B67,Worksheet!$C$3:$G$46,3,FALSE),D67)</f>
        <v>7</v>
      </c>
      <c r="E67" s="299">
        <f>_xlfn.IFNA(VLOOKUP(B67,Worksheet!$C$3:$G$46,4,FALSE),E67)</f>
        <v>7</v>
      </c>
      <c r="F67" s="299">
        <f>_xlfn.IFNA(VLOOKUP(B67,Worksheet!$C$3:$G$46,5,FALSE),F67)</f>
        <v>5</v>
      </c>
      <c r="G67" s="205" t="s">
        <v>83</v>
      </c>
    </row>
    <row r="68" spans="1:7" ht="42" customHeight="1" x14ac:dyDescent="0.25">
      <c r="A68" s="224"/>
      <c r="B68" s="236">
        <v>1232</v>
      </c>
      <c r="C68" s="240" t="s">
        <v>3859</v>
      </c>
      <c r="D68" s="299">
        <f>_xlfn.IFNA(VLOOKUP(B68,Worksheet!$C$3:$G$46,3,FALSE),D68)</f>
        <v>0</v>
      </c>
      <c r="E68" s="299">
        <f ca="1">_xlfn.IFNA(VLOOKUP(B68,Worksheet!$C$3:$G$46,4,FALSE),E68)</f>
        <v>0</v>
      </c>
      <c r="F68" s="299">
        <f ca="1">_xlfn.IFNA(VLOOKUP(B68,Worksheet!$C$3:$G$46,5,FALSE),F68)</f>
        <v>0</v>
      </c>
      <c r="G68" s="205" t="s">
        <v>83</v>
      </c>
    </row>
    <row r="69" spans="1:7" ht="44.45"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customHeight="1" x14ac:dyDescent="0.25">
      <c r="A71" s="224"/>
      <c r="B71" s="236">
        <v>1235</v>
      </c>
      <c r="C71" s="240" t="s">
        <v>3862</v>
      </c>
      <c r="D71" s="299">
        <f>_xlfn.IFNA(VLOOKUP(B71,Worksheet!$C$3:$G$46,3,FALSE),D71)</f>
        <v>2</v>
      </c>
      <c r="E71" s="299">
        <f ca="1">_xlfn.IFNA(VLOOKUP(B71,Worksheet!$C$3:$G$46,4,FALSE),E71)</f>
        <v>0</v>
      </c>
      <c r="F71" s="299">
        <f ca="1">_xlfn.IFNA(VLOOKUP(B71,Worksheet!$C$3:$G$46,5,FALSE),F71)</f>
        <v>0</v>
      </c>
      <c r="G71" s="205" t="s">
        <v>83</v>
      </c>
    </row>
    <row r="72" spans="1:7" ht="45"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customHeight="1" x14ac:dyDescent="0.25">
      <c r="A73" s="224"/>
      <c r="B73" s="236">
        <v>1241</v>
      </c>
      <c r="C73" s="240" t="s">
        <v>3864</v>
      </c>
      <c r="D73" s="299">
        <f>_xlfn.IFNA(VLOOKUP(B73,Worksheet!$C$3:$G$46,3,FALSE),D73)</f>
        <v>7</v>
      </c>
      <c r="E73" s="299">
        <f>_xlfn.IFNA(VLOOKUP(B73,Worksheet!$C$3:$G$46,4,FALSE),E73)</f>
        <v>7</v>
      </c>
      <c r="F73" s="299">
        <f>_xlfn.IFNA(VLOOKUP(B73,Worksheet!$C$3:$G$46,5,FALSE),F73)</f>
        <v>5</v>
      </c>
      <c r="G73" s="205" t="s">
        <v>83</v>
      </c>
    </row>
    <row r="74" spans="1:7" ht="45" customHeight="1" x14ac:dyDescent="0.25">
      <c r="A74" s="224"/>
      <c r="B74" s="236">
        <v>1242</v>
      </c>
      <c r="C74" s="240" t="s">
        <v>3865</v>
      </c>
      <c r="D74" s="299">
        <f>_xlfn.IFNA(VLOOKUP(B74,Worksheet!$C$3:$G$46,3,FALSE),D74)</f>
        <v>0</v>
      </c>
      <c r="E74" s="299">
        <f ca="1">_xlfn.IFNA(VLOOKUP(B74,Worksheet!$C$3:$G$46,4,FALSE),E74)</f>
        <v>0</v>
      </c>
      <c r="F74" s="299">
        <f ca="1">_xlfn.IFNA(VLOOKUP(B74,Worksheet!$C$3:$G$46,5,FALSE),F74)</f>
        <v>0</v>
      </c>
      <c r="G74" s="205" t="s">
        <v>83</v>
      </c>
    </row>
    <row r="75" spans="1:7" ht="45" customHeight="1" x14ac:dyDescent="0.25">
      <c r="A75" s="224"/>
      <c r="B75" s="236">
        <v>1243</v>
      </c>
      <c r="C75" s="241" t="s">
        <v>3866</v>
      </c>
      <c r="D75" s="299">
        <f>_xlfn.IFNA(VLOOKUP(B75,Worksheet!$C$3:$G$46,3,FALSE),D75)</f>
        <v>7</v>
      </c>
      <c r="E75" s="299">
        <f>_xlfn.IFNA(VLOOKUP(B75,Worksheet!$C$3:$G$46,4,FALSE),E75)</f>
        <v>7</v>
      </c>
      <c r="F75" s="299">
        <f>_xlfn.IFNA(VLOOKUP(B75,Worksheet!$C$3:$G$46,5,FALSE),F75)</f>
        <v>5</v>
      </c>
      <c r="G75" s="205" t="s">
        <v>83</v>
      </c>
    </row>
    <row r="76" spans="1:7" ht="45"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customHeight="1" x14ac:dyDescent="0.25">
      <c r="A77" s="224"/>
      <c r="B77" s="236">
        <v>1245</v>
      </c>
      <c r="C77" s="241" t="s">
        <v>3868</v>
      </c>
      <c r="D77" s="299">
        <f>_xlfn.IFNA(VLOOKUP(B77,Worksheet!$C$3:$G$46,3,FALSE),D77)</f>
        <v>2</v>
      </c>
      <c r="E77" s="299">
        <f ca="1">_xlfn.IFNA(VLOOKUP(B77,Worksheet!$C$3:$G$46,4,FALSE),E77)</f>
        <v>0</v>
      </c>
      <c r="F77" s="299">
        <f ca="1">_xlfn.IFNA(VLOOKUP(B77,Worksheet!$C$3:$G$46,5,FALSE),F77)</f>
        <v>0</v>
      </c>
      <c r="G77" s="205" t="s">
        <v>83</v>
      </c>
    </row>
    <row r="78" spans="1:7" ht="45"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customHeight="1" x14ac:dyDescent="0.25">
      <c r="A79" s="224"/>
      <c r="B79" s="236">
        <v>1247</v>
      </c>
      <c r="C79" s="240" t="s">
        <v>3870</v>
      </c>
      <c r="D79" s="299">
        <f>_xlfn.IFNA(VLOOKUP(B79,Worksheet!$C$3:$G$46,3,FALSE),D79)</f>
        <v>7</v>
      </c>
      <c r="E79" s="299">
        <f>_xlfn.IFNA(VLOOKUP(B79,Worksheet!$C$3:$G$46,4,FALSE),E79)</f>
        <v>0</v>
      </c>
      <c r="F79" s="299">
        <f>_xlfn.IFNA(VLOOKUP(B79,Worksheet!$C$3:$G$46,5,FALSE),F79)</f>
        <v>0</v>
      </c>
      <c r="G79" s="205" t="s">
        <v>83</v>
      </c>
    </row>
    <row r="80" spans="1:7" ht="45" customHeight="1" x14ac:dyDescent="0.25">
      <c r="A80" s="224"/>
      <c r="B80" s="236">
        <v>1248</v>
      </c>
      <c r="C80" s="240" t="s">
        <v>3871</v>
      </c>
      <c r="D80" s="299">
        <f>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D82</f>
        <v>7</v>
      </c>
      <c r="E81" s="263">
        <f t="shared" ref="E81:F81" si="4">E82</f>
        <v>7</v>
      </c>
      <c r="F81" s="263">
        <f t="shared" si="4"/>
        <v>5</v>
      </c>
      <c r="G81" s="205"/>
    </row>
    <row r="82" spans="1:7" ht="45" customHeight="1" x14ac:dyDescent="0.25">
      <c r="A82" s="224"/>
      <c r="B82" s="236">
        <v>1252</v>
      </c>
      <c r="C82" s="240" t="s">
        <v>3873</v>
      </c>
      <c r="D82" s="299">
        <f>_xlfn.IFNA(VLOOKUP(B82,Worksheet!$C$3:$G$46,3,FALSE),D82)</f>
        <v>7</v>
      </c>
      <c r="E82" s="299">
        <f>_xlfn.IFNA(VLOOKUP(B82,Worksheet!$C$3:$G$46,4,FALSE),E82)</f>
        <v>7</v>
      </c>
      <c r="F82" s="299">
        <f>_xlfn.IFNA(VLOOKUP(B82,Worksheet!$C$3:$G$46,5,FALSE),F82)</f>
        <v>5</v>
      </c>
      <c r="G82" s="205" t="s">
        <v>83</v>
      </c>
    </row>
    <row r="83" spans="1:7" ht="45" customHeight="1" x14ac:dyDescent="0.25">
      <c r="A83" s="224"/>
      <c r="B83" s="236">
        <v>1253</v>
      </c>
      <c r="C83" s="240" t="s">
        <v>3874</v>
      </c>
      <c r="D83" s="299">
        <f>_xlfn.IFNA(VLOOKUP(B83,Worksheet!$C$3:$G$46,3,FALSE),D83)</f>
        <v>7</v>
      </c>
      <c r="E83" s="299">
        <f ca="1">_xlfn.IFNA(VLOOKUP(B83,Worksheet!$C$3:$G$46,4,FALSE),E83)</f>
        <v>0</v>
      </c>
      <c r="F83" s="299">
        <f ca="1">_xlfn.IFNA(VLOOKUP(B83,Worksheet!$C$3:$G$46,5,FALSE),F83)</f>
        <v>0</v>
      </c>
      <c r="G83" s="205" t="s">
        <v>83</v>
      </c>
    </row>
    <row r="84" spans="1:7" ht="45" hidden="1" customHeight="1" x14ac:dyDescent="0.25">
      <c r="A84" s="217"/>
      <c r="B84" s="236">
        <v>1254</v>
      </c>
      <c r="C84" s="219" t="s">
        <v>3875</v>
      </c>
      <c r="D84" s="263"/>
      <c r="E84" s="263"/>
      <c r="F84" s="263"/>
      <c r="G84" s="205"/>
    </row>
    <row r="85" spans="1:7" ht="45"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md7/DfVCf8T8ExGMo67AKMVt6D2FdsbN+0dIZ0gfZ2S4hE738w+3LhIBQZ/tmKwYF0JoA6g7X59eSVUH9Z9OYg==" saltValue="hxiDVyngPBt1CfzygJdMLw==" spinCount="100000"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1" t="s">
        <v>62</v>
      </c>
      <c r="C3" s="362"/>
      <c r="D3" s="362"/>
      <c r="E3" s="362"/>
      <c r="F3" s="362"/>
      <c r="G3" s="362"/>
      <c r="H3" s="362"/>
      <c r="I3" s="362"/>
      <c r="J3" s="362"/>
      <c r="K3" s="362"/>
      <c r="L3" s="362"/>
      <c r="M3" s="362"/>
      <c r="N3" s="362"/>
      <c r="O3" s="362"/>
      <c r="P3" s="362"/>
      <c r="Q3" s="362"/>
      <c r="R3" s="362"/>
      <c r="S3" s="362"/>
      <c r="T3" s="362"/>
      <c r="U3" s="362"/>
      <c r="V3" s="362"/>
      <c r="W3" s="362"/>
      <c r="X3" s="362"/>
      <c r="Y3" s="363"/>
      <c r="Z3" s="7"/>
      <c r="AA3" s="8"/>
    </row>
    <row r="4" spans="2:27" s="3" customFormat="1" ht="36.6" customHeight="1" thickBot="1" x14ac:dyDescent="0.3">
      <c r="B4" s="364" t="s">
        <v>0</v>
      </c>
      <c r="C4" s="365"/>
      <c r="D4" s="366"/>
      <c r="E4" s="367"/>
      <c r="F4" s="367"/>
      <c r="G4" s="367"/>
      <c r="H4" s="367"/>
      <c r="I4" s="367"/>
      <c r="J4" s="367"/>
      <c r="K4" s="368"/>
      <c r="L4" s="9"/>
      <c r="M4" s="369"/>
      <c r="N4" s="370"/>
      <c r="O4" s="370"/>
      <c r="P4" s="371"/>
      <c r="Q4" s="372"/>
      <c r="R4" s="373"/>
      <c r="S4" s="373"/>
      <c r="T4" s="373"/>
      <c r="U4" s="373"/>
      <c r="V4" s="373"/>
      <c r="W4" s="373"/>
      <c r="X4" s="373"/>
      <c r="Y4" s="374"/>
    </row>
    <row r="5" spans="2:27" s="3" customFormat="1" ht="36.6" customHeight="1" thickBot="1" x14ac:dyDescent="0.3">
      <c r="B5" s="375" t="s">
        <v>1</v>
      </c>
      <c r="C5" s="376"/>
      <c r="D5" s="377"/>
      <c r="E5" s="378"/>
      <c r="F5" s="378"/>
      <c r="G5" s="378"/>
      <c r="H5" s="378"/>
      <c r="I5" s="378"/>
      <c r="J5" s="378"/>
      <c r="K5" s="379"/>
      <c r="L5" s="9"/>
      <c r="M5" s="375" t="s">
        <v>2</v>
      </c>
      <c r="N5" s="380"/>
      <c r="O5" s="380"/>
      <c r="P5" s="376"/>
      <c r="Q5" s="372"/>
      <c r="R5" s="373"/>
      <c r="S5" s="373"/>
      <c r="T5" s="373"/>
      <c r="U5" s="373"/>
      <c r="V5" s="373"/>
      <c r="W5" s="373"/>
      <c r="X5" s="373"/>
      <c r="Y5" s="374"/>
    </row>
    <row r="6" spans="2:27" s="3" customFormat="1" ht="36.6" customHeight="1" thickBot="1" x14ac:dyDescent="0.3">
      <c r="B6" s="369" t="s">
        <v>3</v>
      </c>
      <c r="C6" s="371"/>
      <c r="D6" s="381"/>
      <c r="E6" s="382"/>
      <c r="F6" s="382"/>
      <c r="G6" s="383"/>
      <c r="H6" s="384" t="s">
        <v>4</v>
      </c>
      <c r="I6" s="385"/>
      <c r="J6" s="385"/>
      <c r="K6" s="386"/>
      <c r="L6" s="9"/>
      <c r="M6" s="369" t="s">
        <v>5</v>
      </c>
      <c r="N6" s="370"/>
      <c r="O6" s="370"/>
      <c r="P6" s="371"/>
      <c r="Q6" s="387"/>
      <c r="R6" s="388"/>
      <c r="S6" s="388"/>
      <c r="T6" s="388"/>
      <c r="U6" s="388"/>
      <c r="V6" s="388"/>
      <c r="W6" s="388"/>
      <c r="X6" s="388"/>
      <c r="Y6" s="389"/>
    </row>
    <row r="7" spans="2:27" s="3" customFormat="1" ht="36.6" customHeight="1" thickBot="1" x14ac:dyDescent="0.3">
      <c r="B7" s="390" t="s">
        <v>6</v>
      </c>
      <c r="C7" s="391"/>
      <c r="D7" s="381"/>
      <c r="E7" s="382"/>
      <c r="F7" s="382"/>
      <c r="G7" s="382"/>
      <c r="H7" s="382"/>
      <c r="I7" s="382"/>
      <c r="J7" s="382"/>
      <c r="K7" s="383"/>
      <c r="L7" s="9"/>
      <c r="M7" s="369" t="s">
        <v>7</v>
      </c>
      <c r="N7" s="370"/>
      <c r="O7" s="370"/>
      <c r="P7" s="371"/>
      <c r="Q7" s="372"/>
      <c r="R7" s="373"/>
      <c r="S7" s="373"/>
      <c r="T7" s="373"/>
      <c r="U7" s="373"/>
      <c r="V7" s="373"/>
      <c r="W7" s="373"/>
      <c r="X7" s="373"/>
      <c r="Y7" s="374"/>
    </row>
    <row r="8" spans="2:27" s="3" customFormat="1" ht="36.6" customHeight="1" thickBot="1" x14ac:dyDescent="0.3">
      <c r="B8" s="390" t="s">
        <v>8</v>
      </c>
      <c r="C8" s="391"/>
      <c r="D8" s="381"/>
      <c r="E8" s="382"/>
      <c r="F8" s="382"/>
      <c r="G8" s="382"/>
      <c r="H8" s="382"/>
      <c r="I8" s="382"/>
      <c r="J8" s="382"/>
      <c r="K8" s="383"/>
      <c r="L8" s="10"/>
      <c r="M8" s="369" t="s">
        <v>9</v>
      </c>
      <c r="N8" s="370"/>
      <c r="O8" s="370"/>
      <c r="P8" s="371"/>
      <c r="Q8" s="387"/>
      <c r="R8" s="388"/>
      <c r="S8" s="388"/>
      <c r="T8" s="388"/>
      <c r="U8" s="388"/>
      <c r="V8" s="388"/>
      <c r="W8" s="388"/>
      <c r="X8" s="388"/>
      <c r="Y8" s="389"/>
    </row>
    <row r="9" spans="2:27" s="3" customFormat="1" ht="32.25" customHeight="1" thickBot="1" x14ac:dyDescent="0.3">
      <c r="B9" s="11"/>
      <c r="C9" s="394" t="s">
        <v>10</v>
      </c>
      <c r="D9" s="396" t="s">
        <v>11</v>
      </c>
      <c r="E9" s="398" t="s">
        <v>12</v>
      </c>
      <c r="F9" s="398"/>
      <c r="G9" s="398"/>
      <c r="H9" s="398"/>
      <c r="I9" s="398"/>
      <c r="J9" s="398"/>
      <c r="K9" s="398"/>
      <c r="L9" s="398"/>
      <c r="M9" s="398"/>
      <c r="N9" s="398"/>
      <c r="O9" s="398"/>
      <c r="P9" s="398"/>
      <c r="Q9" s="398"/>
      <c r="R9" s="399"/>
      <c r="S9" s="400" t="s">
        <v>13</v>
      </c>
      <c r="T9" s="402" t="s">
        <v>14</v>
      </c>
      <c r="U9" s="404" t="s">
        <v>15</v>
      </c>
      <c r="V9" s="404"/>
      <c r="W9" s="404"/>
      <c r="X9" s="404"/>
      <c r="Y9" s="405"/>
    </row>
    <row r="10" spans="2:27" s="14" customFormat="1" ht="120" customHeight="1" thickBot="1" x14ac:dyDescent="0.35">
      <c r="B10" s="12"/>
      <c r="C10" s="395"/>
      <c r="D10" s="397"/>
      <c r="E10" s="413" t="s">
        <v>16</v>
      </c>
      <c r="F10" s="414"/>
      <c r="G10" s="413" t="s">
        <v>17</v>
      </c>
      <c r="H10" s="414"/>
      <c r="I10" s="413" t="s">
        <v>18</v>
      </c>
      <c r="J10" s="414"/>
      <c r="K10" s="413" t="s">
        <v>19</v>
      </c>
      <c r="L10" s="414"/>
      <c r="M10" s="392" t="s">
        <v>20</v>
      </c>
      <c r="N10" s="415"/>
      <c r="O10" s="416"/>
      <c r="P10" s="392" t="s">
        <v>21</v>
      </c>
      <c r="Q10" s="393"/>
      <c r="R10" s="13" t="s">
        <v>22</v>
      </c>
      <c r="S10" s="401"/>
      <c r="T10" s="403"/>
      <c r="U10" s="406"/>
      <c r="V10" s="406"/>
      <c r="W10" s="406"/>
      <c r="X10" s="406"/>
      <c r="Y10" s="407"/>
    </row>
    <row r="11" spans="2:27" s="3" customFormat="1" ht="87.6" customHeight="1" x14ac:dyDescent="0.25">
      <c r="B11" s="15">
        <v>1</v>
      </c>
      <c r="C11" s="16" t="s">
        <v>23</v>
      </c>
      <c r="D11" s="408"/>
      <c r="E11" s="410">
        <v>213</v>
      </c>
      <c r="F11" s="411"/>
      <c r="G11" s="411">
        <v>186</v>
      </c>
      <c r="H11" s="411"/>
      <c r="I11" s="411">
        <v>168</v>
      </c>
      <c r="J11" s="411"/>
      <c r="K11" s="411">
        <v>264</v>
      </c>
      <c r="L11" s="411"/>
      <c r="M11" s="412">
        <v>292</v>
      </c>
      <c r="N11" s="412"/>
      <c r="O11" s="412"/>
      <c r="P11" s="411">
        <v>295</v>
      </c>
      <c r="Q11" s="417"/>
      <c r="R11" s="17">
        <v>1418</v>
      </c>
      <c r="S11" s="18"/>
      <c r="T11" s="19" t="s">
        <v>24</v>
      </c>
      <c r="U11" s="418"/>
      <c r="V11" s="419"/>
      <c r="W11" s="419"/>
      <c r="X11" s="419"/>
      <c r="Y11" s="420"/>
    </row>
    <row r="12" spans="2:27" s="3" customFormat="1" ht="87.6" customHeight="1" x14ac:dyDescent="0.25">
      <c r="B12" s="15" t="s">
        <v>25</v>
      </c>
      <c r="C12" s="16" t="s">
        <v>26</v>
      </c>
      <c r="D12" s="409"/>
      <c r="E12" s="421">
        <v>35</v>
      </c>
      <c r="F12" s="422"/>
      <c r="G12" s="422">
        <v>18</v>
      </c>
      <c r="H12" s="422"/>
      <c r="I12" s="422">
        <v>18</v>
      </c>
      <c r="J12" s="422"/>
      <c r="K12" s="422">
        <v>28</v>
      </c>
      <c r="L12" s="422"/>
      <c r="M12" s="423">
        <v>40</v>
      </c>
      <c r="N12" s="423"/>
      <c r="O12" s="423"/>
      <c r="P12" s="422">
        <v>21</v>
      </c>
      <c r="Q12" s="424"/>
      <c r="R12" s="17">
        <v>160</v>
      </c>
      <c r="S12" s="20"/>
      <c r="T12" s="19" t="s">
        <v>24</v>
      </c>
      <c r="U12" s="418"/>
      <c r="V12" s="419"/>
      <c r="W12" s="419"/>
      <c r="X12" s="419"/>
      <c r="Y12" s="420"/>
    </row>
    <row r="13" spans="2:27" s="3" customFormat="1" ht="87.6" customHeight="1" x14ac:dyDescent="0.25">
      <c r="B13" s="15">
        <v>2</v>
      </c>
      <c r="C13" s="16" t="s">
        <v>27</v>
      </c>
      <c r="D13" s="21">
        <v>5365</v>
      </c>
      <c r="E13" s="421">
        <v>836</v>
      </c>
      <c r="F13" s="422"/>
      <c r="G13" s="422">
        <v>783</v>
      </c>
      <c r="H13" s="422"/>
      <c r="I13" s="422">
        <v>1394</v>
      </c>
      <c r="J13" s="422"/>
      <c r="K13" s="422">
        <v>667</v>
      </c>
      <c r="L13" s="422"/>
      <c r="M13" s="423">
        <v>827</v>
      </c>
      <c r="N13" s="423"/>
      <c r="O13" s="423"/>
      <c r="P13" s="422">
        <v>827</v>
      </c>
      <c r="Q13" s="424"/>
      <c r="R13" s="17">
        <v>5334</v>
      </c>
      <c r="S13" s="22">
        <v>1.0049999999999999</v>
      </c>
      <c r="T13" s="19" t="s">
        <v>24</v>
      </c>
      <c r="U13" s="418"/>
      <c r="V13" s="419"/>
      <c r="W13" s="419"/>
      <c r="X13" s="419"/>
      <c r="Y13" s="420"/>
    </row>
    <row r="14" spans="2:27" s="3" customFormat="1" ht="87.6" customHeight="1" x14ac:dyDescent="0.25">
      <c r="B14" s="15" t="s">
        <v>28</v>
      </c>
      <c r="C14" s="16" t="s">
        <v>29</v>
      </c>
      <c r="D14" s="21">
        <v>4</v>
      </c>
      <c r="E14" s="421">
        <v>0</v>
      </c>
      <c r="F14" s="422"/>
      <c r="G14" s="422">
        <v>1</v>
      </c>
      <c r="H14" s="422"/>
      <c r="I14" s="422">
        <v>2</v>
      </c>
      <c r="J14" s="422"/>
      <c r="K14" s="422">
        <v>0</v>
      </c>
      <c r="L14" s="422"/>
      <c r="M14" s="423">
        <v>0</v>
      </c>
      <c r="N14" s="423"/>
      <c r="O14" s="423"/>
      <c r="P14" s="422">
        <v>1</v>
      </c>
      <c r="Q14" s="424"/>
      <c r="R14" s="17">
        <v>4</v>
      </c>
      <c r="S14" s="22">
        <v>1</v>
      </c>
      <c r="T14" s="19" t="s">
        <v>24</v>
      </c>
      <c r="U14" s="418"/>
      <c r="V14" s="419"/>
      <c r="W14" s="419"/>
      <c r="X14" s="419"/>
      <c r="Y14" s="420"/>
    </row>
    <row r="15" spans="2:27" s="3" customFormat="1" ht="87.6" customHeight="1" thickBot="1" x14ac:dyDescent="0.3">
      <c r="B15" s="15" t="s">
        <v>30</v>
      </c>
      <c r="C15" s="16" t="s">
        <v>31</v>
      </c>
      <c r="D15" s="21">
        <v>21</v>
      </c>
      <c r="E15" s="428">
        <v>2</v>
      </c>
      <c r="F15" s="429"/>
      <c r="G15" s="429">
        <v>0</v>
      </c>
      <c r="H15" s="429"/>
      <c r="I15" s="429">
        <v>5</v>
      </c>
      <c r="J15" s="429"/>
      <c r="K15" s="429">
        <v>2</v>
      </c>
      <c r="L15" s="429"/>
      <c r="M15" s="430">
        <v>4</v>
      </c>
      <c r="N15" s="430"/>
      <c r="O15" s="430"/>
      <c r="P15" s="429">
        <v>8</v>
      </c>
      <c r="Q15" s="431"/>
      <c r="R15" s="23">
        <v>21</v>
      </c>
      <c r="S15" s="22">
        <v>1</v>
      </c>
      <c r="T15" s="19" t="s">
        <v>24</v>
      </c>
      <c r="U15" s="418"/>
      <c r="V15" s="419"/>
      <c r="W15" s="419"/>
      <c r="X15" s="419"/>
      <c r="Y15" s="420"/>
    </row>
    <row r="16" spans="2:27" s="3" customFormat="1" ht="87.6" customHeight="1" thickBot="1" x14ac:dyDescent="0.3">
      <c r="B16" s="15"/>
      <c r="C16" s="24" t="s">
        <v>32</v>
      </c>
      <c r="D16" s="21">
        <v>6836</v>
      </c>
      <c r="E16" s="425">
        <v>1049</v>
      </c>
      <c r="F16" s="426"/>
      <c r="G16" s="425">
        <v>969</v>
      </c>
      <c r="H16" s="426"/>
      <c r="I16" s="425">
        <v>1562</v>
      </c>
      <c r="J16" s="426"/>
      <c r="K16" s="425">
        <v>931</v>
      </c>
      <c r="L16" s="426"/>
      <c r="M16" s="425">
        <v>1119</v>
      </c>
      <c r="N16" s="427"/>
      <c r="O16" s="426"/>
      <c r="P16" s="425">
        <v>1122</v>
      </c>
      <c r="Q16" s="426"/>
      <c r="R16" s="25">
        <v>6752</v>
      </c>
      <c r="S16" s="22">
        <v>1.012</v>
      </c>
      <c r="T16" s="19" t="s">
        <v>24</v>
      </c>
      <c r="U16" s="418"/>
      <c r="V16" s="419"/>
      <c r="W16" s="419"/>
      <c r="X16" s="419"/>
      <c r="Y16" s="420"/>
    </row>
    <row r="17" spans="2:28" s="3" customFormat="1" ht="87.6" customHeight="1" thickBot="1" x14ac:dyDescent="0.3">
      <c r="B17" s="15"/>
      <c r="C17" s="16" t="s">
        <v>33</v>
      </c>
      <c r="D17" s="21">
        <v>187</v>
      </c>
      <c r="E17" s="425">
        <v>35</v>
      </c>
      <c r="F17" s="426"/>
      <c r="G17" s="425">
        <v>19</v>
      </c>
      <c r="H17" s="426"/>
      <c r="I17" s="425">
        <v>20</v>
      </c>
      <c r="J17" s="426"/>
      <c r="K17" s="425">
        <v>28</v>
      </c>
      <c r="L17" s="426"/>
      <c r="M17" s="425">
        <v>40</v>
      </c>
      <c r="N17" s="427"/>
      <c r="O17" s="426"/>
      <c r="P17" s="425">
        <v>22</v>
      </c>
      <c r="Q17" s="426"/>
      <c r="R17" s="25">
        <v>164</v>
      </c>
      <c r="S17" s="22">
        <v>1.1399999999999999</v>
      </c>
      <c r="T17" s="19" t="s">
        <v>24</v>
      </c>
      <c r="U17" s="418"/>
      <c r="V17" s="419"/>
      <c r="W17" s="419"/>
      <c r="X17" s="419"/>
      <c r="Y17" s="420"/>
    </row>
    <row r="18" spans="2:28" s="3" customFormat="1" ht="87.6" customHeight="1" x14ac:dyDescent="0.25">
      <c r="B18" s="15">
        <v>3</v>
      </c>
      <c r="C18" s="16" t="s">
        <v>34</v>
      </c>
      <c r="D18" s="21">
        <v>25</v>
      </c>
      <c r="E18" s="432">
        <v>2</v>
      </c>
      <c r="F18" s="433"/>
      <c r="G18" s="433">
        <v>1</v>
      </c>
      <c r="H18" s="433"/>
      <c r="I18" s="433">
        <v>7</v>
      </c>
      <c r="J18" s="433"/>
      <c r="K18" s="433">
        <v>2</v>
      </c>
      <c r="L18" s="433"/>
      <c r="M18" s="434">
        <v>4</v>
      </c>
      <c r="N18" s="434"/>
      <c r="O18" s="434"/>
      <c r="P18" s="433">
        <v>9</v>
      </c>
      <c r="Q18" s="435"/>
      <c r="R18" s="26">
        <v>25</v>
      </c>
      <c r="S18" s="22">
        <v>1</v>
      </c>
      <c r="T18" s="19" t="s">
        <v>24</v>
      </c>
      <c r="U18" s="418"/>
      <c r="V18" s="419"/>
      <c r="W18" s="419"/>
      <c r="X18" s="419"/>
      <c r="Y18" s="420"/>
    </row>
    <row r="19" spans="2:28" s="3" customFormat="1" ht="87.6" customHeight="1" thickBot="1" x14ac:dyDescent="0.3">
      <c r="B19" s="15">
        <v>4</v>
      </c>
      <c r="C19" s="16" t="s">
        <v>35</v>
      </c>
      <c r="D19" s="27">
        <v>104</v>
      </c>
      <c r="E19" s="451">
        <v>24</v>
      </c>
      <c r="F19" s="452"/>
      <c r="G19" s="452">
        <v>10</v>
      </c>
      <c r="H19" s="452"/>
      <c r="I19" s="452">
        <v>4</v>
      </c>
      <c r="J19" s="452"/>
      <c r="K19" s="452">
        <v>19</v>
      </c>
      <c r="L19" s="452"/>
      <c r="M19" s="453">
        <v>21</v>
      </c>
      <c r="N19" s="453"/>
      <c r="O19" s="453"/>
      <c r="P19" s="452">
        <v>26</v>
      </c>
      <c r="Q19" s="454"/>
      <c r="R19" s="17">
        <v>104</v>
      </c>
      <c r="S19" s="22">
        <v>1</v>
      </c>
      <c r="T19" s="19" t="s">
        <v>24</v>
      </c>
      <c r="U19" s="418"/>
      <c r="V19" s="419"/>
      <c r="W19" s="419"/>
      <c r="X19" s="419"/>
      <c r="Y19" s="420"/>
    </row>
    <row r="20" spans="2:28" s="3" customFormat="1" ht="24.75" customHeight="1" thickBot="1" x14ac:dyDescent="0.3">
      <c r="B20" s="15"/>
      <c r="C20" s="436" t="s">
        <v>36</v>
      </c>
      <c r="D20" s="439" t="s">
        <v>37</v>
      </c>
      <c r="E20" s="440"/>
      <c r="F20" s="440"/>
      <c r="G20" s="440"/>
      <c r="H20" s="440"/>
      <c r="I20" s="440"/>
      <c r="J20" s="440"/>
      <c r="K20" s="440"/>
      <c r="L20" s="440"/>
      <c r="M20" s="441"/>
      <c r="N20" s="442"/>
      <c r="O20" s="444" t="s">
        <v>38</v>
      </c>
      <c r="P20" s="440"/>
      <c r="Q20" s="440"/>
      <c r="R20" s="445"/>
      <c r="S20" s="445"/>
      <c r="T20" s="445"/>
      <c r="U20" s="440"/>
      <c r="V20" s="440"/>
      <c r="W20" s="440"/>
      <c r="X20" s="441"/>
      <c r="Y20" s="28" t="s">
        <v>15</v>
      </c>
      <c r="Z20" s="29"/>
      <c r="AA20" s="30"/>
      <c r="AB20" s="31"/>
    </row>
    <row r="21" spans="2:28" s="14" customFormat="1" ht="111.6" customHeight="1" x14ac:dyDescent="0.3">
      <c r="B21" s="32">
        <v>5</v>
      </c>
      <c r="C21" s="437"/>
      <c r="D21" s="446" t="s">
        <v>39</v>
      </c>
      <c r="E21" s="447"/>
      <c r="F21" s="448" t="s">
        <v>40</v>
      </c>
      <c r="G21" s="447"/>
      <c r="H21" s="448" t="s">
        <v>41</v>
      </c>
      <c r="I21" s="449"/>
      <c r="J21" s="450" t="s">
        <v>42</v>
      </c>
      <c r="K21" s="447"/>
      <c r="L21" s="448" t="s">
        <v>43</v>
      </c>
      <c r="M21" s="449"/>
      <c r="N21" s="442"/>
      <c r="O21" s="446" t="s">
        <v>44</v>
      </c>
      <c r="P21" s="447"/>
      <c r="Q21" s="448" t="s">
        <v>45</v>
      </c>
      <c r="R21" s="447"/>
      <c r="S21" s="448" t="s">
        <v>46</v>
      </c>
      <c r="T21" s="449"/>
      <c r="U21" s="450" t="s">
        <v>47</v>
      </c>
      <c r="V21" s="447"/>
      <c r="W21" s="448" t="s">
        <v>48</v>
      </c>
      <c r="X21" s="449"/>
      <c r="Y21" s="460"/>
      <c r="Z21" s="33"/>
      <c r="AA21" s="34"/>
      <c r="AB21" s="34"/>
    </row>
    <row r="22" spans="2:28" s="3" customFormat="1" ht="58.5" customHeight="1" thickBot="1" x14ac:dyDescent="0.3">
      <c r="B22" s="35"/>
      <c r="C22" s="438"/>
      <c r="D22" s="455">
        <v>87</v>
      </c>
      <c r="E22" s="456"/>
      <c r="F22" s="462">
        <v>87</v>
      </c>
      <c r="G22" s="456"/>
      <c r="H22" s="462">
        <v>87</v>
      </c>
      <c r="I22" s="463"/>
      <c r="J22" s="457">
        <v>1</v>
      </c>
      <c r="K22" s="458"/>
      <c r="L22" s="457">
        <v>1</v>
      </c>
      <c r="M22" s="458"/>
      <c r="N22" s="443"/>
      <c r="O22" s="455">
        <v>109</v>
      </c>
      <c r="P22" s="456"/>
      <c r="Q22" s="462">
        <v>109</v>
      </c>
      <c r="R22" s="456"/>
      <c r="S22" s="462">
        <v>109</v>
      </c>
      <c r="T22" s="463"/>
      <c r="U22" s="457">
        <v>1</v>
      </c>
      <c r="V22" s="458"/>
      <c r="W22" s="457">
        <v>1</v>
      </c>
      <c r="X22" s="458"/>
      <c r="Y22" s="461"/>
      <c r="Z22" s="30"/>
      <c r="AA22" s="31"/>
      <c r="AB22" s="31"/>
    </row>
    <row r="23" spans="2:28" ht="10.15" customHeight="1" thickBot="1" x14ac:dyDescent="0.3"/>
    <row r="24" spans="2:28" s="41" customFormat="1" ht="60" customHeight="1" thickBot="1" x14ac:dyDescent="0.3">
      <c r="B24" s="464" t="s">
        <v>49</v>
      </c>
      <c r="C24" s="464"/>
      <c r="D24" s="37" t="s">
        <v>50</v>
      </c>
      <c r="E24" s="465" t="s">
        <v>51</v>
      </c>
      <c r="F24" s="466"/>
      <c r="G24" s="467"/>
      <c r="H24" s="468"/>
      <c r="I24" s="468"/>
      <c r="J24" s="468"/>
      <c r="K24" s="469"/>
      <c r="L24" s="38"/>
      <c r="M24" s="39"/>
      <c r="N24" s="39"/>
      <c r="O24" s="39"/>
      <c r="P24" s="39"/>
      <c r="Q24" s="39"/>
      <c r="R24" s="39"/>
      <c r="S24" s="39"/>
      <c r="T24" s="39"/>
      <c r="U24" s="39"/>
      <c r="V24" s="39"/>
      <c r="W24" s="39"/>
      <c r="X24" s="39"/>
      <c r="Y24" s="40"/>
    </row>
    <row r="25" spans="2:28" ht="54" customHeight="1" thickBot="1" x14ac:dyDescent="0.3">
      <c r="B25" s="464" t="s">
        <v>52</v>
      </c>
      <c r="C25" s="464"/>
      <c r="D25" s="37" t="s">
        <v>53</v>
      </c>
      <c r="E25" s="42"/>
      <c r="F25" s="42"/>
      <c r="G25" s="42"/>
      <c r="H25" s="43"/>
      <c r="I25" s="43"/>
      <c r="J25" s="43"/>
      <c r="K25" s="43"/>
      <c r="L25" s="43"/>
    </row>
    <row r="26" spans="2:28" ht="59.45" customHeight="1" thickBot="1" x14ac:dyDescent="0.3">
      <c r="B26" s="470" t="s">
        <v>54</v>
      </c>
      <c r="C26" s="471"/>
      <c r="D26" s="37" t="s">
        <v>50</v>
      </c>
      <c r="E26" s="465" t="s">
        <v>55</v>
      </c>
      <c r="F26" s="466"/>
      <c r="G26" s="467"/>
      <c r="H26" s="468"/>
      <c r="I26" s="468"/>
      <c r="J26" s="468"/>
      <c r="K26" s="469"/>
      <c r="L26" s="43"/>
    </row>
    <row r="27" spans="2:28" ht="10.5" customHeight="1" x14ac:dyDescent="0.25">
      <c r="B27" s="44"/>
      <c r="C27" s="44"/>
    </row>
    <row r="28" spans="2:28" s="41" customFormat="1" ht="54.6" customHeight="1" x14ac:dyDescent="0.25">
      <c r="B28" s="45"/>
      <c r="C28" s="45" t="s">
        <v>56</v>
      </c>
      <c r="D28" s="459" t="s">
        <v>57</v>
      </c>
      <c r="E28" s="459"/>
      <c r="F28" s="459"/>
      <c r="G28" s="459"/>
      <c r="H28" s="459"/>
      <c r="I28" s="459"/>
      <c r="J28" s="459"/>
      <c r="K28" s="459"/>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59" t="s">
        <v>57</v>
      </c>
      <c r="E30" s="459"/>
      <c r="F30" s="459"/>
      <c r="G30" s="459"/>
      <c r="H30" s="459"/>
      <c r="I30" s="459"/>
      <c r="J30" s="459"/>
      <c r="K30" s="459"/>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2" t="s">
        <v>64</v>
      </c>
      <c r="D2" s="475" t="s">
        <v>99</v>
      </c>
      <c r="E2" s="51" t="s">
        <v>100</v>
      </c>
    </row>
    <row r="3" spans="3:5" x14ac:dyDescent="0.25">
      <c r="C3" s="473"/>
      <c r="D3" s="476"/>
      <c r="E3" s="51"/>
    </row>
    <row r="4" spans="3:5" ht="30.75" thickBot="1" x14ac:dyDescent="0.3">
      <c r="C4" s="473"/>
      <c r="D4" s="477"/>
      <c r="E4" s="52" t="s">
        <v>101</v>
      </c>
    </row>
    <row r="5" spans="3:5" x14ac:dyDescent="0.25">
      <c r="C5" s="473"/>
      <c r="D5" s="475" t="s">
        <v>102</v>
      </c>
      <c r="E5" s="51" t="s">
        <v>103</v>
      </c>
    </row>
    <row r="6" spans="3:5" ht="15.75" thickBot="1" x14ac:dyDescent="0.3">
      <c r="C6" s="473"/>
      <c r="D6" s="477"/>
      <c r="E6" s="52" t="s">
        <v>104</v>
      </c>
    </row>
    <row r="7" spans="3:5" ht="60.75" thickBot="1" x14ac:dyDescent="0.3">
      <c r="C7" s="473"/>
      <c r="D7" s="52" t="s">
        <v>105</v>
      </c>
      <c r="E7" s="52" t="s">
        <v>106</v>
      </c>
    </row>
    <row r="8" spans="3:5" ht="30.75" thickBot="1" x14ac:dyDescent="0.3">
      <c r="C8" s="473"/>
      <c r="D8" s="53" t="s">
        <v>107</v>
      </c>
      <c r="E8" s="52" t="s">
        <v>108</v>
      </c>
    </row>
    <row r="9" spans="3:5" x14ac:dyDescent="0.25">
      <c r="C9" s="473"/>
      <c r="D9" s="475" t="s">
        <v>109</v>
      </c>
      <c r="E9" s="51" t="s">
        <v>110</v>
      </c>
    </row>
    <row r="10" spans="3:5" ht="45.75" thickBot="1" x14ac:dyDescent="0.3">
      <c r="C10" s="474"/>
      <c r="D10" s="477"/>
      <c r="E10" s="52" t="s">
        <v>111</v>
      </c>
    </row>
    <row r="11" spans="3:5" ht="45.75" thickBot="1" x14ac:dyDescent="0.3">
      <c r="C11" s="472" t="s">
        <v>70</v>
      </c>
      <c r="D11" s="52" t="s">
        <v>112</v>
      </c>
      <c r="E11" s="52" t="s">
        <v>113</v>
      </c>
    </row>
    <row r="12" spans="3:5" ht="60.75" thickBot="1" x14ac:dyDescent="0.3">
      <c r="C12" s="473"/>
      <c r="D12" s="52" t="s">
        <v>114</v>
      </c>
      <c r="E12" s="52" t="s">
        <v>115</v>
      </c>
    </row>
    <row r="13" spans="3:5" x14ac:dyDescent="0.25">
      <c r="C13" s="473"/>
      <c r="D13" s="51"/>
      <c r="E13" s="51" t="s">
        <v>117</v>
      </c>
    </row>
    <row r="14" spans="3:5" ht="105.75" thickBot="1" x14ac:dyDescent="0.3">
      <c r="C14" s="473"/>
      <c r="D14" s="53" t="s">
        <v>116</v>
      </c>
      <c r="E14" s="52" t="s">
        <v>118</v>
      </c>
    </row>
    <row r="15" spans="3:5" x14ac:dyDescent="0.25">
      <c r="C15" s="473"/>
      <c r="D15" s="51"/>
      <c r="E15" s="475" t="s">
        <v>122</v>
      </c>
    </row>
    <row r="16" spans="3:5" ht="30" x14ac:dyDescent="0.25">
      <c r="C16" s="473"/>
      <c r="D16" s="51" t="s">
        <v>119</v>
      </c>
      <c r="E16" s="476"/>
    </row>
    <row r="17" spans="3:5" ht="30" x14ac:dyDescent="0.25">
      <c r="C17" s="473"/>
      <c r="D17" s="51" t="s">
        <v>120</v>
      </c>
      <c r="E17" s="476"/>
    </row>
    <row r="18" spans="3:5" ht="15.75" thickBot="1" x14ac:dyDescent="0.3">
      <c r="C18" s="474"/>
      <c r="D18" s="52" t="s">
        <v>121</v>
      </c>
      <c r="E18" s="477"/>
    </row>
    <row r="19" spans="3:5" ht="45.75" thickBot="1" x14ac:dyDescent="0.3">
      <c r="C19" s="472" t="s">
        <v>73</v>
      </c>
      <c r="D19" s="52" t="s">
        <v>123</v>
      </c>
      <c r="E19" s="52" t="s">
        <v>122</v>
      </c>
    </row>
    <row r="20" spans="3:5" x14ac:dyDescent="0.25">
      <c r="C20" s="473"/>
      <c r="D20" s="51" t="s">
        <v>124</v>
      </c>
      <c r="E20" s="51" t="s">
        <v>127</v>
      </c>
    </row>
    <row r="21" spans="3:5" ht="30" x14ac:dyDescent="0.25">
      <c r="C21" s="473"/>
      <c r="D21" s="51" t="s">
        <v>125</v>
      </c>
      <c r="E21" s="51" t="s">
        <v>128</v>
      </c>
    </row>
    <row r="22" spans="3:5" ht="30.75" thickBot="1" x14ac:dyDescent="0.3">
      <c r="C22" s="473"/>
      <c r="D22" s="52" t="s">
        <v>126</v>
      </c>
      <c r="E22" s="54"/>
    </row>
    <row r="23" spans="3:5" ht="30.75" thickBot="1" x14ac:dyDescent="0.3">
      <c r="C23" s="474"/>
      <c r="D23" s="53" t="s">
        <v>129</v>
      </c>
      <c r="E23" s="52" t="s">
        <v>101</v>
      </c>
    </row>
    <row r="24" spans="3:5" ht="60.75" thickBot="1" x14ac:dyDescent="0.3">
      <c r="C24" s="472" t="s">
        <v>72</v>
      </c>
      <c r="D24" s="53" t="s">
        <v>130</v>
      </c>
      <c r="E24" s="52" t="s">
        <v>131</v>
      </c>
    </row>
    <row r="25" spans="3:5" ht="30" x14ac:dyDescent="0.25">
      <c r="C25" s="473"/>
      <c r="D25" s="51" t="s">
        <v>132</v>
      </c>
      <c r="E25" s="475" t="s">
        <v>122</v>
      </c>
    </row>
    <row r="26" spans="3:5" ht="30" x14ac:dyDescent="0.25">
      <c r="C26" s="473"/>
      <c r="D26" s="51" t="s">
        <v>133</v>
      </c>
      <c r="E26" s="476"/>
    </row>
    <row r="27" spans="3:5" ht="15.75" thickBot="1" x14ac:dyDescent="0.3">
      <c r="C27" s="473"/>
      <c r="D27" s="52" t="s">
        <v>134</v>
      </c>
      <c r="E27" s="477"/>
    </row>
    <row r="28" spans="3:5" ht="45.75" thickBot="1" x14ac:dyDescent="0.3">
      <c r="C28" s="474"/>
      <c r="D28" s="52" t="s">
        <v>135</v>
      </c>
      <c r="E28" s="52" t="s">
        <v>111</v>
      </c>
    </row>
    <row r="29" spans="3:5" ht="45.75" thickBot="1" x14ac:dyDescent="0.3">
      <c r="C29" s="472" t="s">
        <v>69</v>
      </c>
      <c r="D29" s="53" t="s">
        <v>136</v>
      </c>
      <c r="E29" s="52" t="s">
        <v>131</v>
      </c>
    </row>
    <row r="30" spans="3:5" ht="30" x14ac:dyDescent="0.25">
      <c r="C30" s="473"/>
      <c r="D30" s="51" t="s">
        <v>137</v>
      </c>
      <c r="E30" s="475" t="s">
        <v>101</v>
      </c>
    </row>
    <row r="31" spans="3:5" ht="15.75" thickBot="1" x14ac:dyDescent="0.3">
      <c r="C31" s="473"/>
      <c r="D31" s="52" t="s">
        <v>138</v>
      </c>
      <c r="E31" s="477"/>
    </row>
    <row r="32" spans="3:5" ht="45.75" thickBot="1" x14ac:dyDescent="0.3">
      <c r="C32" s="474"/>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user</cp:lastModifiedBy>
  <cp:lastPrinted>2017-02-23T07:24:50Z</cp:lastPrinted>
  <dcterms:created xsi:type="dcterms:W3CDTF">2017-01-08T13:42:03Z</dcterms:created>
  <dcterms:modified xsi:type="dcterms:W3CDTF">2017-02-23T10:02:22Z</dcterms:modified>
</cp:coreProperties>
</file>