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<sst xmlns="http://schemas.openxmlformats.org/spreadsheetml/2006/main" count="4056" uniqueCount="4056">
  <si>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</si>
  <si>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</si>
  <si>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</si>
  <si>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</si>
  <si>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</si>
  <si>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</si>
  <si>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</si>
  <si>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</si>
  <si>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</si>
  <si>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</si>
  <si>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</si>
  <si>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</si>
  <si>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</si>
  <si>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</si>
  <si>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</si>
  <si>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</si>
  <si>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</si>
  <si>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</si>
  <si>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</si>
  <si>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</si>
  <si>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</si>
  <si>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</si>
  <si>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</si>
  <si>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</si>
  <si>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</si>
  <si>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</si>
  <si>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</si>
  <si>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</si>
  <si>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</si>
  <si>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</si>
  <si>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</si>
  <si>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</si>
  <si>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</si>
  <si>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</si>
  <si>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</si>
  <si>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</si>
  <si>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</si>
  <si>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</si>
  <si>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</si>
  <si>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</si>
  <si>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</si>
  <si>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</si>
  <si>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</si>
  <si>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</si>
  <si>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</si>
  <si>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</si>
  <si>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</si>
  <si>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</si>
  <si>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</si>
  <si>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</si>
  <si>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</si>
  <si>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</si>
  <si>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</si>
  <si>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</si>
  <si>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</si>
  <si>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</si>
  <si>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</si>
  <si>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</si>
  <si>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</si>
  <si>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</si>
  <si>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</si>
  <si>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</si>
  <si>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</si>
  <si>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</si>
  <si>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</si>
  <si>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</si>
  <si>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</si>
  <si>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</si>
  <si>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</si>
  <si>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</si>
  <si>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</si>
  <si>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</si>
  <si>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</si>
  <si>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</si>
  <si>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</si>
  <si>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</si>
  <si>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</si>
  <si>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</si>
  <si>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</si>
  <si>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</si>
  <si>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</si>
  <si>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</si>
  <si>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</si>
  <si>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</si>
  <si>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</si>
  <si>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</si>
  <si>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</si>
  <si>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</si>
  <si>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</si>
  <si>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</si>
  <si>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</si>
  <si>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</si>
  <si>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</si>
  <si>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</si>
  <si>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</si>
  <si>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</si>
  <si>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</si>
  <si>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</si>
  <si>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</si>
  <si>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</si>
  <si>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</si>
  <si>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</si>
  <si>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</si>
  <si>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</si>
  <si>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</si>
  <si>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</si>
  <si>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</si>
  <si>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</si>
  <si>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</si>
  <si>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</si>
  <si>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</si>
  <si>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</si>
  <si>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</si>
  <si>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</si>
  <si>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</si>
  <si>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</si>
  <si>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</si>
  <si>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</si>
  <si>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</si>
  <si>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</si>
  <si>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</si>
  <si>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</si>
  <si>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</si>
  <si>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</si>
  <si>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</si>
  <si>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</si>
  <si>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</si>
  <si>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</si>
  <si>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</si>
  <si>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</si>
  <si>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</si>
  <si>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</si>
  <si>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</si>
  <si>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</si>
  <si>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</si>
  <si>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</si>
  <si>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</si>
  <si>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</si>
  <si>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</si>
  <si>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</si>
  <si>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</si>
  <si>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</si>
  <si>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</si>
  <si>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</si>
  <si>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</si>
  <si>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</si>
  <si>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</si>
  <si>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</si>
  <si>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</si>
  <si>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</si>
  <si>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</si>
  <si>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</si>
  <si>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</si>
  <si>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</si>
  <si>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</si>
  <si>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</si>
  <si>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</si>
  <si>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</si>
  <si>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</si>
  <si>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</si>
  <si>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</si>
  <si>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</si>
  <si>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</si>
  <si>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</si>
  <si>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</si>
  <si>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</si>
  <si>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</si>
  <si>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</si>
  <si>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</si>
  <si>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</si>
  <si>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</si>
  <si>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</si>
  <si>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</si>
  <si>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</si>
  <si>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</si>
  <si>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</si>
  <si>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</si>
  <si>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</si>
  <si>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</si>
  <si>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</si>
  <si>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</si>
  <si>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</si>
  <si>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</si>
  <si>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</si>
  <si>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</si>
  <si>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</si>
  <si>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</si>
  <si>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</si>
  <si>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</si>
  <si>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</si>
  <si>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</si>
  <si>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</si>
  <si>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</si>
  <si>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</si>
  <si>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</si>
  <si>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</si>
  <si>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</si>
  <si>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</si>
  <si>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</si>
  <si>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</si>
  <si>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</si>
  <si>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</si>
  <si>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</si>
  <si>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</si>
  <si>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</si>
  <si>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</si>
  <si>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</si>
  <si>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</si>
  <si>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</si>
  <si>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</si>
  <si>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</si>
  <si>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</si>
  <si>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</si>
  <si>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</si>
  <si>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</si>
  <si>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</si>
  <si>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</si>
  <si>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</si>
  <si>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</si>
  <si>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</si>
  <si>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</si>
  <si>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</si>
  <si>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</si>
  <si>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</si>
  <si>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</si>
  <si>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</si>
  <si>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</si>
  <si>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</si>
  <si>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</si>
  <si>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</si>
  <si>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</si>
  <si>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</si>
  <si>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</si>
  <si>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</si>
  <si>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</si>
  <si>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</si>
  <si>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</si>
  <si>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</si>
  <si>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</si>
  <si>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</si>
  <si>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</si>
  <si>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</si>
  <si>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</si>
  <si>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</si>
  <si>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</si>
  <si>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</si>
  <si>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</si>
  <si>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</si>
  <si>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</si>
  <si>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</si>
  <si>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</si>
  <si>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</si>
  <si>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</si>
  <si>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</si>
  <si>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</si>
  <si>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</si>
  <si>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</si>
  <si>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</si>
  <si>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</si>
  <si>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</si>
  <si>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</si>
  <si>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</si>
  <si>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</si>
  <si>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</si>
  <si>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</si>
  <si>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</si>
  <si>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</si>
  <si>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</si>
  <si>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</si>
  <si>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</si>
  <si>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</si>
  <si>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</si>
  <si>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</si>
  <si>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</si>
  <si>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</si>
  <si>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</si>
  <si>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</si>
  <si>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</si>
  <si>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</si>
  <si>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</si>
  <si>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</si>
  <si>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</si>
  <si>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</si>
  <si>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</si>
  <si>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</si>
  <si>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</si>
  <si>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</si>
  <si>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Isi-Uzo</t>
  </si>
  <si>
    <t>Facility Name:</t>
  </si>
  <si>
    <t>Akpoga Mbu Health Center</t>
  </si>
  <si>
    <t>Reporting Period:</t>
  </si>
  <si>
    <t>Q1(Oct - Dec)</t>
  </si>
  <si>
    <t>Facility Code:</t>
  </si>
  <si>
    <t>FSXzVxNfNsb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</si>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</sst>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17</v>
      </c>
      <c r="G8" s="155">
        <f>ROUND(SUM('All Questions'!D31:D35)/5+G12,0)</f>
        <v>20</v>
      </c>
      <c r="H8" s="156">
        <f>ROUND(SUM('All Questions'!D37,'All Questions'!D40)/2+'All Questions'!D26+H12,0)</f>
        <v>19</v>
      </c>
      <c r="I8" s="157">
        <f>ROUND((SUM('All Questions'!E11:E14)/4)+I12,0)</f>
        <v>0</v>
      </c>
      <c r="J8" s="155">
        <f>ROUND(SUM('All Questions'!E15:E21)/7+J12,0)</f>
        <v>0</v>
      </c>
      <c r="K8" s="155">
        <f>ROUND(SUM('All Questions'!E23:E30)/4+K12,0)</f>
        <v>9</v>
      </c>
      <c r="L8" s="155">
        <f>ROUND(SUM('All Questions'!E31:E35)/5+L12,0)</f>
        <v>11</v>
      </c>
      <c r="M8" s="156">
        <f>ROUND(('All Questions'!E37+'All Questions'!E40)/2+'All Questions'!E26+M12,0)</f>
        <v>13</v>
      </c>
      <c r="N8" s="157">
        <f>ROUND((SUM('All Questions'!F11:F14)/4)+N12,0)</f>
        <v>0</v>
      </c>
      <c r="O8" s="155">
        <f>ROUND(SUM('All Questions'!F15:F21)/7+O12,0)</f>
        <v>0</v>
      </c>
      <c r="P8" s="155">
        <f>ROUND(SUM('All Questions'!F23:F30)/4+P12,0)</f>
        <v>16</v>
      </c>
      <c r="Q8" s="155">
        <f>ROUND(SUM('All Questions'!F31:F35)/5+Q12,0)</f>
        <v>20</v>
      </c>
      <c r="R8" s="156">
        <f>ROUND(('All Questions'!F37+'All Questions'!F40)/2+'All Questions'!F26+R12,0)</f>
        <v>22</v>
      </c>
      <c r="S8" s="141">
        <f>'All Questions'!F2</f>
        <v>0</v>
      </c>
      <c r="T8" s="142" t="e">
        <f>(AVERAGE(F8:H8)+AVERAGE(K8:M8)+AVERAGE(P8:R8))/S8</f>
        <v>#DIV/0!</v>
      </c>
      <c r="V8" s="309">
        <f>AVERAGE(F8:H8)+AVERAGE(K8:M8)+AVERAGE(P8:R8)</f>
        <v>49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16</v>
      </c>
      <c r="G10" s="159">
        <f>ROUND(SUM('All Questions'!D31:D35)/5,0)</f>
        <v>17</v>
      </c>
      <c r="H10" s="162">
        <f>ROUND(('All Questions'!D37+'All Questions'!D40)/2+'All Questions'!D26,0)</f>
        <v>17</v>
      </c>
      <c r="I10" s="163">
        <f>ROUND((SUM('All Questions'!E11:E14)/4),0)</f>
        <v>0</v>
      </c>
      <c r="J10" s="164">
        <f>ROUND(SUM('All Questions'!E15:E21)/7,0)</f>
        <v>0</v>
      </c>
      <c r="K10" s="164">
        <f>ROUND(SUM('All Questions'!E23:E30)/4,0)</f>
        <v>9</v>
      </c>
      <c r="L10" s="164">
        <f>ROUND(SUM('All Questions'!E31:E35)/5,0)</f>
        <v>10</v>
      </c>
      <c r="M10" s="165">
        <f>ROUND(('All Questions'!E37+'All Questions'!E40)/2+'All Questions'!E26,0)</f>
        <v>13</v>
      </c>
      <c r="N10" s="166">
        <f>ROUND((SUM('All Questions'!F11:F14)/4),0)</f>
        <v>0</v>
      </c>
      <c r="O10" s="164">
        <f>ROUND(SUM('All Questions'!F15:F21)/7,0)</f>
        <v>0</v>
      </c>
      <c r="P10" s="164">
        <f>ROUND(SUM('All Questions'!F23:F30)/4,0)</f>
        <v>15</v>
      </c>
      <c r="Q10" s="164">
        <f>ROUND(SUM('All Questions'!F31:F35)/5,0)</f>
        <v>17</v>
      </c>
      <c r="R10" s="165">
        <f>ROUND(('All Questions'!F37+'All Questions'!F40)/2+'All Questions'!F26,0)</f>
        <v>21</v>
      </c>
      <c r="S10" s="141">
        <f>'All Questions'!F4</f>
        <v>0</v>
      </c>
      <c r="T10" s="143" t="e">
        <f>(AVERAGE(F10:H10)+AVERAGE(K10:M10)+AVERAGE(P10:R10))/S10</f>
        <v>#DIV/0!</v>
      </c>
      <c r="V10" s="309">
        <f>AVERAGE(F10:H10)+AVERAGE(K10:M10)+AVERAGE(P10:R10)</f>
        <v>45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3</v>
      </c>
      <c r="H12" s="174">
        <f>ROUND(SUM('All Questions'!D82:D83)/2,0)</f>
        <v>2</v>
      </c>
      <c r="I12" s="175">
        <f>ROUND(SUM('All Questions'!E54:E58)+'All Questions'!E71/4,0)</f>
        <v>0</v>
      </c>
      <c r="J12" s="176">
        <f>ROUND(SUM('All Questions'!E60:E63)/4,0)</f>
        <v>0</v>
      </c>
      <c r="K12" s="176">
        <f>ROUND(SUM('All Questions'!E67:E72)/3,0)</f>
        <v>0</v>
      </c>
      <c r="L12" s="176">
        <f>ROUND(SUM('All Questions'!E73:E80)/4,0)</f>
        <v>1</v>
      </c>
      <c r="M12" s="177">
        <f>ROUND(SUM('All Questions'!E82:E83)/2,0)</f>
        <v>0</v>
      </c>
      <c r="N12" s="178">
        <f>ROUND(SUM('All Questions'!F54:F58)+'All Questions'!F71/4,0)</f>
        <v>0</v>
      </c>
      <c r="O12" s="176">
        <f>ROUND(SUM('All Questions'!F60:F63)/4,0)</f>
        <v>0</v>
      </c>
      <c r="P12" s="176">
        <f>ROUND(SUM('All Questions'!F67:F72)/3,0)</f>
        <v>1</v>
      </c>
      <c r="Q12" s="176">
        <f>ROUND(SUM('All Questions'!F73:F80)/4,0)</f>
        <v>3</v>
      </c>
      <c r="R12" s="177">
        <f>ROUND(SUM('All Questions'!F82:F83)/2,0)</f>
        <v>1</v>
      </c>
      <c r="S12" s="145">
        <f>'All Questions'!F46</f>
        <v>0</v>
      </c>
      <c r="T12" s="146" t="e">
        <f ref="T12:T15" t="shared" si="1">(AVERAGE(F12:H12)+AVERAGE(K12:M12)+AVERAGE(P12:R12))/S12</f>
        <v>#DIV/0!</v>
      </c>
      <c r="V12" s="309">
        <f>AVERAGE(F12:H12)+AVERAGE(K12:M12)+AVERAGE(P12:R12)</f>
        <v>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2</v>
      </c>
      <c r="I13" s="181"/>
      <c r="J13" s="182"/>
      <c r="K13" s="183">
        <f>ROUND('All Questions'!E72,0)</f>
        <v>0</v>
      </c>
      <c r="L13" s="182"/>
      <c r="M13" s="184">
        <f>ROUND(SUM('All Questions'!E85:E86)/2,0)</f>
        <v>1</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2.5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11</v>
      </c>
      <c r="E10" s="301">
        <v>8</v>
      </c>
      <c r="F10" s="301">
        <v>15</v>
      </c>
      <c r="G10" s="207" t="s">
        <v>67</v>
      </c>
    </row>
    <row r="11" hidden="1" ht="45" customHeight="1">
      <c r="A11" s="226"/>
      <c r="B11" s="238">
        <v>1114</v>
      </c>
      <c r="C11" s="243" t="s">
        <v>84</v>
      </c>
      <c r="D11" s="301">
        <v>17</v>
      </c>
      <c r="E11" s="301">
        <v>13</v>
      </c>
      <c r="F11" s="301">
        <v>21</v>
      </c>
      <c r="G11" s="207" t="s">
        <v>67</v>
      </c>
    </row>
    <row r="12" hidden="1" ht="45" customHeight="1">
      <c r="A12" s="226"/>
      <c r="B12" s="238">
        <v>1115</v>
      </c>
      <c r="C12" s="242" t="s">
        <v>85</v>
      </c>
      <c r="D12" s="301">
        <v>17</v>
      </c>
      <c r="E12" s="301">
        <v>13</v>
      </c>
      <c r="F12" s="301">
        <v>21</v>
      </c>
      <c r="G12" s="207" t="s">
        <v>67</v>
      </c>
    </row>
    <row r="13" hidden="1" ht="45" customHeight="1">
      <c r="A13" s="226" t="s">
        <v>86</v>
      </c>
      <c r="B13" s="238">
        <v>1116</v>
      </c>
      <c r="C13" s="242" t="s">
        <v>87</v>
      </c>
      <c r="D13" s="301">
        <v>17</v>
      </c>
      <c r="E13" s="301">
        <v>13</v>
      </c>
      <c r="F13" s="301">
        <v>21</v>
      </c>
      <c r="G13" s="207" t="s">
        <v>67</v>
      </c>
    </row>
    <row r="14" hidden="1" ht="45" customHeight="1">
      <c r="A14" s="226"/>
      <c r="B14" s="238">
        <v>1117</v>
      </c>
      <c r="C14" s="242" t="s">
        <v>88</v>
      </c>
      <c r="D14" s="301">
        <v>17</v>
      </c>
      <c r="E14" s="301">
        <v>13</v>
      </c>
      <c r="F14" s="301">
        <v>21</v>
      </c>
      <c r="G14" s="207" t="s">
        <v>67</v>
      </c>
    </row>
    <row r="15" hidden="1" ht="45" customHeight="1">
      <c r="A15" s="226">
        <v>1116</v>
      </c>
      <c r="B15" s="238">
        <v>1121</v>
      </c>
      <c r="C15" s="243" t="str">
        <f>C13</f>
        <v>How many HTC clients have a completed Client intake form </v>
      </c>
      <c r="D15" s="302">
        <v>17</v>
      </c>
      <c r="E15" s="302">
        <v>13</v>
      </c>
      <c r="F15" s="302">
        <v>21</v>
      </c>
      <c r="G15" s="207"/>
    </row>
    <row r="16" hidden="1" ht="45" customHeight="1">
      <c r="A16" s="226"/>
      <c r="B16" s="238">
        <v>1122</v>
      </c>
      <c r="C16" s="243" t="s">
        <v>89</v>
      </c>
      <c r="D16" s="301">
        <v>17</v>
      </c>
      <c r="E16" s="301">
        <v>13</v>
      </c>
      <c r="F16" s="301">
        <v>21</v>
      </c>
      <c r="G16" s="207" t="s">
        <v>67</v>
      </c>
    </row>
    <row r="17" hidden="1" ht="45" customHeight="1">
      <c r="A17" s="226"/>
      <c r="B17" s="238">
        <v>1123</v>
      </c>
      <c r="C17" s="242" t="s">
        <v>90</v>
      </c>
      <c r="D17" s="301">
        <v>17</v>
      </c>
      <c r="E17" s="301">
        <v>13</v>
      </c>
      <c r="F17" s="301">
        <v>21</v>
      </c>
      <c r="G17" s="207" t="s">
        <v>67</v>
      </c>
    </row>
    <row r="18" hidden="1" ht="45" customHeight="1">
      <c r="A18" s="226"/>
      <c r="B18" s="238">
        <v>1124</v>
      </c>
      <c r="C18" s="242" t="s">
        <v>91</v>
      </c>
      <c r="D18" s="301">
        <v>17</v>
      </c>
      <c r="E18" s="301">
        <v>13</v>
      </c>
      <c r="F18" s="301">
        <v>21</v>
      </c>
      <c r="G18" s="207" t="s">
        <v>67</v>
      </c>
    </row>
    <row r="19" hidden="1" ht="45" customHeight="1">
      <c r="A19" s="226"/>
      <c r="B19" s="238">
        <v>1125</v>
      </c>
      <c r="C19" s="242" t="s">
        <v>92</v>
      </c>
      <c r="D19" s="301">
        <v>17</v>
      </c>
      <c r="E19" s="301">
        <v>13</v>
      </c>
      <c r="F19" s="301">
        <v>20</v>
      </c>
      <c r="G19" s="207" t="s">
        <v>67</v>
      </c>
    </row>
    <row r="20" hidden="1" ht="45" customHeight="1">
      <c r="A20" s="226"/>
      <c r="B20" s="238">
        <v>1126</v>
      </c>
      <c r="C20" s="242" t="s">
        <v>93</v>
      </c>
      <c r="D20" s="301">
        <v>17</v>
      </c>
      <c r="E20" s="301">
        <v>0</v>
      </c>
      <c r="F20" s="301">
        <v>0</v>
      </c>
      <c r="G20" s="207" t="s">
        <v>67</v>
      </c>
    </row>
    <row r="21" hidden="1" ht="45" customHeight="1">
      <c r="A21" s="226"/>
      <c r="B21" s="238">
        <v>1127</v>
      </c>
      <c r="C21" s="242" t="s">
        <v>94</v>
      </c>
      <c r="D21" s="301">
        <v>17</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12</v>
      </c>
      <c r="E23" s="301">
        <v>6</v>
      </c>
      <c r="F23" s="301">
        <v>10</v>
      </c>
      <c r="G23" s="207" t="s">
        <v>67</v>
      </c>
    </row>
    <row r="24" hidden="1" ht="45" customHeight="1">
      <c r="A24" s="226"/>
      <c r="B24" s="238">
        <v>1132</v>
      </c>
      <c r="C24" s="242" t="s">
        <v>97</v>
      </c>
      <c r="D24" s="301">
        <v>5</v>
      </c>
      <c r="E24" s="301">
        <v>7</v>
      </c>
      <c r="F24" s="301">
        <v>11</v>
      </c>
      <c r="G24" s="207" t="s">
        <v>67</v>
      </c>
    </row>
    <row r="25" hidden="1" ht="45" customHeight="1">
      <c r="A25" s="226"/>
      <c r="B25" s="238">
        <v>1133</v>
      </c>
      <c r="C25" s="242" t="s">
        <v>98</v>
      </c>
      <c r="D25" s="301">
        <v>8</v>
      </c>
      <c r="E25" s="301">
        <v>10</v>
      </c>
      <c r="F25" s="301">
        <v>12</v>
      </c>
      <c r="G25" s="207" t="s">
        <v>67</v>
      </c>
    </row>
    <row r="26" hidden="1" ht="45" customHeight="1">
      <c r="A26" s="226"/>
      <c r="B26" s="238">
        <v>1134</v>
      </c>
      <c r="C26" s="242" t="s">
        <v>99</v>
      </c>
      <c r="D26" s="301">
        <v>9</v>
      </c>
      <c r="E26" s="301">
        <v>3</v>
      </c>
      <c r="F26" s="301">
        <v>9</v>
      </c>
      <c r="G26" s="207" t="s">
        <v>67</v>
      </c>
    </row>
    <row r="27" hidden="1" ht="45" customHeight="1">
      <c r="A27" s="226"/>
      <c r="B27" s="238">
        <v>1135</v>
      </c>
      <c r="C27" s="242" t="s">
        <v>100</v>
      </c>
      <c r="D27" s="301">
        <v>9</v>
      </c>
      <c r="E27" s="301">
        <v>9</v>
      </c>
      <c r="F27" s="301">
        <v>14</v>
      </c>
      <c r="G27" s="207" t="s">
        <v>67</v>
      </c>
    </row>
    <row r="28" hidden="1" ht="45" customHeight="1">
      <c r="A28" s="226"/>
      <c r="B28" s="238">
        <v>1136</v>
      </c>
      <c r="C28" s="242" t="s">
        <v>101</v>
      </c>
      <c r="D28" s="301">
        <v>3</v>
      </c>
      <c r="E28" s="301">
        <v>2</v>
      </c>
      <c r="F28" s="301">
        <v>4</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17</v>
      </c>
      <c r="E30" s="301">
        <v>0</v>
      </c>
      <c r="F30" s="301">
        <v>0</v>
      </c>
      <c r="G30" s="207" t="s">
        <v>67</v>
      </c>
    </row>
    <row r="31" hidden="1" ht="45" customHeight="1">
      <c r="A31" s="226">
        <v>1116</v>
      </c>
      <c r="B31" s="238">
        <v>1141</v>
      </c>
      <c r="C31" s="242" t="s">
        <v>104</v>
      </c>
      <c r="D31" s="302">
        <v>17</v>
      </c>
      <c r="E31" s="302">
        <v>13</v>
      </c>
      <c r="F31" s="302">
        <v>21</v>
      </c>
      <c r="G31" s="207"/>
    </row>
    <row r="32" hidden="1" ht="45" customHeight="1">
      <c r="A32" s="226"/>
      <c r="B32" s="238">
        <v>1142</v>
      </c>
      <c r="C32" s="243" t="s">
        <v>105</v>
      </c>
      <c r="D32" s="302">
        <v>17</v>
      </c>
      <c r="E32" s="302">
        <v>13</v>
      </c>
      <c r="F32" s="302">
        <v>21</v>
      </c>
      <c r="G32" s="207"/>
    </row>
    <row r="33" hidden="1" ht="45" customHeight="1">
      <c r="A33" s="226"/>
      <c r="B33" s="238">
        <v>1143</v>
      </c>
      <c r="C33" s="242" t="s">
        <v>106</v>
      </c>
      <c r="D33" s="301">
        <v>17</v>
      </c>
      <c r="E33" s="301">
        <v>13</v>
      </c>
      <c r="F33" s="301">
        <v>21</v>
      </c>
      <c r="G33" s="207" t="s">
        <v>67</v>
      </c>
    </row>
    <row r="34" hidden="1" ht="45" customHeight="1">
      <c r="A34" s="226"/>
      <c r="B34" s="238">
        <v>1144</v>
      </c>
      <c r="C34" s="242" t="s">
        <v>107</v>
      </c>
      <c r="D34" s="301">
        <v>17</v>
      </c>
      <c r="E34" s="301">
        <v>0</v>
      </c>
      <c r="F34" s="301">
        <v>0</v>
      </c>
      <c r="G34" s="207" t="s">
        <v>67</v>
      </c>
    </row>
    <row r="35" hidden="1" ht="45" customHeight="1">
      <c r="A35" s="226"/>
      <c r="B35" s="238">
        <v>1145</v>
      </c>
      <c r="C35" s="242" t="s">
        <v>108</v>
      </c>
      <c r="D35" s="301">
        <v>17</v>
      </c>
      <c r="E35" s="301">
        <v>13</v>
      </c>
      <c r="F35" s="301">
        <v>21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v>
      </c>
      <c r="E37" s="301">
        <v>10</v>
      </c>
      <c r="F37" s="301">
        <v>12</v>
      </c>
      <c r="G37" s="207" t="s">
        <v>67</v>
      </c>
    </row>
    <row r="38" hidden="1" ht="45" customHeight="1">
      <c r="A38" s="226"/>
      <c r="B38" s="238">
        <v>1153</v>
      </c>
      <c r="C38" s="242" t="s">
        <v>111</v>
      </c>
      <c r="D38" s="301">
        <v>8</v>
      </c>
      <c r="E38" s="301">
        <v>10</v>
      </c>
      <c r="F38" s="301">
        <v>12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v>
      </c>
      <c r="E40" s="301">
        <v>10</v>
      </c>
      <c r="F40" s="301">
        <v>12</v>
      </c>
      <c r="G40" s="207" t="s">
        <v>67</v>
      </c>
    </row>
    <row r="41" hidden="1" ht="45" customHeight="1">
      <c r="A41" s="226"/>
      <c r="B41" s="238">
        <v>1156</v>
      </c>
      <c r="C41" s="242" t="s">
        <v>113</v>
      </c>
      <c r="D41" s="301">
        <v>8</v>
      </c>
      <c r="E41" s="301">
        <v>10</v>
      </c>
      <c r="F41" s="301">
        <v>12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1</v>
      </c>
      <c r="E54" s="301">
        <v>1</v>
      </c>
      <c r="F54" s="301">
        <v>1</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3</v>
      </c>
      <c r="E56" s="301">
        <v>1</v>
      </c>
      <c r="F56" s="301">
        <v>2</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3</v>
      </c>
      <c r="E59" s="301">
        <v>1</v>
      </c>
      <c r="F59" s="301">
        <v>2</v>
      </c>
      <c r="G59" s="207" t="s">
        <v>117</v>
      </c>
    </row>
    <row r="60" hidden="1" ht="45" customHeight="1">
      <c r="A60" s="226"/>
      <c r="B60" s="238">
        <v>1222</v>
      </c>
      <c r="C60" s="264" t="s">
        <v>138</v>
      </c>
      <c r="D60" s="301">
        <v>3</v>
      </c>
      <c r="E60" s="301">
        <v>1</v>
      </c>
      <c r="F60" s="301">
        <v>2</v>
      </c>
      <c r="G60" s="207" t="s">
        <v>117</v>
      </c>
    </row>
    <row r="61" hidden="1" ht="45" customHeight="1">
      <c r="A61" s="226"/>
      <c r="B61" s="238">
        <v>1223</v>
      </c>
      <c r="C61" s="264" t="s">
        <v>139</v>
      </c>
      <c r="D61" s="301">
        <v>3</v>
      </c>
      <c r="E61" s="301">
        <v>1</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1</v>
      </c>
      <c r="F67" s="301">
        <v>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1</v>
      </c>
      <c r="F73" s="301">
        <v>3</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4</v>
      </c>
      <c r="E75" s="301">
        <v>1</v>
      </c>
      <c r="F75" s="301">
        <v>3</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v>
      </c>
      <c r="E79" s="301">
        <v>3</v>
      </c>
      <c r="F79" s="301">
        <v>3</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v>
      </c>
      <c r="E82" s="301">
        <v>1</v>
      </c>
      <c r="F82" s="301">
        <v>2</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4</v>
      </c>
      <c r="E85" s="301">
        <v>2</v>
      </c>
      <c r="F85" s="301">
        <v>3</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289</v>
      </c>
      <c r="AZ319" s="0" t="s">
        <v>293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