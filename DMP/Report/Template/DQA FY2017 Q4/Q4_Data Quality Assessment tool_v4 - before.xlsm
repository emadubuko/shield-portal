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gZkdn1/L8/4FA91cs/FJQnWfpQYk+ufp5KEexUlPnuuDAfSMebvFFoAEeUpqSBx0HbWysGikr7/JS7mw8u7GaA==" workbookSaltValue="/TvHhoOniZ0ZtFQML+KQ+A=="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_xlnm._FilterDatabase" localSheetId="2" hidden="1">'All Questions'!$A$1:$G$134</definedName>
    <definedName name="_xlnm._FilterDatabase" localSheetId="8" hidden="1">Data_donotedit!$A$1:$BB$10</definedName>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6">#REF!</definedName>
    <definedName name="IPList" localSheetId="0">#REF!</definedName>
    <definedName name="IPList" localSheetId="5">#REF!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6">'CDC DQA'!$B$3:$Y$30</definedName>
    <definedName name="_xlnm.Print_Area" localSheetId="5">OVC_DQA!$A$1:$M$14</definedName>
    <definedName name="_xlnm.Print_Area" localSheetId="1">Worksheet!$A$1:$AD$32</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14" i="12" l="1"/>
  <c r="D110" i="16"/>
  <c r="J12" i="12" s="1"/>
  <c r="D109" i="16"/>
  <c r="J13" i="12" s="1"/>
  <c r="J14" i="12" s="1"/>
  <c r="O6" i="12" l="1"/>
  <c r="E14" i="12" l="1"/>
  <c r="L3" i="13" l="1"/>
  <c r="AD3" i="13" s="1"/>
  <c r="L4" i="13"/>
  <c r="AD4" i="13" s="1"/>
  <c r="L5" i="13"/>
  <c r="AD5" i="13" s="1"/>
  <c r="L6" i="13"/>
  <c r="AD6" i="13" s="1"/>
  <c r="L7" i="13"/>
  <c r="AD7" i="13" s="1"/>
  <c r="L8" i="13"/>
  <c r="AD8" i="13" s="1"/>
  <c r="L9" i="13"/>
  <c r="AD9" i="13" s="1"/>
  <c r="L10" i="13"/>
  <c r="AD10" i="13" s="1"/>
  <c r="L11" i="13"/>
  <c r="AD11" i="13" s="1"/>
  <c r="L12" i="13"/>
  <c r="AD12" i="13" s="1"/>
  <c r="L13" i="13"/>
  <c r="AD13" i="13" s="1"/>
  <c r="L14" i="13"/>
  <c r="AD14" i="13" s="1"/>
  <c r="L15" i="13"/>
  <c r="AD15" i="13" s="1"/>
  <c r="L16" i="13"/>
  <c r="AD16" i="13" s="1"/>
  <c r="L17" i="13"/>
  <c r="AD17" i="13" s="1"/>
  <c r="L18" i="13"/>
  <c r="AD18" i="13" s="1"/>
  <c r="L19" i="13"/>
  <c r="AD19" i="13" s="1"/>
  <c r="L20" i="13"/>
  <c r="AD20" i="13" s="1"/>
  <c r="L21" i="13"/>
  <c r="AD21" i="13" s="1"/>
  <c r="L22" i="13"/>
  <c r="AD22" i="13" s="1"/>
  <c r="L23" i="13"/>
  <c r="AD23" i="13" s="1"/>
  <c r="L24" i="13"/>
  <c r="AD24" i="13" s="1"/>
  <c r="L25" i="13"/>
  <c r="AD25" i="13" s="1"/>
  <c r="L26" i="13"/>
  <c r="AD26" i="13" s="1"/>
  <c r="L27" i="13"/>
  <c r="AD27" i="13" s="1"/>
  <c r="L28" i="13"/>
  <c r="AD28" i="13" s="1"/>
  <c r="L29" i="13"/>
  <c r="AD29" i="13" s="1"/>
  <c r="L30" i="13"/>
  <c r="AD30" i="13" s="1"/>
  <c r="L31" i="13"/>
  <c r="AD31" i="13" s="1"/>
  <c r="L32" i="13"/>
  <c r="AD32" i="13" s="1"/>
  <c r="L33" i="13"/>
  <c r="AD33" i="13" s="1"/>
  <c r="L34" i="13"/>
  <c r="AD34" i="13" s="1"/>
  <c r="L35" i="13"/>
  <c r="AD35" i="13" s="1"/>
  <c r="L36" i="13"/>
  <c r="AD36" i="13" s="1"/>
  <c r="L37" i="13"/>
  <c r="AD37" i="13" s="1"/>
  <c r="L38" i="13"/>
  <c r="AD38" i="13" s="1"/>
  <c r="L39" i="13"/>
  <c r="AD39" i="13" s="1"/>
  <c r="L40" i="13"/>
  <c r="AD40" i="13" s="1"/>
  <c r="L41" i="13"/>
  <c r="AD41" i="13" s="1"/>
  <c r="L42" i="13"/>
  <c r="AD42" i="13" s="1"/>
  <c r="L43" i="13"/>
  <c r="AD43" i="13" s="1"/>
  <c r="L44" i="13"/>
  <c r="AD44" i="13" s="1"/>
  <c r="L45" i="13"/>
  <c r="AD45" i="13" s="1"/>
  <c r="L46" i="13"/>
  <c r="AD46" i="13" s="1"/>
  <c r="L47" i="13"/>
  <c r="AD47" i="13" s="1"/>
  <c r="L48" i="13"/>
  <c r="AD48" i="13" s="1"/>
  <c r="L49" i="13"/>
  <c r="AD49" i="13" s="1"/>
  <c r="L50" i="13"/>
  <c r="AD50" i="13" s="1"/>
  <c r="L51" i="13"/>
  <c r="AD51" i="13" s="1"/>
  <c r="L52" i="13"/>
  <c r="AD52" i="13" s="1"/>
  <c r="L53" i="13"/>
  <c r="AD53" i="13" s="1"/>
  <c r="L54" i="13"/>
  <c r="AD54" i="13" s="1"/>
  <c r="L55" i="13"/>
  <c r="AD55" i="13" s="1"/>
  <c r="L56" i="13"/>
  <c r="AD56" i="13" s="1"/>
  <c r="L57" i="13"/>
  <c r="AD57" i="13" s="1"/>
  <c r="L58" i="13"/>
  <c r="AD58" i="13" s="1"/>
  <c r="L59" i="13"/>
  <c r="AD59" i="13" s="1"/>
  <c r="L60" i="13"/>
  <c r="AD60" i="13" s="1"/>
  <c r="L61" i="13"/>
  <c r="AD61" i="13" s="1"/>
  <c r="L62" i="13"/>
  <c r="AD62" i="13" s="1"/>
  <c r="L63" i="13"/>
  <c r="AD63" i="13" s="1"/>
  <c r="L64" i="13"/>
  <c r="AD64" i="13" s="1"/>
  <c r="L65" i="13"/>
  <c r="AD65" i="13" s="1"/>
  <c r="L66" i="13"/>
  <c r="AD66" i="13" s="1"/>
  <c r="L67" i="13"/>
  <c r="AD67" i="13" s="1"/>
  <c r="L68" i="13"/>
  <c r="AD68" i="13" s="1"/>
  <c r="L69" i="13"/>
  <c r="AD69" i="13" s="1"/>
  <c r="L70" i="13"/>
  <c r="AD70" i="13" s="1"/>
  <c r="L71" i="13"/>
  <c r="AD71" i="13" s="1"/>
  <c r="L72" i="13"/>
  <c r="AD72" i="13" s="1"/>
  <c r="L73" i="13"/>
  <c r="AD73" i="13" s="1"/>
  <c r="L74" i="13"/>
  <c r="AD74" i="13" s="1"/>
  <c r="L75" i="13"/>
  <c r="AD75" i="13" s="1"/>
  <c r="L76" i="13"/>
  <c r="AD76" i="13" s="1"/>
  <c r="L77" i="13"/>
  <c r="AD77" i="13" s="1"/>
  <c r="L78" i="13"/>
  <c r="AD78" i="13" s="1"/>
  <c r="L79" i="13"/>
  <c r="AD79" i="13" s="1"/>
  <c r="L80" i="13"/>
  <c r="AD80" i="13" s="1"/>
  <c r="L81" i="13"/>
  <c r="AD81" i="13" s="1"/>
  <c r="L82" i="13"/>
  <c r="AD82" i="13" s="1"/>
  <c r="L83" i="13"/>
  <c r="AD83" i="13" s="1"/>
  <c r="L84" i="13"/>
  <c r="AD84" i="13" s="1"/>
  <c r="L85" i="13"/>
  <c r="AD85" i="13" s="1"/>
  <c r="L86" i="13"/>
  <c r="AD86" i="13" s="1"/>
  <c r="L87" i="13"/>
  <c r="AD87" i="13" s="1"/>
  <c r="L88" i="13"/>
  <c r="AD88" i="13" s="1"/>
  <c r="L89" i="13"/>
  <c r="AD89" i="13" s="1"/>
  <c r="L90" i="13"/>
  <c r="AD90" i="13" s="1"/>
  <c r="L91" i="13"/>
  <c r="AD91" i="13" s="1"/>
  <c r="L92" i="13"/>
  <c r="AD92" i="13" s="1"/>
  <c r="L93" i="13"/>
  <c r="AD93" i="13" s="1"/>
  <c r="L94" i="13"/>
  <c r="AD94" i="13" s="1"/>
  <c r="L95" i="13"/>
  <c r="AD95" i="13" s="1"/>
  <c r="L96" i="13"/>
  <c r="AD96" i="13" s="1"/>
  <c r="L97" i="13"/>
  <c r="AD97" i="13" s="1"/>
  <c r="L98" i="13"/>
  <c r="AD98" i="13" s="1"/>
  <c r="L99" i="13"/>
  <c r="AD99" i="13" s="1"/>
  <c r="L100" i="13"/>
  <c r="AD100" i="13" s="1"/>
  <c r="L101" i="13"/>
  <c r="AD101" i="13" s="1"/>
  <c r="L102" i="13"/>
  <c r="AD102" i="13" s="1"/>
  <c r="L103" i="13"/>
  <c r="AD103" i="13" s="1"/>
  <c r="L104" i="13"/>
  <c r="AD104" i="13" s="1"/>
  <c r="L105" i="13"/>
  <c r="AD105" i="13" s="1"/>
  <c r="L106" i="13"/>
  <c r="AD106" i="13" s="1"/>
  <c r="L107" i="13"/>
  <c r="AD107" i="13" s="1"/>
  <c r="I3" i="13"/>
  <c r="AC3" i="13" s="1"/>
  <c r="I4" i="13"/>
  <c r="AC4" i="13" s="1"/>
  <c r="I5" i="13"/>
  <c r="AC5" i="13" s="1"/>
  <c r="I6" i="13"/>
  <c r="AC6" i="13" s="1"/>
  <c r="I7" i="13"/>
  <c r="AC7" i="13" s="1"/>
  <c r="I8" i="13"/>
  <c r="AC8" i="13" s="1"/>
  <c r="I9" i="13"/>
  <c r="AC9" i="13" s="1"/>
  <c r="I10" i="13"/>
  <c r="AC10" i="13" s="1"/>
  <c r="I11" i="13"/>
  <c r="AC11" i="13" s="1"/>
  <c r="I12" i="13"/>
  <c r="AC12" i="13" s="1"/>
  <c r="I13" i="13"/>
  <c r="AC13" i="13" s="1"/>
  <c r="I14" i="13"/>
  <c r="AC14" i="13" s="1"/>
  <c r="I15" i="13"/>
  <c r="AC15" i="13" s="1"/>
  <c r="I16" i="13"/>
  <c r="AC16" i="13" s="1"/>
  <c r="I17" i="13"/>
  <c r="AC17" i="13" s="1"/>
  <c r="I18" i="13"/>
  <c r="AC18" i="13" s="1"/>
  <c r="I19" i="13"/>
  <c r="AC19" i="13" s="1"/>
  <c r="I20" i="13"/>
  <c r="AC20" i="13" s="1"/>
  <c r="I21" i="13"/>
  <c r="AC21" i="13" s="1"/>
  <c r="I22" i="13"/>
  <c r="AC22" i="13" s="1"/>
  <c r="I23" i="13"/>
  <c r="AC23" i="13" s="1"/>
  <c r="I24" i="13"/>
  <c r="AC24" i="13" s="1"/>
  <c r="I25" i="13"/>
  <c r="AC25" i="13" s="1"/>
  <c r="I26" i="13"/>
  <c r="AC26" i="13" s="1"/>
  <c r="I27" i="13"/>
  <c r="AC27" i="13" s="1"/>
  <c r="I28" i="13"/>
  <c r="AC28" i="13" s="1"/>
  <c r="I29" i="13"/>
  <c r="AC29" i="13" s="1"/>
  <c r="I30" i="13"/>
  <c r="AC30" i="13" s="1"/>
  <c r="I31" i="13"/>
  <c r="AC31" i="13" s="1"/>
  <c r="I32" i="13"/>
  <c r="AC32" i="13" s="1"/>
  <c r="I33" i="13"/>
  <c r="AC33" i="13" s="1"/>
  <c r="I34" i="13"/>
  <c r="AC34" i="13" s="1"/>
  <c r="I35" i="13"/>
  <c r="AC35" i="13" s="1"/>
  <c r="I36" i="13"/>
  <c r="AC36" i="13" s="1"/>
  <c r="I37" i="13"/>
  <c r="AC37" i="13" s="1"/>
  <c r="I38" i="13"/>
  <c r="AC38" i="13" s="1"/>
  <c r="I39" i="13"/>
  <c r="AC39" i="13" s="1"/>
  <c r="I40" i="13"/>
  <c r="AC40" i="13" s="1"/>
  <c r="I41" i="13"/>
  <c r="AC41" i="13" s="1"/>
  <c r="I42" i="13"/>
  <c r="AC42" i="13" s="1"/>
  <c r="I43" i="13"/>
  <c r="AC43" i="13" s="1"/>
  <c r="I44" i="13"/>
  <c r="AC44" i="13" s="1"/>
  <c r="I45" i="13"/>
  <c r="AC45" i="13" s="1"/>
  <c r="I46" i="13"/>
  <c r="AC46" i="13" s="1"/>
  <c r="I47" i="13"/>
  <c r="AC47" i="13" s="1"/>
  <c r="I48" i="13"/>
  <c r="AC48" i="13" s="1"/>
  <c r="I49" i="13"/>
  <c r="AC49" i="13" s="1"/>
  <c r="I50" i="13"/>
  <c r="AC50" i="13" s="1"/>
  <c r="I51" i="13"/>
  <c r="AC51" i="13" s="1"/>
  <c r="I52" i="13"/>
  <c r="AC52" i="13" s="1"/>
  <c r="I53" i="13"/>
  <c r="AC53" i="13" s="1"/>
  <c r="I54" i="13"/>
  <c r="AC54" i="13" s="1"/>
  <c r="I55" i="13"/>
  <c r="AC55" i="13" s="1"/>
  <c r="I56" i="13"/>
  <c r="AC56" i="13" s="1"/>
  <c r="I57" i="13"/>
  <c r="AC57" i="13" s="1"/>
  <c r="I58" i="13"/>
  <c r="AC58" i="13" s="1"/>
  <c r="I59" i="13"/>
  <c r="AC59" i="13" s="1"/>
  <c r="I60" i="13"/>
  <c r="AC60" i="13" s="1"/>
  <c r="I61" i="13"/>
  <c r="AC61" i="13" s="1"/>
  <c r="I62" i="13"/>
  <c r="AC62" i="13" s="1"/>
  <c r="I63" i="13"/>
  <c r="AC63" i="13" s="1"/>
  <c r="I64" i="13"/>
  <c r="AC64" i="13" s="1"/>
  <c r="I65" i="13"/>
  <c r="AC65" i="13" s="1"/>
  <c r="I66" i="13"/>
  <c r="AC66" i="13" s="1"/>
  <c r="I67" i="13"/>
  <c r="AC67" i="13" s="1"/>
  <c r="I68" i="13"/>
  <c r="AC68" i="13" s="1"/>
  <c r="I69" i="13"/>
  <c r="AC69" i="13" s="1"/>
  <c r="I70" i="13"/>
  <c r="AC70" i="13" s="1"/>
  <c r="I71" i="13"/>
  <c r="AC71" i="13" s="1"/>
  <c r="I72" i="13"/>
  <c r="AC72" i="13" s="1"/>
  <c r="I73" i="13"/>
  <c r="AC73" i="13" s="1"/>
  <c r="I74" i="13"/>
  <c r="AC74" i="13" s="1"/>
  <c r="I75" i="13"/>
  <c r="AC75" i="13" s="1"/>
  <c r="I76" i="13"/>
  <c r="AC76" i="13" s="1"/>
  <c r="I77" i="13"/>
  <c r="AC77" i="13" s="1"/>
  <c r="I78" i="13"/>
  <c r="AC78" i="13" s="1"/>
  <c r="I79" i="13"/>
  <c r="AC79" i="13" s="1"/>
  <c r="I80" i="13"/>
  <c r="AC80" i="13" s="1"/>
  <c r="I81" i="13"/>
  <c r="AC81" i="13" s="1"/>
  <c r="I82" i="13"/>
  <c r="AC82" i="13" s="1"/>
  <c r="I83" i="13"/>
  <c r="AC83" i="13" s="1"/>
  <c r="I84" i="13"/>
  <c r="AC84" i="13" s="1"/>
  <c r="I85" i="13"/>
  <c r="AC85" i="13" s="1"/>
  <c r="I86" i="13"/>
  <c r="AC86" i="13" s="1"/>
  <c r="I87" i="13"/>
  <c r="AC87" i="13" s="1"/>
  <c r="I88" i="13"/>
  <c r="AC88" i="13" s="1"/>
  <c r="I89" i="13"/>
  <c r="AC89" i="13" s="1"/>
  <c r="I90" i="13"/>
  <c r="AC90" i="13" s="1"/>
  <c r="I91" i="13"/>
  <c r="AC91" i="13" s="1"/>
  <c r="I92" i="13"/>
  <c r="AC92" i="13" s="1"/>
  <c r="I93" i="13"/>
  <c r="AC93" i="13" s="1"/>
  <c r="I94" i="13"/>
  <c r="AC94" i="13" s="1"/>
  <c r="I95" i="13"/>
  <c r="AC95" i="13" s="1"/>
  <c r="I96" i="13"/>
  <c r="AC96" i="13" s="1"/>
  <c r="I97" i="13"/>
  <c r="AC97" i="13" s="1"/>
  <c r="I98" i="13"/>
  <c r="AC98" i="13" s="1"/>
  <c r="I99" i="13"/>
  <c r="AC99" i="13" s="1"/>
  <c r="I100" i="13"/>
  <c r="AC100" i="13" s="1"/>
  <c r="I101" i="13"/>
  <c r="AC101" i="13" s="1"/>
  <c r="I102" i="13"/>
  <c r="AC102" i="13" s="1"/>
  <c r="I103" i="13"/>
  <c r="AC103" i="13" s="1"/>
  <c r="I104" i="13"/>
  <c r="AC104" i="13" s="1"/>
  <c r="I105" i="13"/>
  <c r="AC105" i="13" s="1"/>
  <c r="I106" i="13"/>
  <c r="AC106" i="13" s="1"/>
  <c r="I107" i="13"/>
  <c r="AC107" i="13" s="1"/>
  <c r="I2" i="13"/>
  <c r="AC2" i="13" s="1"/>
  <c r="L2" i="13"/>
  <c r="AD2" i="13" s="1"/>
  <c r="P3" i="13"/>
  <c r="AE3" i="13" s="1"/>
  <c r="P4" i="13"/>
  <c r="AE4" i="13" s="1"/>
  <c r="P5" i="13"/>
  <c r="AE5" i="13" s="1"/>
  <c r="P6" i="13"/>
  <c r="AE6" i="13" s="1"/>
  <c r="P7" i="13"/>
  <c r="AE7" i="13" s="1"/>
  <c r="P8" i="13"/>
  <c r="AE8" i="13" s="1"/>
  <c r="P9" i="13"/>
  <c r="AE9" i="13" s="1"/>
  <c r="P10" i="13"/>
  <c r="AE10" i="13" s="1"/>
  <c r="P11" i="13"/>
  <c r="AE11" i="13" s="1"/>
  <c r="P12" i="13"/>
  <c r="AE12" i="13" s="1"/>
  <c r="P13" i="13"/>
  <c r="AE13" i="13" s="1"/>
  <c r="P14" i="13"/>
  <c r="AE14" i="13" s="1"/>
  <c r="P15" i="13"/>
  <c r="AE15" i="13" s="1"/>
  <c r="P16" i="13"/>
  <c r="AE16" i="13" s="1"/>
  <c r="P17" i="13"/>
  <c r="AE17" i="13" s="1"/>
  <c r="P18" i="13"/>
  <c r="AE18" i="13" s="1"/>
  <c r="P19" i="13"/>
  <c r="AE19" i="13" s="1"/>
  <c r="P20" i="13"/>
  <c r="AE20" i="13" s="1"/>
  <c r="P21" i="13"/>
  <c r="AE21" i="13" s="1"/>
  <c r="P22" i="13"/>
  <c r="AE22" i="13" s="1"/>
  <c r="P23" i="13"/>
  <c r="AE23" i="13" s="1"/>
  <c r="P24" i="13"/>
  <c r="AE24" i="13" s="1"/>
  <c r="P25" i="13"/>
  <c r="AE25" i="13" s="1"/>
  <c r="P26" i="13"/>
  <c r="AE26" i="13" s="1"/>
  <c r="P27" i="13"/>
  <c r="AE27" i="13" s="1"/>
  <c r="P28" i="13"/>
  <c r="AE28" i="13" s="1"/>
  <c r="P29" i="13"/>
  <c r="AE29" i="13" s="1"/>
  <c r="P30" i="13"/>
  <c r="AE30" i="13" s="1"/>
  <c r="P31" i="13"/>
  <c r="AE31" i="13" s="1"/>
  <c r="P32" i="13"/>
  <c r="AE32" i="13" s="1"/>
  <c r="P33" i="13"/>
  <c r="AE33" i="13" s="1"/>
  <c r="P34" i="13"/>
  <c r="AE34" i="13" s="1"/>
  <c r="P35" i="13"/>
  <c r="AE35" i="13" s="1"/>
  <c r="P36" i="13"/>
  <c r="AE36" i="13" s="1"/>
  <c r="P37" i="13"/>
  <c r="AE37" i="13" s="1"/>
  <c r="P38" i="13"/>
  <c r="AE38" i="13" s="1"/>
  <c r="P39" i="13"/>
  <c r="AE39" i="13" s="1"/>
  <c r="P40" i="13"/>
  <c r="AE40" i="13" s="1"/>
  <c r="P41" i="13"/>
  <c r="AE41" i="13" s="1"/>
  <c r="P42" i="13"/>
  <c r="AE42" i="13" s="1"/>
  <c r="P43" i="13"/>
  <c r="AE43" i="13" s="1"/>
  <c r="P44" i="13"/>
  <c r="AE44" i="13" s="1"/>
  <c r="P45" i="13"/>
  <c r="AE45" i="13" s="1"/>
  <c r="P46" i="13"/>
  <c r="AE46" i="13" s="1"/>
  <c r="P47" i="13"/>
  <c r="AE47" i="13" s="1"/>
  <c r="P48" i="13"/>
  <c r="AE48" i="13" s="1"/>
  <c r="P49" i="13"/>
  <c r="AE49" i="13" s="1"/>
  <c r="P50" i="13"/>
  <c r="AE50" i="13" s="1"/>
  <c r="P51" i="13"/>
  <c r="AE51" i="13" s="1"/>
  <c r="P52" i="13"/>
  <c r="AE52" i="13" s="1"/>
  <c r="P53" i="13"/>
  <c r="AE53" i="13" s="1"/>
  <c r="P54" i="13"/>
  <c r="AE54" i="13" s="1"/>
  <c r="P55" i="13"/>
  <c r="AE55" i="13" s="1"/>
  <c r="P56" i="13"/>
  <c r="AE56" i="13" s="1"/>
  <c r="P57" i="13"/>
  <c r="AE57" i="13" s="1"/>
  <c r="P58" i="13"/>
  <c r="AE58" i="13" s="1"/>
  <c r="P59" i="13"/>
  <c r="AE59" i="13" s="1"/>
  <c r="P60" i="13"/>
  <c r="AE60" i="13" s="1"/>
  <c r="P61" i="13"/>
  <c r="AE61" i="13" s="1"/>
  <c r="P62" i="13"/>
  <c r="AE62" i="13" s="1"/>
  <c r="P63" i="13"/>
  <c r="AE63" i="13" s="1"/>
  <c r="P64" i="13"/>
  <c r="AE64" i="13" s="1"/>
  <c r="P65" i="13"/>
  <c r="AE65" i="13" s="1"/>
  <c r="P66" i="13"/>
  <c r="AE66" i="13" s="1"/>
  <c r="P67" i="13"/>
  <c r="AE67" i="13" s="1"/>
  <c r="P68" i="13"/>
  <c r="AE68" i="13" s="1"/>
  <c r="P69" i="13"/>
  <c r="AE69" i="13" s="1"/>
  <c r="P70" i="13"/>
  <c r="AE70" i="13" s="1"/>
  <c r="P71" i="13"/>
  <c r="AE71" i="13" s="1"/>
  <c r="P72" i="13"/>
  <c r="AE72" i="13" s="1"/>
  <c r="P73" i="13"/>
  <c r="AE73" i="13" s="1"/>
  <c r="P74" i="13"/>
  <c r="AE74" i="13" s="1"/>
  <c r="P75" i="13"/>
  <c r="AE75" i="13" s="1"/>
  <c r="P76" i="13"/>
  <c r="AE76" i="13" s="1"/>
  <c r="P77" i="13"/>
  <c r="AE77" i="13" s="1"/>
  <c r="P78" i="13"/>
  <c r="AE78" i="13" s="1"/>
  <c r="P79" i="13"/>
  <c r="AE79" i="13" s="1"/>
  <c r="P80" i="13"/>
  <c r="AE80" i="13" s="1"/>
  <c r="P81" i="13"/>
  <c r="AE81" i="13" s="1"/>
  <c r="P82" i="13"/>
  <c r="AE82" i="13" s="1"/>
  <c r="P83" i="13"/>
  <c r="AE83" i="13" s="1"/>
  <c r="P84" i="13"/>
  <c r="AE84" i="13" s="1"/>
  <c r="P85" i="13"/>
  <c r="AE85" i="13" s="1"/>
  <c r="P86" i="13"/>
  <c r="AE86" i="13" s="1"/>
  <c r="P87" i="13"/>
  <c r="AE87" i="13" s="1"/>
  <c r="P88" i="13"/>
  <c r="AE88" i="13" s="1"/>
  <c r="P89" i="13"/>
  <c r="AE89" i="13" s="1"/>
  <c r="P90" i="13"/>
  <c r="AE90" i="13" s="1"/>
  <c r="P91" i="13"/>
  <c r="AE91" i="13" s="1"/>
  <c r="P92" i="13"/>
  <c r="AE92" i="13" s="1"/>
  <c r="P93" i="13"/>
  <c r="AE93" i="13" s="1"/>
  <c r="P94" i="13"/>
  <c r="AE94" i="13" s="1"/>
  <c r="P95" i="13"/>
  <c r="AE95" i="13" s="1"/>
  <c r="P96" i="13"/>
  <c r="AE96" i="13" s="1"/>
  <c r="P97" i="13"/>
  <c r="AE97" i="13" s="1"/>
  <c r="P98" i="13"/>
  <c r="AE98" i="13" s="1"/>
  <c r="P99" i="13"/>
  <c r="AE99" i="13" s="1"/>
  <c r="P100" i="13"/>
  <c r="AE100" i="13" s="1"/>
  <c r="P101" i="13"/>
  <c r="AE101" i="13" s="1"/>
  <c r="P102" i="13"/>
  <c r="AE102" i="13" s="1"/>
  <c r="P103" i="13"/>
  <c r="AE103" i="13" s="1"/>
  <c r="P104" i="13"/>
  <c r="AE104" i="13" s="1"/>
  <c r="P105" i="13"/>
  <c r="AE105" i="13" s="1"/>
  <c r="P106" i="13"/>
  <c r="AE106" i="13" s="1"/>
  <c r="P107" i="13"/>
  <c r="AE107" i="13" s="1"/>
  <c r="P2" i="13"/>
  <c r="AE2" i="13" s="1"/>
  <c r="T3" i="13"/>
  <c r="AF3" i="13" s="1"/>
  <c r="T4" i="13"/>
  <c r="AF4" i="13" s="1"/>
  <c r="T5" i="13"/>
  <c r="AF5" i="13" s="1"/>
  <c r="T6" i="13"/>
  <c r="AF6" i="13" s="1"/>
  <c r="T7" i="13"/>
  <c r="AF7" i="13" s="1"/>
  <c r="T8" i="13"/>
  <c r="AF8" i="13" s="1"/>
  <c r="T9" i="13"/>
  <c r="AF9" i="13" s="1"/>
  <c r="T10" i="13"/>
  <c r="AF10" i="13" s="1"/>
  <c r="T11" i="13"/>
  <c r="AF11" i="13" s="1"/>
  <c r="T12" i="13"/>
  <c r="AF12" i="13" s="1"/>
  <c r="T13" i="13"/>
  <c r="AF13" i="13" s="1"/>
  <c r="T14" i="13"/>
  <c r="AF14" i="13" s="1"/>
  <c r="T15" i="13"/>
  <c r="AF15" i="13" s="1"/>
  <c r="T16" i="13"/>
  <c r="AF16" i="13" s="1"/>
  <c r="T17" i="13"/>
  <c r="AF17" i="13" s="1"/>
  <c r="T18" i="13"/>
  <c r="AF18" i="13" s="1"/>
  <c r="T19" i="13"/>
  <c r="AF19" i="13" s="1"/>
  <c r="T20" i="13"/>
  <c r="AF20" i="13" s="1"/>
  <c r="T21" i="13"/>
  <c r="AF21" i="13" s="1"/>
  <c r="T22" i="13"/>
  <c r="AF22" i="13" s="1"/>
  <c r="T23" i="13"/>
  <c r="AF23" i="13" s="1"/>
  <c r="T24" i="13"/>
  <c r="AF24" i="13" s="1"/>
  <c r="T25" i="13"/>
  <c r="AF25" i="13" s="1"/>
  <c r="T26" i="13"/>
  <c r="AF26" i="13" s="1"/>
  <c r="T27" i="13"/>
  <c r="AF27" i="13" s="1"/>
  <c r="T28" i="13"/>
  <c r="AF28" i="13" s="1"/>
  <c r="T29" i="13"/>
  <c r="AF29" i="13" s="1"/>
  <c r="T30" i="13"/>
  <c r="AF30" i="13" s="1"/>
  <c r="T31" i="13"/>
  <c r="AF31" i="13" s="1"/>
  <c r="T32" i="13"/>
  <c r="AF32" i="13" s="1"/>
  <c r="T33" i="13"/>
  <c r="AF33" i="13" s="1"/>
  <c r="T34" i="13"/>
  <c r="AF34" i="13" s="1"/>
  <c r="T35" i="13"/>
  <c r="AF35" i="13" s="1"/>
  <c r="T36" i="13"/>
  <c r="AF36" i="13" s="1"/>
  <c r="T37" i="13"/>
  <c r="AF37" i="13" s="1"/>
  <c r="T38" i="13"/>
  <c r="AF38" i="13" s="1"/>
  <c r="T39" i="13"/>
  <c r="AF39" i="13" s="1"/>
  <c r="T40" i="13"/>
  <c r="AF40" i="13" s="1"/>
  <c r="T41" i="13"/>
  <c r="AF41" i="13" s="1"/>
  <c r="T42" i="13"/>
  <c r="AF42" i="13" s="1"/>
  <c r="T43" i="13"/>
  <c r="AF43" i="13" s="1"/>
  <c r="T44" i="13"/>
  <c r="AF44" i="13" s="1"/>
  <c r="T45" i="13"/>
  <c r="AF45" i="13" s="1"/>
  <c r="T46" i="13"/>
  <c r="AF46" i="13" s="1"/>
  <c r="T47" i="13"/>
  <c r="AF47" i="13" s="1"/>
  <c r="T48" i="13"/>
  <c r="AF48" i="13" s="1"/>
  <c r="T49" i="13"/>
  <c r="AF49" i="13" s="1"/>
  <c r="T50" i="13"/>
  <c r="AF50" i="13" s="1"/>
  <c r="T51" i="13"/>
  <c r="AF51" i="13" s="1"/>
  <c r="T52" i="13"/>
  <c r="AF52" i="13" s="1"/>
  <c r="T53" i="13"/>
  <c r="AF53" i="13" s="1"/>
  <c r="T54" i="13"/>
  <c r="AF54" i="13" s="1"/>
  <c r="T55" i="13"/>
  <c r="AF55" i="13" s="1"/>
  <c r="T56" i="13"/>
  <c r="AF56" i="13" s="1"/>
  <c r="T57" i="13"/>
  <c r="AF57" i="13" s="1"/>
  <c r="T58" i="13"/>
  <c r="AF58" i="13" s="1"/>
  <c r="T59" i="13"/>
  <c r="AF59" i="13" s="1"/>
  <c r="T60" i="13"/>
  <c r="AF60" i="13" s="1"/>
  <c r="T61" i="13"/>
  <c r="AF61" i="13" s="1"/>
  <c r="T62" i="13"/>
  <c r="AF62" i="13" s="1"/>
  <c r="T63" i="13"/>
  <c r="AF63" i="13" s="1"/>
  <c r="T64" i="13"/>
  <c r="AF64" i="13" s="1"/>
  <c r="T65" i="13"/>
  <c r="AF65" i="13" s="1"/>
  <c r="T66" i="13"/>
  <c r="AF66" i="13" s="1"/>
  <c r="T67" i="13"/>
  <c r="AF67" i="13" s="1"/>
  <c r="T68" i="13"/>
  <c r="AF68" i="13" s="1"/>
  <c r="T69" i="13"/>
  <c r="AF69" i="13" s="1"/>
  <c r="T70" i="13"/>
  <c r="AF70" i="13" s="1"/>
  <c r="T71" i="13"/>
  <c r="AF71" i="13" s="1"/>
  <c r="T72" i="13"/>
  <c r="AF72" i="13" s="1"/>
  <c r="T73" i="13"/>
  <c r="AF73" i="13" s="1"/>
  <c r="T74" i="13"/>
  <c r="AF74" i="13" s="1"/>
  <c r="T75" i="13"/>
  <c r="AF75" i="13" s="1"/>
  <c r="T76" i="13"/>
  <c r="AF76" i="13" s="1"/>
  <c r="T77" i="13"/>
  <c r="AF77" i="13" s="1"/>
  <c r="T78" i="13"/>
  <c r="AF78" i="13" s="1"/>
  <c r="T79" i="13"/>
  <c r="AF79" i="13" s="1"/>
  <c r="T80" i="13"/>
  <c r="AF80" i="13" s="1"/>
  <c r="T81" i="13"/>
  <c r="AF81" i="13" s="1"/>
  <c r="T82" i="13"/>
  <c r="AF82" i="13" s="1"/>
  <c r="T83" i="13"/>
  <c r="AF83" i="13" s="1"/>
  <c r="T84" i="13"/>
  <c r="AF84" i="13" s="1"/>
  <c r="T85" i="13"/>
  <c r="AF85" i="13" s="1"/>
  <c r="T86" i="13"/>
  <c r="AF86" i="13" s="1"/>
  <c r="T87" i="13"/>
  <c r="AF87" i="13" s="1"/>
  <c r="T88" i="13"/>
  <c r="AF88" i="13" s="1"/>
  <c r="T89" i="13"/>
  <c r="AF89" i="13" s="1"/>
  <c r="T90" i="13"/>
  <c r="AF90" i="13" s="1"/>
  <c r="T91" i="13"/>
  <c r="AF91" i="13" s="1"/>
  <c r="T92" i="13"/>
  <c r="AF92" i="13" s="1"/>
  <c r="T93" i="13"/>
  <c r="AF93" i="13" s="1"/>
  <c r="T94" i="13"/>
  <c r="AF94" i="13" s="1"/>
  <c r="T95" i="13"/>
  <c r="AF95" i="13" s="1"/>
  <c r="T96" i="13"/>
  <c r="AF96" i="13" s="1"/>
  <c r="T97" i="13"/>
  <c r="AF97" i="13" s="1"/>
  <c r="T98" i="13"/>
  <c r="AF98" i="13" s="1"/>
  <c r="T99" i="13"/>
  <c r="AF99" i="13" s="1"/>
  <c r="T100" i="13"/>
  <c r="AF100" i="13" s="1"/>
  <c r="T101" i="13"/>
  <c r="AF101" i="13" s="1"/>
  <c r="T102" i="13"/>
  <c r="AF102" i="13" s="1"/>
  <c r="T103" i="13"/>
  <c r="AF103" i="13" s="1"/>
  <c r="T104" i="13"/>
  <c r="AF104" i="13" s="1"/>
  <c r="T105" i="13"/>
  <c r="AF105" i="13" s="1"/>
  <c r="T106" i="13"/>
  <c r="AF106" i="13" s="1"/>
  <c r="T107" i="13"/>
  <c r="AF107" i="13" s="1"/>
  <c r="T2" i="13"/>
  <c r="AA22" i="13"/>
  <c r="AA23" i="13"/>
  <c r="AA24" i="13"/>
  <c r="AA25" i="13"/>
  <c r="AA26" i="13"/>
  <c r="AA27" i="13"/>
  <c r="AA28" i="13"/>
  <c r="AA29" i="13"/>
  <c r="AA30" i="13"/>
  <c r="AA31" i="13"/>
  <c r="AA32" i="13"/>
  <c r="AA33" i="13"/>
  <c r="AA34" i="13"/>
  <c r="AA35" i="13"/>
  <c r="AA36" i="13"/>
  <c r="AA37"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9" i="13"/>
  <c r="AA70" i="13"/>
  <c r="AA71" i="13"/>
  <c r="AA72" i="13"/>
  <c r="AA73" i="13"/>
  <c r="AA74" i="13"/>
  <c r="AA75" i="13"/>
  <c r="AA76" i="13"/>
  <c r="AA77" i="13"/>
  <c r="AA78" i="13"/>
  <c r="AA79" i="13"/>
  <c r="AA80" i="13"/>
  <c r="AA81" i="13"/>
  <c r="AA82" i="13"/>
  <c r="AA83" i="13"/>
  <c r="AA84" i="13"/>
  <c r="AA85" i="13"/>
  <c r="AA86" i="13"/>
  <c r="AA87" i="13"/>
  <c r="AA88" i="13"/>
  <c r="AA89" i="13"/>
  <c r="AA90" i="13"/>
  <c r="AA91" i="13"/>
  <c r="AA92" i="13"/>
  <c r="AA93" i="13"/>
  <c r="AA94" i="13"/>
  <c r="AA95" i="13"/>
  <c r="AA96" i="13"/>
  <c r="AA97" i="13"/>
  <c r="AA98" i="13"/>
  <c r="AA99" i="13"/>
  <c r="AA100" i="13"/>
  <c r="AA101" i="13"/>
  <c r="AA102" i="13"/>
  <c r="AA103" i="13"/>
  <c r="AA104" i="13"/>
  <c r="AA105" i="13"/>
  <c r="AA106" i="13"/>
  <c r="AA107" i="13"/>
  <c r="AA3" i="13"/>
  <c r="AA4" i="13"/>
  <c r="AG4" i="13" s="1"/>
  <c r="AA5" i="13"/>
  <c r="AA6" i="13"/>
  <c r="AA7" i="13"/>
  <c r="AA8" i="13"/>
  <c r="AA9" i="13"/>
  <c r="AA10" i="13"/>
  <c r="AA11" i="13"/>
  <c r="AA12" i="13"/>
  <c r="AA13" i="13"/>
  <c r="AA14" i="13"/>
  <c r="AA15" i="13"/>
  <c r="AA16" i="13"/>
  <c r="AA17" i="13"/>
  <c r="AA18" i="13"/>
  <c r="AA19" i="13"/>
  <c r="AA20" i="13"/>
  <c r="AA21" i="13"/>
  <c r="AA2" i="13"/>
  <c r="AG11" i="13" l="1"/>
  <c r="AB11" i="13" a="1"/>
  <c r="AB11" i="13" s="1"/>
  <c r="AG100" i="13"/>
  <c r="AB100" i="13" a="1"/>
  <c r="AB100" i="13" s="1"/>
  <c r="AG92" i="13"/>
  <c r="AB92" i="13" a="1"/>
  <c r="AB92" i="13" s="1"/>
  <c r="AG88" i="13"/>
  <c r="AB88" i="13" a="1"/>
  <c r="AB88" i="13" s="1"/>
  <c r="AG76" i="13"/>
  <c r="AB76" i="13" a="1"/>
  <c r="AB76" i="13" s="1"/>
  <c r="AG68" i="13"/>
  <c r="AB68" i="13" a="1"/>
  <c r="AB68" i="13" s="1"/>
  <c r="AG60" i="13"/>
  <c r="AB60" i="13" a="1"/>
  <c r="AB60" i="13" s="1"/>
  <c r="AG52" i="13"/>
  <c r="AB52" i="13" a="1"/>
  <c r="AB52" i="13" s="1"/>
  <c r="AG40" i="13"/>
  <c r="AB40" i="13" a="1"/>
  <c r="AB40" i="13" s="1"/>
  <c r="AG32" i="13"/>
  <c r="AB32" i="13" a="1"/>
  <c r="AB32" i="13" s="1"/>
  <c r="AG24" i="13"/>
  <c r="AB24" i="13" a="1"/>
  <c r="AB24" i="13" s="1"/>
  <c r="AG18" i="13"/>
  <c r="AB18" i="13" a="1"/>
  <c r="AB18" i="13" s="1"/>
  <c r="AG14" i="13"/>
  <c r="AB14" i="13" a="1"/>
  <c r="AB14" i="13" s="1"/>
  <c r="AG10" i="13"/>
  <c r="AB10" i="13" a="1"/>
  <c r="AB10" i="13" s="1"/>
  <c r="AG6" i="13"/>
  <c r="AB6" i="13" a="1"/>
  <c r="AB6" i="13" s="1"/>
  <c r="AG103" i="13"/>
  <c r="AB103" i="13" a="1"/>
  <c r="AB103" i="13" s="1"/>
  <c r="AG99" i="13"/>
  <c r="AB99" i="13" a="1"/>
  <c r="AB99" i="13" s="1"/>
  <c r="AG95" i="13"/>
  <c r="AB95" i="13" a="1"/>
  <c r="AB95" i="13" s="1"/>
  <c r="AG91" i="13"/>
  <c r="AB91" i="13" a="1"/>
  <c r="AB91" i="13" s="1"/>
  <c r="AG87" i="13"/>
  <c r="AB87" i="13" a="1"/>
  <c r="AB87" i="13" s="1"/>
  <c r="AG83" i="13"/>
  <c r="AB83" i="13" a="1"/>
  <c r="AB83" i="13" s="1"/>
  <c r="AG79" i="13"/>
  <c r="AB79" i="13" a="1"/>
  <c r="AB79" i="13" s="1"/>
  <c r="AG75" i="13"/>
  <c r="AB75" i="13" a="1"/>
  <c r="AB75" i="13" s="1"/>
  <c r="AG71" i="13"/>
  <c r="AB71" i="13" a="1"/>
  <c r="AB71" i="13" s="1"/>
  <c r="AG67" i="13"/>
  <c r="AB67" i="13" a="1"/>
  <c r="AB67" i="13" s="1"/>
  <c r="AG63" i="13"/>
  <c r="AB63" i="13" a="1"/>
  <c r="AB63" i="13" s="1"/>
  <c r="AB59" i="13" a="1"/>
  <c r="AB59" i="13" s="1"/>
  <c r="AG59" i="13"/>
  <c r="AG55" i="13"/>
  <c r="AB55" i="13" a="1"/>
  <c r="AB55" i="13" s="1"/>
  <c r="AB51" i="13" a="1"/>
  <c r="AB51" i="13" s="1"/>
  <c r="AG51" i="13"/>
  <c r="AG47" i="13"/>
  <c r="AB47" i="13" a="1"/>
  <c r="AB47" i="13" s="1"/>
  <c r="AG43" i="13"/>
  <c r="AB43" i="13" a="1"/>
  <c r="AB43" i="13" s="1"/>
  <c r="AG39" i="13"/>
  <c r="AB39" i="13" a="1"/>
  <c r="AB39" i="13" s="1"/>
  <c r="AG35" i="13"/>
  <c r="AB35" i="13" a="1"/>
  <c r="AB35" i="13" s="1"/>
  <c r="AG31" i="13"/>
  <c r="AB31" i="13" a="1"/>
  <c r="AB31" i="13" s="1"/>
  <c r="AB27" i="13" a="1"/>
  <c r="AB27" i="13" s="1"/>
  <c r="AG27" i="13"/>
  <c r="AG23" i="13"/>
  <c r="AB23" i="13" a="1"/>
  <c r="AB23" i="13" s="1"/>
  <c r="AB19" i="13" a="1"/>
  <c r="AB19" i="13" s="1"/>
  <c r="AG19" i="13"/>
  <c r="AG84" i="13"/>
  <c r="AB84" i="13" a="1"/>
  <c r="AB84" i="13" s="1"/>
  <c r="AG21" i="13"/>
  <c r="AB21" i="13" a="1"/>
  <c r="AB21" i="13" s="1"/>
  <c r="AG17" i="13"/>
  <c r="AB17" i="13" a="1"/>
  <c r="AB17" i="13" s="1"/>
  <c r="AG13" i="13"/>
  <c r="AB13" i="13" a="1"/>
  <c r="AB13" i="13" s="1"/>
  <c r="AG9" i="13"/>
  <c r="AB9" i="13" a="1"/>
  <c r="AB9" i="13" s="1"/>
  <c r="AG5" i="13"/>
  <c r="AB5" i="13" a="1"/>
  <c r="AB5" i="13" s="1"/>
  <c r="AG106" i="13"/>
  <c r="AB106" i="13" a="1"/>
  <c r="AB106" i="13" s="1"/>
  <c r="AG102" i="13"/>
  <c r="AB102" i="13" a="1"/>
  <c r="AB102" i="13" s="1"/>
  <c r="AG98" i="13"/>
  <c r="AB98" i="13" a="1"/>
  <c r="AB98" i="13" s="1"/>
  <c r="AG94" i="13"/>
  <c r="AB94" i="13" a="1"/>
  <c r="AB94" i="13" s="1"/>
  <c r="AG90" i="13"/>
  <c r="AB90" i="13" a="1"/>
  <c r="AB90" i="13" s="1"/>
  <c r="AG86" i="13"/>
  <c r="AB86" i="13" a="1"/>
  <c r="AB86" i="13" s="1"/>
  <c r="AG82" i="13"/>
  <c r="AB82" i="13" a="1"/>
  <c r="AB82" i="13" s="1"/>
  <c r="AG78" i="13"/>
  <c r="AB78" i="13" a="1"/>
  <c r="AB78" i="13" s="1"/>
  <c r="AG74" i="13"/>
  <c r="AB74" i="13" a="1"/>
  <c r="AB74" i="13" s="1"/>
  <c r="AG70" i="13"/>
  <c r="AB70" i="13" a="1"/>
  <c r="AB70" i="13" s="1"/>
  <c r="AG66" i="13"/>
  <c r="AB66" i="13" a="1"/>
  <c r="AB66" i="13" s="1"/>
  <c r="AG62" i="13"/>
  <c r="AB62" i="13" a="1"/>
  <c r="AB62" i="13" s="1"/>
  <c r="AG58" i="13"/>
  <c r="AB58" i="13" a="1"/>
  <c r="AB58" i="13" s="1"/>
  <c r="AG54" i="13"/>
  <c r="AB54" i="13" a="1"/>
  <c r="AB54" i="13" s="1"/>
  <c r="AG50" i="13"/>
  <c r="AB50" i="13" a="1"/>
  <c r="AB50" i="13" s="1"/>
  <c r="AG46" i="13"/>
  <c r="AB46" i="13" a="1"/>
  <c r="AB46" i="13" s="1"/>
  <c r="AG42" i="13"/>
  <c r="AB42" i="13" a="1"/>
  <c r="AB42" i="13" s="1"/>
  <c r="AG38" i="13"/>
  <c r="AB38" i="13" a="1"/>
  <c r="AB38" i="13" s="1"/>
  <c r="AG34" i="13"/>
  <c r="AB34" i="13" a="1"/>
  <c r="AB34" i="13" s="1"/>
  <c r="AG30" i="13"/>
  <c r="AB30" i="13" a="1"/>
  <c r="AB30" i="13" s="1"/>
  <c r="AG26" i="13"/>
  <c r="AB26" i="13" a="1"/>
  <c r="AB26" i="13" s="1"/>
  <c r="AG22" i="13"/>
  <c r="AB22" i="13" a="1"/>
  <c r="AB22" i="13" s="1"/>
  <c r="AG15" i="13"/>
  <c r="AB15" i="13" a="1"/>
  <c r="AB15" i="13" s="1"/>
  <c r="AG7" i="13"/>
  <c r="AB7" i="13" a="1"/>
  <c r="AB7" i="13" s="1"/>
  <c r="AG104" i="13"/>
  <c r="AB104" i="13" a="1"/>
  <c r="AB104" i="13" s="1"/>
  <c r="AG96" i="13"/>
  <c r="AB96" i="13" a="1"/>
  <c r="AB96" i="13" s="1"/>
  <c r="AG80" i="13"/>
  <c r="AB80" i="13" a="1"/>
  <c r="AB80" i="13" s="1"/>
  <c r="AG72" i="13"/>
  <c r="AB72" i="13" a="1"/>
  <c r="AB72" i="13" s="1"/>
  <c r="AG64" i="13"/>
  <c r="AB64" i="13" a="1"/>
  <c r="AB64" i="13" s="1"/>
  <c r="AG56" i="13"/>
  <c r="AB56" i="13" a="1"/>
  <c r="AB56" i="13" s="1"/>
  <c r="AG48" i="13"/>
  <c r="AB48" i="13" a="1"/>
  <c r="AB48" i="13" s="1"/>
  <c r="AG44" i="13"/>
  <c r="AB44" i="13" a="1"/>
  <c r="AB44" i="13" s="1"/>
  <c r="AG36" i="13"/>
  <c r="AB36" i="13" a="1"/>
  <c r="AB36" i="13" s="1"/>
  <c r="AG28" i="13"/>
  <c r="AB28" i="13" a="1"/>
  <c r="AB28" i="13" s="1"/>
  <c r="AG20" i="13"/>
  <c r="AB20" i="13" a="1"/>
  <c r="AB20" i="13" s="1"/>
  <c r="AG16" i="13"/>
  <c r="AB16" i="13" a="1"/>
  <c r="AB16" i="13" s="1"/>
  <c r="AG12" i="13"/>
  <c r="AB12" i="13" a="1"/>
  <c r="AB12" i="13" s="1"/>
  <c r="AG8" i="13"/>
  <c r="AB8" i="13" a="1"/>
  <c r="AB8" i="13" s="1"/>
  <c r="AG105" i="13"/>
  <c r="AB105" i="13" a="1"/>
  <c r="AB105" i="13" s="1"/>
  <c r="AB101" i="13" a="1"/>
  <c r="AB101" i="13" s="1"/>
  <c r="AG101" i="13"/>
  <c r="AB97" i="13" a="1"/>
  <c r="AB97" i="13" s="1"/>
  <c r="AG97" i="13"/>
  <c r="AB93" i="13" a="1"/>
  <c r="AB93" i="13" s="1"/>
  <c r="AG93" i="13"/>
  <c r="AG89" i="13"/>
  <c r="AB89" i="13" a="1"/>
  <c r="AB89" i="13" s="1"/>
  <c r="AG85" i="13"/>
  <c r="AB85" i="13" a="1"/>
  <c r="AB85" i="13" s="1"/>
  <c r="AG81" i="13"/>
  <c r="AB81" i="13" a="1"/>
  <c r="AB81" i="13" s="1"/>
  <c r="AG77" i="13"/>
  <c r="AB77" i="13" a="1"/>
  <c r="AB77" i="13" s="1"/>
  <c r="AG73" i="13"/>
  <c r="AB73" i="13" a="1"/>
  <c r="AB73" i="13" s="1"/>
  <c r="AG69" i="13"/>
  <c r="AB69" i="13" a="1"/>
  <c r="AB69" i="13" s="1"/>
  <c r="AG65" i="13"/>
  <c r="AB65" i="13" a="1"/>
  <c r="AB65" i="13" s="1"/>
  <c r="AG61" i="13"/>
  <c r="AB61" i="13" a="1"/>
  <c r="AB61" i="13" s="1"/>
  <c r="AG57" i="13"/>
  <c r="AB57" i="13" a="1"/>
  <c r="AB57" i="13" s="1"/>
  <c r="AG53" i="13"/>
  <c r="AB53" i="13" a="1"/>
  <c r="AB53" i="13" s="1"/>
  <c r="AG49" i="13"/>
  <c r="AB49" i="13" a="1"/>
  <c r="AB49" i="13" s="1"/>
  <c r="AG45" i="13"/>
  <c r="AB45" i="13" a="1"/>
  <c r="AB45" i="13" s="1"/>
  <c r="AG41" i="13"/>
  <c r="AB41" i="13" a="1"/>
  <c r="AB41" i="13" s="1"/>
  <c r="AG37" i="13"/>
  <c r="AB37" i="13" a="1"/>
  <c r="AB37" i="13" s="1"/>
  <c r="AG33" i="13"/>
  <c r="AB33" i="13" a="1"/>
  <c r="AB33" i="13" s="1"/>
  <c r="AG29" i="13"/>
  <c r="AB29" i="13" a="1"/>
  <c r="AB29" i="13" s="1"/>
  <c r="AG25" i="13"/>
  <c r="AB25" i="13" a="1"/>
  <c r="AB25" i="13" s="1"/>
  <c r="AB2" i="13" a="1"/>
  <c r="AB2" i="13" s="1"/>
  <c r="AG2" i="13"/>
  <c r="AB107" i="13" a="1"/>
  <c r="AB107" i="13" s="1"/>
  <c r="AG107" i="13"/>
  <c r="AB3" i="13" a="1"/>
  <c r="AB3" i="13" s="1"/>
  <c r="AG3" i="13"/>
  <c r="AB4" i="13" a="1"/>
  <c r="AB4" i="13" s="1"/>
  <c r="AF2" i="13"/>
  <c r="L9" i="15"/>
  <c r="L10" i="15" s="1"/>
  <c r="L8" i="15"/>
  <c r="AB108" i="13" l="1"/>
  <c r="AA2" i="11"/>
  <c r="E13" i="12" l="1"/>
  <c r="AB109" i="13"/>
  <c r="BB2" i="9"/>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AB110" i="13" l="1"/>
  <c r="AB111" i="13"/>
  <c r="D6" i="12"/>
  <c r="F4" i="10"/>
  <c r="F30" i="10"/>
  <c r="G5" i="11"/>
  <c r="D31" i="10"/>
  <c r="E6" i="11"/>
  <c r="F45" i="10"/>
  <c r="M6" i="12"/>
  <c r="B6" i="12"/>
  <c r="F2" i="10"/>
  <c r="F42" i="10"/>
  <c r="F14" i="10"/>
  <c r="H6" i="12"/>
  <c r="F19" i="10"/>
  <c r="E9" i="10"/>
  <c r="E57" i="10"/>
  <c r="F5" i="11"/>
  <c r="E30" i="10"/>
  <c r="F8" i="12"/>
  <c r="H8" i="12"/>
  <c r="D57" i="10"/>
  <c r="F31" i="10"/>
  <c r="G6" i="11"/>
  <c r="E31" i="10"/>
  <c r="F6" i="11"/>
  <c r="G6" i="12"/>
  <c r="F13" i="10"/>
  <c r="D10" i="10"/>
  <c r="F5" i="10"/>
  <c r="E6" i="12"/>
  <c r="F7" i="10"/>
  <c r="F53" i="10"/>
  <c r="D21" i="10"/>
  <c r="E7" i="10"/>
  <c r="E8" i="10"/>
  <c r="I6" i="12"/>
  <c r="F23" i="10"/>
  <c r="D16" i="10"/>
  <c r="F7" i="12"/>
  <c r="F33" i="10"/>
  <c r="K6" i="12"/>
  <c r="F20" i="10"/>
  <c r="D17" i="10"/>
  <c r="G7" i="12"/>
  <c r="G8" i="12"/>
  <c r="F50" i="10"/>
  <c r="N6" i="12"/>
  <c r="F36" i="10"/>
  <c r="F8" i="10"/>
  <c r="J8" i="12"/>
  <c r="F47" i="10"/>
  <c r="M7" i="12"/>
  <c r="M8" i="12"/>
  <c r="E36" i="10"/>
  <c r="F57" i="10"/>
  <c r="O7" i="12"/>
  <c r="O8" i="12"/>
  <c r="F55" i="10"/>
  <c r="L6" i="12"/>
  <c r="F39" i="10"/>
  <c r="F21" i="10"/>
  <c r="D19" i="10"/>
  <c r="D18" i="10"/>
  <c r="E10" i="10"/>
  <c r="F25" i="10"/>
  <c r="D36" i="10"/>
  <c r="E20" i="10"/>
  <c r="D7" i="12"/>
  <c r="D8" i="12"/>
  <c r="G3" i="11"/>
  <c r="F28" i="10"/>
  <c r="J6" i="12"/>
  <c r="F16" i="10"/>
  <c r="E17" i="10"/>
  <c r="F35" i="10"/>
  <c r="D25" i="10"/>
  <c r="I7" i="12"/>
  <c r="I8" i="12"/>
  <c r="F12" i="10"/>
  <c r="F6" i="12"/>
  <c r="F17" i="10"/>
  <c r="F58" i="10"/>
  <c r="F41" i="10"/>
  <c r="L7" i="12"/>
  <c r="L8" i="12"/>
  <c r="C7" i="12"/>
  <c r="C8" i="12"/>
  <c r="E5" i="11"/>
  <c r="D30" i="10"/>
  <c r="J7" i="12"/>
  <c r="E19" i="10"/>
  <c r="E58" i="10"/>
  <c r="F48" i="10"/>
  <c r="F3" i="10"/>
  <c r="C6" i="12"/>
  <c r="E26" i="10"/>
  <c r="D26" i="10"/>
  <c r="D20" i="10"/>
  <c r="H7" i="12"/>
  <c r="F18" i="10"/>
  <c r="D35" i="10"/>
  <c r="K7" i="12"/>
  <c r="K8" i="12"/>
  <c r="D7" i="10"/>
  <c r="B7" i="12"/>
  <c r="B8" i="12"/>
  <c r="E21" i="10"/>
  <c r="F10" i="10"/>
  <c r="D8" i="10"/>
  <c r="F9" i="10"/>
  <c r="F43" i="10"/>
  <c r="F52" i="10"/>
  <c r="N7" i="12"/>
  <c r="N8" i="12"/>
  <c r="E18" i="10"/>
  <c r="D9" i="10"/>
  <c r="E7" i="12"/>
  <c r="E8" i="12"/>
  <c r="D58" i="10"/>
  <c r="E25" i="10"/>
  <c r="E16" i="10"/>
  <c r="F26" i="10"/>
  <c r="E35" i="10"/>
</calcChain>
</file>

<file path=xl/sharedStrings.xml><?xml version="1.0" encoding="utf-8"?>
<sst xmlns="http://schemas.openxmlformats.org/spreadsheetml/2006/main" count="10504" uniqueCount="3960">
  <si>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</si>
  <si>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</si>
  <si>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</si>
  <si>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</si>
  <si>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</si>
  <si>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</si>
  <si>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</si>
  <si>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</si>
  <si>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</si>
  <si>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</si>
  <si>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</si>
  <si>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</si>
  <si>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</si>
  <si>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</si>
  <si>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</si>
  <si>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</si>
  <si>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</si>
  <si>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</si>
  <si>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</si>
  <si>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</si>
  <si>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</si>
  <si>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</si>
  <si>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</si>
  <si>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</si>
  <si>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</si>
  <si>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</si>
  <si>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</si>
  <si>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</si>
  <si>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</si>
  <si>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</si>
  <si>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</si>
  <si>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</si>
  <si>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</si>
  <si>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</si>
  <si>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</si>
  <si>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</si>
  <si>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</si>
  <si>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</si>
  <si>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</si>
  <si>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</si>
  <si>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</si>
  <si>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</si>
  <si>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</si>
  <si>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</si>
  <si>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</si>
  <si>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</si>
  <si>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</si>
  <si>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</si>
  <si>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</si>
  <si>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</si>
  <si>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</si>
  <si>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</si>
  <si>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</si>
  <si>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</si>
  <si>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</si>
  <si>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</si>
  <si>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</si>
  <si>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</si>
  <si>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</si>
  <si>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</si>
  <si>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</si>
  <si>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</si>
  <si>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</si>
  <si>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Completeness</t>
  </si>
  <si>
    <t>Consistency</t>
  </si>
  <si>
    <t>Precision</t>
  </si>
  <si>
    <t>Integrity</t>
  </si>
  <si>
    <t>Validity</t>
  </si>
  <si>
    <t>PMTCT_STAT</t>
  </si>
  <si>
    <t>PMTCT_EID</t>
  </si>
  <si>
    <t>HTC_TST</t>
  </si>
  <si>
    <t>TX_NEW</t>
  </si>
  <si>
    <t>LGA</t>
  </si>
  <si>
    <t>State</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</si>
  <si>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</si>
  <si>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</si>
  <si>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</si>
  <si>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</si>
  <si>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</si>
  <si>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</si>
  <si>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</si>
  <si>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</si>
  <si>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</si>
  <si>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</si>
  <si>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</si>
  <si>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</si>
  <si>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</si>
  <si>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</si>
  <si>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</si>
  <si>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</si>
  <si>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</si>
  <si>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</si>
  <si>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</si>
  <si>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</si>
  <si>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</si>
  <si>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</si>
  <si>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</si>
  <si>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</si>
  <si>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</si>
  <si>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</si>
  <si>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</si>
  <si>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</si>
  <si>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</si>
  <si>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</si>
  <si>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</si>
  <si>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</si>
  <si>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</si>
  <si>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</si>
  <si>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</si>
  <si>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</si>
  <si>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</si>
  <si>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</si>
  <si>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</si>
  <si>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</si>
  <si>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</si>
  <si>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</si>
  <si>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</si>
  <si>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</si>
  <si>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</si>
  <si>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CCCRN</t>
  </si>
  <si>
    <t>Facility Name</t>
  </si>
  <si>
    <t>Reporting Period</t>
  </si>
  <si>
    <t>Indicator Category</t>
  </si>
  <si>
    <t>Implementing Partners</t>
  </si>
  <si>
    <t>HTS_TST</t>
  </si>
  <si>
    <t>CCFN</t>
  </si>
  <si>
    <t>ECEWS</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</si>
  <si>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</si>
  <si>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</si>
  <si>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</si>
  <si>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</si>
  <si>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</si>
  <si>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</si>
  <si>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</si>
  <si>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</si>
  <si>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</si>
  <si>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</si>
  <si>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</si>
  <si>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</si>
  <si>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</si>
  <si>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</si>
  <si>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</si>
  <si>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</si>
  <si>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</si>
  <si>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</si>
  <si>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</si>
  <si>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</si>
  <si>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</si>
  <si>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</si>
  <si>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</si>
  <si>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</si>
  <si>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</si>
  <si>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</si>
  <si>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</si>
  <si>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</si>
  <si>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</si>
  <si>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</si>
  <si>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</si>
  <si>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</si>
  <si>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</si>
  <si>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</si>
  <si>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</si>
  <si>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</si>
  <si>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</si>
  <si>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</si>
  <si>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</si>
  <si>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</si>
  <si>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</si>
  <si>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</si>
  <si>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</si>
  <si>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</si>
  <si>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</si>
  <si>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</si>
  <si>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</si>
  <si>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</si>
  <si>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</si>
  <si>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</si>
  <si>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</si>
  <si>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</si>
  <si>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</si>
  <si>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</si>
  <si>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</si>
  <si>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</si>
  <si>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</si>
  <si>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</si>
  <si>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</si>
  <si>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</si>
  <si>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</si>
  <si>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</si>
  <si>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</si>
  <si>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</si>
  <si>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</si>
  <si>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</si>
  <si>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</si>
  <si>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</si>
  <si>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</si>
  <si>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</si>
  <si>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</si>
  <si>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</si>
  <si>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</si>
  <si>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</si>
  <si>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</si>
  <si>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</si>
  <si>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</si>
  <si>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</si>
  <si>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</si>
  <si>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</si>
  <si>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</si>
  <si>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</si>
  <si>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</si>
  <si>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</si>
  <si>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</si>
  <si>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</si>
  <si>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</si>
  <si>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</si>
  <si>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</si>
  <si>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</si>
  <si>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</si>
  <si>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</si>
  <si>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</si>
  <si>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</si>
  <si>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</si>
  <si>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</si>
  <si>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</si>
  <si>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</si>
  <si>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</si>
  <si>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</si>
  <si>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</si>
  <si>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</si>
  <si>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</si>
  <si>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</si>
  <si>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</si>
  <si>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</si>
  <si>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</si>
  <si>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</si>
  <si>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</si>
  <si>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</si>
  <si>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</si>
  <si>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</si>
  <si>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</si>
  <si>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</si>
  <si>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</si>
  <si>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</si>
  <si>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</si>
  <si>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</si>
  <si>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</si>
  <si>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</si>
  <si>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</si>
  <si>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</si>
  <si>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</si>
  <si>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</si>
  <si>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</si>
  <si>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</si>
  <si>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</si>
  <si>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</si>
  <si>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</si>
  <si>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</si>
  <si>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</si>
  <si>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</si>
  <si>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</si>
  <si>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</si>
  <si>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</si>
  <si>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</si>
  <si>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</si>
  <si>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</si>
  <si>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</si>
  <si>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</si>
  <si>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</si>
  <si>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</si>
  <si>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</si>
  <si>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</si>
  <si>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</si>
  <si>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</si>
  <si>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</si>
  <si>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</si>
  <si>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</si>
  <si>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</si>
  <si>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</si>
  <si>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</si>
  <si>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</si>
  <si>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</si>
  <si>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</si>
  <si>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</si>
  <si>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</si>
  <si>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</si>
  <si>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</si>
  <si>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</si>
  <si>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</si>
  <si>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</si>
  <si>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</si>
  <si>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</si>
  <si>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</si>
  <si>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</si>
  <si>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</si>
  <si>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</si>
  <si>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</si>
  <si>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</si>
  <si>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</si>
  <si>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</si>
  <si>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</si>
  <si>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</si>
  <si>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</si>
  <si>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</si>
  <si>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</si>
  <si>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</si>
  <si>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</si>
  <si>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</si>
  <si>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</si>
  <si>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</si>
  <si>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</si>
  <si>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</si>
  <si>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</si>
  <si>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</si>
  <si>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</si>
  <si>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</si>
  <si>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</si>
  <si>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</si>
  <si>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</si>
  <si>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</si>
  <si>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</si>
  <si>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</si>
  <si>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</si>
  <si>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</si>
  <si>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</si>
  <si>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</si>
  <si>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</si>
  <si>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</si>
  <si>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</si>
  <si>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</si>
  <si>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</si>
  <si>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</si>
  <si>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</si>
  <si>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</si>
  <si>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</si>
  <si>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</si>
  <si>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</si>
  <si>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</si>
  <si>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</si>
  <si>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</si>
  <si>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</si>
  <si>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</si>
  <si>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</si>
  <si>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</si>
  <si>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</si>
  <si>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</si>
  <si>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</si>
  <si>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</si>
  <si>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</si>
  <si>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</si>
  <si>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</si>
  <si>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</si>
  <si>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</si>
  <si>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</si>
  <si>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</si>
  <si>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</si>
  <si>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</si>
  <si>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</si>
  <si>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</si>
  <si>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</si>
  <si>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</si>
  <si>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</si>
  <si>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</si>
  <si>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</si>
  <si>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</si>
  <si>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</si>
  <si>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</si>
  <si>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</si>
  <si>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</si>
  <si>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</si>
  <si>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</si>
  <si>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</si>
  <si>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</si>
  <si>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</si>
  <si>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</si>
  <si>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</si>
  <si>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</si>
  <si>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</si>
  <si>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</si>
  <si>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</si>
  <si>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</si>
  <si>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</si>
  <si>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</si>
  <si>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</si>
  <si>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</si>
  <si>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</si>
  <si>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</si>
  <si>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</si>
  <si>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</si>
  <si>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</si>
  <si>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</si>
  <si>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</si>
  <si>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</si>
  <si>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</si>
  <si>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</si>
  <si>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</si>
  <si>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</si>
  <si>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</si>
  <si>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</si>
  <si>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</si>
  <si>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</si>
  <si>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</si>
  <si>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</si>
  <si>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</si>
  <si>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</si>
  <si>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</si>
  <si>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</si>
  <si>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</si>
  <si>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</si>
  <si>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</si>
  <si>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</si>
  <si>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</si>
  <si>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</si>
  <si>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</si>
  <si>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</si>
  <si>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</si>
  <si>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</si>
  <si>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</si>
  <si>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</si>
  <si>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</si>
  <si>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</si>
  <si>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</si>
  <si>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</si>
  <si>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</si>
  <si>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</si>
  <si>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</si>
  <si>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</si>
  <si>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</si>
  <si>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</si>
  <si>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</si>
  <si>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</si>
  <si>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</si>
  <si>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</si>
  <si>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</si>
  <si>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</si>
  <si>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</si>
  <si>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</si>
  <si>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</si>
  <si>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</si>
  <si>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</si>
  <si>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</si>
  <si>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</si>
  <si>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</si>
  <si>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</si>
  <si>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</si>
  <si>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</si>
  <si>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</si>
  <si>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</si>
  <si>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</si>
  <si>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</si>
  <si>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</si>
  <si>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</si>
  <si>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</si>
  <si>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</si>
  <si>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</si>
  <si>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</si>
  <si>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</si>
  <si>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</si>
  <si>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</si>
  <si>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</si>
  <si>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</si>
  <si>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</si>
  <si>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</si>
  <si>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</si>
  <si>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</si>
  <si>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</si>
  <si>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</si>
  <si>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</si>
  <si>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</si>
  <si>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</si>
  <si>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</si>
  <si>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</si>
  <si>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</si>
  <si>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</si>
  <si>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</si>
  <si>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</si>
  <si>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</si>
  <si>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</si>
  <si>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</si>
  <si>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</si>
  <si>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</si>
  <si>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</si>
  <si>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</si>
  <si>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</si>
  <si>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</si>
  <si>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</si>
  <si>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</si>
  <si>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</si>
  <si>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</si>
  <si>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</si>
  <si>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</si>
  <si>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</si>
  <si>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</si>
  <si>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</si>
  <si>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</si>
  <si>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</si>
  <si>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</si>
  <si>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</si>
  <si>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</si>
  <si>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</si>
  <si>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</si>
  <si>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</si>
  <si>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</si>
  <si>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</si>
  <si>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</si>
  <si>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</si>
  <si>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</si>
  <si>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</si>
  <si>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</si>
  <si>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</si>
  <si>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</si>
  <si>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</si>
  <si>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</si>
  <si>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</si>
  <si>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</si>
  <si>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</si>
  <si>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</si>
  <si>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</si>
  <si>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</si>
  <si>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</si>
  <si>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</si>
  <si>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</si>
  <si>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</si>
  <si>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</si>
  <si>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</si>
  <si>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</si>
  <si>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</si>
  <si>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</si>
  <si>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</si>
  <si>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</si>
  <si>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</si>
  <si>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</si>
  <si>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</si>
  <si>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</si>
  <si>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</si>
  <si>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</si>
  <si>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</si>
  <si>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</si>
  <si>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</si>
  <si>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</si>
  <si>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</si>
  <si>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</si>
  <si>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</si>
  <si>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</si>
  <si>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</si>
  <si>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</si>
  <si>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</si>
  <si>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</si>
  <si>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</si>
  <si>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</si>
  <si>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</si>
  <si>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</si>
  <si>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</si>
  <si>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</si>
  <si>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</si>
  <si>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</si>
  <si>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</si>
  <si>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</si>
  <si>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</si>
  <si>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</si>
  <si>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</si>
  <si>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</si>
  <si>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</si>
  <si>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</si>
  <si>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</si>
  <si>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</si>
  <si>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</si>
  <si>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</si>
  <si>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</si>
  <si>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</si>
  <si>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</si>
  <si>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</si>
  <si>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</si>
  <si>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</si>
  <si>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</si>
  <si>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</si>
  <si>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</si>
  <si>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</si>
  <si>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</si>
  <si>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</si>
  <si>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</si>
  <si>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</si>
  <si>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</si>
  <si>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</si>
  <si>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</si>
  <si>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</si>
  <si>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</si>
  <si>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</si>
  <si>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</si>
  <si>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</si>
  <si>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</si>
  <si>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</si>
  <si>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</si>
  <si>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</si>
  <si>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</si>
  <si>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</si>
  <si>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</si>
  <si>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</si>
  <si>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</si>
  <si>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</si>
  <si>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</si>
  <si>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</si>
  <si>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</si>
  <si>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</si>
  <si>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</si>
  <si>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</si>
  <si>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</si>
  <si>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</si>
  <si>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</si>
  <si>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</si>
  <si>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</si>
  <si>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</si>
  <si>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</si>
  <si>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</si>
  <si>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</si>
  <si>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</si>
  <si>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</si>
  <si>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</si>
  <si>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</si>
  <si>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</si>
  <si>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</si>
  <si>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</si>
  <si>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</si>
  <si>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</si>
  <si>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</si>
  <si>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</si>
  <si>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</si>
  <si>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</si>
  <si>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</si>
  <si>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</si>
  <si>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</si>
  <si>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</si>
  <si>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</si>
  <si>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</si>
  <si>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</si>
  <si>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</si>
  <si>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</si>
  <si>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</si>
  <si>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</si>
  <si>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</si>
  <si>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</si>
  <si>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</si>
  <si>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</si>
  <si>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</si>
  <si>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</si>
  <si>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</si>
  <si>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</si>
  <si>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</si>
  <si>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</si>
  <si>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</si>
  <si>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</si>
  <si>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</si>
  <si>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</si>
  <si>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</si>
  <si>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</si>
  <si>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</si>
  <si>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</si>
  <si>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</si>
  <si>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</si>
  <si>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</si>
  <si>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</si>
  <si>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</si>
  <si>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</si>
  <si>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</si>
  <si>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</si>
  <si>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</si>
  <si>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</si>
  <si>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</si>
  <si>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</si>
  <si>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</si>
  <si>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</si>
  <si>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</si>
  <si>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</si>
  <si>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</si>
  <si>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</si>
  <si>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</si>
  <si>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</si>
  <si>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</si>
  <si>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</si>
  <si>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</si>
  <si>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</si>
  <si>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</si>
  <si>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</si>
  <si>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</si>
  <si>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</si>
  <si>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</si>
  <si>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</si>
  <si>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</si>
  <si>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</si>
  <si>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</si>
  <si>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</si>
  <si>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</si>
  <si>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</si>
  <si>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</si>
  <si>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</si>
  <si>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</si>
  <si>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</si>
  <si>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</si>
  <si>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</si>
  <si>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</si>
  <si>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</si>
  <si>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</si>
  <si>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</si>
  <si>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</si>
  <si>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</si>
  <si>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</si>
  <si>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</si>
  <si>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</si>
  <si>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</si>
  <si>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</si>
  <si>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</si>
  <si>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</si>
  <si>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</si>
  <si>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</si>
  <si>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</si>
  <si>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</si>
  <si>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</si>
  <si>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</si>
  <si>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</si>
  <si>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</si>
  <si>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</si>
  <si>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</si>
  <si>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</si>
  <si>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</si>
  <si>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</si>
  <si>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</si>
  <si>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</si>
  <si>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</si>
  <si>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</si>
  <si>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</si>
  <si>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</si>
  <si>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</si>
  <si>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</si>
  <si>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</si>
  <si>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</si>
  <si>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</si>
  <si>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</si>
  <si>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</si>
  <si>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</si>
  <si>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</si>
  <si>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</si>
  <si>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</si>
  <si>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</si>
  <si>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</si>
  <si>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</si>
  <si>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</si>
  <si>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</si>
  <si>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</si>
  <si>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</si>
  <si>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</si>
  <si>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</si>
  <si>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</si>
  <si>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</si>
  <si>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</si>
  <si>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</si>
  <si>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</si>
  <si>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</si>
  <si>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</si>
  <si>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</si>
  <si>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</si>
  <si>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</si>
  <si>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</si>
  <si>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</si>
  <si>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</si>
  <si>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</si>
  <si>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</si>
  <si>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</si>
  <si>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</si>
  <si>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</si>
  <si>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</si>
  <si>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</si>
  <si>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</si>
  <si>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</si>
  <si>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</si>
  <si>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</si>
  <si>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</si>
  <si>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</si>
  <si>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</si>
  <si>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</si>
  <si>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</si>
  <si>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</si>
  <si>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</si>
  <si>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</si>
  <si>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</si>
  <si>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</si>
  <si>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</si>
  <si>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</si>
  <si>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</si>
  <si>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</si>
  <si>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</si>
  <si>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</si>
  <si>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</si>
  <si>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</si>
  <si>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</si>
  <si>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</si>
  <si>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</si>
  <si>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</si>
  <si>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</si>
  <si>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</si>
  <si>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</si>
  <si>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</si>
  <si>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</si>
  <si>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</si>
  <si>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</si>
  <si>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</si>
  <si>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</si>
  <si>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</si>
  <si>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</si>
  <si>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</si>
  <si>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</si>
  <si>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</si>
  <si>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</si>
  <si>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</si>
  <si>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</si>
  <si>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</si>
  <si>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</si>
  <si>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</si>
  <si>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</si>
  <si>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</si>
  <si>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</si>
  <si>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</si>
  <si>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</si>
  <si>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</si>
  <si>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</si>
  <si>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</si>
  <si>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</si>
  <si>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</si>
  <si>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</si>
  <si>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</si>
  <si>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</si>
  <si>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</si>
  <si>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</si>
  <si>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</si>
  <si>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</si>
  <si>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</si>
  <si>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</si>
  <si>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</si>
  <si>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</si>
  <si>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</si>
  <si>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</si>
  <si>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</si>
  <si>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</si>
  <si>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</si>
  <si>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</si>
  <si>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</si>
  <si>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</si>
  <si>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</si>
  <si>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</si>
  <si>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</si>
  <si>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</si>
  <si>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</si>
  <si>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</si>
  <si>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</si>
  <si>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</si>
  <si>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</si>
  <si>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</si>
  <si>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</si>
  <si>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</si>
  <si>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</si>
  <si>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</si>
  <si>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</si>
  <si>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</si>
  <si>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</si>
  <si>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</si>
  <si>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</si>
  <si>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</si>
  <si>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</si>
  <si>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</si>
  <si>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</si>
  <si>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</si>
  <si>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</si>
  <si>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</si>
  <si>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</si>
  <si>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</si>
  <si>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</si>
  <si>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</si>
  <si>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</si>
  <si>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</si>
  <si>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</si>
  <si>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</si>
  <si>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</si>
  <si>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</si>
  <si>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</si>
  <si>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</si>
  <si>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</si>
  <si>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</si>
  <si>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</si>
  <si>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</si>
  <si>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</si>
  <si>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</si>
  <si>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</si>
  <si>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</si>
  <si>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</si>
  <si>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</si>
  <si>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</si>
  <si>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</si>
  <si>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</si>
  <si>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</si>
  <si>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</si>
  <si>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</si>
  <si>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</si>
  <si>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</si>
  <si>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</si>
  <si>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</si>
  <si>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</si>
  <si>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</si>
  <si>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</si>
  <si>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</si>
  <si>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</si>
  <si>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</si>
  <si>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</si>
  <si>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</si>
  <si>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</si>
  <si>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</si>
  <si>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</si>
  <si>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</si>
  <si>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</si>
  <si>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</si>
  <si>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</si>
  <si>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</si>
  <si>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</si>
  <si>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</si>
  <si>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</si>
  <si>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</si>
  <si>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</si>
  <si>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</si>
  <si>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</si>
  <si>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</si>
  <si>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</si>
  <si>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</si>
  <si>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</si>
  <si>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</si>
  <si>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</si>
  <si>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</si>
  <si>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</si>
  <si>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</si>
  <si>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</si>
  <si>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</si>
  <si>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</si>
  <si>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</si>
  <si>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</si>
  <si>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</si>
  <si>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</si>
  <si>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</si>
  <si>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</si>
  <si>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</si>
  <si>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</si>
  <si>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</si>
  <si>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</si>
  <si>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</si>
  <si>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</si>
  <si>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</si>
  <si>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</si>
  <si>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</si>
  <si>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</si>
  <si>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</si>
  <si>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</si>
  <si>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</si>
  <si>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</si>
  <si>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</si>
  <si>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</si>
  <si>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</si>
  <si>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</si>
  <si>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</si>
  <si>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</si>
  <si>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</si>
  <si>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</si>
  <si>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</si>
  <si>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</si>
  <si>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</si>
  <si>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</si>
  <si>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</si>
  <si>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</si>
  <si>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</si>
  <si>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</si>
  <si>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</si>
  <si>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</si>
  <si>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</si>
  <si>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</si>
  <si>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</si>
  <si>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</si>
  <si>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</si>
  <si>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</si>
  <si>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</si>
  <si>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</si>
  <si>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</si>
  <si>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</si>
  <si>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</si>
  <si>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</si>
  <si>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</si>
  <si>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</si>
  <si>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</si>
  <si>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</si>
  <si>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</si>
  <si>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</si>
  <si>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</si>
  <si>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</si>
  <si>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</si>
  <si>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</si>
  <si>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</si>
  <si>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</si>
  <si>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</si>
  <si>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</si>
  <si>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</si>
  <si>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</si>
  <si>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</si>
  <si>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</si>
  <si>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</si>
  <si>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</si>
  <si>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</si>
  <si>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</si>
  <si>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</si>
  <si>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</si>
  <si>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</si>
  <si>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</si>
  <si>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</si>
  <si>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</si>
  <si>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</si>
  <si>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</si>
  <si>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</si>
  <si>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</si>
  <si>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</si>
  <si>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</si>
  <si>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</si>
  <si>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</si>
  <si>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</si>
  <si>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</si>
  <si>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</si>
  <si>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</si>
  <si>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</si>
  <si>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</si>
  <si>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</si>
  <si>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</si>
  <si>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</si>
  <si>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</si>
  <si>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</si>
  <si>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</si>
  <si>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</si>
  <si>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</si>
  <si>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</si>
  <si>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</si>
  <si>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</si>
  <si>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</si>
  <si>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</si>
  <si>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</si>
  <si>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</si>
  <si>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</si>
  <si>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</si>
  <si>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</si>
  <si>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</si>
  <si>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</si>
  <si>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</si>
  <si>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</si>
  <si>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</si>
  <si>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</si>
  <si>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</si>
  <si>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</si>
  <si>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</si>
  <si>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</si>
  <si>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</si>
  <si>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</si>
  <si>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</si>
  <si>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</si>
  <si>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</si>
  <si>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</si>
  <si>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</si>
  <si>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</si>
  <si>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</si>
  <si>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</si>
  <si>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</si>
  <si>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</si>
  <si>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</si>
  <si>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</si>
  <si>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</si>
  <si>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</si>
  <si>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</si>
  <si>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</si>
  <si>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</si>
  <si>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</si>
  <si>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</si>
  <si>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</si>
  <si>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</si>
  <si>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</si>
  <si>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</si>
  <si>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</si>
  <si>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</si>
  <si>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</si>
  <si>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</si>
  <si>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</si>
  <si>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</si>
  <si>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</si>
  <si>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</si>
  <si>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</si>
  <si>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</si>
  <si>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</si>
  <si>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</si>
  <si>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</si>
  <si>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</si>
  <si>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</si>
  <si>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</si>
  <si>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</si>
  <si>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</si>
  <si>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</si>
  <si>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</si>
  <si>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</si>
  <si>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</si>
  <si>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</si>
  <si>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</si>
  <si>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</si>
  <si>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</si>
  <si>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</si>
  <si>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</si>
  <si>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</si>
  <si>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</si>
  <si>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</si>
  <si>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</si>
  <si>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</si>
  <si>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</si>
  <si>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</si>
  <si>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</si>
  <si>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</si>
  <si>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</si>
  <si>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</si>
  <si>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</si>
  <si>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</si>
  <si>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</si>
  <si>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</si>
  <si>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</si>
  <si>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</si>
  <si>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</si>
  <si>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</si>
  <si>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</si>
  <si>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</si>
  <si>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</si>
  <si>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</si>
  <si>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</si>
  <si>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</si>
  <si>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</si>
  <si>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</si>
  <si>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</si>
  <si>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</si>
  <si>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</si>
  <si>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</si>
  <si>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</si>
  <si>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</si>
  <si>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</si>
  <si>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</si>
  <si>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</si>
  <si>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</si>
  <si>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</si>
  <si>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</si>
  <si>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</si>
  <si>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</si>
  <si>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</si>
  <si>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</si>
  <si>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</si>
  <si>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</si>
  <si>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</si>
  <si>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</si>
  <si>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</si>
  <si>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</si>
  <si>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</si>
  <si>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</si>
  <si>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</si>
  <si>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</si>
  <si>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</si>
  <si>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</si>
  <si>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</si>
  <si>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</si>
  <si>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</si>
  <si>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</si>
  <si>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</si>
  <si>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</si>
  <si>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</si>
  <si>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</si>
  <si>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</si>
  <si>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</si>
  <si>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</si>
  <si>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</si>
  <si>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</si>
  <si>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</si>
  <si>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</si>
  <si>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</si>
  <si>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</si>
  <si>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</si>
  <si>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</si>
  <si>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</si>
  <si>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</si>
  <si>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</si>
  <si>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</si>
  <si>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</si>
  <si>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</si>
  <si>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</si>
  <si>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</si>
  <si>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</si>
  <si>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</si>
  <si>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</si>
  <si>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</si>
  <si>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</si>
  <si>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</si>
  <si>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</si>
  <si>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</si>
  <si>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</si>
  <si>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</si>
  <si>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</si>
  <si>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</si>
  <si>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</si>
  <si>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</si>
  <si>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</si>
  <si>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</si>
  <si>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</si>
  <si>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</si>
  <si>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</si>
  <si>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</si>
  <si>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</si>
  <si>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</si>
  <si>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</si>
  <si>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</si>
  <si>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</si>
  <si>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</si>
  <si>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</si>
  <si>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</si>
  <si>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</si>
  <si>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</si>
  <si>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</si>
  <si>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</si>
  <si>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</si>
  <si>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</si>
  <si>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</si>
  <si>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</si>
  <si>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</si>
  <si>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</si>
  <si>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</si>
  <si>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</si>
  <si>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</si>
  <si>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</si>
  <si>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</si>
  <si>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</si>
  <si>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</si>
  <si>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</si>
  <si>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</si>
  <si>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</si>
  <si>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</si>
  <si>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</si>
  <si>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</si>
  <si>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</si>
  <si>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</si>
  <si>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</si>
  <si>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</si>
  <si>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</si>
  <si>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</si>
  <si>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</si>
  <si>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</si>
  <si>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</si>
  <si>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</si>
  <si>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</si>
  <si>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</si>
  <si>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</si>
  <si>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</si>
  <si>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</si>
  <si>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</si>
  <si>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</si>
  <si>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</si>
  <si>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</si>
  <si>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</si>
  <si>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</si>
  <si>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</si>
  <si>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</si>
  <si>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</si>
  <si>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</si>
  <si>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</si>
  <si>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</si>
  <si>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</si>
  <si>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</si>
  <si>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</si>
  <si>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</si>
  <si>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</si>
  <si>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</si>
  <si>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</si>
  <si>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</si>
  <si>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</si>
  <si>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</si>
  <si>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</si>
  <si>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</si>
  <si>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</si>
  <si>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</si>
  <si>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</si>
  <si>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</si>
  <si>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</si>
  <si>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</si>
  <si>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</si>
  <si>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</si>
  <si>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</si>
  <si>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</si>
  <si>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</si>
  <si>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</si>
  <si>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</si>
  <si>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</si>
  <si>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</si>
  <si>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</si>
  <si>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</si>
  <si>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</si>
  <si>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</si>
  <si>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</si>
  <si>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</si>
  <si>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</si>
  <si>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</si>
  <si>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</si>
  <si>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</si>
  <si>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</si>
  <si>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</si>
  <si>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</si>
  <si>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</si>
  <si>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</si>
  <si>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</si>
  <si>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</si>
  <si>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</si>
  <si>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</si>
  <si>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</si>
  <si>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</si>
  <si>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</si>
  <si>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</si>
  <si>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</si>
  <si>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</si>
  <si>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</si>
  <si>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</si>
  <si>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</si>
  <si>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</si>
  <si>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</si>
  <si>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</si>
  <si>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</si>
  <si>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</si>
  <si>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</si>
  <si>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</si>
  <si>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</si>
  <si>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</si>
  <si>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</si>
  <si>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</si>
  <si>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</si>
  <si>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</si>
  <si>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</si>
  <si>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</si>
  <si>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</si>
  <si>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</si>
  <si>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</si>
  <si>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</si>
  <si>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</si>
  <si>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</si>
  <si>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</si>
  <si>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</si>
  <si>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</si>
  <si>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</si>
  <si>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</si>
  <si>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</si>
  <si>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</si>
  <si>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</si>
  <si>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</si>
  <si>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</si>
  <si>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</si>
  <si>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</si>
  <si>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</si>
  <si>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</si>
  <si>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</si>
  <si>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</si>
  <si>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</si>
  <si>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</si>
  <si>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</si>
  <si>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</si>
  <si>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</si>
  <si>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</si>
  <si>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</si>
  <si>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</si>
  <si>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</si>
  <si>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</si>
  <si>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</si>
  <si>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</si>
  <si>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</si>
  <si>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</si>
  <si>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</si>
  <si>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</si>
  <si>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</si>
  <si>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</si>
  <si>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</si>
  <si>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</si>
  <si>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</si>
  <si>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</si>
  <si>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</si>
  <si>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</si>
  <si>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</si>
  <si>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</si>
  <si>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</si>
  <si>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</si>
  <si>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</si>
  <si>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</si>
  <si>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</si>
  <si>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</si>
  <si>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</si>
  <si>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</si>
  <si>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</si>
  <si>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</si>
  <si>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</si>
  <si>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</si>
  <si>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</si>
  <si>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</si>
  <si>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</si>
  <si>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</si>
  <si>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</si>
  <si>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</si>
  <si>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</si>
  <si>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</si>
  <si>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</si>
  <si>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</si>
  <si>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</si>
  <si>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</si>
  <si>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</si>
  <si>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</si>
  <si>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</si>
  <si>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</si>
  <si>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</si>
  <si>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</si>
  <si>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</si>
  <si>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</si>
  <si>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</si>
  <si>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</si>
  <si>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</si>
  <si>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</si>
  <si>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</si>
  <si>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</si>
  <si>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</si>
  <si>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</si>
  <si>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</si>
  <si>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</si>
  <si>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</si>
  <si>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</si>
  <si>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</si>
  <si>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</si>
  <si>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</si>
  <si>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</si>
  <si>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</si>
  <si>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</si>
  <si>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</si>
  <si>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</si>
  <si>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</si>
  <si>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</si>
  <si>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</si>
  <si>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</si>
  <si>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</si>
  <si>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</si>
  <si>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</si>
  <si>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</si>
  <si>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</si>
  <si>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</si>
  <si>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</si>
  <si>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</si>
  <si>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</si>
  <si>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</si>
  <si>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</si>
  <si>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</si>
  <si>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</si>
  <si>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</si>
  <si>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</si>
  <si>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</si>
  <si>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</si>
  <si>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</si>
  <si>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</si>
  <si>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</si>
  <si>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</si>
  <si>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</si>
  <si>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</si>
  <si>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</si>
  <si>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</si>
  <si>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</si>
  <si>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</si>
  <si>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</si>
  <si>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</si>
  <si>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</si>
  <si>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</si>
  <si>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</si>
  <si>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</si>
  <si>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</si>
  <si>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</si>
  <si>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</si>
  <si>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</si>
  <si>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</si>
  <si>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</si>
  <si>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</si>
  <si>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</si>
  <si>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</si>
  <si>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</si>
  <si>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</si>
  <si>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</si>
  <si>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</si>
  <si>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</si>
  <si>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</si>
  <si>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</si>
  <si>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</si>
  <si>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</si>
  <si>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</si>
  <si>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</si>
  <si>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</si>
  <si>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</si>
  <si>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</si>
  <si>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</si>
  <si>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</si>
  <si>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</si>
  <si>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</si>
  <si>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</si>
  <si>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</si>
  <si>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</si>
  <si>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</si>
  <si>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</si>
  <si>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</si>
  <si>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</si>
  <si>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</si>
  <si>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</si>
  <si>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</si>
  <si>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</si>
  <si>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</si>
  <si>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</si>
  <si>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</si>
  <si>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</si>
  <si>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</si>
  <si>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</si>
  <si>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</si>
  <si>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</si>
  <si>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</si>
  <si>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</si>
  <si>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</si>
  <si>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</si>
  <si>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</si>
  <si>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</si>
  <si>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</si>
  <si>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</si>
  <si>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</si>
  <si>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</si>
  <si>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</si>
  <si>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</si>
  <si>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</si>
  <si>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</si>
  <si>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</si>
  <si>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</si>
  <si>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</si>
  <si>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</si>
  <si>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</si>
  <si>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</si>
  <si>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</si>
  <si>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</si>
  <si>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</si>
  <si>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</si>
  <si>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</si>
  <si>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</si>
  <si>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</si>
  <si>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</si>
  <si>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</si>
  <si>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</si>
  <si>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</si>
  <si>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</si>
  <si>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</si>
  <si>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</si>
  <si>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</si>
  <si>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</si>
  <si>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</si>
  <si>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</si>
  <si>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</si>
  <si>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</si>
  <si>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</si>
  <si>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</si>
  <si>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</si>
  <si>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</si>
  <si>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</si>
  <si>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</si>
  <si>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</si>
  <si>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</si>
  <si>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</si>
  <si>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</si>
  <si>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</si>
  <si>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</si>
  <si>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</si>
  <si>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</si>
  <si>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</si>
  <si>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</si>
  <si>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</si>
  <si>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</si>
  <si>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</si>
  <si>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</si>
  <si>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</si>
  <si>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</si>
  <si>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</si>
  <si>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</si>
  <si>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</si>
  <si>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</si>
  <si>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</si>
  <si>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</si>
  <si>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</si>
  <si>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</si>
  <si>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</si>
  <si>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</si>
  <si>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</si>
  <si>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</si>
  <si>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</si>
  <si>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</si>
  <si>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</si>
  <si>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</si>
  <si>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</si>
  <si>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</si>
  <si>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</si>
  <si>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</si>
  <si>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</si>
  <si>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</si>
  <si>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</si>
  <si>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</si>
  <si>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</si>
  <si>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</si>
  <si>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</si>
  <si>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</si>
  <si>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</si>
  <si>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</si>
  <si>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</si>
  <si>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</si>
  <si>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</si>
  <si>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</si>
  <si>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</si>
  <si>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</si>
  <si>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</si>
  <si>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</si>
  <si>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</si>
  <si>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</si>
  <si>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</si>
  <si>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</si>
  <si>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</si>
  <si>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</si>
  <si>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</si>
  <si>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</si>
  <si>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</si>
  <si>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</si>
  <si>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</si>
  <si>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</si>
  <si>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</si>
  <si>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</si>
  <si>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</si>
  <si>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</si>
  <si>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</si>
  <si>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</si>
  <si>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</si>
  <si>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</si>
  <si>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</si>
  <si>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</si>
  <si>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</si>
  <si>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</si>
  <si>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</si>
  <si>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</si>
  <si>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</si>
  <si>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</si>
  <si>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</si>
  <si>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</si>
  <si>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</si>
  <si>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</si>
  <si>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</si>
  <si>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</si>
  <si>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</si>
  <si>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</si>
  <si>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</si>
  <si>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</si>
  <si>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</si>
  <si>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</si>
  <si>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</si>
  <si>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</si>
  <si>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</si>
  <si>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</si>
  <si>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</si>
  <si>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</si>
  <si>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</si>
  <si>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</si>
  <si>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</si>
  <si>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</si>
  <si>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</si>
  <si>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</si>
  <si>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</si>
  <si>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</si>
  <si>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</si>
  <si>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</si>
  <si>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</si>
  <si>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</si>
  <si>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</si>
  <si>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</si>
  <si>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</si>
  <si>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</si>
  <si>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</si>
  <si>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</si>
  <si>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</si>
  <si>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</si>
  <si>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</si>
  <si>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</si>
  <si>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</si>
  <si>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</si>
  <si>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</si>
  <si>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</si>
  <si>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</si>
  <si>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</si>
  <si>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</si>
  <si>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</si>
  <si>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</si>
  <si>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</si>
  <si>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</si>
  <si>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</si>
  <si>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</si>
  <si>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</si>
  <si>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</si>
  <si>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</si>
  <si>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</si>
  <si>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</si>
  <si>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</si>
  <si>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</si>
  <si>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</si>
  <si>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</si>
  <si>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</si>
  <si>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</si>
  <si>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</si>
  <si>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</si>
  <si>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</si>
  <si>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</si>
  <si>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</si>
  <si>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</si>
  <si>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</si>
  <si>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</si>
  <si>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</si>
  <si>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</si>
  <si>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</si>
  <si>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</si>
  <si>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</si>
  <si>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</si>
  <si>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</si>
  <si>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</si>
  <si>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</si>
  <si>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</si>
  <si>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</si>
  <si>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</si>
  <si>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</si>
  <si>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</si>
  <si>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</si>
  <si>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</si>
  <si>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</si>
  <si>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</si>
  <si>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</si>
  <si>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</si>
  <si>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</si>
  <si>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</si>
  <si>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</si>
  <si>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</si>
  <si>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</si>
  <si>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</si>
  <si>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</si>
  <si>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</si>
  <si>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</si>
  <si>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</si>
  <si>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</si>
  <si>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</si>
  <si>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</si>
  <si>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</si>
  <si>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</si>
  <si>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</si>
  <si>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</si>
  <si>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</si>
  <si>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</si>
  <si>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</si>
  <si>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</si>
  <si>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</si>
  <si>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</si>
  <si>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</si>
  <si>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</si>
  <si>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</si>
  <si>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</si>
  <si>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</si>
  <si>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</si>
  <si>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</si>
  <si>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</si>
  <si>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</si>
  <si>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</si>
  <si>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</si>
  <si>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</si>
  <si>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</si>
  <si>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</si>
  <si>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</si>
  <si>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</si>
  <si>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</si>
  <si>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</si>
  <si>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</si>
  <si>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</si>
  <si>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</si>
  <si>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</si>
  <si>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</si>
  <si>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</si>
  <si>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</si>
  <si>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</si>
  <si>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</si>
  <si>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</si>
  <si>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</si>
  <si>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</si>
  <si>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</si>
  <si>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</si>
  <si>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</si>
  <si>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</si>
  <si>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</si>
  <si>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</si>
  <si>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</si>
  <si>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</si>
  <si>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</si>
  <si>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</si>
  <si>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</si>
  <si>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</si>
  <si>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</si>
  <si>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</si>
  <si>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</si>
  <si>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</si>
  <si>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</si>
  <si>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</si>
  <si>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</si>
  <si>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</si>
  <si>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</si>
  <si>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</si>
  <si>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</si>
  <si>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</si>
  <si>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</si>
  <si>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</si>
  <si>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</si>
  <si>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</si>
  <si>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</si>
  <si>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</si>
  <si>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</si>
  <si>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</si>
  <si>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</si>
  <si>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</si>
  <si>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</si>
  <si>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</si>
  <si>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</si>
  <si>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</si>
  <si>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</si>
  <si>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</si>
  <si>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</si>
  <si>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</si>
  <si>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</si>
  <si>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</si>
  <si>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</si>
  <si>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</si>
  <si>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</si>
  <si>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</si>
  <si>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</si>
  <si>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</si>
  <si>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</si>
  <si>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</si>
  <si>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</si>
  <si>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</si>
  <si>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</si>
  <si>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</si>
  <si>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</si>
  <si>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</si>
  <si>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</si>
  <si>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</si>
  <si>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</si>
  <si>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</si>
  <si>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</si>
  <si>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</si>
  <si>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</si>
  <si>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</si>
  <si>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</si>
  <si>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</si>
  <si>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</si>
  <si>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</si>
  <si>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</si>
  <si>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</si>
  <si>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</si>
  <si>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</si>
  <si>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</si>
  <si>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</si>
  <si>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</si>
  <si>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</si>
  <si>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</si>
  <si>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</si>
  <si>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</si>
  <si>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</si>
  <si>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</si>
  <si>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</si>
  <si>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</si>
  <si>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</si>
  <si>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</si>
  <si>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</si>
  <si>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</si>
  <si>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</si>
  <si>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</si>
  <si>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</si>
  <si>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</si>
  <si>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</si>
  <si>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</si>
  <si>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</si>
  <si>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</si>
  <si>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</si>
  <si>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</si>
  <si>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</si>
  <si>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</si>
  <si>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</si>
  <si>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</si>
  <si>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</si>
  <si>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</si>
  <si>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</si>
  <si>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</si>
  <si>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</si>
  <si>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</si>
  <si>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</si>
  <si>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</si>
  <si>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</si>
  <si>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</si>
  <si>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</si>
  <si>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</si>
  <si>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</si>
  <si>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</si>
  <si>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</si>
  <si>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</si>
  <si>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</si>
  <si>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</si>
  <si>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</si>
  <si>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</si>
  <si>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</si>
  <si>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</si>
  <si>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</si>
  <si>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</si>
  <si>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</si>
  <si>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</si>
  <si>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</si>
  <si>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</si>
  <si>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</si>
  <si>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</si>
  <si>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</si>
  <si>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</si>
  <si>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</si>
  <si>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</si>
  <si>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</si>
  <si>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</si>
  <si>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</si>
  <si>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</si>
  <si>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</si>
  <si>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</si>
  <si>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</si>
  <si>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</si>
  <si>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</si>
  <si>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</si>
  <si>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</si>
  <si>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</si>
  <si>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</si>
  <si>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</si>
  <si>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</si>
  <si>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</si>
  <si>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</si>
  <si>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</si>
  <si>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</si>
  <si>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</si>
  <si>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</si>
  <si>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</si>
  <si>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</si>
  <si>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</si>
  <si>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</si>
  <si>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</si>
  <si>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</si>
  <si>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</si>
  <si>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</si>
  <si>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</si>
  <si>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</si>
  <si>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</si>
  <si>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</si>
  <si>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</si>
  <si>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</si>
  <si>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</si>
  <si>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</si>
  <si>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</si>
  <si>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</si>
  <si>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</si>
  <si>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</si>
  <si>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</si>
  <si>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</si>
  <si>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</si>
  <si>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</si>
  <si>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</si>
  <si>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</si>
  <si>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</si>
  <si>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</si>
  <si>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</si>
  <si>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</si>
  <si>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</si>
  <si>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</si>
  <si>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</si>
  <si>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</si>
  <si>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</si>
  <si>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</si>
  <si>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</si>
  <si>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</si>
  <si>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</si>
  <si>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</si>
  <si>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</si>
  <si>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</si>
  <si>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</si>
  <si>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</si>
  <si>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</si>
  <si>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</si>
  <si>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</si>
  <si>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</si>
  <si>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</si>
  <si>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</si>
  <si>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</si>
  <si>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</si>
  <si>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</si>
  <si>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</si>
  <si>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</si>
  <si>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</si>
  <si>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</si>
  <si>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</si>
  <si>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</si>
  <si>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</si>
  <si>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</si>
  <si>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</si>
  <si>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</si>
  <si>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</si>
  <si>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</si>
  <si>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</si>
  <si>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</si>
  <si>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</si>
  <si>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</si>
  <si>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</si>
  <si>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</si>
  <si>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</si>
  <si>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</si>
  <si>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</si>
  <si>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</si>
  <si>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</si>
  <si>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</si>
  <si>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</si>
  <si>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</si>
  <si>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</si>
  <si>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</si>
  <si>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</si>
  <si>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</si>
  <si>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</si>
  <si>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</si>
  <si>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</si>
  <si>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</si>
  <si>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</si>
  <si>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</si>
  <si>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</si>
  <si>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</si>
  <si>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</si>
  <si>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</si>
  <si>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</si>
  <si>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</si>
  <si>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</si>
  <si>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</si>
  <si>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</si>
  <si>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</si>
  <si>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</si>
  <si>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</si>
  <si>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</si>
  <si>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</si>
  <si>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</si>
  <si>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</si>
  <si>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</si>
  <si>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</si>
  <si>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</si>
  <si>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</si>
  <si>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</si>
  <si>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</si>
  <si>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</si>
  <si>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</si>
  <si>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</si>
  <si>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</si>
  <si>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</si>
  <si>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</si>
  <si>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</si>
  <si>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</si>
  <si>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</si>
  <si>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</si>
  <si>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</si>
  <si>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</si>
  <si>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</si>
  <si>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</si>
  <si>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</si>
  <si>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</si>
  <si>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</si>
  <si>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</si>
  <si>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</si>
  <si>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</si>
  <si>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</si>
  <si>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</si>
  <si>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</si>
  <si>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</si>
  <si>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</si>
  <si>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</si>
  <si>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</si>
  <si>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</si>
  <si>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</si>
  <si>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</si>
  <si>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</si>
  <si>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</si>
  <si>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</si>
  <si>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</si>
  <si>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</si>
  <si>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</si>
  <si>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</si>
  <si>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</si>
  <si>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</si>
  <si>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</si>
  <si>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</si>
  <si>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</si>
  <si>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</si>
  <si>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</si>
  <si>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</si>
  <si>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</si>
  <si>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</si>
  <si>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</si>
  <si>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</si>
  <si>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</si>
  <si>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</si>
  <si>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</si>
  <si>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</si>
  <si>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</si>
  <si>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</si>
  <si>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</si>
  <si>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</si>
  <si>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</si>
  <si>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</si>
  <si>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</si>
  <si>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</si>
  <si>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</si>
  <si>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</si>
  <si>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</si>
  <si>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</si>
  <si>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</si>
  <si>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</si>
  <si>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</si>
  <si>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</si>
  <si>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</si>
  <si>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</si>
  <si>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</si>
  <si>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</si>
  <si>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</si>
  <si>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</si>
  <si>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</si>
  <si>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</si>
  <si>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</si>
  <si>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</si>
  <si>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</si>
  <si>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</si>
  <si>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</si>
  <si>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</si>
  <si>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</si>
  <si>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</si>
  <si>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</si>
  <si>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</si>
  <si>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</si>
  <si>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</si>
  <si>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</si>
  <si>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</si>
  <si>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</si>
  <si>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</si>
  <si>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</si>
  <si>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</si>
  <si>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</si>
  <si>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</si>
  <si>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</si>
  <si>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</si>
  <si>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</si>
  <si>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</si>
  <si>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</si>
  <si>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</si>
  <si>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</si>
  <si>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</si>
  <si>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</si>
  <si>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</si>
  <si>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</si>
  <si>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</si>
  <si>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</si>
  <si>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</si>
  <si>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</si>
  <si>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</si>
  <si>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</si>
  <si>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</si>
  <si>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</si>
  <si>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</si>
  <si>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</si>
  <si>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</si>
  <si>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</si>
  <si>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</si>
  <si>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</si>
  <si>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</si>
  <si>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</si>
  <si>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</si>
  <si>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</si>
  <si>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</si>
  <si>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</si>
  <si>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</si>
  <si>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</si>
  <si>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</si>
  <si>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</si>
  <si>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</si>
  <si>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</si>
  <si>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</si>
  <si>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</si>
  <si>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</si>
  <si>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</si>
  <si>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</si>
  <si>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</si>
  <si>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</si>
  <si>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</si>
  <si>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</si>
  <si>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</si>
  <si>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</si>
  <si>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</si>
  <si>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</si>
  <si>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</si>
  <si>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</si>
  <si>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</si>
  <si>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</si>
  <si>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</si>
  <si>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</si>
  <si>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</si>
  <si>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</si>
  <si>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</si>
  <si>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</si>
  <si>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</si>
  <si>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</si>
  <si>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</si>
  <si>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</si>
  <si>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</si>
  <si>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</si>
  <si>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</si>
  <si>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</si>
  <si>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</si>
  <si>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</si>
  <si>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</si>
  <si>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</si>
  <si>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</si>
  <si>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</si>
  <si>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</si>
  <si>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</si>
  <si>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</si>
  <si>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</si>
  <si>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</si>
  <si>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</si>
  <si>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</si>
  <si>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</si>
  <si>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</si>
  <si>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</si>
  <si>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</si>
  <si>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</si>
  <si>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</si>
  <si>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</si>
  <si>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</si>
  <si>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</si>
  <si>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</si>
  <si>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</si>
  <si>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</si>
  <si>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</si>
  <si>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</si>
  <si>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</si>
  <si>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</si>
  <si>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</si>
  <si>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</si>
  <si>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</si>
  <si>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</si>
  <si>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</si>
  <si>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</si>
  <si>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</si>
  <si>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</si>
  <si>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</si>
  <si>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</si>
  <si>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</si>
  <si>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</si>
  <si>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</si>
  <si>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</si>
  <si>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</si>
  <si>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</si>
  <si>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</si>
  <si>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</si>
  <si>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</si>
  <si>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</si>
  <si>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</si>
  <si>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</si>
  <si>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</si>
  <si>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</si>
  <si>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</si>
  <si>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</si>
  <si>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</si>
  <si>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</si>
  <si>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</si>
  <si>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</si>
  <si>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</si>
  <si>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</si>
  <si>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</si>
  <si>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</si>
  <si>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</si>
  <si>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</si>
  <si>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</si>
  <si>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</si>
  <si>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</si>
  <si>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</si>
  <si>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</si>
  <si>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</si>
  <si>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</si>
  <si>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</si>
  <si>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</si>
  <si>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</si>
  <si>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</si>
  <si>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</si>
  <si>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</si>
  <si>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</si>
  <si>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</si>
  <si>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</si>
  <si>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</si>
  <si>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</si>
  <si>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</si>
  <si>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</si>
  <si>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</si>
  <si>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</si>
  <si>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</si>
  <si>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</si>
  <si>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</si>
  <si>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</si>
  <si>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</si>
  <si>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</si>
  <si>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</si>
  <si>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</si>
  <si>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</si>
  <si>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</si>
  <si>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</si>
  <si>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</si>
  <si>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</si>
  <si>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</si>
  <si>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</si>
  <si>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</si>
  <si>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</si>
  <si>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</si>
  <si>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</si>
  <si>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</si>
  <si>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</si>
  <si>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</si>
  <si>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</si>
  <si>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</si>
  <si>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</si>
  <si>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</si>
  <si>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</si>
  <si>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</si>
  <si>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</si>
  <si>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</si>
  <si>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</si>
  <si>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</si>
  <si>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</si>
  <si>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</si>
  <si>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</si>
  <si>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</si>
  <si>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</si>
  <si>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</si>
  <si>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</si>
  <si>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</si>
  <si>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</si>
  <si>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</si>
  <si>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</si>
  <si>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</si>
  <si>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</si>
  <si>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</si>
  <si>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</si>
  <si>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</si>
  <si>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</si>
  <si>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</si>
  <si>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</si>
  <si>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</si>
  <si>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</si>
  <si>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</si>
  <si>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</si>
  <si>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</si>
  <si>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</si>
  <si>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</si>
  <si>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</si>
  <si>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</si>
  <si>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</si>
  <si>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</si>
  <si>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</si>
  <si>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</si>
  <si>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</si>
  <si>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</si>
  <si>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</si>
  <si>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</si>
  <si>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</si>
  <si>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</si>
  <si>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</si>
  <si>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</si>
  <si>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</si>
  <si>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</si>
  <si>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</si>
  <si>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</si>
  <si>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</si>
  <si>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</si>
  <si>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</si>
  <si>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</si>
  <si>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</si>
  <si>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</si>
  <si>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</si>
  <si>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</si>
  <si>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</si>
  <si>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</si>
  <si>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</si>
  <si>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</si>
  <si>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</si>
  <si>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</si>
  <si>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</si>
  <si>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</si>
  <si>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</si>
  <si>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</si>
  <si>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</si>
  <si>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</si>
  <si>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</si>
  <si>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</si>
  <si>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</si>
  <si>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</si>
  <si>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</si>
  <si>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</si>
  <si>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</si>
  <si>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</si>
  <si>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</si>
  <si>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</si>
  <si>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</si>
  <si>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</si>
  <si>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</si>
  <si>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</si>
  <si>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</si>
  <si>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</si>
  <si>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</si>
  <si>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</si>
  <si>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</si>
  <si>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</si>
  <si>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</si>
  <si>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</si>
  <si>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</si>
  <si>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</si>
  <si>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</si>
  <si>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</si>
  <si>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</si>
  <si>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</si>
  <si>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</si>
  <si>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</si>
  <si>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</si>
  <si>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</si>
  <si>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</si>
  <si>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</si>
  <si>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</si>
  <si>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</si>
  <si>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</si>
  <si>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</si>
  <si>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</si>
  <si>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</si>
  <si>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</si>
  <si>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</si>
  <si>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</si>
  <si>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</si>
  <si>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</si>
  <si>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</si>
  <si>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</si>
  <si>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</si>
  <si>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</si>
  <si>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</si>
  <si>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</si>
  <si>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</si>
  <si>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</si>
  <si>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</si>
  <si>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</si>
  <si>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</si>
  <si>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</si>
  <si>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</si>
  <si>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</si>
  <si>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</si>
  <si>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</si>
  <si>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</si>
  <si>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</si>
  <si>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</si>
  <si>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</si>
  <si>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</si>
  <si>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</si>
  <si>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</si>
  <si>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</si>
  <si>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</si>
  <si>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</si>
  <si>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</si>
  <si>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</si>
  <si>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</si>
  <si>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</si>
  <si>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</si>
  <si>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</si>
  <si>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</si>
  <si>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</si>
  <si>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</si>
  <si>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</si>
  <si>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</si>
  <si>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</si>
  <si>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</si>
  <si>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</si>
  <si>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</si>
  <si>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</si>
  <si>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</si>
  <si>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</si>
  <si>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</si>
  <si>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</si>
  <si>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</si>
  <si>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</si>
  <si>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</si>
  <si>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</si>
  <si>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</si>
  <si>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</si>
  <si>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</si>
  <si>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</si>
  <si>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</si>
  <si>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</si>
  <si>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</si>
  <si>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</si>
  <si>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</si>
  <si>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</si>
  <si>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</si>
  <si>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</si>
  <si>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</si>
  <si>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</si>
  <si>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</si>
  <si>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</si>
  <si>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</si>
  <si>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</si>
  <si>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</si>
  <si>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</si>
  <si>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</si>
  <si>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</si>
  <si>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</si>
  <si>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</si>
  <si>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</si>
  <si>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</si>
  <si>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</si>
  <si>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</si>
  <si>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</si>
  <si>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</si>
  <si>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</si>
  <si>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</si>
  <si>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</si>
  <si>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</si>
  <si>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</si>
  <si>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</si>
  <si>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</si>
  <si>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</si>
  <si>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</si>
  <si>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</si>
  <si>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</si>
  <si>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</si>
  <si>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</si>
  <si>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</si>
  <si>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</si>
  <si>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</si>
  <si>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</si>
  <si>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</si>
  <si>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</si>
  <si>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</si>
  <si>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</si>
  <si>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</si>
  <si>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</si>
  <si>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</si>
  <si>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</si>
  <si>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</si>
  <si>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</si>
  <si>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</si>
  <si>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</si>
  <si>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</si>
  <si>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</si>
  <si>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</si>
  <si>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</si>
  <si>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</si>
  <si>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</si>
  <si>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</si>
  <si>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</si>
  <si>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</si>
  <si>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</si>
  <si>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</si>
  <si>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</si>
  <si>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</si>
  <si>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</si>
  <si>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</si>
  <si>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</si>
  <si>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</si>
  <si>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</si>
  <si>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</si>
  <si>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</si>
  <si>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</si>
  <si>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</si>
  <si>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</si>
  <si>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</si>
  <si>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</si>
  <si>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</si>
  <si>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</si>
  <si>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</si>
  <si>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</si>
  <si>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</si>
  <si>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</si>
  <si>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</si>
  <si>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</si>
  <si>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</si>
  <si>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</si>
  <si>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</si>
  <si>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</si>
  <si>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</si>
  <si>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</si>
  <si>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</si>
  <si>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</si>
  <si>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</si>
  <si>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</si>
  <si>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</si>
  <si>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</si>
  <si>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</si>
  <si>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</si>
  <si>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</si>
  <si>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</si>
  <si>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</si>
  <si>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</si>
  <si>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</si>
  <si>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</si>
  <si>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</si>
  <si>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</si>
  <si>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</si>
  <si>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</si>
  <si>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</si>
  <si>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</si>
  <si>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</si>
  <si>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</si>
  <si>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</si>
  <si>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</si>
  <si>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</si>
  <si>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</si>
  <si>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</si>
  <si>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</si>
  <si>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</si>
  <si>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</si>
  <si>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</si>
  <si>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</si>
  <si>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</si>
  <si>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</si>
  <si>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</si>
  <si>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</si>
  <si>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</si>
  <si>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</si>
  <si>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</si>
  <si>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</si>
  <si>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</si>
  <si>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</si>
  <si>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</si>
  <si>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</si>
  <si>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</si>
  <si>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</si>
  <si>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</si>
  <si>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</si>
  <si>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</si>
  <si>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</si>
  <si>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</si>
  <si>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</si>
  <si>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</si>
  <si>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</si>
  <si>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</si>
  <si>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</si>
  <si>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</si>
  <si>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</si>
  <si>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</si>
  <si>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</si>
  <si>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</si>
  <si>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</si>
  <si>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</si>
  <si>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</si>
  <si>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</si>
  <si>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</si>
  <si>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</si>
  <si>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</si>
  <si>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</si>
  <si>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</si>
  <si>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</si>
  <si>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</si>
  <si>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</si>
  <si>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</si>
  <si>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</si>
  <si>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</si>
  <si>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</si>
  <si>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</si>
  <si>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</si>
  <si>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</si>
  <si>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</si>
  <si>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</si>
  <si>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</si>
  <si>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</si>
  <si>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</si>
  <si>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</si>
  <si>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</si>
  <si>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</si>
  <si>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</si>
  <si>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</si>
  <si>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</si>
  <si>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</si>
  <si>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</si>
  <si>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</si>
  <si>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</si>
  <si>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</si>
  <si>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</si>
  <si>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</si>
  <si>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</si>
  <si>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</si>
  <si>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</si>
  <si>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</si>
  <si>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</si>
  <si>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</si>
  <si>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</si>
  <si>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</si>
  <si>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</si>
  <si>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</si>
  <si>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</si>
  <si>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</si>
  <si>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</si>
  <si>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</si>
  <si>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</si>
  <si>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</si>
  <si>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</si>
  <si>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</si>
  <si>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</si>
  <si>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</si>
  <si>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</si>
  <si>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</si>
  <si>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</si>
  <si>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</si>
  <si>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</si>
  <si>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</si>
  <si>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</si>
  <si>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</si>
  <si>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</si>
  <si>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</si>
  <si>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</si>
  <si>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</si>
  <si>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</si>
  <si>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</si>
  <si>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</si>
  <si>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</si>
  <si>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</si>
  <si>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</si>
  <si>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</si>
  <si>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</si>
  <si>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</si>
  <si>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</si>
  <si>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</si>
  <si>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</si>
  <si>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</si>
  <si>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</si>
  <si>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</si>
  <si>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</si>
  <si>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</si>
  <si>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</si>
  <si>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</si>
  <si>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</si>
  <si>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</si>
  <si>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</si>
  <si>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</si>
  <si>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</si>
  <si>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</si>
  <si>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</si>
  <si>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</si>
  <si>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</si>
  <si>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</si>
  <si>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</si>
  <si>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</si>
  <si>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</si>
  <si>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</si>
  <si>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</si>
  <si>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</si>
  <si>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</si>
  <si>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</si>
  <si>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</si>
  <si>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</si>
  <si>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</si>
  <si>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</si>
  <si>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</si>
  <si>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</si>
  <si>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</si>
  <si>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</si>
  <si>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</si>
  <si>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</si>
  <si>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</si>
  <si>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</si>
  <si>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</si>
  <si>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</si>
  <si>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</si>
  <si>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</si>
  <si>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</si>
  <si>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</si>
  <si>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</si>
  <si>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</si>
  <si>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</si>
  <si>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</si>
  <si>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</si>
  <si>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</si>
  <si>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</si>
  <si>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</si>
  <si>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</si>
  <si>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</si>
  <si>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</si>
  <si>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</si>
  <si>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</si>
  <si>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</si>
  <si>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</si>
  <si>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</si>
  <si>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</si>
  <si>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</si>
  <si>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</si>
  <si>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</si>
  <si>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</si>
  <si>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</si>
  <si>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</si>
  <si>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</si>
  <si>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</si>
  <si>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</si>
  <si>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</si>
  <si>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</si>
  <si>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</si>
  <si>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</si>
  <si>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</si>
  <si>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</si>
  <si>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</si>
  <si>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</si>
  <si>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</si>
  <si>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</si>
  <si>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</si>
  <si>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</si>
  <si>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</si>
  <si>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</si>
  <si>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</si>
  <si>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</si>
  <si>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</si>
  <si>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</si>
  <si>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</si>
  <si>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</si>
  <si>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</si>
  <si>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</si>
  <si>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</si>
  <si>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</si>
  <si>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</si>
  <si>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</si>
  <si>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</si>
  <si>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</si>
  <si>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</si>
  <si>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</si>
  <si>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</si>
  <si>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</si>
  <si>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</si>
  <si>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</si>
  <si>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</si>
  <si>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</si>
  <si>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</si>
  <si>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</si>
  <si>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</si>
  <si>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</si>
  <si>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</si>
  <si>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</si>
  <si>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</si>
  <si>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</si>
  <si>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</si>
  <si>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</si>
  <si>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</si>
  <si>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</si>
  <si>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</si>
  <si>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</si>
  <si>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</si>
  <si>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</si>
  <si>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</si>
  <si>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</si>
  <si>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</si>
  <si>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</si>
  <si>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</si>
  <si>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</si>
  <si>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</si>
  <si>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</si>
  <si>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</si>
  <si>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</si>
  <si>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</si>
  <si>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</si>
  <si>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</si>
  <si>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</si>
  <si>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</si>
  <si>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</si>
  <si>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</si>
  <si>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</si>
  <si>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</si>
  <si>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</si>
  <si>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</si>
  <si>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</si>
  <si>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</si>
  <si>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</si>
  <si>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</si>
  <si>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</si>
  <si>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</si>
  <si>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</si>
  <si>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</si>
  <si>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</si>
  <si>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</si>
  <si>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</si>
  <si>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</si>
  <si>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</si>
  <si>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</si>
  <si>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</si>
  <si>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</si>
  <si>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</si>
  <si>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</si>
  <si>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</si>
  <si>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</si>
  <si>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</si>
  <si>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</si>
  <si>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</si>
  <si>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</si>
  <si>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</si>
  <si>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</si>
  <si>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</si>
  <si>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</si>
  <si>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</si>
  <si>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</si>
  <si>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</si>
  <si>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</si>
  <si>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</si>
  <si>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</si>
  <si>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</si>
  <si>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</si>
  <si>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</si>
  <si>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</si>
  <si>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</si>
  <si>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</si>
  <si>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</si>
  <si>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</si>
  <si>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</si>
  <si>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</si>
  <si>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</si>
  <si>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</si>
  <si>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</si>
  <si>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</si>
  <si>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</si>
  <si>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</si>
  <si>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</si>
  <si>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</si>
  <si>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</si>
  <si>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</si>
  <si>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</si>
  <si>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</si>
  <si>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</si>
  <si>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</si>
  <si>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</si>
  <si>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</si>
  <si>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</si>
  <si>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</si>
  <si>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</si>
  <si>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</si>
  <si>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</si>
  <si>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</si>
  <si>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</si>
  <si>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</si>
  <si>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</si>
  <si>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</si>
  <si>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</si>
  <si>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</si>
  <si>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</si>
  <si>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</si>
  <si>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</si>
  <si>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</si>
  <si>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</si>
  <si>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</si>
  <si>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</si>
  <si>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</si>
  <si>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</si>
  <si>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</si>
  <si>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</si>
  <si>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</si>
  <si>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</si>
  <si>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</si>
  <si>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</si>
  <si>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</si>
  <si>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</si>
  <si>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</si>
  <si>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</si>
  <si>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</si>
  <si>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</si>
  <si>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</si>
  <si>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</si>
  <si>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</si>
  <si>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</si>
  <si>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</si>
  <si>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</si>
  <si>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</si>
  <si>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</si>
  <si>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</si>
  <si>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</si>
  <si>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</si>
  <si>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</si>
  <si>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</si>
  <si>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</si>
  <si>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</si>
  <si>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</si>
  <si>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</si>
  <si>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</si>
  <si>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</si>
  <si>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</si>
  <si>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</si>
  <si>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</si>
  <si>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</si>
  <si>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</si>
  <si>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</si>
  <si>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</si>
  <si>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</si>
  <si>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</si>
  <si>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</si>
  <si>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</si>
  <si>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</si>
  <si>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</si>
  <si>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</si>
  <si>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</si>
  <si>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</si>
  <si>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</si>
  <si>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</si>
  <si>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</si>
  <si>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</si>
  <si>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</si>
  <si>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</si>
  <si>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</si>
  <si>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</si>
  <si>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</si>
  <si>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</si>
  <si>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</si>
  <si>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</si>
  <si>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</si>
  <si>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</si>
  <si>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</si>
  <si>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</si>
  <si>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</si>
  <si>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</si>
  <si>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</si>
  <si>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</si>
  <si>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</si>
  <si>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</si>
  <si>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</si>
  <si>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</si>
  <si>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</si>
  <si>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</si>
  <si>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</si>
  <si>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</si>
  <si>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</si>
  <si>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</si>
  <si>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</si>
  <si>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</si>
  <si>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</si>
  <si>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</si>
  <si>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</si>
  <si>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</si>
  <si>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</si>
  <si>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</si>
  <si>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</si>
  <si>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</si>
  <si>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</si>
  <si>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</si>
  <si>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</si>
  <si>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</si>
  <si>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</si>
  <si>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</si>
  <si>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</si>
  <si>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</si>
  <si>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</si>
  <si>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</si>
  <si>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</si>
  <si>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</si>
  <si>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</si>
  <si>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</si>
  <si>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</si>
  <si>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</si>
  <si>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</si>
  <si>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</si>
  <si>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</si>
  <si>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</si>
  <si>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</si>
  <si>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</si>
  <si>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</si>
  <si>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</si>
  <si>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</si>
  <si>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</si>
  <si>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</si>
  <si>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</si>
  <si>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</si>
  <si>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</si>
  <si>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</si>
  <si>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</si>
  <si>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</si>
  <si>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</si>
  <si>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</si>
  <si>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</si>
  <si>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</si>
  <si>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</si>
  <si>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</si>
  <si>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</si>
  <si>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</si>
  <si>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</si>
  <si>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</si>
  <si>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</si>
  <si>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</si>
  <si>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</si>
  <si>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</si>
  <si>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</si>
  <si>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</si>
  <si>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</si>
  <si>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</si>
  <si>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</si>
  <si>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</si>
  <si>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</si>
  <si>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</si>
  <si>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</si>
  <si>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</si>
  <si>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</si>
  <si>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</si>
  <si>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</si>
  <si>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</si>
  <si>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</si>
  <si>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</si>
  <si>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</si>
  <si>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</si>
  <si>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</si>
  <si>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</si>
  <si>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</si>
  <si>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</si>
  <si>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</si>
  <si>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</si>
  <si>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</si>
  <si>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</si>
  <si>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</si>
  <si>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</si>
  <si>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</si>
  <si>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</si>
  <si>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</si>
  <si>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</si>
  <si>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</si>
  <si>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</si>
  <si>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</si>
  <si>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</si>
  <si>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</si>
  <si>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</si>
  <si>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</si>
  <si>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</si>
  <si>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</si>
  <si>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</si>
  <si>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</si>
  <si>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</si>
  <si>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</si>
  <si>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</si>
  <si>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</si>
  <si>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</si>
  <si>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</si>
  <si>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</si>
  <si>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</si>
  <si>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</si>
  <si>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</si>
  <si>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</si>
  <si>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</si>
  <si>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</si>
  <si>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</si>
  <si>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</si>
  <si>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</si>
  <si>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</si>
  <si>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</si>
  <si>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</si>
  <si>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</si>
  <si>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</si>
  <si>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</si>
  <si>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</si>
  <si>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</si>
  <si>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</si>
  <si>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</si>
  <si>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</si>
  <si>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</si>
  <si>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</si>
  <si>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</si>
  <si>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</si>
  <si>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</si>
  <si>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</si>
  <si>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</si>
  <si>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</si>
  <si>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</si>
  <si>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</si>
  <si>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</si>
  <si>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</si>
  <si>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</si>
  <si>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</si>
  <si>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</si>
  <si>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</si>
  <si>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</si>
  <si>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</si>
  <si>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</si>
  <si>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</si>
  <si>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</si>
  <si>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</si>
  <si>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</si>
  <si>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</si>
  <si>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</si>
  <si>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</si>
  <si>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</si>
  <si>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</si>
  <si>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</si>
  <si>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</si>
  <si>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</si>
  <si>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</si>
  <si>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</si>
  <si>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</si>
  <si>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</si>
  <si>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</si>
  <si>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</si>
  <si>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</si>
  <si>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</si>
  <si>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</si>
  <si>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</si>
  <si>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</si>
  <si>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</si>
  <si>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</si>
  <si>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</si>
  <si>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</si>
  <si>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</si>
  <si>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</si>
  <si>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</si>
  <si>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</si>
  <si>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</si>
  <si>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</si>
  <si>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</si>
  <si>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</si>
  <si>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</si>
  <si>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</si>
  <si>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</si>
  <si>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</si>
  <si>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</si>
  <si>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</si>
  <si>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</si>
  <si>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</si>
  <si>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</si>
  <si>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</si>
  <si>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</si>
  <si>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</si>
  <si>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</si>
  <si>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</si>
  <si>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</si>
  <si>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</si>
  <si>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</si>
  <si>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</si>
  <si>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</si>
  <si>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</si>
  <si>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</si>
  <si>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</si>
  <si>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</si>
  <si>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</si>
  <si>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</si>
  <si>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</si>
  <si>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</si>
  <si>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</si>
  <si>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</si>
  <si>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</si>
  <si>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</si>
  <si>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</si>
  <si>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</si>
  <si>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</si>
  <si>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</si>
  <si>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</si>
  <si>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</si>
  <si>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</si>
  <si>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</si>
  <si>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</si>
  <si>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</si>
  <si>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</si>
  <si>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</si>
  <si>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</si>
  <si>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</si>
  <si>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</si>
  <si>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</si>
  <si>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</si>
  <si>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</si>
  <si>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</si>
  <si>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</si>
  <si>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</si>
  <si>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</si>
  <si>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</si>
  <si>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</si>
  <si>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</si>
  <si>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</si>
  <si>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</si>
  <si>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</si>
  <si>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</si>
  <si>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</si>
  <si>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</si>
  <si>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</si>
  <si>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</si>
  <si>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</si>
  <si>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</si>
  <si>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</si>
  <si>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</si>
  <si>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</si>
  <si>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</si>
  <si>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</si>
  <si>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</si>
  <si>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</si>
  <si>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</si>
  <si>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</si>
  <si>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</si>
  <si>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</si>
  <si>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</si>
  <si>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</si>
  <si>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</si>
  <si>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</si>
  <si>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</si>
  <si>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</si>
  <si>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</si>
  <si>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</si>
  <si>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</si>
  <si>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</si>
  <si>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</si>
  <si>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</si>
  <si>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</si>
  <si>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</si>
  <si>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</si>
  <si>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</si>
  <si>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</si>
  <si>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</si>
  <si>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</si>
  <si>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</si>
  <si>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</si>
  <si>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</si>
  <si>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</si>
  <si>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</si>
  <si>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</si>
  <si>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</si>
  <si>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</si>
  <si>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</si>
  <si>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</si>
  <si>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</si>
  <si>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</si>
  <si>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</si>
  <si>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</si>
  <si>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</si>
  <si>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</si>
  <si>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</si>
  <si>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</si>
  <si>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</si>
  <si>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</si>
  <si>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</si>
  <si>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</si>
  <si>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</si>
  <si>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</si>
  <si>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</si>
  <si>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</si>
  <si>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</si>
  <si>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</si>
  <si>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</si>
  <si>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</si>
  <si>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</si>
  <si>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</si>
  <si>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</si>
  <si>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</si>
  <si>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</si>
  <si>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</si>
  <si>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</si>
  <si>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</si>
  <si>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</si>
  <si>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</si>
  <si>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</si>
  <si>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</si>
  <si>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</si>
  <si>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</si>
  <si>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</si>
  <si>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</si>
  <si>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</si>
  <si>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</si>
  <si>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</si>
  <si>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</si>
  <si>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</si>
  <si>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</si>
  <si>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</si>
  <si>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</si>
  <si>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</si>
  <si>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</si>
  <si>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</si>
  <si>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</si>
  <si>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</si>
  <si>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</si>
  <si>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</si>
  <si>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</si>
  <si>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</si>
  <si>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</si>
  <si>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</si>
  <si>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</si>
  <si>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</si>
  <si>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</si>
  <si>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</si>
  <si>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</si>
  <si>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</si>
  <si>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</si>
  <si>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</si>
  <si>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</si>
  <si>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</si>
  <si>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</si>
  <si>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</si>
  <si>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</si>
  <si>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</si>
  <si>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</si>
  <si>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</si>
  <si>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</si>
  <si>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</si>
  <si>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</si>
  <si>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</si>
  <si>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</si>
  <si>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</si>
  <si>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</si>
  <si>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</si>
  <si>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</si>
  <si>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</si>
  <si>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</si>
  <si>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</si>
  <si>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</si>
  <si>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</si>
  <si>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</si>
  <si>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</si>
  <si>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</si>
  <si>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</si>
  <si>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</si>
  <si>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</si>
  <si>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</si>
  <si>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</si>
  <si>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</si>
  <si>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</si>
  <si>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</si>
  <si>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</si>
  <si>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</si>
  <si>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</si>
  <si>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</si>
  <si>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</si>
  <si>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</si>
  <si>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</si>
  <si>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</si>
  <si>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</si>
  <si>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</si>
  <si>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</si>
  <si>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</si>
  <si>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</si>
  <si>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</si>
  <si>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</si>
  <si>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</si>
  <si>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</si>
  <si>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</si>
  <si>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</si>
  <si>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</si>
  <si>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</si>
  <si>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</si>
  <si>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</si>
  <si>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</si>
  <si>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</si>
  <si>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</si>
  <si>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</si>
  <si>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</si>
  <si>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</si>
  <si>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</si>
  <si>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</si>
  <si>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</si>
  <si>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</si>
  <si>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</si>
  <si>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</si>
  <si>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</si>
  <si>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</si>
  <si>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</si>
  <si>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</si>
  <si>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</si>
  <si>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</si>
  <si>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</si>
  <si>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</si>
  <si>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</si>
  <si>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</si>
  <si>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</si>
  <si>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</si>
  <si>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</si>
  <si>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</si>
  <si>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</si>
  <si>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</si>
  <si>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</si>
  <si>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</si>
  <si>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</si>
  <si>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</si>
  <si>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</si>
  <si>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</si>
  <si>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</si>
  <si>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</si>
  <si>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</si>
  <si>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</si>
  <si>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</si>
  <si>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</si>
  <si>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</si>
  <si>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</si>
  <si>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</si>
  <si>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</si>
  <si>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</si>
  <si>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</si>
  <si>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</si>
  <si>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</si>
  <si>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</si>
  <si>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</si>
  <si>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</si>
  <si>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</si>
  <si>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</si>
  <si>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</si>
  <si>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</si>
  <si>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</si>
  <si>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</si>
  <si>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</si>
  <si>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</si>
  <si>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</si>
  <si>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</si>
  <si>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</si>
  <si>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</si>
  <si>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</si>
  <si>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</si>
  <si>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</si>
  <si>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</si>
  <si>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</si>
  <si>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</si>
  <si>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</si>
  <si>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</si>
  <si>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</si>
  <si>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</si>
  <si>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</si>
  <si>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</si>
  <si>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</si>
  <si>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</si>
  <si>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</si>
  <si>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</si>
  <si>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</si>
  <si>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</si>
  <si>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</si>
  <si>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</si>
  <si>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</si>
  <si>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</si>
  <si>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</si>
  <si>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</si>
  <si>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</si>
  <si>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</si>
  <si>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</si>
  <si>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</si>
  <si>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</si>
  <si>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</si>
  <si>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</si>
  <si>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</si>
  <si>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</si>
  <si>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</si>
  <si>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</si>
  <si>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</si>
  <si>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</si>
  <si>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</si>
  <si>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</si>
  <si>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</si>
  <si>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</si>
  <si>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</si>
  <si>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</si>
  <si>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</si>
  <si>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</si>
  <si>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</si>
  <si>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</si>
  <si>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</si>
  <si>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</si>
  <si>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</si>
  <si>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</si>
  <si>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</si>
  <si>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</si>
  <si>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</si>
  <si>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</si>
  <si>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</si>
  <si>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</si>
  <si>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</si>
  <si>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</si>
  <si>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</si>
  <si>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</si>
  <si>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</si>
  <si>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</si>
  <si>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</si>
  <si>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</si>
  <si>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</si>
  <si>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</si>
  <si>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</si>
  <si>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</si>
  <si>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</si>
  <si>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</si>
  <si>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</si>
  <si>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</si>
  <si>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</si>
  <si>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</si>
  <si>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</si>
  <si>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</si>
  <si>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</si>
  <si>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</si>
  <si>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</si>
  <si>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</si>
  <si>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</si>
  <si>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</si>
  <si>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</si>
  <si>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</si>
  <si>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</si>
  <si>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</si>
  <si>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</si>
  <si>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</si>
  <si>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</si>
  <si>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</si>
  <si>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</si>
  <si>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</si>
  <si>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</si>
  <si>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</si>
  <si>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</si>
  <si>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</si>
  <si>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</si>
  <si>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</si>
  <si>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</si>
  <si>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</si>
  <si>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</si>
  <si>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</si>
  <si>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</si>
  <si>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</si>
  <si>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</si>
  <si>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</si>
  <si>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</si>
  <si>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</si>
  <si>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</si>
  <si>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</si>
  <si>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</si>
  <si>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</si>
  <si>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</si>
  <si>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</si>
  <si>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</si>
  <si>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</si>
  <si>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</si>
  <si>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</si>
  <si>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</si>
  <si>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</si>
  <si>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</si>
  <si>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</si>
  <si>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</si>
  <si>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</si>
  <si>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</si>
  <si>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</si>
  <si>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</si>
  <si>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</si>
  <si>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</si>
  <si>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</si>
  <si>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</si>
  <si>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</si>
  <si>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</si>
  <si>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</si>
  <si>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</si>
  <si>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</si>
  <si>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</si>
  <si>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</si>
  <si>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</si>
  <si>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</si>
  <si>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</si>
  <si>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</si>
  <si>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</si>
  <si>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</si>
  <si>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</si>
  <si>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</si>
  <si>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</si>
  <si>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</si>
  <si>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</si>
  <si>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</si>
  <si>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</si>
  <si>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</si>
  <si>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</si>
  <si>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</si>
  <si>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</si>
  <si>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</si>
  <si>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</si>
  <si>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</si>
  <si>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</si>
  <si>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</si>
  <si>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</si>
  <si>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</si>
  <si>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</si>
  <si>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</si>
  <si>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</si>
  <si>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</si>
  <si>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</si>
  <si>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</si>
  <si>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</si>
  <si>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</si>
  <si>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</si>
  <si>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</si>
  <si>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</si>
  <si>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</si>
  <si>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</si>
  <si>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</si>
  <si>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</si>
  <si>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</si>
  <si>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</si>
  <si>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</si>
  <si>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</si>
  <si>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</si>
  <si>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</si>
  <si>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</si>
  <si>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</si>
  <si>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</si>
  <si>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</si>
  <si>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</si>
  <si>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</si>
  <si>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</si>
  <si>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</si>
  <si>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</si>
  <si>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</si>
  <si>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</si>
  <si>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</si>
  <si>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</si>
  <si>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</si>
  <si>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</si>
  <si>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</si>
  <si>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</si>
  <si>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</si>
  <si>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</si>
  <si>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</si>
  <si>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</si>
  <si>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</si>
  <si>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</si>
  <si>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</si>
  <si>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</si>
  <si>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</si>
  <si>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</si>
  <si>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</si>
  <si>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</si>
  <si>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</si>
  <si>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</si>
  <si>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</si>
  <si>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</si>
  <si>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</si>
  <si>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</si>
  <si>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</si>
  <si>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</si>
  <si>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</si>
  <si>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</si>
  <si>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</si>
  <si>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</si>
  <si>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</si>
  <si>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</si>
  <si>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</si>
  <si>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</si>
  <si>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</si>
  <si>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</si>
  <si>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</si>
  <si>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</si>
  <si>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</si>
  <si>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</si>
  <si>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</si>
  <si>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</si>
  <si>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</si>
  <si>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</si>
  <si>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</si>
  <si>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</si>
  <si>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</si>
  <si>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</si>
  <si>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</si>
  <si>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</si>
  <si>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Date of assessment </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</si>
  <si>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</si>
  <si>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</si>
  <si>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</si>
  <si>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</si>
  <si>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</si>
  <si>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</si>
  <si>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</si>
  <si>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adults and children newly enrolled on antiretroviral therapy (what was reported on DATIM)</t>
  </si>
  <si>
    <t>Indicator No.</t>
  </si>
  <si>
    <t>Results</t>
  </si>
  <si>
    <t>A1</t>
  </si>
  <si>
    <t>B1</t>
  </si>
  <si>
    <t>C1</t>
  </si>
  <si>
    <t>A2</t>
  </si>
  <si>
    <t>B2</t>
  </si>
  <si>
    <t>lower bound</t>
  </si>
  <si>
    <t>upper bound</t>
  </si>
  <si>
    <t>min total records to review</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</si>
  <si>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</si>
  <si>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</si>
  <si>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Ijoko Primary Health Center</t>
  </si>
  <si>
    <t>Ota Primary Health Center</t>
  </si>
  <si>
    <t>Sango Ota Primary Health Center</t>
  </si>
  <si>
    <t>og Ado-Odo-Ota</t>
  </si>
  <si>
    <t>Apakin Primary Health Center</t>
  </si>
  <si>
    <t>Ibeju-Lekki General Hospital</t>
  </si>
  <si>
    <t>Lakowe Primary Health Center</t>
  </si>
  <si>
    <t>Otunla Primary Health Center</t>
  </si>
  <si>
    <t>la Ibeju- Lekki</t>
  </si>
  <si>
    <t>im Ohaji- Egbema</t>
  </si>
  <si>
    <t>Abacheke Model Primary Health Center</t>
  </si>
  <si>
    <t>Awara Health Center</t>
  </si>
  <si>
    <t>General Hospital Egbema</t>
  </si>
  <si>
    <t>Mgbirichi Health Center</t>
  </si>
  <si>
    <t>Umuokanne Health Center</t>
  </si>
  <si>
    <t>im Ihitte-Uboma</t>
  </si>
  <si>
    <t>Ikperejere Primary Health Center</t>
  </si>
  <si>
    <t>Isinweke Primary Health Center</t>
  </si>
  <si>
    <t>go Yamaltu-Deba</t>
  </si>
  <si>
    <t>Dadinkowa Town Maternity</t>
  </si>
  <si>
    <t>Deba General Hospital</t>
  </si>
  <si>
    <t>Diffa Primary Health Center</t>
  </si>
  <si>
    <t>Hinna Primary Health Center</t>
  </si>
  <si>
    <t>Infectious Disesase Hospital - Zambuk</t>
  </si>
  <si>
    <t>Kurmi Maternity Clinic</t>
  </si>
  <si>
    <t>Kwadon Primary Health Center</t>
  </si>
  <si>
    <t>Lanu Maternity</t>
  </si>
  <si>
    <t>Ligi Primary Health Center</t>
  </si>
  <si>
    <t>Lubo Primary Health Center</t>
  </si>
  <si>
    <t>Maikaho Primary Health Center</t>
  </si>
  <si>
    <t>Sabongari Primary Health Center</t>
  </si>
  <si>
    <t>Number of individuals tested HIV positive (HTC only as reported on DATIM)</t>
  </si>
  <si>
    <t>TB_STAT</t>
  </si>
  <si>
    <t xml:space="preserve">TB_ART </t>
  </si>
  <si>
    <t>TX_TB</t>
  </si>
  <si>
    <t>TB_ART</t>
  </si>
  <si>
    <t>The proportion of ART patients who were screened who are receiving TB treatment as reported on DATIM</t>
  </si>
  <si>
    <t>TB_PREV</t>
  </si>
  <si>
    <t>How many TB patients were started on TB preventive therapy during the reporting period documented in the IPT Register</t>
  </si>
  <si>
    <t>Proportion of ART patients who completed a standard course of TB preventive therapy within the reporting period as reported on DATIM</t>
  </si>
  <si>
    <t>What is the total number of  HIV-positive pregnant women who received ART/ARV (newly/ Already initiated) to reduce the risk of mother-to-child-transmission during this reporting period as documented on the NEW PMTCT ARV Register</t>
  </si>
  <si>
    <t xml:space="preserve">Number of Pregnant women with known HIV status at antenatal care (includes those who already knew their HIV status prior to ANC) as reported on DATIM </t>
  </si>
  <si>
    <t>Number of HIV-positive pregnant women who received ART to reduce the risk of mother-to-child-transmission (MTCT) during pregnancy as reported on DATIM</t>
  </si>
  <si>
    <t>Number of infants born to HIV-positive women who had a virologic HIV test done within 12 months of birth as reported on DATIM</t>
  </si>
  <si>
    <t>Number of new and relapse TB cases with documented HIV status as reported on DATIM</t>
  </si>
  <si>
    <t>ko Kabba-Bunu</t>
  </si>
  <si>
    <t>Kabba General Hospital</t>
  </si>
  <si>
    <t>ek Irepodun-Ifelodun</t>
  </si>
  <si>
    <t>Iyin Ekiti General Hospital</t>
  </si>
  <si>
    <t>St John's Hospital Kabba</t>
  </si>
  <si>
    <t>go Nafada-Bajoga</t>
  </si>
  <si>
    <t>Barwo Wunde Model Primary Health Center</t>
  </si>
  <si>
    <t>EnrollmentNo</t>
  </si>
  <si>
    <t>HospitalNo</t>
  </si>
  <si>
    <t>Sex</t>
  </si>
  <si>
    <t>Age at Start of ART</t>
  </si>
  <si>
    <t>Age at Start of ART (in months)</t>
  </si>
  <si>
    <t>ARTStartDate</t>
  </si>
  <si>
    <t>LastPickupDate</t>
  </si>
  <si>
    <t>MonthsOfARVRefill</t>
  </si>
  <si>
    <t>RegimenLineAtARTStart</t>
  </si>
  <si>
    <t>RegimenAtStartOfART</t>
  </si>
  <si>
    <t>CurrentRegimenLine</t>
  </si>
  <si>
    <t>CurrentARTRegimen</t>
  </si>
  <si>
    <t>Pregnancy Status</t>
  </si>
  <si>
    <t>Current Viral Load</t>
  </si>
  <si>
    <t>Date of Current Viral Load</t>
  </si>
  <si>
    <t>Viral Load Indication</t>
  </si>
  <si>
    <t>CurrentARTStatus</t>
  </si>
  <si>
    <t>Validated Last pick up date</t>
  </si>
  <si>
    <t>Validated Months of ARV refill</t>
  </si>
  <si>
    <t>Validated Regimen at Start of ART</t>
  </si>
  <si>
    <t>Validated Current ART Regimen</t>
  </si>
  <si>
    <t>Validated ART Status</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</si>
  <si>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</si>
  <si>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</si>
  <si>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</si>
  <si>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</si>
  <si>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</si>
  <si>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</si>
  <si>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Tools in use </t>
  </si>
  <si>
    <t>NHMIS  Daily ANC Register , PMTCT HTC Register</t>
  </si>
  <si>
    <t>How many pregnant women were tested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</si>
  <si>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</si>
  <si>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</si>
  <si>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</si>
  <si>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</si>
  <si>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PMTCT NEW ARV Register, PMTCT MSF</t>
  </si>
  <si>
    <t>Tool in use</t>
  </si>
  <si>
    <t>Child follow up Registe,PMTCT MSF</t>
  </si>
  <si>
    <t>How many  infants 0 - 12 months have documented virologic HIV test result in the Child Follow up register?</t>
  </si>
  <si>
    <t>How many  infants 0 - 12 months have documented virologic HIV test result in the PMTCT MSF?</t>
  </si>
  <si>
    <t>ART Register, EMR</t>
  </si>
  <si>
    <t>How many adults and children were commenced on ART as reported in the RADET per each month</t>
  </si>
  <si>
    <t>How many adult and children  were commenced  on ART as reported in the ART Register or EMR</t>
  </si>
  <si>
    <t>LG Central TB Register</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</si>
  <si>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</si>
  <si>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</si>
  <si>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</si>
  <si>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The number of HIV-positive (new and relapsed TB cases) on ART during TB treatment as reported on DATIM</t>
  </si>
  <si>
    <t>LG Central TB  Register</t>
  </si>
  <si>
    <t>How many new HIV-positive patients on ART were documented in the LG TB Central Register</t>
  </si>
  <si>
    <t>ART Register</t>
  </si>
  <si>
    <t>How many patients new on ART started TB treatment  as documented in the ART Register</t>
  </si>
  <si>
    <t>How many patients current on ART started TB treatment  as documented in the ART Register</t>
  </si>
  <si>
    <t>IPT Register,Pharmacy daily work sheet</t>
  </si>
  <si>
    <t>How many TB patients were started on TB preventive therapy during the reporting period documented in the Pharmacy daily worksheet</t>
  </si>
  <si>
    <t>HTC_TST_Pos</t>
  </si>
  <si>
    <t>HTC _Only</t>
  </si>
  <si>
    <t>HTC _Pos</t>
  </si>
  <si>
    <t>PMTCT_STAT_Pos</t>
  </si>
  <si>
    <t>PMTCT_STAT_Knwpos</t>
  </si>
  <si>
    <t>Q2 DATIM Report</t>
  </si>
  <si>
    <t>Validation</t>
  </si>
  <si>
    <t>Number of patient number randomly selected  (Based on Number of patients reported on RADET</t>
  </si>
  <si>
    <t>Number of patient whose details were validated from the Patient folder or EMR</t>
  </si>
  <si>
    <t>Concurrence Rate</t>
  </si>
  <si>
    <t xml:space="preserve">Concurrence rate
</t>
  </si>
  <si>
    <t>Implementing Partner</t>
  </si>
  <si>
    <t>Name of Assessor</t>
  </si>
  <si>
    <t>Facility</t>
  </si>
  <si>
    <t>Total</t>
  </si>
  <si>
    <t>Validated</t>
  </si>
  <si>
    <t>Not validated</t>
  </si>
  <si>
    <t>concurrence</t>
  </si>
  <si>
    <t>OVC_HIVSTAT</t>
  </si>
  <si>
    <t>Percentage of orphans and vulnerable children (&lt;18 years old) with HIV status reported to implementing partner as reported on DATIM</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</si>
  <si>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</si>
  <si>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</si>
  <si>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</si>
  <si>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TX_CURR</t>
  </si>
  <si>
    <t>version: 20170713</t>
  </si>
  <si>
    <t>Apr</t>
  </si>
  <si>
    <t>May</t>
  </si>
  <si>
    <t>Jun</t>
  </si>
  <si>
    <t>Q1 FY17</t>
  </si>
  <si>
    <t>Q2 FY17</t>
  </si>
  <si>
    <t>Q3 FY17</t>
  </si>
  <si>
    <t>Q4 FY17</t>
  </si>
  <si>
    <t>Number of patients randomly selected  (Based on Number of patients reported on RADET)</t>
  </si>
  <si>
    <t>Number of the randomly selected patients whose details were validated from the patient folder or EMR</t>
  </si>
  <si>
    <t>What is the total number of  HIV-positive pregnant women who received ART/ARV (newly/ Already initiated) to reduce the risk of mother-to-child-transmission during this reporting period as documented on the PMTCT Monthly Summary Form</t>
  </si>
  <si>
    <t>How many pregnant women were  newly tested HIV positive as documented in the PMTCT HTC Register or NHMIS Daily ANC Register</t>
  </si>
  <si>
    <t>Jul</t>
  </si>
  <si>
    <t>Aug</t>
  </si>
  <si>
    <t>Sep</t>
  </si>
  <si>
    <t>6 Months (Apr - Sep 2017)</t>
  </si>
  <si>
    <t>PMTCT_FO</t>
  </si>
  <si>
    <t xml:space="preserve">Number of final outcomes among HIV exposed infants registered in a birth cohort (18 months ofage) </t>
  </si>
  <si>
    <t>PMTCT Cohort Register, Child follow up Register</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</si>
  <si>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</si>
  <si>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</si>
  <si>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</si>
  <si>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6 Months        (Apr - Sep 2017)</t>
  </si>
  <si>
    <t>Q4 DATIM Report</t>
  </si>
  <si>
    <t>TX_RET (ART Site as at September 2017)</t>
  </si>
  <si>
    <t>TX_PLVS (ART Site as at September 2017)</t>
  </si>
  <si>
    <t>TX_Curr Validation (ART Site as at September 2017)</t>
  </si>
  <si>
    <t>12 months (Oct 16 - Sep 17)</t>
  </si>
  <si>
    <t>Number of patient number randomly selected  (Based on Number of patients reported on RADET)</t>
  </si>
  <si>
    <t>Retention Rate</t>
  </si>
  <si>
    <t>Number of patients who had a viral load test done (Based on the number of patients reported on RADET)</t>
  </si>
  <si>
    <t>Number of patients who were virally suppressed (Based on the number of patients reported on RADET)</t>
  </si>
  <si>
    <t>Viral Suppression Rate</t>
  </si>
  <si>
    <t>TX_PVLS (ART Site as at September 2017)</t>
  </si>
  <si>
    <t>Number of patient who had a viral load test done (Based on Number of patients reported on RADET)</t>
  </si>
  <si>
    <t>Number of patient who were virally suppressed (Based on Number of patients reported on RADET)</t>
  </si>
  <si>
    <t>Suppression  Rate</t>
  </si>
  <si>
    <t>Hospital number</t>
  </si>
  <si>
    <t>ART START Date</t>
  </si>
  <si>
    <t>Patient Status 12 months after initiation</t>
  </si>
  <si>
    <t>active</t>
  </si>
  <si>
    <t>OVC Enrolment Register, OVC MSF, NOMIS</t>
  </si>
  <si>
    <t>TX_RET</t>
  </si>
  <si>
    <t>Q4FY17 DATIM Report</t>
  </si>
  <si>
    <t>Number of patient retained in care 12 months after ART initiation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</si>
</sst>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9" fontId="1" fillId="0" borderId="0" applyFont="0" applyFill="0" applyBorder="0" applyAlignment="0" applyProtection="0"/>
    <xf numFmtId="0" fontId="31" fillId="0" borderId="0" applyNumberFormat="0" applyFill="0" applyBorder="0" applyAlignment="0" applyProtection="0"/>
    <xf numFmtId="9" fontId="31" fillId="0" borderId="0" applyFont="0" applyFill="0" applyBorder="0" applyAlignment="0" applyProtection="0"/>
  </cellStyleXfs>
  <cellXfs count="457">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2" fillId="0" borderId="52" xfId="0" applyFont="1" applyBorder="1" applyAlignment="1">
      <alignment vertical="center" wrapText="1"/>
    </xf>
    <xf numFmtId="0" fontId="33" fillId="0" borderId="53"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8" fillId="0" borderId="56" xfId="0" applyFont="1" applyBorder="1" applyAlignment="1">
      <alignment vertical="center" wrapText="1"/>
    </xf>
    <xf numFmtId="0" fontId="27" fillId="0" borderId="56"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0" fillId="12" borderId="0" xfId="0" applyFill="1" applyProtection="1">
      <protection hidden="1"/>
    </xf>
    <xf numFmtId="0" fontId="0" fillId="0" borderId="0" xfId="0" applyProtection="1">
      <protection hidden="1"/>
    </xf>
    <xf numFmtId="0" fontId="0" fillId="13" borderId="0" xfId="0" applyFill="1" applyProtection="1">
      <protection hidden="1"/>
    </xf>
    <xf numFmtId="0" fontId="34" fillId="0" borderId="0" xfId="0" applyNumberFormat="1" applyFont="1" applyFill="1" applyBorder="1" applyAlignment="1"/>
    <xf numFmtId="0" fontId="0" fillId="0" borderId="0" xfId="0" applyFont="1"/>
    <xf numFmtId="0" fontId="34" fillId="0" borderId="0" xfId="0" applyFont="1"/>
    <xf numFmtId="0" fontId="38" fillId="0" borderId="0" xfId="0" applyFont="1" applyBorder="1" applyAlignment="1" applyProtection="1">
      <alignment horizontal="left"/>
      <protection hidden="1"/>
    </xf>
    <xf numFmtId="0" fontId="0" fillId="0" borderId="0" xfId="0" applyProtection="1"/>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0" fillId="0" borderId="0" xfId="0" applyBorder="1" applyAlignment="1" applyProtection="1">
      <alignment horizontal="left"/>
      <protection hidden="1"/>
    </xf>
    <xf numFmtId="0" fontId="2" fillId="0" borderId="0" xfId="0" applyFont="1" applyProtection="1">
      <protection hidden="1"/>
    </xf>
    <xf numFmtId="0" fontId="37" fillId="0" borderId="24" xfId="0" applyFont="1" applyBorder="1" applyAlignment="1" applyProtection="1">
      <alignment horizontal="right" vertical="center"/>
      <protection hidden="1"/>
    </xf>
    <xf numFmtId="0" fontId="41" fillId="0" borderId="24" xfId="0" applyFont="1" applyFill="1" applyBorder="1" applyAlignment="1" applyProtection="1">
      <alignment vertical="center" wrapText="1"/>
      <protection hidden="1"/>
    </xf>
    <xf numFmtId="0" fontId="42" fillId="0" borderId="0" xfId="0" applyFont="1" applyBorder="1" applyAlignment="1" applyProtection="1">
      <alignment horizontal="left"/>
      <protection hidden="1"/>
    </xf>
    <xf numFmtId="0" fontId="0" fillId="0" borderId="0" xfId="0" applyFill="1" applyProtection="1">
      <protection hidden="1"/>
    </xf>
    <xf numFmtId="0" fontId="38"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43" fillId="0" borderId="24" xfId="0" applyFont="1" applyBorder="1" applyAlignment="1" applyProtection="1">
      <alignment horizontal="center" vertical="center" wrapText="1"/>
      <protection locked="0" hidden="1"/>
    </xf>
    <xf numFmtId="0" fontId="49" fillId="0" borderId="0" xfId="0" applyFont="1" applyFill="1" applyProtection="1">
      <protection hidden="1"/>
    </xf>
    <xf numFmtId="0" fontId="0" fillId="0" borderId="0" xfId="0" applyFont="1" applyBorder="1" applyAlignment="1">
      <alignment horizontal="left"/>
    </xf>
    <xf numFmtId="0" fontId="50" fillId="0" borderId="0" xfId="0" applyFont="1" applyBorder="1" applyAlignment="1">
      <alignment horizontal="left"/>
    </xf>
    <xf numFmtId="0" fontId="2" fillId="0" borderId="0" xfId="0" applyFont="1" applyFill="1"/>
    <xf numFmtId="0" fontId="0" fillId="0" borderId="0" xfId="0" applyFill="1"/>
    <xf numFmtId="0" fontId="38" fillId="13" borderId="24" xfId="0" applyFont="1" applyFill="1" applyBorder="1" applyAlignment="1" applyProtection="1">
      <alignment horizontal="right" vertical="center"/>
      <protection hidden="1"/>
    </xf>
    <xf numFmtId="0" fontId="42" fillId="13" borderId="24" xfId="0" applyFont="1" applyFill="1" applyBorder="1" applyAlignment="1" applyProtection="1">
      <alignment vertical="center" wrapText="1"/>
      <protection hidden="1"/>
    </xf>
    <xf numFmtId="0" fontId="42" fillId="13" borderId="29" xfId="0" applyFont="1" applyFill="1" applyBorder="1" applyAlignment="1" applyProtection="1">
      <alignment vertical="center" wrapText="1"/>
      <protection hidden="1"/>
    </xf>
    <xf numFmtId="0" fontId="37" fillId="13" borderId="24" xfId="0" applyFont="1" applyFill="1" applyBorder="1" applyAlignment="1" applyProtection="1">
      <alignment horizontal="right" vertical="center"/>
      <protection hidden="1"/>
    </xf>
    <xf numFmtId="0" fontId="41" fillId="13" borderId="24" xfId="0" applyFont="1" applyFill="1" applyBorder="1" applyAlignment="1" applyProtection="1">
      <alignment vertical="center" wrapText="1"/>
      <protection hidden="1"/>
    </xf>
    <xf numFmtId="1" fontId="40" fillId="13" borderId="29" xfId="0" applyNumberFormat="1" applyFont="1" applyFill="1" applyBorder="1" applyAlignment="1" applyProtection="1">
      <alignment horizontal="center" vertical="center"/>
      <protection hidden="1"/>
    </xf>
    <xf numFmtId="0" fontId="42" fillId="13" borderId="23" xfId="0" applyFont="1" applyFill="1" applyBorder="1" applyAlignment="1" applyProtection="1">
      <alignment vertical="center" wrapText="1"/>
      <protection hidden="1"/>
    </xf>
    <xf numFmtId="1" fontId="40" fillId="13" borderId="23" xfId="0" applyNumberFormat="1" applyFont="1" applyFill="1" applyBorder="1" applyAlignment="1" applyProtection="1">
      <alignment horizontal="center" vertical="center"/>
      <protection hidden="1"/>
    </xf>
    <xf numFmtId="0" fontId="39" fillId="13" borderId="24" xfId="0" applyFont="1" applyFill="1" applyBorder="1" applyAlignment="1" applyProtection="1">
      <alignment horizontal="center" vertical="center"/>
      <protection hidden="1"/>
    </xf>
    <xf numFmtId="0" fontId="42" fillId="13" borderId="59" xfId="0" applyFont="1" applyFill="1" applyBorder="1" applyAlignment="1" applyProtection="1">
      <alignment vertical="center" wrapText="1"/>
      <protection hidden="1"/>
    </xf>
    <xf numFmtId="0" fontId="0" fillId="13" borderId="24" xfId="0" applyFill="1" applyBorder="1" applyAlignment="1" applyProtection="1">
      <alignment vertical="center"/>
      <protection hidden="1"/>
    </xf>
    <xf numFmtId="0" fontId="38" fillId="13" borderId="24" xfId="0" applyFont="1" applyFill="1" applyBorder="1" applyAlignment="1" applyProtection="1">
      <alignment vertical="center"/>
      <protection hidden="1"/>
    </xf>
    <xf numFmtId="0" fontId="0" fillId="9" borderId="0" xfId="0" applyFill="1" applyProtection="1">
      <protection hidden="1"/>
    </xf>
    <xf numFmtId="0" fontId="0" fillId="15" borderId="0" xfId="0" applyFill="1" applyProtection="1">
      <protection hidden="1"/>
    </xf>
    <xf numFmtId="0" fontId="2" fillId="15" borderId="61" xfId="0" applyFont="1" applyFill="1" applyBorder="1" applyAlignment="1" applyProtection="1">
      <alignment horizontal="right"/>
      <protection hidden="1"/>
    </xf>
    <xf numFmtId="1" fontId="0" fillId="15" borderId="61" xfId="0" applyNumberFormat="1" applyFill="1" applyBorder="1" applyAlignment="1" applyProtection="1">
      <protection hidden="1"/>
    </xf>
    <xf numFmtId="0" fontId="2" fillId="15" borderId="61" xfId="0" applyFont="1" applyFill="1" applyBorder="1" applyProtection="1">
      <protection hidden="1"/>
    </xf>
    <xf numFmtId="0" fontId="0" fillId="15" borderId="61" xfId="0" applyFill="1" applyBorder="1" applyProtection="1">
      <protection hidden="1"/>
    </xf>
    <xf numFmtId="0" fontId="0" fillId="15" borderId="0" xfId="0" applyFill="1" applyBorder="1" applyProtection="1">
      <protection hidden="1"/>
    </xf>
    <xf numFmtId="0" fontId="2" fillId="15" borderId="0" xfId="0" applyFont="1" applyFill="1" applyAlignment="1" applyProtection="1">
      <alignment vertical="center"/>
      <protection hidden="1"/>
    </xf>
    <xf numFmtId="0" fontId="0" fillId="15" borderId="0" xfId="0" applyFill="1" applyAlignment="1" applyProtection="1">
      <alignment vertical="center" wrapText="1"/>
      <protection hidden="1"/>
    </xf>
    <xf numFmtId="0" fontId="0" fillId="15" borderId="0" xfId="0" applyFill="1" applyAlignment="1" applyProtection="1">
      <alignment vertical="center"/>
      <protection hidden="1"/>
    </xf>
    <xf numFmtId="0" fontId="29" fillId="15" borderId="0" xfId="0" applyFont="1" applyFill="1" applyBorder="1" applyAlignment="1" applyProtection="1">
      <alignment horizontal="left" vertical="center"/>
      <protection hidden="1"/>
    </xf>
    <xf numFmtId="17" fontId="29" fillId="15" borderId="0" xfId="0" applyNumberFormat="1" applyFont="1" applyFill="1" applyBorder="1" applyAlignment="1" applyProtection="1">
      <alignment horizontal="left" vertical="center" wrapText="1"/>
      <protection hidden="1"/>
    </xf>
    <xf numFmtId="17" fontId="30" fillId="15" borderId="0" xfId="0" applyNumberFormat="1" applyFont="1" applyFill="1" applyBorder="1" applyAlignment="1" applyProtection="1">
      <alignment vertical="center"/>
      <protection hidden="1"/>
    </xf>
    <xf numFmtId="1" fontId="0" fillId="15" borderId="0" xfId="0" applyNumberFormat="1" applyFill="1" applyProtection="1">
      <protection hidden="1"/>
    </xf>
    <xf numFmtId="0" fontId="37" fillId="0" borderId="0" xfId="0" applyFont="1" applyBorder="1" applyProtection="1">
      <protection hidden="1"/>
    </xf>
    <xf numFmtId="0" fontId="0" fillId="15" borderId="0" xfId="0" applyFill="1" applyProtection="1"/>
    <xf numFmtId="1" fontId="44" fillId="0" borderId="24" xfId="0" applyNumberFormat="1" applyFont="1" applyFill="1" applyBorder="1" applyAlignment="1" applyProtection="1">
      <alignment horizontal="center" vertical="center"/>
      <protection hidden="1"/>
    </xf>
    <xf numFmtId="1" fontId="0" fillId="15" borderId="61" xfId="0" applyNumberFormat="1" applyFill="1" applyBorder="1" applyAlignment="1" applyProtection="1">
      <protection locked="0" hidden="1"/>
    </xf>
    <xf numFmtId="1" fontId="52" fillId="15" borderId="0" xfId="0" applyNumberFormat="1" applyFont="1" applyFill="1" applyProtection="1">
      <protection hidden="1"/>
    </xf>
    <xf numFmtId="0" fontId="0" fillId="15" borderId="0" xfId="0" applyFont="1" applyFill="1" applyBorder="1" applyAlignment="1" applyProtection="1">
      <alignment horizontal="center" vertical="center"/>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0" fillId="15" borderId="0" xfId="0" applyFont="1" applyFill="1" applyAlignment="1" applyProtection="1">
      <alignment horizontal="center" vertical="center"/>
      <protection hidden="1"/>
    </xf>
    <xf numFmtId="1" fontId="0" fillId="15" borderId="0" xfId="0" applyNumberFormat="1" applyFont="1" applyFill="1" applyAlignment="1" applyProtection="1">
      <alignment horizontal="center" vertical="center"/>
      <protection hidden="1"/>
    </xf>
    <xf numFmtId="0" fontId="37" fillId="0" borderId="0" xfId="0" applyFont="1" applyBorder="1" applyAlignment="1" applyProtection="1">
      <alignment horizontal="right" vertical="center"/>
      <protection hidden="1"/>
    </xf>
    <xf numFmtId="0" fontId="41" fillId="0" borderId="0" xfId="0" applyFont="1" applyBorder="1" applyAlignment="1" applyProtection="1">
      <alignment vertical="center" wrapText="1"/>
      <protection hidden="1"/>
    </xf>
    <xf numFmtId="1" fontId="44" fillId="0" borderId="0" xfId="0" applyNumberFormat="1" applyFont="1" applyBorder="1" applyAlignment="1" applyProtection="1">
      <alignment horizontal="center" vertical="center"/>
      <protection hidden="1"/>
    </xf>
    <xf numFmtId="0" fontId="37" fillId="0" borderId="24" xfId="0" applyFont="1" applyBorder="1" applyAlignment="1" applyProtection="1">
      <alignment wrapText="1"/>
      <protection hidden="1"/>
    </xf>
    <xf numFmtId="0" fontId="37" fillId="0" borderId="24" xfId="0" applyFont="1" applyBorder="1" applyProtection="1">
      <protection hidden="1"/>
    </xf>
    <xf numFmtId="0" fontId="46" fillId="13" borderId="24" xfId="0" applyFont="1" applyFill="1" applyBorder="1" applyAlignment="1" applyProtection="1">
      <alignment vertical="center"/>
      <protection hidden="1"/>
    </xf>
    <xf numFmtId="0" fontId="45" fillId="13" borderId="24" xfId="0" applyFont="1" applyFill="1" applyBorder="1" applyAlignment="1" applyProtection="1">
      <alignment vertical="center"/>
      <protection hidden="1"/>
    </xf>
    <xf numFmtId="0" fontId="47" fillId="13" borderId="24" xfId="0" applyFont="1" applyFill="1" applyBorder="1" applyAlignment="1" applyProtection="1">
      <alignment vertical="center"/>
      <protection hidden="1"/>
    </xf>
    <xf numFmtId="1" fontId="40" fillId="13" borderId="59" xfId="0" applyNumberFormat="1" applyFont="1" applyFill="1" applyBorder="1" applyAlignment="1" applyProtection="1">
      <alignment horizontal="center" vertical="center"/>
      <protection hidden="1"/>
    </xf>
    <xf numFmtId="0" fontId="0" fillId="3" borderId="24" xfId="0" applyFill="1" applyBorder="1"/>
    <xf numFmtId="0" fontId="0" fillId="3" borderId="65" xfId="0" applyFill="1" applyBorder="1"/>
    <xf numFmtId="9" fontId="0" fillId="0" borderId="0" xfId="1" applyFont="1" applyFill="1"/>
    <xf numFmtId="0" fontId="51" fillId="13" borderId="59" xfId="0" applyFont="1" applyFill="1" applyBorder="1" applyAlignment="1" applyProtection="1">
      <alignment vertical="center"/>
      <protection hidden="1"/>
    </xf>
    <xf numFmtId="0" fontId="43" fillId="13" borderId="59"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hidden="1"/>
    </xf>
    <xf numFmtId="0" fontId="41" fillId="13" borderId="59" xfId="0" applyFont="1" applyFill="1" applyBorder="1" applyAlignment="1" applyProtection="1">
      <alignment vertical="center" wrapText="1"/>
      <protection hidden="1"/>
    </xf>
    <xf numFmtId="0" fontId="37" fillId="0" borderId="24" xfId="0" applyFont="1" applyFill="1" applyBorder="1" applyProtection="1">
      <protection hidden="1"/>
    </xf>
    <xf numFmtId="0" fontId="37" fillId="0" borderId="24" xfId="0" applyFont="1" applyFill="1" applyBorder="1" applyAlignment="1" applyProtection="1">
      <alignment horizontal="right" vertical="center"/>
      <protection hidden="1"/>
    </xf>
    <xf numFmtId="0" fontId="42" fillId="0" borderId="0" xfId="0" applyFont="1" applyFill="1" applyBorder="1" applyAlignment="1" applyProtection="1">
      <alignment horizontal="left"/>
      <protection hidden="1"/>
    </xf>
    <xf numFmtId="0" fontId="38" fillId="0" borderId="0" xfId="0" applyFont="1" applyFill="1" applyBorder="1" applyAlignment="1" applyProtection="1">
      <alignment horizontal="left"/>
      <protection hidden="1"/>
    </xf>
    <xf numFmtId="0" fontId="42" fillId="13" borderId="59" xfId="0" applyFont="1" applyFill="1" applyBorder="1" applyAlignment="1" applyProtection="1">
      <alignment horizontal="left" vertical="center" wrapText="1"/>
      <protection hidden="1"/>
    </xf>
    <xf numFmtId="0" fontId="42" fillId="13" borderId="29" xfId="0" applyFont="1" applyFill="1" applyBorder="1" applyAlignment="1" applyProtection="1">
      <alignment horizontal="left" vertical="center" wrapText="1"/>
      <protection hidden="1"/>
    </xf>
    <xf numFmtId="0" fontId="42" fillId="13" borderId="23" xfId="0" applyFont="1" applyFill="1" applyBorder="1" applyAlignment="1" applyProtection="1">
      <alignment horizontal="left" vertical="center" wrapText="1"/>
      <protection hidden="1"/>
    </xf>
    <xf numFmtId="0" fontId="38" fillId="13" borderId="24" xfId="0" applyFont="1" applyFill="1" applyBorder="1" applyAlignment="1" applyProtection="1">
      <alignment horizontal="left" vertical="center"/>
      <protection hidden="1"/>
    </xf>
    <xf numFmtId="0" fontId="51" fillId="13" borderId="59" xfId="0" applyFont="1" applyFill="1" applyBorder="1" applyAlignment="1" applyProtection="1">
      <alignment vertical="center" wrapText="1"/>
      <protection hidden="1"/>
    </xf>
    <xf numFmtId="0" fontId="2" fillId="0" borderId="0" xfId="0" applyFont="1" applyBorder="1" applyAlignment="1" applyProtection="1">
      <alignment horizontal="left"/>
      <protection hidden="1"/>
    </xf>
    <xf numFmtId="0" fontId="38" fillId="0" borderId="24" xfId="0" applyFont="1" applyFill="1" applyBorder="1" applyAlignment="1" applyProtection="1">
      <alignment horizontal="right" vertical="center"/>
      <protection hidden="1"/>
    </xf>
    <xf numFmtId="0" fontId="42" fillId="0" borderId="24" xfId="0" applyFont="1" applyFill="1" applyBorder="1" applyAlignment="1" applyProtection="1">
      <alignment vertical="center" wrapText="1"/>
      <protection hidden="1"/>
    </xf>
    <xf numFmtId="0" fontId="38" fillId="0" borderId="24" xfId="0" applyFont="1" applyFill="1" applyBorder="1" applyAlignment="1" applyProtection="1">
      <alignment vertical="center"/>
      <protection hidden="1"/>
    </xf>
    <xf numFmtId="0" fontId="42" fillId="0" borderId="59" xfId="0" applyFont="1" applyFill="1" applyBorder="1" applyAlignment="1" applyProtection="1">
      <alignment vertical="center" wrapText="1"/>
      <protection hidden="1"/>
    </xf>
    <xf numFmtId="0" fontId="42" fillId="0" borderId="29" xfId="0" applyFont="1" applyFill="1" applyBorder="1" applyAlignment="1" applyProtection="1">
      <alignment vertical="center" wrapText="1"/>
      <protection hidden="1"/>
    </xf>
    <xf numFmtId="0" fontId="42" fillId="0" borderId="23"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locked="0" hidden="1"/>
    </xf>
    <xf numFmtId="0" fontId="51" fillId="0" borderId="24" xfId="0" applyFont="1" applyFill="1" applyBorder="1" applyAlignment="1" applyProtection="1">
      <alignment vertical="center"/>
      <protection hidden="1"/>
    </xf>
    <xf numFmtId="0" fontId="39" fillId="0" borderId="24" xfId="0" applyFont="1" applyFill="1" applyBorder="1" applyAlignment="1" applyProtection="1">
      <alignment horizontal="center" vertical="center"/>
      <protection hidden="1"/>
    </xf>
    <xf numFmtId="0" fontId="43" fillId="0" borderId="24" xfId="0" applyFont="1" applyFill="1" applyBorder="1" applyAlignment="1" applyProtection="1">
      <alignment vertical="center" wrapText="1"/>
      <protection hidden="1"/>
    </xf>
    <xf numFmtId="0" fontId="51" fillId="0" borderId="24" xfId="0" applyFont="1" applyFill="1" applyBorder="1" applyAlignment="1" applyProtection="1">
      <alignment vertical="center" wrapText="1"/>
      <protection hidden="1"/>
    </xf>
    <xf numFmtId="1" fontId="40" fillId="0" borderId="24" xfId="0" applyNumberFormat="1" applyFont="1" applyFill="1" applyBorder="1" applyAlignment="1" applyProtection="1">
      <alignment horizontal="center" vertical="center"/>
      <protection hidden="1"/>
    </xf>
    <xf numFmtId="0" fontId="0" fillId="0" borderId="24" xfId="0" applyFont="1" applyFill="1" applyBorder="1" applyAlignment="1">
      <alignment vertical="center"/>
    </xf>
    <xf numFmtId="0" fontId="38" fillId="0" borderId="0" xfId="0"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Fill="1" applyBorder="1" applyProtection="1">
      <protection hidden="1"/>
    </xf>
    <xf numFmtId="1" fontId="34" fillId="0" borderId="24" xfId="0" applyNumberFormat="1" applyFont="1" applyFill="1" applyBorder="1" applyAlignment="1">
      <alignment horizontal="center" vertical="center"/>
    </xf>
    <xf numFmtId="0" fontId="34" fillId="0" borderId="24" xfId="0" applyFont="1" applyFill="1" applyBorder="1" applyAlignment="1">
      <alignment horizontal="center" vertical="center"/>
    </xf>
    <xf numFmtId="0" fontId="48" fillId="15" borderId="0" xfId="0" applyFont="1" applyFill="1" applyAlignment="1" applyProtection="1">
      <alignment horizontal="left" wrapText="1"/>
      <protection hidden="1"/>
    </xf>
    <xf numFmtId="0" fontId="38" fillId="13" borderId="24" xfId="0" applyFont="1" applyFill="1" applyBorder="1" applyAlignment="1" applyProtection="1">
      <alignment horizontal="center" vertical="center" wrapText="1"/>
      <protection hidden="1"/>
    </xf>
    <xf numFmtId="0" fontId="0" fillId="0" borderId="65" xfId="0" applyFill="1" applyBorder="1"/>
    <xf numFmtId="0" fontId="38" fillId="13" borderId="24" xfId="0" applyFont="1" applyFill="1" applyBorder="1" applyAlignment="1" applyProtection="1">
      <alignment horizontal="right" wrapText="1"/>
      <protection hidden="1"/>
    </xf>
    <xf numFmtId="0" fontId="0" fillId="15" borderId="0" xfId="0" applyFill="1" applyBorder="1" applyProtection="1"/>
    <xf numFmtId="1" fontId="34" fillId="0" borderId="24" xfId="0" applyNumberFormat="1" applyFont="1" applyFill="1" applyBorder="1" applyAlignment="1" applyProtection="1">
      <alignment horizontal="center" vertical="center"/>
    </xf>
    <xf numFmtId="0" fontId="34" fillId="0" borderId="24" xfId="0" applyFont="1" applyFill="1" applyBorder="1" applyAlignment="1" applyProtection="1">
      <alignment horizontal="center" vertical="center"/>
    </xf>
    <xf numFmtId="9" fontId="34" fillId="13" borderId="24" xfId="1" applyFont="1" applyFill="1" applyBorder="1" applyAlignment="1" applyProtection="1">
      <alignment horizontal="center" vertical="center"/>
    </xf>
    <xf numFmtId="0" fontId="0" fillId="18" borderId="0" xfId="0" applyFill="1" applyProtection="1"/>
    <xf numFmtId="0" fontId="0" fillId="15" borderId="61" xfId="0" applyFill="1" applyBorder="1" applyProtection="1">
      <protection locked="0"/>
    </xf>
    <xf numFmtId="0" fontId="0" fillId="15" borderId="29" xfId="0" applyFill="1" applyBorder="1" applyProtection="1">
      <protection locked="0"/>
    </xf>
    <xf numFmtId="1" fontId="35" fillId="16" borderId="7" xfId="0" applyNumberFormat="1" applyFont="1" applyFill="1" applyBorder="1" applyAlignment="1" applyProtection="1">
      <alignment horizontal="right" vertical="center"/>
    </xf>
    <xf numFmtId="1" fontId="35" fillId="14" borderId="68" xfId="0" applyNumberFormat="1" applyFont="1" applyFill="1" applyBorder="1" applyAlignment="1" applyProtection="1">
      <alignment vertical="center"/>
    </xf>
    <xf numFmtId="1" fontId="35" fillId="14" borderId="65" xfId="0" applyNumberFormat="1" applyFont="1" applyFill="1" applyBorder="1" applyAlignment="1" applyProtection="1">
      <alignment vertical="center"/>
    </xf>
    <xf numFmtId="1" fontId="35" fillId="14" borderId="67" xfId="0" applyNumberFormat="1" applyFont="1" applyFill="1" applyBorder="1" applyAlignment="1" applyProtection="1">
      <alignment vertical="center"/>
    </xf>
    <xf numFmtId="0" fontId="35" fillId="14" borderId="67" xfId="0" applyFont="1" applyFill="1" applyBorder="1" applyAlignment="1">
      <alignment vertical="center"/>
    </xf>
    <xf numFmtId="0" fontId="2" fillId="14" borderId="66" xfId="0" applyFont="1" applyFill="1" applyBorder="1" applyAlignment="1" applyProtection="1">
      <alignment vertical="center"/>
    </xf>
    <xf numFmtId="0" fontId="2" fillId="14" borderId="64" xfId="0" applyFont="1" applyFill="1" applyBorder="1" applyAlignment="1">
      <alignment vertical="center"/>
    </xf>
    <xf numFmtId="0" fontId="2" fillId="14" borderId="69" xfId="0" applyFont="1" applyFill="1" applyBorder="1" applyAlignment="1">
      <alignment vertical="center"/>
    </xf>
    <xf numFmtId="0" fontId="2" fillId="11" borderId="19" xfId="0" applyFont="1" applyFill="1" applyBorder="1" applyAlignment="1" applyProtection="1">
      <alignment vertical="center" wrapText="1"/>
    </xf>
    <xf numFmtId="1" fontId="34" fillId="0" borderId="20" xfId="0" applyNumberFormat="1" applyFont="1" applyFill="1" applyBorder="1" applyAlignment="1">
      <alignment horizontal="center" vertical="center"/>
    </xf>
    <xf numFmtId="0" fontId="34" fillId="0" borderId="20" xfId="0" applyFont="1" applyFill="1" applyBorder="1" applyAlignment="1">
      <alignment horizontal="center" vertical="center"/>
    </xf>
    <xf numFmtId="0" fontId="2" fillId="11" borderId="27" xfId="0" applyFont="1" applyFill="1" applyBorder="1" applyAlignment="1" applyProtection="1">
      <alignment vertical="center" wrapText="1"/>
    </xf>
    <xf numFmtId="0" fontId="2" fillId="13" borderId="39" xfId="0" applyFont="1" applyFill="1" applyBorder="1" applyAlignment="1" applyProtection="1">
      <alignment vertical="center" wrapText="1"/>
    </xf>
    <xf numFmtId="9" fontId="34" fillId="0" borderId="40" xfId="1" applyFont="1" applyFill="1" applyBorder="1" applyAlignment="1">
      <alignment horizontal="center" vertical="center"/>
    </xf>
    <xf numFmtId="9" fontId="0" fillId="3" borderId="0" xfId="1" applyFont="1" applyFill="1"/>
    <xf numFmtId="0" fontId="0" fillId="3" borderId="0" xfId="0" applyFill="1"/>
    <xf numFmtId="0" fontId="34" fillId="0" borderId="25" xfId="0" applyFont="1" applyBorder="1" applyAlignment="1">
      <alignment horizontal="center"/>
    </xf>
    <xf numFmtId="9" fontId="34" fillId="0" borderId="41" xfId="1" applyFont="1" applyBorder="1" applyAlignment="1">
      <alignment horizontal="center"/>
    </xf>
    <xf numFmtId="0" fontId="34" fillId="0" borderId="24" xfId="0" applyFont="1" applyBorder="1" applyAlignment="1" applyProtection="1">
      <alignment horizontal="center" vertical="center"/>
    </xf>
    <xf numFmtId="0" fontId="57" fillId="15" borderId="0" xfId="0" applyFont="1" applyFill="1" applyProtection="1">
      <protection hidden="1"/>
    </xf>
    <xf numFmtId="0" fontId="0" fillId="13" borderId="24" xfId="0" applyFill="1" applyBorder="1" applyProtection="1">
      <protection hidden="1"/>
    </xf>
    <xf numFmtId="0" fontId="0" fillId="0" borderId="24" xfId="0" applyFont="1" applyFill="1" applyBorder="1" applyAlignment="1" applyProtection="1">
      <alignment horizontal="center" vertical="center"/>
      <protection locked="0" hidden="1"/>
    </xf>
    <xf numFmtId="0" fontId="59" fillId="15" borderId="0" xfId="0" applyFont="1" applyFill="1" applyBorder="1" applyAlignment="1" applyProtection="1">
      <protection hidden="1"/>
    </xf>
    <xf numFmtId="0" fontId="34" fillId="15" borderId="0" xfId="0" applyFont="1" applyFill="1" applyBorder="1" applyAlignment="1" applyProtection="1">
      <protection hidden="1"/>
    </xf>
    <xf numFmtId="0" fontId="38" fillId="15" borderId="0" xfId="0" applyFont="1" applyFill="1" applyBorder="1" applyAlignment="1" applyProtection="1">
      <alignment horizontal="left"/>
      <protection hidden="1"/>
    </xf>
    <xf numFmtId="0" fontId="0" fillId="15" borderId="0" xfId="0" applyFill="1" applyBorder="1" applyAlignment="1" applyProtection="1">
      <alignment horizontal="left"/>
      <protection hidden="1"/>
    </xf>
    <xf numFmtId="0" fontId="35" fillId="0" borderId="24" xfId="0" applyFont="1" applyFill="1" applyBorder="1" applyAlignment="1" applyProtection="1">
      <alignment horizontal="center" vertical="center" wrapText="1"/>
      <protection hidden="1"/>
    </xf>
    <xf numFmtId="9" fontId="35" fillId="0" borderId="24" xfId="1" applyFont="1" applyFill="1" applyBorder="1" applyAlignment="1" applyProtection="1">
      <alignment horizontal="center" vertical="center" wrapText="1"/>
      <protection hidden="1"/>
    </xf>
    <xf numFmtId="0" fontId="0" fillId="0" borderId="24" xfId="0" applyFill="1" applyBorder="1" applyAlignment="1" applyProtection="1">
      <alignment horizontal="center" vertical="center"/>
      <protection locked="0" hidden="1"/>
    </xf>
    <xf numFmtId="0" fontId="0" fillId="19" borderId="24" xfId="0" applyFill="1" applyBorder="1"/>
    <xf numFmtId="165" fontId="0" fillId="0" borderId="0" xfId="0" applyNumberFormat="1" applyFill="1"/>
    <xf numFmtId="0" fontId="39" fillId="13" borderId="23" xfId="0" applyFont="1" applyFill="1" applyBorder="1" applyAlignment="1" applyProtection="1">
      <alignment horizontal="center" vertical="center"/>
      <protection hidden="1"/>
    </xf>
    <xf numFmtId="0" fontId="42" fillId="13" borderId="61" xfId="0" applyFont="1" applyFill="1" applyBorder="1" applyAlignment="1" applyProtection="1">
      <alignment vertical="center" wrapText="1"/>
      <protection hidden="1"/>
    </xf>
    <xf numFmtId="0" fontId="39" fillId="13" borderId="29" xfId="0" applyFont="1" applyFill="1" applyBorder="1" applyAlignment="1" applyProtection="1">
      <alignment horizontal="center" vertical="center"/>
      <protection hidden="1"/>
    </xf>
    <xf numFmtId="0" fontId="42" fillId="13" borderId="63" xfId="0" applyFont="1" applyFill="1" applyBorder="1" applyAlignment="1" applyProtection="1">
      <alignment vertical="center" wrapText="1"/>
      <protection hidden="1"/>
    </xf>
    <xf numFmtId="0" fontId="42" fillId="13" borderId="62" xfId="0" applyFont="1" applyFill="1" applyBorder="1" applyAlignment="1" applyProtection="1">
      <alignment vertical="center" wrapText="1"/>
      <protection hidden="1"/>
    </xf>
    <xf numFmtId="0" fontId="43" fillId="0" borderId="36" xfId="0" applyFont="1" applyFill="1" applyBorder="1" applyAlignment="1" applyProtection="1">
      <alignment horizontal="center" vertical="center" wrapText="1"/>
      <protection hidden="1"/>
    </xf>
    <xf numFmtId="0" fontId="39" fillId="13" borderId="24" xfId="0" applyFont="1" applyFill="1" applyBorder="1" applyAlignment="1" applyProtection="1">
      <alignment horizontal="center" vertical="center" wrapText="1"/>
      <protection hidden="1"/>
    </xf>
    <xf numFmtId="0" fontId="2" fillId="4" borderId="24" xfId="0"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Border="1" applyProtection="1">
      <protection hidden="1"/>
    </xf>
    <xf numFmtId="0" fontId="0" fillId="3" borderId="24" xfId="0" applyFill="1" applyBorder="1" applyProtection="1">
      <protection hidden="1"/>
    </xf>
    <xf numFmtId="165" fontId="0" fillId="20" borderId="24" xfId="0" applyNumberFormat="1" applyFill="1" applyBorder="1" applyProtection="1">
      <protection locked="0" hidden="1"/>
    </xf>
    <xf numFmtId="0" fontId="0" fillId="20" borderId="24" xfId="0" applyFill="1" applyBorder="1" applyProtection="1">
      <protection locked="0" hidden="1"/>
    </xf>
    <xf numFmtId="1" fontId="34" fillId="0" borderId="21" xfId="0" applyNumberFormat="1" applyFont="1" applyFill="1" applyBorder="1" applyAlignment="1">
      <alignment horizontal="center" vertical="center"/>
    </xf>
    <xf numFmtId="1" fontId="34" fillId="0" borderId="25" xfId="0" applyNumberFormat="1" applyFont="1" applyFill="1" applyBorder="1" applyAlignment="1">
      <alignment horizontal="center" vertical="center"/>
    </xf>
    <xf numFmtId="0" fontId="35" fillId="7" borderId="70" xfId="0" applyFont="1" applyFill="1" applyBorder="1" applyAlignment="1">
      <alignment vertical="center"/>
    </xf>
    <xf numFmtId="0" fontId="34" fillId="0" borderId="37" xfId="0" applyFont="1" applyBorder="1" applyAlignment="1">
      <alignment horizontal="center" vertical="center"/>
    </xf>
    <xf numFmtId="0" fontId="34" fillId="7" borderId="70" xfId="0" applyFont="1" applyFill="1" applyBorder="1" applyAlignment="1">
      <alignment horizontal="center" vertical="center"/>
    </xf>
    <xf numFmtId="0" fontId="34" fillId="0" borderId="25" xfId="0" applyFont="1" applyBorder="1" applyAlignment="1">
      <alignment horizontal="center" vertical="center"/>
    </xf>
    <xf numFmtId="9" fontId="34" fillId="0" borderId="41" xfId="1" applyFont="1" applyBorder="1" applyAlignment="1">
      <alignment horizontal="center" vertical="center"/>
    </xf>
    <xf numFmtId="9" fontId="34" fillId="7" borderId="70" xfId="1" applyFont="1" applyFill="1" applyBorder="1" applyAlignment="1">
      <alignment horizontal="center" vertical="center"/>
    </xf>
    <xf numFmtId="1" fontId="2" fillId="15" borderId="61" xfId="0" applyNumberFormat="1" applyFont="1" applyFill="1" applyBorder="1" applyAlignment="1" applyProtection="1">
      <alignment horizontal="right"/>
      <protection hidden="1"/>
    </xf>
    <xf numFmtId="0" fontId="0" fillId="0" borderId="24" xfId="0" applyBorder="1"/>
    <xf numFmtId="0" fontId="2" fillId="21" borderId="24" xfId="0" applyFont="1" applyFill="1" applyBorder="1" applyAlignment="1">
      <alignment wrapText="1"/>
    </xf>
    <xf numFmtId="0" fontId="0" fillId="22" borderId="24" xfId="0" applyFill="1" applyBorder="1"/>
    <xf numFmtId="1" fontId="53" fillId="0" borderId="47"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right" vertical="center"/>
    </xf>
    <xf numFmtId="1" fontId="53" fillId="0" borderId="46"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center" vertical="center"/>
    </xf>
    <xf numFmtId="1" fontId="53" fillId="0" borderId="46" xfId="0" applyNumberFormat="1" applyFont="1" applyFill="1" applyBorder="1" applyAlignment="1" applyProtection="1">
      <alignment horizontal="center" vertical="center"/>
    </xf>
    <xf numFmtId="0" fontId="34" fillId="0" borderId="1" xfId="0" applyFont="1" applyBorder="1" applyAlignment="1">
      <alignment horizontal="center"/>
    </xf>
    <xf numFmtId="0" fontId="34" fillId="0" borderId="7" xfId="0" applyFont="1" applyBorder="1" applyAlignment="1">
      <alignment horizontal="center"/>
    </xf>
    <xf numFmtId="0" fontId="34" fillId="0" borderId="9" xfId="0" applyFont="1" applyBorder="1" applyAlignment="1">
      <alignment horizontal="center"/>
    </xf>
    <xf numFmtId="0" fontId="54" fillId="0" borderId="50" xfId="0" applyFont="1" applyBorder="1" applyAlignment="1">
      <alignment horizontal="right"/>
    </xf>
    <xf numFmtId="0" fontId="54" fillId="0" borderId="48" xfId="0" applyFont="1" applyBorder="1" applyAlignment="1">
      <alignment horizontal="right"/>
    </xf>
    <xf numFmtId="0" fontId="54" fillId="0" borderId="49" xfId="0" applyFont="1" applyBorder="1" applyAlignment="1">
      <alignment horizontal="right"/>
    </xf>
    <xf numFmtId="0" fontId="55" fillId="0" borderId="43" xfId="0" applyFont="1" applyFill="1" applyBorder="1" applyAlignment="1" applyProtection="1">
      <alignment horizontal="center" vertical="center"/>
    </xf>
    <xf numFmtId="0" fontId="55" fillId="0" borderId="46" xfId="0" applyFont="1" applyFill="1" applyBorder="1" applyAlignment="1" applyProtection="1">
      <alignment horizontal="center" vertical="center"/>
    </xf>
    <xf numFmtId="1" fontId="56" fillId="0" borderId="29" xfId="0" applyNumberFormat="1" applyFont="1" applyFill="1" applyBorder="1" applyAlignment="1" applyProtection="1">
      <alignment horizontal="center" vertical="center"/>
    </xf>
    <xf numFmtId="1" fontId="56" fillId="0" borderId="22" xfId="0" applyNumberFormat="1" applyFont="1" applyFill="1" applyBorder="1" applyAlignment="1" applyProtection="1">
      <alignment horizontal="center" vertical="center"/>
    </xf>
    <xf numFmtId="0" fontId="55" fillId="0" borderId="63" xfId="0" applyFont="1" applyFill="1" applyBorder="1" applyAlignment="1" applyProtection="1">
      <alignment horizontal="right" vertical="center"/>
    </xf>
    <xf numFmtId="0" fontId="55" fillId="0" borderId="61" xfId="0" applyFont="1" applyFill="1" applyBorder="1" applyAlignment="1" applyProtection="1">
      <alignment horizontal="right" vertical="center"/>
    </xf>
    <xf numFmtId="0" fontId="55" fillId="0" borderId="62" xfId="0" applyFont="1" applyFill="1" applyBorder="1" applyAlignment="1" applyProtection="1">
      <alignment horizontal="right" vertical="center"/>
    </xf>
    <xf numFmtId="1" fontId="56" fillId="0" borderId="38" xfId="0" applyNumberFormat="1" applyFont="1" applyFill="1" applyBorder="1" applyAlignment="1" applyProtection="1">
      <alignment horizontal="right" vertical="center"/>
    </xf>
    <xf numFmtId="1" fontId="56" fillId="0" borderId="48" xfId="0" applyNumberFormat="1" applyFont="1" applyFill="1" applyBorder="1" applyAlignment="1" applyProtection="1">
      <alignment horizontal="right" vertical="center"/>
    </xf>
    <xf numFmtId="1" fontId="56" fillId="0" borderId="51" xfId="0" applyNumberFormat="1" applyFont="1" applyFill="1" applyBorder="1" applyAlignment="1" applyProtection="1">
      <alignment horizontal="right" vertical="center"/>
    </xf>
    <xf numFmtId="0" fontId="35" fillId="6" borderId="4" xfId="0" applyFont="1" applyFill="1" applyBorder="1" applyAlignment="1">
      <alignment horizontal="center" vertical="center"/>
    </xf>
    <xf numFmtId="0" fontId="35" fillId="6" borderId="6" xfId="0" applyFont="1" applyFill="1" applyBorder="1" applyAlignment="1">
      <alignment horizontal="center" vertical="center"/>
    </xf>
    <xf numFmtId="0" fontId="35" fillId="6" borderId="3" xfId="0" applyFont="1" applyFill="1" applyBorder="1" applyAlignment="1">
      <alignment horizontal="center" vertical="center"/>
    </xf>
    <xf numFmtId="0" fontId="35" fillId="17" borderId="1" xfId="0" applyFont="1" applyFill="1" applyBorder="1" applyAlignment="1">
      <alignment horizontal="right" vertical="center" wrapText="1"/>
    </xf>
    <xf numFmtId="0" fontId="35" fillId="17" borderId="2" xfId="0" applyFont="1" applyFill="1" applyBorder="1" applyAlignment="1">
      <alignment horizontal="right" vertical="center" wrapText="1"/>
    </xf>
    <xf numFmtId="0" fontId="35" fillId="2" borderId="7" xfId="0" applyFont="1" applyFill="1" applyBorder="1" applyAlignment="1">
      <alignment horizontal="right" vertical="center" wrapText="1"/>
    </xf>
    <xf numFmtId="0" fontId="35" fillId="2" borderId="0" xfId="0" applyFont="1" applyFill="1" applyBorder="1" applyAlignment="1">
      <alignment horizontal="right" vertical="center" wrapText="1"/>
    </xf>
    <xf numFmtId="0" fontId="35" fillId="3" borderId="9" xfId="0" applyFont="1" applyFill="1" applyBorder="1" applyAlignment="1">
      <alignment horizontal="right" vertical="center"/>
    </xf>
    <xf numFmtId="0" fontId="35" fillId="3" borderId="10" xfId="0" applyFont="1" applyFill="1" applyBorder="1" applyAlignment="1">
      <alignment horizontal="right" vertical="center"/>
    </xf>
    <xf numFmtId="0" fontId="55" fillId="0" borderId="29" xfId="0" applyFont="1" applyFill="1" applyBorder="1" applyAlignment="1" applyProtection="1">
      <alignment horizontal="center" vertical="center"/>
    </xf>
    <xf numFmtId="0" fontId="55" fillId="0" borderId="22" xfId="0" applyFont="1" applyFill="1" applyBorder="1" applyAlignment="1" applyProtection="1">
      <alignment horizontal="center" vertical="center"/>
    </xf>
    <xf numFmtId="1" fontId="53" fillId="0" borderId="29" xfId="0" applyNumberFormat="1" applyFont="1" applyFill="1" applyBorder="1" applyAlignment="1" applyProtection="1">
      <alignment horizontal="center" vertical="center"/>
    </xf>
    <xf numFmtId="1" fontId="53" fillId="0" borderId="22" xfId="0" applyNumberFormat="1" applyFont="1" applyFill="1" applyBorder="1" applyAlignment="1" applyProtection="1">
      <alignment horizontal="center" vertical="center"/>
    </xf>
    <xf numFmtId="0" fontId="55" fillId="0" borderId="59" xfId="0" applyFont="1" applyFill="1" applyBorder="1" applyAlignment="1" applyProtection="1">
      <alignment horizontal="right" vertical="center"/>
    </xf>
    <xf numFmtId="0" fontId="55" fillId="0" borderId="29" xfId="0" applyFont="1" applyFill="1" applyBorder="1" applyAlignment="1" applyProtection="1">
      <alignment horizontal="right" vertical="center"/>
    </xf>
    <xf numFmtId="0" fontId="55" fillId="0" borderId="23" xfId="0" applyFont="1" applyFill="1" applyBorder="1" applyAlignment="1" applyProtection="1">
      <alignment horizontal="right" vertical="center"/>
    </xf>
    <xf numFmtId="1" fontId="56" fillId="0" borderId="48" xfId="0" applyNumberFormat="1" applyFont="1" applyFill="1" applyBorder="1" applyAlignment="1" applyProtection="1">
      <alignment horizontal="center" vertical="center"/>
    </xf>
    <xf numFmtId="1" fontId="56" fillId="0" borderId="51" xfId="0" applyNumberFormat="1" applyFont="1" applyFill="1" applyBorder="1" applyAlignment="1" applyProtection="1">
      <alignment horizontal="center" vertical="center"/>
    </xf>
    <xf numFmtId="0" fontId="55" fillId="0" borderId="38" xfId="0" applyFont="1" applyFill="1" applyBorder="1" applyAlignment="1" applyProtection="1">
      <alignment horizontal="right" vertical="center"/>
    </xf>
    <xf numFmtId="0" fontId="55" fillId="0" borderId="48" xfId="0" applyFont="1" applyFill="1" applyBorder="1" applyAlignment="1" applyProtection="1">
      <alignment horizontal="right" vertical="center"/>
    </xf>
    <xf numFmtId="0" fontId="55" fillId="0" borderId="40" xfId="0" applyFont="1" applyFill="1" applyBorder="1" applyAlignment="1" applyProtection="1">
      <alignment horizontal="center" vertical="center"/>
    </xf>
    <xf numFmtId="0" fontId="55" fillId="0" borderId="41" xfId="0" applyFont="1" applyFill="1" applyBorder="1" applyAlignment="1" applyProtection="1">
      <alignment horizontal="center" vertical="center"/>
    </xf>
    <xf numFmtId="1" fontId="53" fillId="0" borderId="28" xfId="0" applyNumberFormat="1" applyFont="1" applyFill="1" applyBorder="1" applyAlignment="1" applyProtection="1">
      <alignment horizontal="right" vertical="center"/>
    </xf>
    <xf numFmtId="1" fontId="53" fillId="0" borderId="29" xfId="0" applyNumberFormat="1" applyFont="1" applyFill="1" applyBorder="1" applyAlignment="1" applyProtection="1">
      <alignment horizontal="right" vertical="center"/>
    </xf>
    <xf numFmtId="1" fontId="53" fillId="0" borderId="22" xfId="0" applyNumberFormat="1" applyFont="1" applyFill="1" applyBorder="1" applyAlignment="1" applyProtection="1">
      <alignment horizontal="right" vertical="center"/>
    </xf>
    <xf numFmtId="1" fontId="56" fillId="0" borderId="28" xfId="0" applyNumberFormat="1" applyFont="1" applyFill="1" applyBorder="1" applyAlignment="1" applyProtection="1">
      <alignment horizontal="right" vertical="center"/>
    </xf>
    <xf numFmtId="1" fontId="56" fillId="0" borderId="29" xfId="0" applyNumberFormat="1" applyFont="1" applyFill="1" applyBorder="1" applyAlignment="1" applyProtection="1">
      <alignment horizontal="right" vertical="center"/>
    </xf>
    <xf numFmtId="1" fontId="56" fillId="0" borderId="22" xfId="0" applyNumberFormat="1" applyFont="1" applyFill="1" applyBorder="1" applyAlignment="1" applyProtection="1">
      <alignment horizontal="right" vertical="center"/>
    </xf>
    <xf numFmtId="0" fontId="35" fillId="6" borderId="5" xfId="0" applyFont="1" applyFill="1" applyBorder="1" applyAlignment="1">
      <alignment horizontal="center" vertical="center"/>
    </xf>
    <xf numFmtId="0" fontId="35" fillId="17" borderId="1" xfId="0" applyFont="1" applyFill="1" applyBorder="1" applyAlignment="1">
      <alignment horizontal="left" vertical="center" wrapText="1"/>
    </xf>
    <xf numFmtId="0" fontId="35" fillId="17" borderId="2" xfId="0" applyFont="1" applyFill="1" applyBorder="1" applyAlignment="1">
      <alignment horizontal="left" vertical="center" wrapText="1"/>
    </xf>
    <xf numFmtId="0" fontId="35" fillId="17" borderId="71" xfId="0" applyFont="1" applyFill="1" applyBorder="1" applyAlignment="1">
      <alignment horizontal="left" vertical="center" wrapText="1"/>
    </xf>
    <xf numFmtId="0" fontId="35" fillId="17" borderId="7" xfId="0" applyFont="1" applyFill="1" applyBorder="1" applyAlignment="1">
      <alignment horizontal="left" vertical="center" wrapText="1"/>
    </xf>
    <xf numFmtId="0" fontId="35" fillId="17" borderId="0" xfId="0" applyFont="1" applyFill="1" applyBorder="1" applyAlignment="1">
      <alignment horizontal="left" vertical="center" wrapText="1"/>
    </xf>
    <xf numFmtId="0" fontId="35" fillId="17" borderId="72" xfId="0" applyFont="1" applyFill="1" applyBorder="1" applyAlignment="1">
      <alignment horizontal="left" vertical="center" wrapText="1"/>
    </xf>
    <xf numFmtId="0" fontId="35" fillId="2" borderId="7" xfId="0" applyFont="1" applyFill="1" applyBorder="1" applyAlignment="1">
      <alignment horizontal="left" vertical="center" wrapText="1"/>
    </xf>
    <xf numFmtId="0" fontId="35" fillId="2" borderId="0" xfId="0" applyFont="1" applyFill="1" applyBorder="1" applyAlignment="1">
      <alignment horizontal="left" vertical="center" wrapText="1"/>
    </xf>
    <xf numFmtId="0" fontId="35" fillId="2" borderId="72" xfId="0" applyFont="1" applyFill="1" applyBorder="1" applyAlignment="1">
      <alignment horizontal="left" vertical="center" wrapText="1"/>
    </xf>
    <xf numFmtId="0" fontId="35" fillId="3" borderId="9" xfId="0" applyFont="1" applyFill="1" applyBorder="1" applyAlignment="1">
      <alignment horizontal="left" vertical="center"/>
    </xf>
    <xf numFmtId="0" fontId="35" fillId="3" borderId="10" xfId="0" applyFont="1" applyFill="1" applyBorder="1" applyAlignment="1">
      <alignment horizontal="left" vertical="center"/>
    </xf>
    <xf numFmtId="0" fontId="35" fillId="3" borderId="73" xfId="0" applyFont="1" applyFill="1" applyBorder="1" applyAlignment="1">
      <alignment horizontal="left" vertical="center"/>
    </xf>
    <xf numFmtId="9" fontId="35" fillId="13" borderId="59" xfId="1" applyFont="1" applyFill="1" applyBorder="1" applyAlignment="1" applyProtection="1">
      <alignment horizontal="left" vertical="center" wrapText="1"/>
    </xf>
    <xf numFmtId="9" fontId="35" fillId="13" borderId="29" xfId="1" applyFont="1" applyFill="1" applyBorder="1" applyAlignment="1" applyProtection="1">
      <alignment horizontal="left" vertical="center" wrapText="1"/>
    </xf>
    <xf numFmtId="0" fontId="2" fillId="3" borderId="59"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8" fillId="15" borderId="0" xfId="0" applyFont="1" applyFill="1" applyAlignment="1" applyProtection="1">
      <alignment horizontal="left" wrapText="1"/>
      <protection hidden="1"/>
    </xf>
    <xf numFmtId="9" fontId="35" fillId="13" borderId="59" xfId="1" applyFont="1" applyFill="1" applyBorder="1" applyAlignment="1" applyProtection="1">
      <alignment horizontal="center" vertical="center"/>
    </xf>
    <xf numFmtId="9" fontId="35" fillId="13" borderId="29" xfId="1" applyFont="1" applyFill="1" applyBorder="1" applyAlignment="1" applyProtection="1">
      <alignment horizontal="center" vertical="center"/>
    </xf>
    <xf numFmtId="9" fontId="35" fillId="13" borderId="23" xfId="1" applyFont="1" applyFill="1" applyBorder="1" applyAlignment="1" applyProtection="1">
      <alignment horizontal="center" vertical="center"/>
    </xf>
    <xf numFmtId="0" fontId="2" fillId="15" borderId="0" xfId="0" applyFont="1" applyFill="1" applyBorder="1" applyAlignment="1" applyProtection="1">
      <alignment horizontal="right"/>
      <protection hidden="1"/>
    </xf>
    <xf numFmtId="0" fontId="35" fillId="15" borderId="0" xfId="0" applyFont="1" applyFill="1" applyAlignment="1" applyProtection="1">
      <alignment horizontal="right"/>
      <protection hidden="1"/>
    </xf>
    <xf numFmtId="0" fontId="2" fillId="15" borderId="0" xfId="0" applyFont="1" applyFill="1" applyAlignment="1" applyProtection="1">
      <alignment horizontal="right"/>
      <protection hidden="1"/>
    </xf>
    <xf numFmtId="0" fontId="41" fillId="0" borderId="59" xfId="0" applyFont="1" applyBorder="1" applyAlignment="1" applyProtection="1">
      <alignment horizontal="center" vertical="center" wrapText="1"/>
      <protection hidden="1"/>
    </xf>
    <xf numFmtId="0" fontId="41" fillId="0" borderId="61" xfId="0" applyFont="1" applyBorder="1" applyAlignment="1" applyProtection="1">
      <alignment horizontal="center" vertical="center" wrapText="1"/>
      <protection hidden="1"/>
    </xf>
    <xf numFmtId="0" fontId="41" fillId="0" borderId="29" xfId="0" applyFont="1" applyBorder="1" applyAlignment="1" applyProtection="1">
      <alignment horizontal="center" vertical="center" wrapText="1"/>
      <protection hidden="1"/>
    </xf>
    <xf numFmtId="0" fontId="41" fillId="0" borderId="23" xfId="0" applyFont="1" applyBorder="1" applyAlignment="1" applyProtection="1">
      <alignment horizontal="center" vertical="center" wrapText="1"/>
      <protection hidden="1"/>
    </xf>
    <xf numFmtId="0" fontId="37" fillId="0" borderId="59" xfId="0" applyFont="1" applyBorder="1" applyAlignment="1" applyProtection="1">
      <alignment horizontal="center" vertical="center"/>
      <protection hidden="1"/>
    </xf>
    <xf numFmtId="0" fontId="37" fillId="0" borderId="29" xfId="0" applyFont="1" applyBorder="1" applyAlignment="1" applyProtection="1">
      <alignment horizontal="center" vertical="center"/>
      <protection hidden="1"/>
    </xf>
    <xf numFmtId="0" fontId="37" fillId="0" borderId="23" xfId="0" applyFont="1" applyBorder="1" applyAlignment="1" applyProtection="1">
      <alignment horizontal="center" vertical="center"/>
      <protection hidden="1"/>
    </xf>
    <xf numFmtId="0" fontId="41" fillId="0" borderId="59" xfId="0" applyFont="1" applyFill="1" applyBorder="1" applyAlignment="1" applyProtection="1">
      <alignment horizontal="center" vertical="center" wrapText="1"/>
      <protection hidden="1"/>
    </xf>
    <xf numFmtId="0" fontId="41" fillId="0" borderId="29" xfId="0" applyFont="1" applyFill="1" applyBorder="1" applyAlignment="1" applyProtection="1">
      <alignment horizontal="center" vertical="center" wrapText="1"/>
      <protection hidden="1"/>
    </xf>
    <xf numFmtId="0" fontId="41" fillId="0" borderId="23" xfId="0" applyFont="1" applyFill="1" applyBorder="1" applyAlignment="1" applyProtection="1">
      <alignment horizontal="center" vertical="center" wrapText="1"/>
      <protection hidden="1"/>
    </xf>
    <xf numFmtId="0" fontId="42" fillId="0" borderId="59" xfId="0" applyFont="1" applyBorder="1" applyAlignment="1" applyProtection="1">
      <alignment horizontal="center" vertical="center" wrapText="1"/>
      <protection hidden="1"/>
    </xf>
    <xf numFmtId="0" fontId="42" fillId="0" borderId="29" xfId="0" applyFont="1" applyBorder="1" applyAlignment="1" applyProtection="1">
      <alignment horizontal="center" vertical="center" wrapText="1"/>
      <protection hidden="1"/>
    </xf>
    <xf numFmtId="0" fontId="42" fillId="0" borderId="23" xfId="0" applyFont="1" applyBorder="1" applyAlignment="1" applyProtection="1">
      <alignment horizontal="center" vertical="center" wrapText="1"/>
      <protection hidden="1"/>
    </xf>
    <xf numFmtId="0" fontId="58" fillId="13" borderId="59" xfId="0" applyFont="1" applyFill="1" applyBorder="1" applyAlignment="1" applyProtection="1">
      <alignment horizontal="left"/>
      <protection hidden="1"/>
    </xf>
    <xf numFmtId="0" fontId="58" fillId="13" borderId="29" xfId="0" applyFont="1" applyFill="1" applyBorder="1" applyAlignment="1" applyProtection="1">
      <alignment horizontal="left"/>
      <protection hidden="1"/>
    </xf>
    <xf numFmtId="0" fontId="58" fillId="13" borderId="23" xfId="0" applyFont="1" applyFill="1" applyBorder="1" applyAlignment="1" applyProtection="1">
      <alignment horizontal="left"/>
      <protection hidden="1"/>
    </xf>
    <xf numFmtId="0" fontId="42" fillId="13" borderId="59" xfId="0" applyFont="1" applyFill="1" applyBorder="1" applyAlignment="1" applyProtection="1">
      <alignment horizontal="center" vertical="center" wrapText="1"/>
      <protection hidden="1"/>
    </xf>
    <xf numFmtId="0" fontId="42" fillId="13" borderId="29" xfId="0" applyFont="1" applyFill="1" applyBorder="1" applyAlignment="1" applyProtection="1">
      <alignment horizontal="center" vertical="center" wrapText="1"/>
      <protection hidden="1"/>
    </xf>
    <xf numFmtId="0" fontId="42" fillId="13" borderId="23" xfId="0" applyFont="1" applyFill="1" applyBorder="1" applyAlignment="1" applyProtection="1">
      <alignment horizontal="center" vertical="center" wrapText="1"/>
      <protection hidden="1"/>
    </xf>
    <xf numFmtId="0" fontId="0" fillId="15" borderId="0" xfId="0" applyFill="1" applyAlignment="1" applyProtection="1">
      <alignment horizontal="center"/>
      <protection hidden="1"/>
    </xf>
    <xf numFmtId="0" fontId="0" fillId="13" borderId="59" xfId="0" applyFill="1" applyBorder="1" applyAlignment="1" applyProtection="1">
      <alignment horizontal="left" vertical="center" wrapText="1"/>
      <protection hidden="1"/>
    </xf>
    <xf numFmtId="0" fontId="0" fillId="13" borderId="29" xfId="0" applyFill="1" applyBorder="1" applyAlignment="1" applyProtection="1">
      <alignment horizontal="left" vertical="center" wrapText="1"/>
      <protection hidden="1"/>
    </xf>
    <xf numFmtId="0" fontId="0" fillId="13" borderId="23" xfId="0" applyFill="1" applyBorder="1" applyAlignment="1" applyProtection="1">
      <alignment horizontal="left" vertical="center" wrapText="1"/>
      <protection hidden="1"/>
    </xf>
    <xf numFmtId="0" fontId="2" fillId="13" borderId="24" xfId="0" applyFont="1" applyFill="1" applyBorder="1" applyAlignment="1" applyProtection="1">
      <alignment horizontal="left" wrapText="1"/>
      <protection hidden="1"/>
    </xf>
    <xf numFmtId="0" fontId="38" fillId="13" borderId="59" xfId="0" applyFont="1" applyFill="1" applyBorder="1" applyAlignment="1" applyProtection="1">
      <alignment horizontal="center" vertical="center" wrapText="1"/>
      <protection hidden="1"/>
    </xf>
    <xf numFmtId="0" fontId="38" fillId="13" borderId="23" xfId="0" applyFont="1" applyFill="1" applyBorder="1" applyAlignment="1" applyProtection="1">
      <alignment horizontal="center" vertical="center" wrapText="1"/>
      <protection hidden="1"/>
    </xf>
    <xf numFmtId="0" fontId="2" fillId="15" borderId="29" xfId="0" applyFont="1" applyFill="1" applyBorder="1" applyAlignment="1" applyProtection="1">
      <alignment horizontal="center"/>
      <protection hidden="1"/>
    </xf>
    <xf numFmtId="0" fontId="2" fillId="15" borderId="23" xfId="0" applyFont="1" applyFill="1" applyBorder="1" applyAlignment="1" applyProtection="1">
      <alignment horizontal="center"/>
      <protection hidden="1"/>
    </xf>
    <xf numFmtId="1" fontId="0" fillId="15" borderId="59" xfId="0" applyNumberFormat="1" applyFill="1" applyBorder="1" applyAlignment="1" applyProtection="1">
      <alignment horizontal="center"/>
      <protection locked="0" hidden="1"/>
    </xf>
    <xf numFmtId="1" fontId="0" fillId="15" borderId="29" xfId="0" applyNumberForma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ill="1" applyBorder="1" applyAlignment="1" applyProtection="1">
      <alignment horizontal="center"/>
      <protection locked="0" hidden="1"/>
    </xf>
    <xf numFmtId="1" fontId="0" fillId="15" borderId="61" xfId="0" applyNumberForma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8" fillId="0" borderId="58" xfId="0" applyFont="1" applyBorder="1" applyAlignment="1">
      <alignment vertical="center" wrapText="1"/>
    </xf>
    <xf numFmtId="0" fontId="28" fillId="0" borderId="55" xfId="0" applyFont="1" applyBorder="1" applyAlignment="1">
      <alignment vertical="center" wrapText="1"/>
    </xf>
    <xf numFmtId="0" fontId="28" fillId="0" borderId="54" xfId="0" applyFont="1" applyBorder="1" applyAlignment="1">
      <alignment vertical="center" wrapText="1"/>
    </xf>
    <xf numFmtId="0" fontId="27" fillId="0" borderId="58" xfId="0" applyFont="1" applyBorder="1" applyAlignment="1">
      <alignment vertical="center" wrapText="1"/>
    </xf>
    <xf numFmtId="0" fontId="27" fillId="0" borderId="55" xfId="0" applyFont="1" applyBorder="1" applyAlignment="1">
      <alignment vertical="center" wrapText="1"/>
    </xf>
    <xf numFmtId="0" fontId="27" fillId="0" borderId="54" xfId="0" applyFont="1" applyBorder="1" applyAlignment="1">
      <alignment vertical="center" wrapText="1"/>
    </xf>
  </cellXfs>
  <cellStyles count="4">
    <cellStyle name="Normal" xfId="0" builtinId="0"/>
    <cellStyle name="Normal 2" xfId="2" xr:uid="{00000000-0005-0000-0000-000001000000}"/>
    <cellStyle name="Percent" xfId="1" builtinId="5"/>
    <cellStyle name="Percent 2" xfId="3" xr:uid="{00000000-0005-0000-0000-000003000000}"/>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U14"/>
  <sheetViews>
    <sheetView zoomScale="110" zoomScaleNormal="110" workbookViewId="0">
      <pane xSplit="2" ySplit="1" topLeftCell="C2" activePane="bottomRight" state="frozen"/>
      <selection pane="topRight" activeCell="C1" sqref="C1"/>
      <selection pane="bottomLeft" activeCell="A8" sqref="A8"/>
      <selection pane="bottomRight" activeCell="J21" sqref="J21"/>
    </sheetView>
  </sheetViews>
  <sheetFormatPr defaultRowHeight="14.4" x14ac:dyDescent="0.3"/>
  <cols>
    <col min="1" max="1" width="21" bestFit="1" customWidth="1"/>
    <col min="2" max="2" width="11.77734375" bestFit="1" customWidth="1"/>
    <col min="3" max="3" width="17.44140625" bestFit="1" customWidth="1"/>
    <col min="4" max="4" width="13" style="62" bestFit="1" customWidth="1"/>
    <col min="5" max="5" width="12.21875" style="62" bestFit="1" customWidth="1"/>
    <col min="6" max="6" width="16.6640625" style="62" bestFit="1" customWidth="1"/>
    <col min="7" max="7" width="22.33203125" style="63" bestFit="1" customWidth="1"/>
    <col min="8" max="8" width="18.5546875" style="63" customWidth="1"/>
    <col min="9" max="9" width="15.109375" style="63" bestFit="1" customWidth="1"/>
    <col min="10" max="10" width="14.109375" style="63" bestFit="1" customWidth="1"/>
    <col min="11" max="11" width="10.77734375" style="63" bestFit="1" customWidth="1"/>
    <col min="12" max="12" width="11.77734375" style="63" bestFit="1" customWidth="1"/>
    <col min="13" max="13" width="10.44140625" style="63" bestFit="1" customWidth="1"/>
    <col min="14" max="14" width="8.88671875" style="63" customWidth="1"/>
    <col min="15" max="15" width="12" style="63" bestFit="1" customWidth="1"/>
    <col min="16" max="21" width="8.88671875" style="63"/>
  </cols>
  <sheetData>
    <row r="1" spans="1:16" ht="34.200000000000003" thickBot="1" x14ac:dyDescent="0.7">
      <c r="A1" s="230" t="s">
        <v>3902</v>
      </c>
      <c r="B1" s="231"/>
      <c r="C1" s="232"/>
      <c r="D1" s="233"/>
      <c r="E1" s="233"/>
      <c r="F1" s="233"/>
      <c r="G1" s="234"/>
      <c r="H1" s="235"/>
      <c r="I1" s="238" t="s">
        <v>3903</v>
      </c>
      <c r="J1" s="239"/>
      <c r="K1" s="240"/>
      <c r="L1" s="241"/>
      <c r="M1" s="241"/>
      <c r="N1" s="241"/>
      <c r="O1" s="242"/>
    </row>
    <row r="2" spans="1:16" ht="25.8" x14ac:dyDescent="0.3">
      <c r="A2" s="276" t="s">
        <v>73</v>
      </c>
      <c r="B2" s="277"/>
      <c r="C2" s="278"/>
      <c r="D2" s="243"/>
      <c r="E2" s="243"/>
      <c r="F2" s="243"/>
      <c r="G2" s="244"/>
      <c r="H2" s="236"/>
      <c r="I2" s="245" t="s">
        <v>3763</v>
      </c>
      <c r="J2" s="246"/>
      <c r="K2" s="247"/>
      <c r="L2" s="260"/>
      <c r="M2" s="260"/>
      <c r="N2" s="260"/>
      <c r="O2" s="261"/>
    </row>
    <row r="3" spans="1:16" ht="25.8" x14ac:dyDescent="0.3">
      <c r="A3" s="273" t="s">
        <v>72</v>
      </c>
      <c r="B3" s="274"/>
      <c r="C3" s="275"/>
      <c r="D3" s="262"/>
      <c r="E3" s="262"/>
      <c r="F3" s="262"/>
      <c r="G3" s="263"/>
      <c r="H3" s="236"/>
      <c r="I3" s="264" t="s">
        <v>3782</v>
      </c>
      <c r="J3" s="265"/>
      <c r="K3" s="266"/>
      <c r="L3" s="260"/>
      <c r="M3" s="260"/>
      <c r="N3" s="260"/>
      <c r="O3" s="261"/>
    </row>
    <row r="4" spans="1:16" ht="26.4" thickBot="1" x14ac:dyDescent="0.35">
      <c r="A4" s="248" t="s">
        <v>3904</v>
      </c>
      <c r="B4" s="249"/>
      <c r="C4" s="250"/>
      <c r="D4" s="267"/>
      <c r="E4" s="267"/>
      <c r="F4" s="267"/>
      <c r="G4" s="268"/>
      <c r="H4" s="237"/>
      <c r="I4" s="269" t="s">
        <v>3763</v>
      </c>
      <c r="J4" s="270"/>
      <c r="K4" s="270"/>
      <c r="L4" s="271"/>
      <c r="M4" s="271"/>
      <c r="N4" s="271"/>
      <c r="O4" s="272"/>
    </row>
    <row r="5" spans="1:16" ht="15" thickBot="1" x14ac:dyDescent="0.35">
      <c r="A5" s="174"/>
      <c r="B5" s="175" t="s">
        <v>70</v>
      </c>
      <c r="C5" s="176" t="s">
        <v>3891</v>
      </c>
      <c r="D5" s="177" t="s">
        <v>3892</v>
      </c>
      <c r="E5" s="178" t="s">
        <v>3893</v>
      </c>
      <c r="F5" s="177" t="s">
        <v>68</v>
      </c>
      <c r="G5" s="177" t="s">
        <v>3894</v>
      </c>
      <c r="H5" s="179" t="s">
        <v>3895</v>
      </c>
      <c r="I5" s="179" t="s">
        <v>127</v>
      </c>
      <c r="J5" s="179" t="s">
        <v>69</v>
      </c>
      <c r="K5" s="179" t="s">
        <v>71</v>
      </c>
      <c r="L5" s="180" t="s">
        <v>3816</v>
      </c>
      <c r="M5" s="180" t="s">
        <v>3819</v>
      </c>
      <c r="N5" s="180" t="s">
        <v>3818</v>
      </c>
      <c r="O5" s="181" t="s">
        <v>3931</v>
      </c>
    </row>
    <row r="6" spans="1:16" x14ac:dyDescent="0.3">
      <c r="A6" s="182" t="s">
        <v>3896</v>
      </c>
      <c r="B6" s="183">
        <f ca="1">'All Questions'!F2</f>
        <v>0</v>
      </c>
      <c r="C6" s="183">
        <f ca="1">'All Questions'!F3</f>
        <v>0</v>
      </c>
      <c r="D6" s="183">
        <f ca="1">'All Questions'!F4</f>
        <v>0</v>
      </c>
      <c r="E6" s="183">
        <f ca="1">'All Questions'!F5</f>
        <v>0</v>
      </c>
      <c r="F6" s="183">
        <f ca="1">'All Questions'!F12</f>
        <v>0</v>
      </c>
      <c r="G6" s="183">
        <f ca="1">'All Questions'!F13</f>
        <v>0</v>
      </c>
      <c r="H6" s="183">
        <f ca="1">'All Questions'!F14</f>
        <v>0</v>
      </c>
      <c r="I6" s="184">
        <f ca="1">'All Questions'!F23</f>
        <v>0</v>
      </c>
      <c r="J6" s="184">
        <f ca="1">'All Questions'!F28</f>
        <v>0</v>
      </c>
      <c r="K6" s="184">
        <f ca="1">'All Questions'!F33</f>
        <v>0</v>
      </c>
      <c r="L6" s="183">
        <f ca="1">'All Questions'!F39</f>
        <v>0</v>
      </c>
      <c r="M6" s="183">
        <f ca="1">'All Questions'!F45</f>
        <v>0</v>
      </c>
      <c r="N6" s="183">
        <f ca="1">'All Questions'!F50</f>
        <v>0</v>
      </c>
      <c r="O6" s="218">
        <f>'All Questions'!F60</f>
        <v>0</v>
      </c>
    </row>
    <row r="7" spans="1:16" x14ac:dyDescent="0.3">
      <c r="A7" s="185" t="s">
        <v>3897</v>
      </c>
      <c r="B7" s="161">
        <f ca="1">ROUND((SUM('All Questions'!D7:F7)+(SUM('All Questions'!D8:F8)+SUM('All Questions'!D9:F9)))/2+F7-H7,0)</f>
        <v>0</v>
      </c>
      <c r="C7" s="161">
        <f ca="1">ROUND((SUM('All Questions'!D9:F9)+SUM('All Questions'!D10:F10))/2+G7,0)</f>
        <v>0</v>
      </c>
      <c r="D7" s="161">
        <f ca="1">ROUND((SUM('All Questions'!D7:F7)+(SUM('All Questions'!D8:F8)+SUM('All Questions'!D9:F9)))/2,0)</f>
        <v>0</v>
      </c>
      <c r="E7" s="161">
        <f ca="1">ROUND((SUM('All Questions'!D9:F9)+SUM('All Questions'!D10:F10))/2,0)</f>
        <v>0</v>
      </c>
      <c r="F7" s="162">
        <f ca="1">ROUND((SUM('All Questions'!D16:F16)+((SUM('All Questions'!D17:F17)+SUM('All Questions'!D20:F20)+SUM('All Questions'!D18:F18))))/2,0)</f>
        <v>0</v>
      </c>
      <c r="G7" s="162">
        <f ca="1">ROUND((SUM('All Questions'!D17:F17)+SUM('All Questions'!D19:F19))/2,0)</f>
        <v>0</v>
      </c>
      <c r="H7" s="162">
        <f ca="1">ROUND((SUM('All Questions'!D20:F20)+SUM('All Questions'!D21:F21))/2,0)</f>
        <v>0</v>
      </c>
      <c r="I7" s="161">
        <f ca="1">ROUND((SUM('All Questions'!D25:F25)+SUM('All Questions'!D26:F26))/2,0)</f>
        <v>0</v>
      </c>
      <c r="J7" s="161">
        <f ca="1">ROUND((SUM('All Questions'!D30:F30)+SUM('All Questions'!D31:F31))/2,0)</f>
        <v>0</v>
      </c>
      <c r="K7" s="161">
        <f ca="1">ROUND((SUM('All Questions'!D35:F35)+SUM('All Questions'!D36:F36))/2,0)</f>
        <v>0</v>
      </c>
      <c r="L7" s="161">
        <f ca="1">ROUND(SUM('All Questions'!F40:F42)/2,0)</f>
        <v>0</v>
      </c>
      <c r="M7" s="161">
        <f ca="1">ROUND(SUM('All Questions'!F46:F47)/2,0)</f>
        <v>0</v>
      </c>
      <c r="N7" s="161">
        <f ca="1">ROUND(SUM('All Questions'!F51:F52),0)</f>
        <v>0</v>
      </c>
      <c r="O7" s="219">
        <f ca="1">ROUND(SUM('All Questions'!F56:F58),0)</f>
        <v>0</v>
      </c>
    </row>
    <row r="8" spans="1:16" ht="43.8" thickBot="1" x14ac:dyDescent="0.35">
      <c r="A8" s="186" t="s">
        <v>74</v>
      </c>
      <c r="B8" s="187">
        <f ca="1">IFERROR(B7/B6,0)</f>
        <v>0</v>
      </c>
      <c r="C8" s="187">
        <f ca="1">IFERROR(C7/C6,0)</f>
        <v>0</v>
      </c>
      <c r="D8" s="187">
        <f t="shared" ref="D8:O8" ca="1" si="0">IFERROR(D7/D6,0)</f>
        <v>0</v>
      </c>
      <c r="E8" s="187">
        <f t="shared" ca="1" si="0"/>
        <v>0</v>
      </c>
      <c r="F8" s="187">
        <f t="shared" ca="1" si="0"/>
        <v>0</v>
      </c>
      <c r="G8" s="187">
        <f t="shared" ca="1" si="0"/>
        <v>0</v>
      </c>
      <c r="H8" s="187">
        <f t="shared" ca="1" si="0"/>
        <v>0</v>
      </c>
      <c r="I8" s="187">
        <f t="shared" ca="1" si="0"/>
        <v>0</v>
      </c>
      <c r="J8" s="187">
        <f t="shared" ca="1" si="0"/>
        <v>0</v>
      </c>
      <c r="K8" s="187">
        <f t="shared" ca="1" si="0"/>
        <v>0</v>
      </c>
      <c r="L8" s="187">
        <f t="shared" ca="1" si="0"/>
        <v>0</v>
      </c>
      <c r="M8" s="187">
        <f t="shared" ca="1" si="0"/>
        <v>0</v>
      </c>
      <c r="N8" s="187">
        <f t="shared" ca="1" si="0"/>
        <v>0</v>
      </c>
      <c r="O8" s="187">
        <f t="shared" ca="1" si="0"/>
        <v>0</v>
      </c>
    </row>
    <row r="9" spans="1:16" x14ac:dyDescent="0.3">
      <c r="A9" s="63"/>
      <c r="B9" s="63"/>
      <c r="C9" s="63"/>
      <c r="D9" s="63"/>
      <c r="E9" s="63"/>
      <c r="F9" s="63"/>
    </row>
    <row r="10" spans="1:16" ht="15" thickBot="1" x14ac:dyDescent="0.35">
      <c r="A10" s="63"/>
      <c r="B10" s="63"/>
      <c r="C10" s="63"/>
      <c r="D10" s="63"/>
      <c r="E10" s="63"/>
      <c r="F10" s="63"/>
    </row>
    <row r="11" spans="1:16" ht="15" thickBot="1" x14ac:dyDescent="0.35">
      <c r="A11" s="251" t="s">
        <v>3941</v>
      </c>
      <c r="B11" s="252"/>
      <c r="C11" s="252"/>
      <c r="D11" s="252"/>
      <c r="E11" s="253"/>
      <c r="F11" s="63"/>
      <c r="G11" s="251" t="s">
        <v>3939</v>
      </c>
      <c r="H11" s="252"/>
      <c r="I11" s="252"/>
      <c r="J11" s="279"/>
      <c r="K11" s="220"/>
      <c r="L11" s="251" t="s">
        <v>3940</v>
      </c>
      <c r="M11" s="252"/>
      <c r="N11" s="252"/>
      <c r="O11" s="252"/>
      <c r="P11" s="279"/>
    </row>
    <row r="12" spans="1:16" x14ac:dyDescent="0.3">
      <c r="A12" s="254" t="s">
        <v>3898</v>
      </c>
      <c r="B12" s="255"/>
      <c r="C12" s="255"/>
      <c r="D12" s="255"/>
      <c r="E12" s="190"/>
      <c r="F12" s="63"/>
      <c r="G12" s="280" t="s">
        <v>3943</v>
      </c>
      <c r="H12" s="281"/>
      <c r="I12" s="282"/>
      <c r="J12" s="221">
        <f>TX_RET!D110</f>
        <v>0</v>
      </c>
      <c r="K12" s="222"/>
      <c r="L12" s="283" t="s">
        <v>3949</v>
      </c>
      <c r="M12" s="284"/>
      <c r="N12" s="284"/>
      <c r="O12" s="285"/>
      <c r="P12" s="221">
        <v>0</v>
      </c>
    </row>
    <row r="13" spans="1:16" x14ac:dyDescent="0.3">
      <c r="A13" s="256" t="s">
        <v>3899</v>
      </c>
      <c r="B13" s="257"/>
      <c r="C13" s="257"/>
      <c r="D13" s="257"/>
      <c r="E13" s="190">
        <f>TX_CURR!AB108</f>
        <v>0</v>
      </c>
      <c r="F13" s="63"/>
      <c r="G13" s="286" t="s">
        <v>3899</v>
      </c>
      <c r="H13" s="287"/>
      <c r="I13" s="288"/>
      <c r="J13" s="223">
        <f>TX_RET!D109</f>
        <v>0</v>
      </c>
      <c r="K13" s="222"/>
      <c r="L13" s="286" t="s">
        <v>3950</v>
      </c>
      <c r="M13" s="287"/>
      <c r="N13" s="287"/>
      <c r="O13" s="288"/>
      <c r="P13" s="223">
        <v>0</v>
      </c>
    </row>
    <row r="14" spans="1:16" ht="15" thickBot="1" x14ac:dyDescent="0.35">
      <c r="A14" s="258" t="s">
        <v>3900</v>
      </c>
      <c r="B14" s="259"/>
      <c r="C14" s="259"/>
      <c r="D14" s="259"/>
      <c r="E14" s="191">
        <f>IFERROR(E13/E12,0)</f>
        <v>0</v>
      </c>
      <c r="F14" s="63"/>
      <c r="G14" s="289" t="s">
        <v>3944</v>
      </c>
      <c r="H14" s="290"/>
      <c r="I14" s="291"/>
      <c r="J14" s="224">
        <f>IFERROR(J13/J12,0)</f>
        <v>0</v>
      </c>
      <c r="K14" s="225"/>
      <c r="L14" s="289" t="s">
        <v>3951</v>
      </c>
      <c r="M14" s="290"/>
      <c r="N14" s="290"/>
      <c r="O14" s="291"/>
      <c r="P14" s="224">
        <f>IFERROR(P13/P12,0)</f>
        <v>0</v>
      </c>
    </row>
  </sheetData>
  <mergeCells count="29">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90" priority="1" operator="equal">
      <formula>"check"</formula>
    </cfRule>
  </conditionalFormatting>
  <conditionalFormatting sqref="A6">
    <cfRule type="cellIs" dxfId="89" priority="3" operator="equal">
      <formula>"check"</formula>
    </cfRule>
  </conditionalFormatting>
  <conditionalFormatting sqref="A7">
    <cfRule type="cellIs" dxfId="88" priority="2" operator="equal">
      <formula>"check"</formula>
    </cfRule>
  </conditionalFormatting>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topLeftCell="A4" zoomScale="80" zoomScaleNormal="60" zoomScaleSheetLayoutView="80" zoomScalePageLayoutView="10" workbookViewId="0">
      <pane xSplit="9" topLeftCell="O1" activePane="topRight" state="frozen"/>
      <selection pane="topRight" activeCell="P12" sqref="P12:R12"/>
    </sheetView>
  </sheetViews>
  <sheetFormatPr defaultColWidth="8.88671875" defaultRowHeight="40.200000000000003" customHeight="1" x14ac:dyDescent="0.3"/>
  <cols>
    <col min="1" max="1" width="11.44140625" style="59" customWidth="1"/>
    <col min="2" max="2" width="0.109375" style="59" customWidth="1"/>
    <col min="3" max="3" width="14.88671875" style="66" customWidth="1"/>
    <col min="4" max="4" width="81.5546875" style="67" customWidth="1"/>
    <col min="5" max="5" width="13" style="66" customWidth="1"/>
    <col min="6" max="6" width="12.6640625" style="66" customWidth="1"/>
    <col min="7" max="7" width="11.6640625" style="66" customWidth="1"/>
    <col min="8" max="8" width="16.33203125" style="59" hidden="1" customWidth="1"/>
    <col min="9" max="9" width="11.88671875" style="59" customWidth="1"/>
    <col min="10" max="10" width="12.21875" style="59" customWidth="1"/>
    <col min="11" max="11" width="26.33203125" style="59" customWidth="1"/>
    <col min="12" max="25" width="20.77734375" style="59" customWidth="1"/>
    <col min="26" max="30" width="16" style="59" customWidth="1"/>
    <col min="31" max="31" width="16.44140625" style="59" customWidth="1"/>
    <col min="32" max="16384" width="8.88671875" style="59"/>
  </cols>
  <sheetData>
    <row r="1" spans="1:32" ht="40.200000000000003" customHeight="1" x14ac:dyDescent="0.3">
      <c r="A1" s="95"/>
      <c r="B1" s="94"/>
      <c r="C1" s="101" t="s">
        <v>3766</v>
      </c>
      <c r="D1" s="102"/>
      <c r="E1" s="103"/>
      <c r="F1" s="294" t="s">
        <v>3915</v>
      </c>
      <c r="G1" s="295"/>
      <c r="H1" s="58"/>
      <c r="I1" s="95"/>
      <c r="J1" s="95"/>
      <c r="K1" s="297" t="s">
        <v>3783</v>
      </c>
      <c r="L1" s="297"/>
      <c r="M1" s="297"/>
      <c r="N1" s="297"/>
      <c r="O1" s="297"/>
      <c r="P1" s="297"/>
      <c r="Q1" s="297"/>
      <c r="R1" s="297"/>
      <c r="S1" s="297"/>
      <c r="T1" s="297"/>
      <c r="U1" s="297"/>
      <c r="V1" s="297"/>
      <c r="W1" s="297"/>
      <c r="X1" s="297"/>
      <c r="Y1" s="297"/>
      <c r="Z1" s="297"/>
      <c r="AA1" s="297"/>
      <c r="AB1" s="297"/>
      <c r="AC1" s="297"/>
      <c r="AD1" s="297"/>
      <c r="AE1" s="95"/>
      <c r="AF1" s="95"/>
    </row>
    <row r="2" spans="1:32" ht="40.200000000000003" customHeight="1" x14ac:dyDescent="0.3">
      <c r="A2" s="95"/>
      <c r="B2" s="122" t="s">
        <v>3762</v>
      </c>
      <c r="C2" s="82" t="s">
        <v>3772</v>
      </c>
      <c r="D2" s="83" t="s">
        <v>3767</v>
      </c>
      <c r="E2" s="127"/>
      <c r="F2" s="87" t="s">
        <v>3773</v>
      </c>
      <c r="G2" s="89"/>
      <c r="H2" s="68"/>
      <c r="I2" s="95"/>
      <c r="J2" s="95"/>
      <c r="K2" s="296" t="s">
        <v>129</v>
      </c>
      <c r="L2" s="296"/>
      <c r="M2" s="111" t="s">
        <v>69</v>
      </c>
      <c r="N2" s="296" t="s">
        <v>130</v>
      </c>
      <c r="O2" s="296"/>
      <c r="P2" s="111"/>
      <c r="Q2" s="226" t="s">
        <v>1</v>
      </c>
      <c r="R2" s="111"/>
      <c r="S2" s="226" t="s">
        <v>3</v>
      </c>
      <c r="T2" s="111"/>
      <c r="U2" s="96" t="s">
        <v>131</v>
      </c>
      <c r="V2" s="111"/>
      <c r="W2" s="97"/>
      <c r="X2" s="96" t="s">
        <v>132</v>
      </c>
      <c r="Y2" s="111"/>
      <c r="Z2" s="98" t="s">
        <v>3761</v>
      </c>
      <c r="AA2" s="99" t="e">
        <f>VLOOKUP(V2,Data_donotedit!AY2:AZ1504,2,FALSE)</f>
        <v>#N/A</v>
      </c>
      <c r="AB2" s="99"/>
      <c r="AC2" s="99"/>
      <c r="AD2" s="99"/>
      <c r="AE2" s="95"/>
      <c r="AF2" s="95"/>
    </row>
    <row r="3" spans="1:32" ht="40.200000000000003" customHeight="1" x14ac:dyDescent="0.3">
      <c r="A3" s="95"/>
      <c r="B3" s="123"/>
      <c r="C3" s="82" t="s">
        <v>69</v>
      </c>
      <c r="D3" s="91" t="s">
        <v>3827</v>
      </c>
      <c r="E3" s="84"/>
      <c r="F3" s="88"/>
      <c r="G3" s="133">
        <f ca="1">_xlfn.IFNA(VLOOKUP(C3,Worksheet!$C$3:$G$12,5,FALSE),G3)</f>
        <v>0</v>
      </c>
      <c r="H3" s="64" t="s">
        <v>69</v>
      </c>
      <c r="I3" s="95"/>
      <c r="J3" s="95"/>
      <c r="K3" s="95"/>
      <c r="L3" s="100"/>
      <c r="M3" s="160"/>
      <c r="N3" s="100"/>
      <c r="O3" s="100"/>
      <c r="P3" s="100"/>
      <c r="Q3" s="100"/>
      <c r="R3" s="100"/>
      <c r="S3" s="100"/>
      <c r="T3" s="100"/>
      <c r="U3" s="100"/>
      <c r="V3" s="100"/>
      <c r="W3" s="100"/>
      <c r="X3" s="95"/>
      <c r="Y3" s="95"/>
      <c r="Z3" s="100"/>
      <c r="AA3" s="100"/>
      <c r="AB3" s="100"/>
      <c r="AC3" s="100"/>
      <c r="AD3" s="100"/>
      <c r="AE3" s="95"/>
      <c r="AF3" s="95"/>
    </row>
    <row r="4" spans="1:32" ht="40.200000000000003" customHeight="1" x14ac:dyDescent="0.3">
      <c r="A4" s="95"/>
      <c r="B4" s="123"/>
      <c r="C4" s="92" t="s">
        <v>3872</v>
      </c>
      <c r="D4" s="131" t="s">
        <v>3873</v>
      </c>
      <c r="E4" s="90" t="s">
        <v>3927</v>
      </c>
      <c r="F4" s="90" t="s">
        <v>3928</v>
      </c>
      <c r="G4" s="90" t="s">
        <v>3929</v>
      </c>
      <c r="H4" s="64" t="s">
        <v>69</v>
      </c>
      <c r="I4" s="95"/>
      <c r="J4" s="95"/>
      <c r="K4" s="82"/>
      <c r="L4" s="164" t="s">
        <v>124</v>
      </c>
      <c r="M4" s="164" t="s">
        <v>3891</v>
      </c>
      <c r="N4" s="164" t="s">
        <v>3892</v>
      </c>
      <c r="O4" s="164" t="s">
        <v>3893</v>
      </c>
      <c r="P4" s="164" t="s">
        <v>68</v>
      </c>
      <c r="Q4" s="164" t="s">
        <v>3894</v>
      </c>
      <c r="R4" s="164" t="s">
        <v>3895</v>
      </c>
      <c r="S4" s="164" t="s">
        <v>127</v>
      </c>
      <c r="T4" s="164" t="s">
        <v>69</v>
      </c>
      <c r="U4" s="164" t="s">
        <v>71</v>
      </c>
      <c r="V4" s="164" t="s">
        <v>3816</v>
      </c>
      <c r="W4" s="164" t="s">
        <v>3819</v>
      </c>
      <c r="X4" s="164" t="s">
        <v>3818</v>
      </c>
      <c r="Y4" s="164" t="s">
        <v>3931</v>
      </c>
      <c r="Z4" s="109"/>
      <c r="AA4" s="109"/>
      <c r="AB4" s="109"/>
      <c r="AC4" s="109"/>
      <c r="AD4" s="109"/>
      <c r="AE4" s="95"/>
    </row>
    <row r="5" spans="1:32" ht="40.200000000000003" customHeight="1" x14ac:dyDescent="0.3">
      <c r="A5" s="95"/>
      <c r="B5" s="123"/>
      <c r="C5" s="85">
        <v>241</v>
      </c>
      <c r="D5" s="134" t="s">
        <v>3874</v>
      </c>
      <c r="E5" s="76">
        <f ca="1">_xlfn.IFNA(VLOOKUP(C5,Worksheet!$C$3:$G$12,3,FALSE),E5)</f>
        <v>0</v>
      </c>
      <c r="F5" s="151">
        <f ca="1">_xlfn.IFNA(VLOOKUP(C5,Worksheet!$C$3:$G$12,4,FALSE),F5)</f>
        <v>0</v>
      </c>
      <c r="G5" s="151">
        <f ca="1">_xlfn.IFNA(VLOOKUP(C5,Worksheet!$C$3:$G$12,5,FALSE),G5)</f>
        <v>0</v>
      </c>
      <c r="H5" s="64" t="s">
        <v>69</v>
      </c>
      <c r="I5" s="95"/>
      <c r="J5" s="95"/>
      <c r="K5" s="82" t="s">
        <v>3958</v>
      </c>
      <c r="L5" s="168">
        <v>0</v>
      </c>
      <c r="M5" s="168">
        <v>0</v>
      </c>
      <c r="N5" s="168">
        <v>0</v>
      </c>
      <c r="O5" s="168">
        <v>0</v>
      </c>
      <c r="P5" s="168">
        <v>0</v>
      </c>
      <c r="Q5" s="168">
        <v>0</v>
      </c>
      <c r="R5" s="168">
        <v>0</v>
      </c>
      <c r="S5" s="169">
        <v>0</v>
      </c>
      <c r="T5" s="169">
        <v>0</v>
      </c>
      <c r="U5" s="169">
        <v>0</v>
      </c>
      <c r="V5" s="168">
        <v>0</v>
      </c>
      <c r="W5" s="168">
        <v>0</v>
      </c>
      <c r="X5" s="168">
        <v>0</v>
      </c>
      <c r="Y5" s="168">
        <v>0</v>
      </c>
      <c r="Z5" s="109"/>
      <c r="AA5" s="109"/>
      <c r="AB5" s="109"/>
      <c r="AC5" s="109"/>
      <c r="AD5" s="109"/>
      <c r="AE5" s="95"/>
    </row>
    <row r="6" spans="1:32" ht="40.200000000000003" customHeight="1" x14ac:dyDescent="0.3">
      <c r="A6" s="95"/>
      <c r="B6" s="123"/>
      <c r="C6" s="85">
        <v>242</v>
      </c>
      <c r="D6" s="134" t="s">
        <v>3875</v>
      </c>
      <c r="E6" s="76">
        <f ca="1">_xlfn.IFNA(VLOOKUP(C6,Worksheet!$C$3:$G$12,3,FALSE),E6)</f>
        <v>0</v>
      </c>
      <c r="F6" s="151">
        <f ca="1">_xlfn.IFNA(VLOOKUP(C6,Worksheet!$C$3:$G$12,4,FALSE),F6)</f>
        <v>0</v>
      </c>
      <c r="G6" s="151">
        <f ca="1">_xlfn.IFNA(VLOOKUP(C6,Worksheet!$C$3:$G$12,5,FALSE),G6)</f>
        <v>0</v>
      </c>
      <c r="H6" s="64" t="s">
        <v>69</v>
      </c>
      <c r="I6" s="95"/>
      <c r="J6" s="95"/>
      <c r="K6" s="82" t="s">
        <v>3897</v>
      </c>
      <c r="L6" s="168">
        <v>0</v>
      </c>
      <c r="M6" s="168">
        <v>0</v>
      </c>
      <c r="N6" s="168">
        <v>0</v>
      </c>
      <c r="O6" s="168">
        <v>0</v>
      </c>
      <c r="P6" s="169">
        <v>0</v>
      </c>
      <c r="Q6" s="169">
        <v>0</v>
      </c>
      <c r="R6" s="169">
        <v>0</v>
      </c>
      <c r="S6" s="168">
        <v>0</v>
      </c>
      <c r="T6" s="168">
        <v>0</v>
      </c>
      <c r="U6" s="168">
        <v>0</v>
      </c>
      <c r="V6" s="168">
        <v>0</v>
      </c>
      <c r="W6" s="168">
        <v>0</v>
      </c>
      <c r="X6" s="168">
        <v>0</v>
      </c>
      <c r="Y6" s="168">
        <v>0</v>
      </c>
      <c r="Z6" s="109"/>
      <c r="AA6" s="109"/>
      <c r="AB6" s="109"/>
      <c r="AC6" s="109"/>
      <c r="AD6" s="109"/>
      <c r="AE6" s="95"/>
    </row>
    <row r="7" spans="1:32" ht="40.200000000000003" customHeight="1" x14ac:dyDescent="0.3">
      <c r="A7" s="95"/>
      <c r="B7" s="65"/>
      <c r="C7" s="171"/>
      <c r="D7" s="171"/>
      <c r="E7" s="171"/>
      <c r="F7" s="171"/>
      <c r="G7" s="171"/>
      <c r="H7" s="64" t="s">
        <v>68</v>
      </c>
      <c r="I7" s="95"/>
      <c r="J7" s="100"/>
      <c r="K7" s="166" t="s">
        <v>3901</v>
      </c>
      <c r="L7" s="170">
        <v>0</v>
      </c>
      <c r="M7" s="170">
        <v>0</v>
      </c>
      <c r="N7" s="170">
        <v>0</v>
      </c>
      <c r="O7" s="170">
        <v>0</v>
      </c>
      <c r="P7" s="170">
        <v>0</v>
      </c>
      <c r="Q7" s="170">
        <v>0</v>
      </c>
      <c r="R7" s="170">
        <v>0</v>
      </c>
      <c r="S7" s="170">
        <v>0</v>
      </c>
      <c r="T7" s="170">
        <v>0</v>
      </c>
      <c r="U7" s="170">
        <v>0</v>
      </c>
      <c r="V7" s="170">
        <v>0</v>
      </c>
      <c r="W7" s="170">
        <v>0</v>
      </c>
      <c r="X7" s="170">
        <v>0</v>
      </c>
      <c r="Y7" s="170">
        <v>0</v>
      </c>
      <c r="Z7" s="109"/>
      <c r="AA7" s="109"/>
      <c r="AB7" s="109"/>
      <c r="AC7" s="109"/>
      <c r="AD7" s="109"/>
      <c r="AE7" s="95"/>
    </row>
    <row r="8" spans="1:32" ht="40.200000000000003" customHeight="1" x14ac:dyDescent="0.3">
      <c r="A8" s="95"/>
      <c r="B8" s="65"/>
      <c r="C8" s="171"/>
      <c r="D8" s="171"/>
      <c r="E8" s="171"/>
      <c r="F8" s="171"/>
      <c r="G8" s="171"/>
      <c r="H8" s="64" t="s">
        <v>68</v>
      </c>
      <c r="I8" s="95"/>
      <c r="J8" s="100"/>
      <c r="K8" s="100"/>
      <c r="L8" s="100"/>
      <c r="M8" s="100"/>
      <c r="N8" s="100"/>
      <c r="O8" s="167"/>
      <c r="P8" s="100"/>
      <c r="Q8" s="100"/>
      <c r="R8" s="100"/>
      <c r="S8" s="100"/>
      <c r="T8" s="100"/>
      <c r="U8" s="100"/>
      <c r="V8" s="100"/>
      <c r="W8" s="100"/>
      <c r="X8" s="100"/>
      <c r="Y8" s="100"/>
      <c r="Z8" s="109"/>
      <c r="AA8" s="109"/>
      <c r="AB8" s="109"/>
      <c r="AC8" s="109"/>
      <c r="AD8" s="109"/>
      <c r="AE8" s="159"/>
      <c r="AF8" s="95"/>
    </row>
    <row r="9" spans="1:32" ht="40.200000000000003" customHeight="1" x14ac:dyDescent="0.3">
      <c r="A9" s="95"/>
      <c r="B9" s="65"/>
      <c r="C9" s="171"/>
      <c r="D9" s="171"/>
      <c r="E9" s="171"/>
      <c r="F9" s="171"/>
      <c r="G9" s="171"/>
      <c r="H9" s="64" t="s">
        <v>68</v>
      </c>
      <c r="I9" s="95"/>
      <c r="J9" s="100"/>
      <c r="K9" s="298" t="s">
        <v>3941</v>
      </c>
      <c r="L9" s="299"/>
      <c r="M9" s="299"/>
      <c r="N9" s="300"/>
      <c r="O9" s="167"/>
      <c r="P9" s="298" t="s">
        <v>3939</v>
      </c>
      <c r="Q9" s="299"/>
      <c r="R9" s="299"/>
      <c r="S9" s="300"/>
      <c r="T9" s="167"/>
      <c r="U9" s="298" t="s">
        <v>3948</v>
      </c>
      <c r="V9" s="299"/>
      <c r="W9" s="299"/>
      <c r="X9" s="300"/>
      <c r="Y9" s="167"/>
      <c r="Z9" s="109"/>
      <c r="AA9" s="109"/>
      <c r="AB9" s="109"/>
      <c r="AC9" s="109"/>
      <c r="AD9" s="109"/>
      <c r="AE9" s="159"/>
      <c r="AF9" s="95"/>
    </row>
    <row r="10" spans="1:32" ht="40.200000000000003" customHeight="1" x14ac:dyDescent="0.3">
      <c r="A10" s="95"/>
      <c r="B10" s="65"/>
      <c r="C10" s="171"/>
      <c r="D10" s="171"/>
      <c r="E10" s="171"/>
      <c r="F10" s="171"/>
      <c r="G10" s="171"/>
      <c r="H10" s="64" t="s">
        <v>68</v>
      </c>
      <c r="I10" s="95"/>
      <c r="J10" s="100"/>
      <c r="K10" s="292" t="s">
        <v>3923</v>
      </c>
      <c r="L10" s="293"/>
      <c r="M10" s="293"/>
      <c r="N10" s="192"/>
      <c r="O10" s="167"/>
      <c r="P10" s="292" t="s">
        <v>3943</v>
      </c>
      <c r="Q10" s="293"/>
      <c r="R10" s="293"/>
      <c r="S10" s="192"/>
      <c r="T10" s="167"/>
      <c r="U10" s="292" t="s">
        <v>3945</v>
      </c>
      <c r="V10" s="293"/>
      <c r="W10" s="293"/>
      <c r="X10" s="192"/>
      <c r="Y10" s="167"/>
      <c r="Z10" s="109"/>
      <c r="AA10" s="109"/>
      <c r="AB10" s="109"/>
      <c r="AC10" s="109"/>
      <c r="AD10" s="109"/>
      <c r="AE10" s="159"/>
      <c r="AF10" s="95"/>
    </row>
    <row r="11" spans="1:32" ht="50.4" customHeight="1" x14ac:dyDescent="0.3">
      <c r="A11" s="95"/>
      <c r="B11" s="65"/>
      <c r="C11" s="171"/>
      <c r="D11" s="171"/>
      <c r="E11" s="171"/>
      <c r="F11" s="171"/>
      <c r="G11" s="171"/>
      <c r="H11" s="64" t="s">
        <v>68</v>
      </c>
      <c r="I11" s="95"/>
      <c r="J11" s="100"/>
      <c r="K11" s="292" t="s">
        <v>3924</v>
      </c>
      <c r="L11" s="293"/>
      <c r="M11" s="293"/>
      <c r="N11" s="192">
        <v>0</v>
      </c>
      <c r="O11" s="109"/>
      <c r="P11" s="292" t="s">
        <v>3959</v>
      </c>
      <c r="Q11" s="293"/>
      <c r="R11" s="293"/>
      <c r="S11" s="192">
        <v>0</v>
      </c>
      <c r="T11" s="167"/>
      <c r="U11" s="292" t="s">
        <v>3946</v>
      </c>
      <c r="V11" s="293"/>
      <c r="W11" s="293"/>
      <c r="X11" s="192">
        <v>0</v>
      </c>
      <c r="Y11" s="167"/>
      <c r="Z11" s="109"/>
      <c r="AA11" s="109"/>
      <c r="AB11" s="109"/>
      <c r="AC11" s="109"/>
      <c r="AD11" s="109"/>
      <c r="AE11" s="159"/>
      <c r="AF11" s="95"/>
    </row>
    <row r="12" spans="1:32" ht="48.6" customHeight="1" x14ac:dyDescent="0.3">
      <c r="A12" s="95"/>
      <c r="B12" s="65"/>
      <c r="C12" s="171"/>
      <c r="D12" s="171"/>
      <c r="E12" s="171"/>
      <c r="F12" s="171"/>
      <c r="G12" s="171"/>
      <c r="H12" s="64" t="s">
        <v>68</v>
      </c>
      <c r="I12" s="95"/>
      <c r="J12" s="100"/>
      <c r="K12" s="292" t="s">
        <v>3900</v>
      </c>
      <c r="L12" s="293"/>
      <c r="M12" s="293"/>
      <c r="N12" s="170">
        <v>0</v>
      </c>
      <c r="O12" s="109"/>
      <c r="P12" s="292" t="s">
        <v>3944</v>
      </c>
      <c r="Q12" s="293"/>
      <c r="R12" s="293"/>
      <c r="S12" s="170">
        <v>0</v>
      </c>
      <c r="T12" s="109"/>
      <c r="U12" s="292" t="s">
        <v>3947</v>
      </c>
      <c r="V12" s="293"/>
      <c r="W12" s="293"/>
      <c r="X12" s="170">
        <v>0</v>
      </c>
      <c r="Y12" s="109"/>
      <c r="Z12" s="109"/>
      <c r="AA12" s="109"/>
      <c r="AB12" s="109"/>
      <c r="AC12" s="109"/>
      <c r="AD12" s="109"/>
      <c r="AE12" s="159"/>
      <c r="AF12" s="95"/>
    </row>
    <row r="13" spans="1:32" ht="48.6" customHeight="1" x14ac:dyDescent="0.3">
      <c r="A13" s="95"/>
      <c r="B13" s="65"/>
      <c r="C13" s="171"/>
      <c r="D13" s="171"/>
      <c r="E13" s="171"/>
      <c r="F13" s="171"/>
      <c r="G13" s="171"/>
      <c r="H13" s="64" t="s">
        <v>124</v>
      </c>
      <c r="I13" s="95"/>
      <c r="J13" s="109"/>
      <c r="K13" s="109"/>
      <c r="L13" s="109"/>
      <c r="M13" s="109"/>
      <c r="N13" s="109"/>
      <c r="O13" s="167"/>
      <c r="P13" s="109"/>
      <c r="Q13" s="109"/>
      <c r="R13" s="109"/>
      <c r="S13" s="109"/>
      <c r="T13" s="109"/>
      <c r="U13" s="109"/>
      <c r="V13" s="109"/>
      <c r="W13" s="109"/>
      <c r="X13" s="109"/>
      <c r="Y13" s="109"/>
      <c r="Z13" s="109"/>
      <c r="AA13" s="109"/>
      <c r="AB13" s="109"/>
      <c r="AC13" s="109"/>
      <c r="AD13" s="109"/>
      <c r="AE13" s="159"/>
      <c r="AF13" s="95"/>
    </row>
    <row r="14" spans="1:32" ht="40.200000000000003" customHeight="1" x14ac:dyDescent="0.3">
      <c r="A14" s="95"/>
      <c r="B14" s="65"/>
      <c r="C14" s="171"/>
      <c r="D14" s="171"/>
      <c r="E14" s="171"/>
      <c r="F14" s="171"/>
      <c r="G14" s="171"/>
      <c r="H14" s="64" t="s">
        <v>124</v>
      </c>
      <c r="I14" s="95"/>
      <c r="J14" s="100"/>
      <c r="K14" s="301" t="s">
        <v>534</v>
      </c>
      <c r="L14" s="301"/>
      <c r="M14" s="172"/>
      <c r="N14" s="172"/>
      <c r="O14" s="172"/>
      <c r="P14" s="302" t="s">
        <v>533</v>
      </c>
      <c r="Q14" s="302"/>
      <c r="R14" s="172"/>
      <c r="S14" s="172"/>
      <c r="T14" s="109"/>
      <c r="U14" s="109"/>
      <c r="V14" s="109"/>
      <c r="W14" s="109"/>
      <c r="X14" s="109"/>
      <c r="Y14" s="109"/>
      <c r="Z14" s="109"/>
      <c r="AA14" s="109"/>
      <c r="AB14" s="109"/>
      <c r="AC14" s="109"/>
      <c r="AD14" s="109"/>
      <c r="AE14" s="109"/>
      <c r="AF14" s="95"/>
    </row>
    <row r="15" spans="1:32" ht="47.4" customHeight="1" x14ac:dyDescent="0.3">
      <c r="A15" s="95"/>
      <c r="B15" s="65"/>
      <c r="C15" s="171"/>
      <c r="D15" s="171"/>
      <c r="E15" s="171"/>
      <c r="F15" s="171"/>
      <c r="G15" s="171"/>
      <c r="H15" s="64" t="s">
        <v>124</v>
      </c>
      <c r="I15" s="95"/>
      <c r="J15" s="100"/>
      <c r="K15" s="303" t="s">
        <v>61</v>
      </c>
      <c r="L15" s="303"/>
      <c r="M15" s="173"/>
      <c r="N15" s="173"/>
      <c r="O15" s="173"/>
      <c r="P15" s="302" t="s">
        <v>533</v>
      </c>
      <c r="Q15" s="302"/>
      <c r="R15" s="173"/>
      <c r="S15" s="173"/>
      <c r="T15" s="109"/>
      <c r="U15" s="109"/>
      <c r="V15" s="109"/>
      <c r="W15" s="109"/>
      <c r="X15" s="109"/>
      <c r="Y15" s="109"/>
      <c r="Z15" s="109"/>
      <c r="AA15" s="109"/>
      <c r="AB15" s="109"/>
      <c r="AC15" s="109"/>
      <c r="AD15" s="109"/>
      <c r="AE15" s="109"/>
      <c r="AF15" s="95"/>
    </row>
    <row r="16" spans="1:32" ht="40.200000000000003" customHeight="1" x14ac:dyDescent="0.3">
      <c r="A16" s="95"/>
      <c r="B16" s="65"/>
      <c r="C16" s="171"/>
      <c r="D16" s="171"/>
      <c r="E16" s="171"/>
      <c r="F16" s="171"/>
      <c r="G16" s="171"/>
      <c r="H16" s="64" t="s">
        <v>124</v>
      </c>
      <c r="I16" s="95"/>
      <c r="J16" s="100"/>
      <c r="K16" s="109"/>
      <c r="L16" s="109"/>
      <c r="M16" s="109"/>
      <c r="N16" s="109"/>
      <c r="O16" s="109"/>
      <c r="P16" s="109"/>
      <c r="Q16" s="109"/>
      <c r="R16" s="109"/>
      <c r="S16" s="109"/>
      <c r="T16" s="109"/>
      <c r="U16" s="109"/>
      <c r="V16" s="109"/>
      <c r="W16" s="109"/>
      <c r="X16" s="109"/>
      <c r="Y16" s="109"/>
      <c r="Z16" s="109"/>
      <c r="AA16" s="109"/>
      <c r="AB16" s="109"/>
      <c r="AC16" s="109"/>
      <c r="AD16" s="109"/>
      <c r="AE16" s="109"/>
      <c r="AF16" s="95"/>
    </row>
    <row r="17" spans="1:32" ht="40.200000000000003" customHeight="1" x14ac:dyDescent="0.3">
      <c r="A17" s="100"/>
      <c r="B17" s="65"/>
      <c r="C17" s="171"/>
      <c r="D17" s="171"/>
      <c r="E17" s="171"/>
      <c r="F17" s="171"/>
      <c r="G17" s="171"/>
      <c r="H17" s="64" t="s">
        <v>124</v>
      </c>
      <c r="I17" s="95"/>
      <c r="J17" s="100"/>
      <c r="K17" s="109"/>
      <c r="L17" s="109"/>
      <c r="M17" s="109"/>
      <c r="N17" s="109"/>
      <c r="O17" s="109"/>
      <c r="P17" s="109"/>
      <c r="Q17" s="109"/>
      <c r="R17" s="109"/>
      <c r="S17" s="109"/>
      <c r="T17" s="109"/>
      <c r="U17" s="109"/>
      <c r="V17" s="109"/>
      <c r="W17" s="109"/>
      <c r="X17" s="109"/>
      <c r="Y17" s="109"/>
      <c r="Z17" s="109"/>
      <c r="AA17" s="109"/>
      <c r="AB17" s="109"/>
      <c r="AC17" s="109"/>
      <c r="AD17" s="109"/>
      <c r="AE17" s="109"/>
      <c r="AF17" s="95"/>
    </row>
    <row r="18" spans="1:32" ht="40.200000000000003" customHeight="1" x14ac:dyDescent="0.3">
      <c r="A18" s="100"/>
      <c r="B18" s="65"/>
      <c r="C18" s="109"/>
      <c r="D18" s="109"/>
      <c r="E18" s="109"/>
      <c r="F18" s="109"/>
      <c r="G18" s="109"/>
      <c r="H18" s="68"/>
      <c r="I18" s="95"/>
      <c r="J18" s="100"/>
      <c r="K18" s="109"/>
      <c r="L18" s="109"/>
      <c r="M18" s="109"/>
      <c r="N18" s="109"/>
      <c r="O18" s="109"/>
      <c r="P18" s="109"/>
      <c r="Q18" s="109"/>
      <c r="R18" s="109"/>
      <c r="S18" s="109"/>
      <c r="T18" s="109"/>
      <c r="U18" s="109"/>
      <c r="V18" s="109"/>
      <c r="W18" s="109"/>
      <c r="X18" s="109"/>
      <c r="Y18" s="109"/>
      <c r="Z18" s="109"/>
      <c r="AA18" s="109"/>
      <c r="AB18" s="109"/>
      <c r="AC18" s="109"/>
      <c r="AD18" s="109"/>
      <c r="AE18" s="109"/>
      <c r="AF18" s="95"/>
    </row>
    <row r="19" spans="1:32" ht="40.200000000000003" customHeight="1" x14ac:dyDescent="0.3">
      <c r="A19" s="100"/>
      <c r="B19" s="65"/>
      <c r="C19" s="109"/>
      <c r="D19" s="109"/>
      <c r="E19" s="109"/>
      <c r="F19" s="109"/>
      <c r="G19" s="109"/>
      <c r="H19" s="68"/>
      <c r="I19" s="95"/>
      <c r="J19" s="100"/>
      <c r="K19" s="109"/>
      <c r="L19" s="109"/>
      <c r="M19" s="109"/>
      <c r="N19" s="109"/>
      <c r="O19" s="109"/>
      <c r="P19" s="109"/>
      <c r="Q19" s="109"/>
      <c r="R19" s="109"/>
      <c r="S19" s="109"/>
      <c r="T19" s="109"/>
      <c r="U19" s="109"/>
      <c r="V19" s="109"/>
      <c r="W19" s="109"/>
      <c r="X19" s="109"/>
      <c r="Y19" s="109"/>
      <c r="Z19" s="109"/>
      <c r="AA19" s="109"/>
      <c r="AB19" s="109"/>
      <c r="AC19" s="109"/>
      <c r="AD19" s="109"/>
      <c r="AE19" s="159"/>
      <c r="AF19" s="95"/>
    </row>
    <row r="20" spans="1:32" ht="40.200000000000003" customHeight="1" x14ac:dyDescent="0.3">
      <c r="A20" s="95"/>
      <c r="B20" s="65"/>
      <c r="C20" s="109"/>
      <c r="D20" s="109"/>
      <c r="E20" s="109"/>
      <c r="F20" s="109"/>
      <c r="G20" s="109"/>
      <c r="H20" s="68"/>
      <c r="I20" s="95"/>
      <c r="J20" s="100"/>
      <c r="K20" s="109"/>
      <c r="L20" s="109"/>
      <c r="M20" s="109"/>
      <c r="N20" s="109"/>
      <c r="O20" s="109"/>
      <c r="P20" s="109"/>
      <c r="Q20" s="109"/>
      <c r="R20" s="109"/>
      <c r="S20" s="109"/>
      <c r="T20" s="109"/>
      <c r="U20" s="109"/>
      <c r="V20" s="109"/>
      <c r="W20" s="109"/>
      <c r="X20" s="109"/>
      <c r="Y20" s="109"/>
      <c r="Z20" s="109"/>
      <c r="AA20" s="109"/>
      <c r="AB20" s="109"/>
      <c r="AC20" s="109"/>
      <c r="AD20" s="109"/>
      <c r="AE20" s="159"/>
      <c r="AF20" s="95"/>
    </row>
    <row r="21" spans="1:32" ht="40.200000000000003" customHeight="1" x14ac:dyDescent="0.3">
      <c r="A21" s="95"/>
      <c r="B21" s="65"/>
      <c r="C21" s="109"/>
      <c r="D21" s="109"/>
      <c r="E21" s="109"/>
      <c r="F21" s="109"/>
      <c r="G21" s="109"/>
      <c r="H21" s="68"/>
      <c r="I21" s="95"/>
      <c r="J21" s="100"/>
      <c r="K21" s="109"/>
      <c r="L21" s="109"/>
      <c r="M21" s="109"/>
      <c r="N21" s="109"/>
      <c r="O21" s="109"/>
      <c r="P21" s="109"/>
      <c r="Q21" s="109"/>
      <c r="R21" s="109"/>
      <c r="S21" s="109"/>
      <c r="T21" s="109"/>
      <c r="U21" s="109"/>
      <c r="V21" s="109"/>
      <c r="W21" s="109"/>
      <c r="X21" s="109"/>
      <c r="Y21" s="109"/>
      <c r="Z21" s="109"/>
      <c r="AA21" s="109"/>
      <c r="AB21" s="109"/>
      <c r="AC21" s="109"/>
      <c r="AD21" s="109"/>
      <c r="AE21" s="112"/>
      <c r="AF21" s="95"/>
    </row>
    <row r="22" spans="1:32" ht="40.200000000000003" customHeight="1" x14ac:dyDescent="0.3">
      <c r="A22" s="95"/>
      <c r="B22" s="65"/>
      <c r="C22" s="109"/>
      <c r="D22" s="109"/>
      <c r="E22" s="109"/>
      <c r="F22" s="109"/>
      <c r="G22" s="109"/>
      <c r="H22" s="68"/>
      <c r="I22" s="95"/>
      <c r="J22" s="100"/>
      <c r="K22" s="109"/>
      <c r="L22" s="109"/>
      <c r="M22" s="109"/>
      <c r="N22" s="109"/>
      <c r="O22" s="109"/>
      <c r="P22" s="109"/>
      <c r="Q22" s="109"/>
      <c r="R22" s="109"/>
      <c r="S22" s="109"/>
      <c r="T22" s="109"/>
      <c r="U22" s="109"/>
      <c r="V22" s="109"/>
      <c r="W22" s="109"/>
      <c r="X22" s="109"/>
      <c r="Y22" s="109"/>
      <c r="Z22" s="109"/>
      <c r="AA22" s="109"/>
      <c r="AB22" s="109"/>
      <c r="AC22" s="109"/>
      <c r="AD22" s="109"/>
      <c r="AE22" s="112"/>
      <c r="AF22" s="95"/>
    </row>
    <row r="23" spans="1:32" ht="40.200000000000003" customHeight="1" x14ac:dyDescent="0.3">
      <c r="A23" s="95"/>
      <c r="B23" s="65"/>
      <c r="C23" s="109"/>
      <c r="D23" s="109"/>
      <c r="E23" s="109"/>
      <c r="F23" s="109"/>
      <c r="G23" s="109"/>
      <c r="H23" s="68"/>
      <c r="I23" s="95"/>
      <c r="J23" s="100"/>
      <c r="K23" s="109"/>
      <c r="L23" s="109"/>
      <c r="M23" s="109"/>
      <c r="N23" s="109"/>
      <c r="O23" s="109"/>
      <c r="P23" s="109"/>
      <c r="Q23" s="109"/>
      <c r="R23" s="109"/>
      <c r="S23" s="109"/>
      <c r="T23" s="109"/>
      <c r="U23" s="109"/>
      <c r="V23" s="109"/>
      <c r="W23" s="109"/>
      <c r="X23" s="109"/>
      <c r="Y23" s="109"/>
      <c r="Z23" s="109"/>
      <c r="AA23" s="109"/>
      <c r="AB23" s="109"/>
      <c r="AC23" s="109"/>
      <c r="AD23" s="109"/>
      <c r="AE23" s="112"/>
      <c r="AF23" s="95"/>
    </row>
    <row r="24" spans="1:32" ht="40.200000000000003" customHeight="1" x14ac:dyDescent="0.3">
      <c r="A24" s="95"/>
      <c r="B24" s="65"/>
      <c r="C24" s="109"/>
      <c r="D24" s="109"/>
      <c r="E24" s="109"/>
      <c r="F24" s="109"/>
      <c r="G24" s="109"/>
      <c r="H24" s="68"/>
      <c r="I24" s="95"/>
      <c r="J24" s="100"/>
      <c r="K24" s="109"/>
      <c r="L24" s="109"/>
      <c r="M24" s="109"/>
      <c r="N24" s="109"/>
      <c r="O24" s="109"/>
      <c r="P24" s="109"/>
      <c r="Q24" s="109"/>
      <c r="R24" s="109"/>
      <c r="S24" s="109"/>
      <c r="T24" s="109"/>
      <c r="U24" s="109"/>
      <c r="V24" s="109"/>
      <c r="W24" s="109"/>
      <c r="X24" s="109"/>
      <c r="Y24" s="109"/>
      <c r="Z24" s="109"/>
      <c r="AA24" s="109"/>
      <c r="AB24" s="109"/>
      <c r="AC24" s="109"/>
      <c r="AD24" s="109"/>
      <c r="AE24" s="112"/>
      <c r="AF24" s="95"/>
    </row>
    <row r="25" spans="1:32" ht="40.200000000000003" customHeight="1" x14ac:dyDescent="0.3">
      <c r="A25" s="95"/>
      <c r="B25" s="65"/>
      <c r="C25" s="109"/>
      <c r="D25" s="109"/>
      <c r="E25" s="109"/>
      <c r="F25" s="109"/>
      <c r="G25" s="109"/>
      <c r="H25" s="68"/>
      <c r="I25" s="95"/>
      <c r="J25" s="100"/>
      <c r="K25" s="109"/>
      <c r="L25" s="109"/>
      <c r="M25" s="109"/>
      <c r="N25" s="109"/>
      <c r="O25" s="109"/>
      <c r="P25" s="109"/>
      <c r="Q25" s="109"/>
      <c r="R25" s="109"/>
      <c r="S25" s="109"/>
      <c r="T25" s="109"/>
      <c r="U25" s="109"/>
      <c r="V25" s="109"/>
      <c r="W25" s="109"/>
      <c r="X25" s="109"/>
      <c r="Y25" s="109"/>
      <c r="Z25" s="109"/>
      <c r="AA25" s="109"/>
      <c r="AB25" s="109"/>
      <c r="AC25" s="109"/>
      <c r="AD25" s="109"/>
      <c r="AE25" s="95"/>
      <c r="AF25" s="95"/>
    </row>
    <row r="26" spans="1:32" ht="40.200000000000003" customHeight="1" x14ac:dyDescent="0.3">
      <c r="A26" s="95"/>
      <c r="B26" s="65"/>
      <c r="C26" s="109"/>
      <c r="D26" s="109"/>
      <c r="E26" s="109"/>
      <c r="F26" s="109"/>
      <c r="G26" s="109"/>
      <c r="H26" s="68"/>
      <c r="I26" s="95"/>
      <c r="J26" s="100"/>
      <c r="K26" s="109"/>
      <c r="L26" s="109"/>
      <c r="M26" s="109"/>
      <c r="N26" s="109"/>
      <c r="O26" s="109"/>
      <c r="P26" s="109"/>
      <c r="Q26" s="109"/>
      <c r="R26" s="109"/>
      <c r="S26" s="109"/>
      <c r="T26" s="109"/>
      <c r="U26" s="109"/>
      <c r="V26" s="109"/>
      <c r="W26" s="109"/>
      <c r="X26" s="109"/>
      <c r="Y26" s="109"/>
      <c r="Z26" s="109"/>
      <c r="AA26" s="109"/>
      <c r="AB26" s="109"/>
      <c r="AC26" s="109"/>
      <c r="AD26" s="109"/>
      <c r="AE26" s="95"/>
      <c r="AF26" s="95"/>
    </row>
    <row r="27" spans="1:32" ht="40.200000000000003" customHeight="1" x14ac:dyDescent="0.3">
      <c r="A27" s="95"/>
      <c r="B27" s="65"/>
      <c r="C27" s="109"/>
      <c r="D27" s="109"/>
      <c r="E27" s="109"/>
      <c r="F27" s="109"/>
      <c r="G27" s="109"/>
      <c r="H27" s="68"/>
      <c r="I27" s="95"/>
      <c r="J27" s="100"/>
      <c r="K27" s="95"/>
      <c r="L27" s="95"/>
      <c r="M27" s="95"/>
      <c r="N27" s="95"/>
      <c r="O27" s="95"/>
      <c r="P27" s="95"/>
      <c r="Q27" s="95"/>
      <c r="R27" s="95"/>
      <c r="S27" s="95"/>
      <c r="T27" s="95"/>
      <c r="U27" s="95"/>
      <c r="V27" s="95"/>
      <c r="W27" s="95"/>
      <c r="X27" s="95"/>
      <c r="Y27" s="95"/>
      <c r="Z27" s="95"/>
      <c r="AA27" s="95"/>
      <c r="AB27" s="95"/>
      <c r="AC27" s="95"/>
      <c r="AD27" s="95"/>
      <c r="AE27" s="95"/>
      <c r="AF27" s="95"/>
    </row>
    <row r="28" spans="1:32" ht="40.200000000000003" customHeight="1" x14ac:dyDescent="0.3">
      <c r="A28" s="95"/>
      <c r="B28" s="65"/>
      <c r="C28" s="109"/>
      <c r="D28" s="109"/>
      <c r="E28" s="109"/>
      <c r="F28" s="109"/>
      <c r="G28" s="109"/>
      <c r="H28" s="68"/>
      <c r="I28" s="95"/>
      <c r="J28" s="100"/>
      <c r="K28" s="95"/>
      <c r="L28" s="95"/>
      <c r="M28" s="95"/>
      <c r="N28" s="95"/>
      <c r="O28" s="95"/>
      <c r="P28" s="95"/>
      <c r="Q28" s="95"/>
      <c r="R28" s="95"/>
      <c r="S28" s="95"/>
      <c r="T28" s="95"/>
      <c r="U28" s="95"/>
      <c r="V28" s="95"/>
      <c r="W28" s="95"/>
      <c r="X28" s="95"/>
      <c r="Y28" s="95"/>
      <c r="Z28" s="95"/>
      <c r="AA28" s="95"/>
      <c r="AB28" s="95"/>
      <c r="AC28" s="95"/>
      <c r="AD28" s="95"/>
      <c r="AE28" s="95"/>
      <c r="AF28" s="95"/>
    </row>
    <row r="29" spans="1:32" ht="40.200000000000003" customHeight="1" x14ac:dyDescent="0.3">
      <c r="A29" s="95"/>
      <c r="B29" s="65"/>
      <c r="C29" s="109"/>
      <c r="D29" s="109"/>
      <c r="E29" s="109"/>
      <c r="F29" s="109"/>
      <c r="G29" s="109"/>
      <c r="H29" s="68"/>
      <c r="I29" s="95"/>
      <c r="J29" s="100"/>
      <c r="K29" s="95"/>
      <c r="L29" s="95"/>
      <c r="M29" s="95"/>
      <c r="N29" s="95"/>
      <c r="O29" s="117"/>
      <c r="P29" s="113"/>
      <c r="Q29" s="113"/>
      <c r="R29" s="113"/>
      <c r="S29" s="113"/>
      <c r="T29" s="114"/>
      <c r="U29" s="95"/>
      <c r="V29" s="95"/>
      <c r="W29" s="95"/>
      <c r="X29" s="95"/>
      <c r="Y29" s="95"/>
      <c r="Z29" s="95"/>
      <c r="AA29" s="95"/>
      <c r="AB29" s="95"/>
      <c r="AC29" s="95"/>
      <c r="AD29" s="95"/>
      <c r="AE29" s="95"/>
      <c r="AF29" s="95"/>
    </row>
    <row r="30" spans="1:32" ht="40.200000000000003" customHeight="1" x14ac:dyDescent="0.3">
      <c r="A30" s="95"/>
      <c r="B30" s="65"/>
      <c r="C30" s="109"/>
      <c r="D30" s="109"/>
      <c r="E30" s="109"/>
      <c r="F30" s="109"/>
      <c r="G30" s="109"/>
      <c r="H30" s="68"/>
      <c r="I30" s="95"/>
      <c r="J30" s="100"/>
      <c r="K30" s="95"/>
      <c r="L30" s="95"/>
      <c r="M30" s="95"/>
      <c r="N30" s="95"/>
      <c r="O30" s="115"/>
      <c r="P30" s="116"/>
      <c r="Q30" s="118"/>
      <c r="R30" s="118"/>
      <c r="S30" s="118"/>
      <c r="T30" s="118"/>
      <c r="U30" s="95"/>
      <c r="V30" s="95"/>
      <c r="W30" s="95"/>
      <c r="X30" s="95"/>
      <c r="Y30" s="95"/>
      <c r="Z30" s="95"/>
      <c r="AA30" s="95"/>
      <c r="AB30" s="95"/>
      <c r="AC30" s="95"/>
      <c r="AD30" s="95"/>
      <c r="AE30" s="95"/>
      <c r="AF30" s="95"/>
    </row>
    <row r="31" spans="1:32" ht="40.200000000000003" customHeight="1" x14ac:dyDescent="0.3">
      <c r="A31" s="95"/>
      <c r="B31" s="65"/>
      <c r="C31" s="109"/>
      <c r="D31" s="109"/>
      <c r="E31" s="109"/>
      <c r="F31" s="109"/>
      <c r="G31" s="109"/>
      <c r="H31" s="68"/>
      <c r="I31" s="95"/>
      <c r="J31" s="100"/>
      <c r="K31" s="95"/>
      <c r="L31" s="95"/>
      <c r="M31" s="95"/>
      <c r="N31" s="95"/>
      <c r="O31" s="115"/>
      <c r="P31" s="116"/>
      <c r="Q31" s="118"/>
      <c r="R31" s="118"/>
      <c r="S31" s="118"/>
      <c r="T31" s="118"/>
      <c r="U31" s="95"/>
      <c r="V31" s="95"/>
      <c r="W31" s="95"/>
      <c r="X31" s="95"/>
      <c r="Y31" s="95"/>
      <c r="Z31" s="95"/>
      <c r="AA31" s="95"/>
      <c r="AB31" s="95"/>
      <c r="AC31" s="95"/>
      <c r="AD31" s="95"/>
      <c r="AE31" s="95"/>
      <c r="AF31" s="95"/>
    </row>
    <row r="32" spans="1:32" ht="40.200000000000003" customHeight="1" x14ac:dyDescent="0.3">
      <c r="A32" s="95"/>
      <c r="B32" s="65"/>
      <c r="C32" s="109"/>
      <c r="D32" s="109"/>
      <c r="E32" s="109"/>
      <c r="F32" s="109"/>
      <c r="G32" s="109"/>
      <c r="H32" s="68"/>
      <c r="I32" s="95"/>
      <c r="J32" s="95"/>
      <c r="K32" s="95"/>
      <c r="L32" s="95"/>
      <c r="M32" s="95"/>
      <c r="N32" s="95"/>
      <c r="O32" s="115"/>
      <c r="P32" s="116"/>
      <c r="Q32" s="118"/>
      <c r="R32" s="118"/>
      <c r="S32" s="118"/>
      <c r="T32" s="118"/>
      <c r="U32" s="95"/>
      <c r="V32" s="95"/>
      <c r="W32" s="95"/>
      <c r="X32" s="95"/>
      <c r="Y32" s="95"/>
      <c r="Z32" s="95"/>
      <c r="AA32" s="95"/>
      <c r="AB32" s="95"/>
      <c r="AC32" s="95"/>
      <c r="AD32" s="95"/>
      <c r="AE32" s="95"/>
      <c r="AF32" s="95"/>
    </row>
    <row r="33" spans="1:32" ht="40.200000000000003" customHeight="1" x14ac:dyDescent="0.3">
      <c r="A33" s="95"/>
      <c r="B33" s="65"/>
      <c r="C33" s="109"/>
      <c r="D33" s="109"/>
      <c r="E33" s="109"/>
      <c r="F33" s="109"/>
      <c r="G33" s="109"/>
      <c r="H33" s="68"/>
      <c r="I33" s="95"/>
      <c r="J33" s="95"/>
      <c r="K33" s="95" t="s">
        <v>535</v>
      </c>
      <c r="L33" s="95"/>
      <c r="M33" s="95"/>
      <c r="N33" s="95"/>
      <c r="O33" s="106"/>
      <c r="P33" s="104"/>
      <c r="Q33" s="107"/>
      <c r="R33" s="95"/>
      <c r="S33" s="95"/>
      <c r="T33" s="95"/>
      <c r="U33" s="95"/>
      <c r="V33" s="95"/>
      <c r="W33" s="95"/>
      <c r="X33" s="95"/>
      <c r="Y33" s="95"/>
      <c r="Z33" s="95"/>
      <c r="AA33" s="95"/>
      <c r="AB33" s="95"/>
      <c r="AC33" s="95"/>
      <c r="AD33" s="95"/>
      <c r="AE33" s="95"/>
      <c r="AF33" s="95"/>
    </row>
    <row r="34" spans="1:32" ht="40.200000000000003" customHeight="1" x14ac:dyDescent="0.3">
      <c r="A34" s="95"/>
      <c r="B34" s="65"/>
      <c r="C34" s="109"/>
      <c r="D34" s="109"/>
      <c r="E34" s="109"/>
      <c r="F34" s="109"/>
      <c r="G34" s="109"/>
      <c r="H34" s="68"/>
      <c r="I34" s="95"/>
      <c r="J34" s="95"/>
      <c r="K34" s="95"/>
      <c r="L34" s="95"/>
      <c r="M34" s="95"/>
      <c r="N34" s="95"/>
      <c r="O34" s="106"/>
      <c r="P34" s="105"/>
      <c r="Q34" s="107"/>
      <c r="R34" s="95"/>
      <c r="S34" s="95"/>
      <c r="T34" s="95"/>
      <c r="U34" s="95"/>
      <c r="V34" s="95"/>
      <c r="W34" s="95"/>
      <c r="X34" s="95"/>
      <c r="Y34" s="95"/>
      <c r="Z34" s="95"/>
      <c r="AA34" s="95"/>
      <c r="AB34" s="95"/>
      <c r="AC34" s="95"/>
      <c r="AD34" s="95"/>
      <c r="AE34" s="95"/>
      <c r="AF34" s="95"/>
    </row>
    <row r="35" spans="1:32" ht="40.200000000000003" customHeight="1" x14ac:dyDescent="0.3">
      <c r="A35" s="95"/>
      <c r="B35" s="65"/>
      <c r="C35" s="109"/>
      <c r="D35" s="109"/>
      <c r="E35" s="109"/>
      <c r="F35" s="109"/>
      <c r="G35" s="109"/>
      <c r="H35" s="68"/>
      <c r="I35" s="95"/>
      <c r="J35" s="95"/>
      <c r="K35" s="95"/>
      <c r="L35" s="95"/>
      <c r="M35" s="95"/>
      <c r="N35" s="95"/>
      <c r="O35" s="95"/>
      <c r="P35" s="104"/>
      <c r="Q35" s="107"/>
      <c r="R35" s="95"/>
      <c r="S35" s="95"/>
      <c r="T35" s="95"/>
      <c r="U35" s="95"/>
      <c r="V35" s="95"/>
      <c r="W35" s="95"/>
      <c r="X35" s="95"/>
      <c r="Y35" s="95"/>
      <c r="Z35" s="95"/>
      <c r="AA35" s="95"/>
      <c r="AB35" s="95"/>
      <c r="AC35" s="95"/>
      <c r="AD35" s="95"/>
      <c r="AE35" s="95"/>
      <c r="AF35" s="95"/>
    </row>
    <row r="36" spans="1:32" ht="40.200000000000003" customHeight="1" x14ac:dyDescent="0.3">
      <c r="A36" s="95"/>
      <c r="B36" s="65"/>
      <c r="C36" s="109"/>
      <c r="D36" s="109"/>
      <c r="E36" s="109"/>
      <c r="F36" s="109"/>
      <c r="G36" s="109"/>
      <c r="H36" s="68"/>
      <c r="I36" s="95"/>
      <c r="J36" s="95"/>
      <c r="K36" s="95"/>
      <c r="L36" s="95"/>
      <c r="M36" s="95"/>
      <c r="N36" s="95"/>
      <c r="O36" s="106"/>
      <c r="P36" s="104"/>
      <c r="Q36" s="107"/>
      <c r="R36" s="95"/>
      <c r="S36" s="95"/>
      <c r="T36" s="95"/>
      <c r="U36" s="95"/>
      <c r="V36" s="95"/>
      <c r="W36" s="95"/>
      <c r="X36" s="95"/>
      <c r="Y36" s="95"/>
      <c r="Z36" s="95"/>
      <c r="AA36" s="95"/>
      <c r="AB36" s="95"/>
      <c r="AC36" s="95"/>
      <c r="AD36" s="95"/>
      <c r="AE36" s="95"/>
      <c r="AF36" s="95"/>
    </row>
    <row r="37" spans="1:32" ht="40.200000000000003" customHeight="1" x14ac:dyDescent="0.3">
      <c r="A37" s="95"/>
      <c r="B37" s="65"/>
      <c r="C37" s="109"/>
      <c r="D37" s="109"/>
      <c r="E37" s="109"/>
      <c r="F37" s="109"/>
      <c r="G37" s="109"/>
      <c r="H37" s="68"/>
      <c r="I37" s="95"/>
      <c r="J37" s="95"/>
      <c r="K37" s="95"/>
      <c r="L37" s="95"/>
      <c r="M37" s="95"/>
      <c r="N37" s="95"/>
      <c r="O37" s="106"/>
      <c r="P37" s="104"/>
      <c r="Q37" s="107"/>
      <c r="R37" s="95"/>
      <c r="S37" s="95"/>
      <c r="T37" s="95"/>
      <c r="U37" s="95"/>
      <c r="V37" s="95"/>
      <c r="W37" s="95"/>
      <c r="X37" s="95"/>
      <c r="Y37" s="95"/>
      <c r="Z37" s="95"/>
      <c r="AA37" s="95"/>
      <c r="AB37" s="95"/>
      <c r="AC37" s="95"/>
      <c r="AD37" s="95"/>
      <c r="AE37" s="95"/>
      <c r="AF37" s="95"/>
    </row>
    <row r="38" spans="1:32" ht="40.200000000000003" customHeight="1" x14ac:dyDescent="0.3">
      <c r="A38" s="95"/>
      <c r="B38" s="65"/>
      <c r="C38" s="109"/>
      <c r="D38" s="109"/>
      <c r="E38" s="109"/>
      <c r="F38" s="109"/>
      <c r="G38" s="109"/>
      <c r="H38" s="68"/>
      <c r="I38" s="95"/>
      <c r="J38" s="95"/>
      <c r="K38" s="95"/>
      <c r="L38" s="95"/>
      <c r="M38" s="95"/>
      <c r="N38" s="95"/>
      <c r="O38" s="106"/>
      <c r="P38" s="104"/>
      <c r="Q38" s="107"/>
      <c r="R38" s="95"/>
      <c r="S38" s="95"/>
      <c r="T38" s="95"/>
      <c r="U38" s="95"/>
      <c r="V38" s="95"/>
      <c r="W38" s="95"/>
      <c r="X38" s="95"/>
      <c r="Y38" s="95"/>
      <c r="Z38" s="95"/>
      <c r="AA38" s="95"/>
      <c r="AB38" s="95"/>
      <c r="AC38" s="95"/>
      <c r="AD38" s="95"/>
      <c r="AE38" s="95"/>
      <c r="AF38" s="95"/>
    </row>
    <row r="39" spans="1:32" ht="40.200000000000003" customHeight="1" x14ac:dyDescent="0.3">
      <c r="A39" s="95"/>
      <c r="B39" s="65"/>
      <c r="C39" s="109"/>
      <c r="D39" s="109"/>
      <c r="E39" s="109"/>
      <c r="F39" s="109"/>
      <c r="G39" s="109"/>
      <c r="H39" s="68"/>
      <c r="I39" s="95"/>
      <c r="J39" s="95"/>
      <c r="K39" s="95"/>
      <c r="L39" s="95"/>
      <c r="M39" s="95"/>
      <c r="N39" s="95"/>
      <c r="O39" s="106"/>
      <c r="P39" s="105"/>
      <c r="Q39" s="107"/>
      <c r="R39" s="95"/>
      <c r="S39" s="95"/>
      <c r="T39" s="95"/>
      <c r="U39" s="95"/>
      <c r="V39" s="95"/>
      <c r="W39" s="95"/>
      <c r="X39" s="95"/>
      <c r="Y39" s="95"/>
      <c r="Z39" s="95"/>
      <c r="AA39" s="95"/>
      <c r="AB39" s="95"/>
      <c r="AC39" s="95"/>
      <c r="AD39" s="95"/>
      <c r="AE39" s="95"/>
      <c r="AF39" s="95"/>
    </row>
    <row r="40" spans="1:32" ht="40.200000000000003" customHeight="1" x14ac:dyDescent="0.3">
      <c r="A40" s="95"/>
      <c r="B40" s="65"/>
      <c r="C40" s="109"/>
      <c r="D40" s="109"/>
      <c r="E40" s="109"/>
      <c r="F40" s="109"/>
      <c r="G40" s="109"/>
      <c r="H40" s="68"/>
      <c r="I40" s="95"/>
      <c r="J40" s="95"/>
      <c r="K40" s="95"/>
      <c r="L40" s="95"/>
      <c r="M40" s="95"/>
      <c r="N40" s="95"/>
      <c r="O40" s="95"/>
      <c r="P40" s="104"/>
      <c r="Q40" s="107"/>
      <c r="R40" s="95"/>
      <c r="S40" s="95"/>
      <c r="T40" s="95"/>
      <c r="U40" s="95"/>
      <c r="V40" s="95"/>
      <c r="W40" s="95"/>
      <c r="X40" s="95"/>
      <c r="Y40" s="95"/>
      <c r="Z40" s="95"/>
      <c r="AA40" s="95"/>
      <c r="AB40" s="95"/>
      <c r="AC40" s="95"/>
      <c r="AD40" s="95"/>
      <c r="AE40" s="95"/>
      <c r="AF40" s="95"/>
    </row>
    <row r="41" spans="1:32" ht="40.200000000000003" customHeight="1" x14ac:dyDescent="0.3">
      <c r="A41" s="95"/>
      <c r="B41" s="65"/>
      <c r="C41" s="109"/>
      <c r="D41" s="109"/>
      <c r="E41" s="109"/>
      <c r="F41" s="109"/>
      <c r="G41" s="109"/>
      <c r="H41" s="68"/>
      <c r="I41" s="95"/>
      <c r="J41" s="95"/>
      <c r="K41" s="95"/>
      <c r="L41" s="95"/>
      <c r="M41" s="95"/>
      <c r="N41" s="95"/>
      <c r="O41" s="106"/>
      <c r="P41" s="104"/>
      <c r="Q41" s="107"/>
      <c r="R41" s="95"/>
      <c r="S41" s="95"/>
      <c r="T41" s="95"/>
      <c r="U41" s="95"/>
      <c r="V41" s="95"/>
      <c r="W41" s="95"/>
      <c r="X41" s="95"/>
      <c r="Y41" s="95"/>
      <c r="Z41" s="95"/>
      <c r="AA41" s="95"/>
      <c r="AB41" s="95"/>
      <c r="AC41" s="95"/>
      <c r="AD41" s="95"/>
      <c r="AE41" s="95"/>
      <c r="AF41" s="95"/>
    </row>
    <row r="42" spans="1:32" ht="40.200000000000003" customHeight="1" x14ac:dyDescent="0.3">
      <c r="A42" s="95"/>
      <c r="B42" s="65"/>
      <c r="C42" s="109"/>
      <c r="D42" s="109"/>
      <c r="E42" s="109"/>
      <c r="F42" s="109"/>
      <c r="G42" s="109"/>
      <c r="H42" s="68"/>
      <c r="I42" s="95"/>
      <c r="J42" s="95"/>
      <c r="K42" s="95"/>
      <c r="L42" s="95"/>
      <c r="M42" s="95"/>
      <c r="N42" s="95"/>
      <c r="O42" s="106"/>
      <c r="P42" s="104"/>
      <c r="Q42" s="107"/>
      <c r="R42" s="95"/>
      <c r="S42" s="95"/>
      <c r="T42" s="95"/>
      <c r="U42" s="95"/>
      <c r="V42" s="95"/>
      <c r="W42" s="95"/>
      <c r="X42" s="95"/>
      <c r="Y42" s="95"/>
      <c r="Z42" s="95"/>
      <c r="AA42" s="95"/>
      <c r="AB42" s="95"/>
      <c r="AC42" s="95"/>
      <c r="AD42" s="95"/>
      <c r="AE42" s="95"/>
      <c r="AF42" s="95"/>
    </row>
    <row r="43" spans="1:32" ht="40.200000000000003" customHeight="1" x14ac:dyDescent="0.3">
      <c r="A43" s="95"/>
      <c r="B43" s="65"/>
      <c r="C43" s="109"/>
      <c r="D43" s="109"/>
      <c r="E43" s="109"/>
      <c r="F43" s="109"/>
      <c r="G43" s="109"/>
      <c r="H43" s="68"/>
      <c r="I43" s="95"/>
      <c r="J43" s="95"/>
      <c r="K43" s="95"/>
      <c r="L43" s="95"/>
      <c r="M43" s="95"/>
      <c r="N43" s="95"/>
      <c r="O43" s="106"/>
      <c r="P43" s="104"/>
      <c r="Q43" s="107"/>
      <c r="R43" s="95"/>
      <c r="S43" s="95"/>
      <c r="T43" s="95"/>
      <c r="U43" s="95"/>
      <c r="V43" s="95"/>
      <c r="W43" s="95"/>
      <c r="X43" s="95"/>
      <c r="Y43" s="95"/>
      <c r="Z43" s="95"/>
      <c r="AA43" s="95"/>
      <c r="AB43" s="95"/>
      <c r="AC43" s="95"/>
      <c r="AD43" s="95"/>
      <c r="AE43" s="95"/>
      <c r="AF43" s="95"/>
    </row>
    <row r="44" spans="1:32" ht="40.200000000000003" customHeight="1" x14ac:dyDescent="0.3">
      <c r="A44" s="95"/>
      <c r="B44"/>
      <c r="C44"/>
      <c r="D44"/>
      <c r="E44"/>
      <c r="F44"/>
      <c r="G44"/>
      <c r="H44" s="68"/>
      <c r="I44" s="95"/>
      <c r="J44" s="95"/>
      <c r="K44" s="95"/>
      <c r="L44" s="95"/>
      <c r="M44" s="95"/>
      <c r="N44" s="95"/>
      <c r="O44" s="106"/>
      <c r="P44" s="105"/>
      <c r="Q44" s="107"/>
      <c r="R44" s="95"/>
      <c r="S44" s="95"/>
      <c r="T44" s="95"/>
      <c r="U44" s="95"/>
      <c r="V44" s="95"/>
      <c r="W44" s="95"/>
      <c r="X44" s="95"/>
      <c r="Y44" s="95"/>
      <c r="Z44" s="95"/>
      <c r="AA44" s="95"/>
      <c r="AB44" s="95"/>
      <c r="AC44" s="95"/>
      <c r="AD44" s="95"/>
      <c r="AE44" s="95"/>
    </row>
    <row r="45" spans="1:32" ht="40.200000000000003" customHeight="1" x14ac:dyDescent="0.3">
      <c r="A45" s="95"/>
      <c r="B45"/>
      <c r="C45"/>
      <c r="D45"/>
      <c r="E45"/>
      <c r="F45"/>
      <c r="G45"/>
      <c r="H45" s="68"/>
      <c r="I45" s="95"/>
      <c r="J45" s="95"/>
      <c r="K45" s="95"/>
      <c r="L45" s="95"/>
      <c r="M45" s="95"/>
      <c r="N45" s="95"/>
      <c r="O45" s="95"/>
      <c r="P45" s="95"/>
      <c r="Q45" s="95"/>
      <c r="R45" s="95"/>
      <c r="S45" s="95"/>
      <c r="T45" s="95"/>
      <c r="U45" s="95"/>
      <c r="V45" s="95"/>
      <c r="W45" s="95"/>
      <c r="X45" s="95"/>
      <c r="Y45" s="95"/>
      <c r="Z45" s="95"/>
      <c r="AA45" s="95"/>
      <c r="AB45" s="95"/>
      <c r="AC45" s="95"/>
      <c r="AD45" s="95"/>
      <c r="AE45" s="95"/>
    </row>
    <row r="46" spans="1:32" ht="40.200000000000003" customHeight="1" x14ac:dyDescent="0.3">
      <c r="A46" s="95"/>
      <c r="B46"/>
      <c r="C46"/>
      <c r="D46"/>
      <c r="E46"/>
      <c r="F46"/>
      <c r="G46"/>
      <c r="H46" s="68"/>
      <c r="I46" s="95"/>
      <c r="J46" s="95"/>
      <c r="K46" s="95"/>
      <c r="L46" s="95"/>
      <c r="M46" s="95"/>
      <c r="N46" s="95"/>
      <c r="O46" s="95"/>
      <c r="P46" s="95"/>
      <c r="Q46" s="95"/>
      <c r="R46" s="95"/>
      <c r="S46" s="95"/>
      <c r="T46" s="95"/>
      <c r="U46" s="95"/>
      <c r="V46" s="95"/>
      <c r="W46" s="95"/>
      <c r="X46" s="95"/>
      <c r="Y46" s="95"/>
      <c r="Z46" s="95"/>
      <c r="AA46" s="95"/>
      <c r="AB46" s="95"/>
      <c r="AC46" s="95"/>
      <c r="AD46" s="95"/>
      <c r="AE46" s="95"/>
    </row>
    <row r="47" spans="1:32" ht="40.200000000000003" customHeight="1" x14ac:dyDescent="0.3">
      <c r="A47" s="95"/>
      <c r="B47"/>
      <c r="C47"/>
      <c r="D47"/>
      <c r="E47"/>
      <c r="F47"/>
      <c r="G47"/>
      <c r="H47" s="68"/>
      <c r="I47" s="95"/>
      <c r="J47" s="95"/>
      <c r="K47" s="95"/>
      <c r="L47" s="95"/>
      <c r="M47" s="95"/>
      <c r="N47" s="95"/>
      <c r="O47" s="95"/>
      <c r="P47" s="95"/>
      <c r="Q47" s="95"/>
      <c r="R47" s="95"/>
      <c r="S47" s="95"/>
      <c r="T47" s="95"/>
      <c r="U47" s="95"/>
      <c r="V47" s="95"/>
      <c r="W47" s="95"/>
      <c r="X47" s="95"/>
      <c r="Y47" s="95"/>
      <c r="Z47" s="95"/>
      <c r="AA47" s="95"/>
      <c r="AB47" s="95"/>
      <c r="AC47" s="95"/>
      <c r="AD47" s="95"/>
      <c r="AE47" s="95"/>
    </row>
    <row r="48" spans="1:32" ht="40.200000000000003" customHeight="1" x14ac:dyDescent="0.3">
      <c r="A48" s="95"/>
      <c r="B48"/>
      <c r="C48"/>
      <c r="D48"/>
      <c r="E48"/>
      <c r="F48"/>
      <c r="G48"/>
      <c r="H48" s="68"/>
      <c r="I48" s="95"/>
      <c r="J48" s="95"/>
      <c r="K48" s="95"/>
      <c r="L48" s="95"/>
      <c r="M48" s="95"/>
      <c r="N48" s="95"/>
      <c r="O48" s="95"/>
      <c r="P48" s="95"/>
      <c r="Q48" s="95"/>
      <c r="R48" s="95"/>
      <c r="S48" s="95"/>
      <c r="T48" s="95"/>
      <c r="U48" s="95"/>
      <c r="V48" s="95"/>
      <c r="W48" s="95"/>
      <c r="X48" s="95"/>
      <c r="Y48" s="95"/>
      <c r="Z48" s="95"/>
      <c r="AA48" s="95"/>
      <c r="AB48" s="95"/>
      <c r="AC48" s="95"/>
      <c r="AD48" s="95"/>
      <c r="AE48" s="95"/>
    </row>
    <row r="49" spans="1:31" ht="40.200000000000003" customHeight="1" x14ac:dyDescent="0.3">
      <c r="A49" s="95"/>
      <c r="B49"/>
      <c r="C49"/>
      <c r="D49"/>
      <c r="E49"/>
      <c r="F49"/>
      <c r="G49"/>
      <c r="H49" s="68"/>
      <c r="I49" s="95"/>
      <c r="J49" s="95"/>
      <c r="K49" s="95"/>
      <c r="L49" s="95"/>
      <c r="M49" s="95"/>
      <c r="N49" s="95"/>
      <c r="O49" s="95"/>
      <c r="P49" s="95"/>
      <c r="Q49" s="95"/>
      <c r="R49" s="95"/>
      <c r="S49" s="95"/>
      <c r="T49" s="95"/>
      <c r="U49" s="95"/>
      <c r="V49" s="95"/>
      <c r="W49" s="95"/>
      <c r="X49" s="95"/>
      <c r="Y49" s="95"/>
      <c r="Z49" s="95"/>
      <c r="AA49" s="95"/>
      <c r="AB49" s="95"/>
      <c r="AC49" s="95"/>
      <c r="AD49" s="95"/>
      <c r="AE49" s="95"/>
    </row>
    <row r="50" spans="1:31" ht="40.200000000000003" customHeight="1" x14ac:dyDescent="0.3">
      <c r="A50" s="95"/>
      <c r="B50"/>
      <c r="C50"/>
      <c r="D50"/>
      <c r="E50"/>
      <c r="F50"/>
      <c r="G50"/>
      <c r="H50" s="68"/>
      <c r="I50" s="95"/>
      <c r="J50" s="95"/>
      <c r="K50" s="95"/>
      <c r="L50" s="95"/>
      <c r="M50" s="95"/>
      <c r="N50" s="95"/>
      <c r="O50" s="95"/>
      <c r="P50" s="95"/>
      <c r="Q50" s="95"/>
      <c r="R50" s="95"/>
      <c r="S50" s="95"/>
      <c r="T50" s="95"/>
      <c r="U50" s="95"/>
      <c r="V50" s="95"/>
      <c r="W50" s="95"/>
      <c r="X50" s="95"/>
      <c r="Y50" s="95"/>
      <c r="Z50" s="95"/>
      <c r="AA50" s="95"/>
      <c r="AB50" s="95"/>
      <c r="AC50" s="95"/>
      <c r="AD50" s="95"/>
      <c r="AE50" s="95"/>
    </row>
    <row r="51" spans="1:31" ht="40.200000000000003" customHeight="1" x14ac:dyDescent="0.3">
      <c r="A51" s="95"/>
      <c r="B51"/>
      <c r="C51"/>
      <c r="D51"/>
      <c r="E51"/>
      <c r="F51"/>
      <c r="G51"/>
      <c r="H51" s="68"/>
      <c r="I51" s="95"/>
      <c r="J51" s="95"/>
      <c r="K51" s="95"/>
      <c r="L51" s="95"/>
      <c r="M51" s="95"/>
      <c r="N51" s="95"/>
      <c r="O51" s="95"/>
      <c r="P51" s="95"/>
      <c r="Q51" s="95"/>
      <c r="R51" s="95"/>
      <c r="S51" s="95"/>
      <c r="T51" s="95"/>
      <c r="U51" s="95"/>
      <c r="V51" s="95"/>
      <c r="W51" s="95"/>
      <c r="X51" s="95"/>
      <c r="Y51" s="95"/>
      <c r="Z51" s="95"/>
      <c r="AA51" s="95"/>
      <c r="AB51" s="95"/>
      <c r="AC51" s="95"/>
      <c r="AD51" s="95"/>
      <c r="AE51" s="95"/>
    </row>
    <row r="52" spans="1:31" ht="40.200000000000003" customHeight="1" x14ac:dyDescent="0.3">
      <c r="A52" s="95"/>
      <c r="B52"/>
      <c r="C52"/>
      <c r="D52"/>
      <c r="E52"/>
      <c r="F52"/>
      <c r="G52"/>
      <c r="H52" s="68"/>
      <c r="I52" s="95"/>
      <c r="J52" s="95"/>
      <c r="K52" s="95"/>
      <c r="L52" s="95"/>
      <c r="M52" s="95"/>
      <c r="N52" s="95"/>
      <c r="O52" s="95"/>
      <c r="P52" s="95"/>
      <c r="Q52" s="95"/>
      <c r="R52" s="95"/>
      <c r="S52" s="95"/>
      <c r="T52" s="95"/>
      <c r="U52" s="95"/>
      <c r="V52" s="95"/>
      <c r="W52" s="95"/>
      <c r="X52" s="95"/>
      <c r="Y52" s="95"/>
      <c r="Z52" s="95"/>
      <c r="AA52" s="95"/>
      <c r="AB52" s="95"/>
      <c r="AC52" s="95"/>
      <c r="AD52" s="95"/>
      <c r="AE52" s="95"/>
    </row>
    <row r="53" spans="1:31" ht="40.200000000000003" customHeight="1" x14ac:dyDescent="0.3">
      <c r="A53" s="95"/>
      <c r="B53"/>
      <c r="C53"/>
      <c r="D53"/>
      <c r="E53"/>
      <c r="F53"/>
      <c r="G53"/>
      <c r="H53" s="68"/>
      <c r="I53" s="95"/>
      <c r="J53" s="95"/>
      <c r="K53" s="95"/>
      <c r="L53" s="95"/>
      <c r="M53" s="95"/>
      <c r="N53" s="95"/>
      <c r="O53" s="95"/>
      <c r="P53" s="95"/>
      <c r="Q53" s="95"/>
      <c r="R53" s="95"/>
      <c r="S53" s="95"/>
      <c r="T53" s="95"/>
      <c r="U53" s="95"/>
      <c r="V53" s="95"/>
      <c r="W53" s="95"/>
      <c r="X53" s="95"/>
      <c r="Y53" s="95"/>
      <c r="Z53" s="95"/>
      <c r="AA53" s="95"/>
      <c r="AB53" s="95"/>
      <c r="AC53" s="95"/>
      <c r="AD53" s="95"/>
      <c r="AE53" s="95"/>
    </row>
    <row r="54" spans="1:31" ht="40.200000000000003" customHeight="1" x14ac:dyDescent="0.3">
      <c r="A54" s="95"/>
      <c r="B54"/>
      <c r="C54"/>
      <c r="D54"/>
      <c r="E54"/>
      <c r="F54"/>
      <c r="G54"/>
      <c r="H54" s="68"/>
      <c r="I54" s="95"/>
      <c r="J54" s="95"/>
      <c r="K54" s="95"/>
      <c r="L54" s="95"/>
      <c r="M54" s="95"/>
      <c r="N54" s="95"/>
      <c r="O54" s="95"/>
      <c r="P54" s="95"/>
      <c r="Q54" s="95"/>
      <c r="R54" s="95"/>
      <c r="S54" s="95"/>
      <c r="T54" s="95"/>
      <c r="U54" s="95"/>
      <c r="V54" s="95"/>
      <c r="W54" s="95"/>
      <c r="X54" s="95"/>
      <c r="Y54" s="95"/>
      <c r="Z54" s="95"/>
      <c r="AA54" s="95"/>
      <c r="AB54" s="95"/>
      <c r="AC54" s="95"/>
      <c r="AD54" s="95"/>
      <c r="AE54" s="95"/>
    </row>
    <row r="55" spans="1:31" ht="40.200000000000003" customHeight="1" x14ac:dyDescent="0.3">
      <c r="A55" s="58"/>
      <c r="B55"/>
      <c r="C55"/>
      <c r="D55"/>
      <c r="E55"/>
      <c r="F55"/>
      <c r="G55"/>
      <c r="H55" s="68"/>
      <c r="I55" s="58"/>
      <c r="J55" s="58"/>
      <c r="K55" s="58"/>
      <c r="L55" s="58"/>
      <c r="M55" s="58"/>
      <c r="N55" s="58"/>
      <c r="O55" s="58"/>
      <c r="P55" s="58"/>
      <c r="Q55" s="58"/>
      <c r="R55" s="58"/>
      <c r="S55" s="58"/>
      <c r="T55" s="58"/>
      <c r="U55" s="58"/>
      <c r="V55" s="58"/>
      <c r="W55" s="58"/>
      <c r="X55" s="58"/>
      <c r="Y55" s="58"/>
      <c r="Z55" s="58"/>
      <c r="AA55" s="58"/>
      <c r="AB55" s="58"/>
      <c r="AC55" s="58"/>
      <c r="AD55" s="58"/>
    </row>
    <row r="56" spans="1:31" ht="40.200000000000003" customHeight="1" x14ac:dyDescent="0.3">
      <c r="A56" s="58"/>
      <c r="B56"/>
      <c r="C56"/>
      <c r="D56"/>
      <c r="E56"/>
      <c r="F56"/>
      <c r="G56"/>
      <c r="H56" s="68"/>
      <c r="I56" s="58"/>
      <c r="J56" s="58"/>
      <c r="K56" s="58"/>
      <c r="L56" s="58"/>
      <c r="M56" s="58"/>
      <c r="N56" s="58"/>
      <c r="O56" s="58"/>
      <c r="P56" s="58"/>
      <c r="Q56" s="58"/>
      <c r="R56" s="58"/>
      <c r="S56" s="58"/>
      <c r="T56" s="58"/>
      <c r="U56" s="58"/>
      <c r="V56" s="58"/>
      <c r="W56" s="58"/>
      <c r="X56" s="58"/>
      <c r="Y56" s="58"/>
      <c r="Z56" s="58"/>
      <c r="AA56" s="58"/>
      <c r="AB56" s="58"/>
      <c r="AC56" s="58"/>
      <c r="AD56" s="58"/>
    </row>
    <row r="57" spans="1:31" ht="40.200000000000003" customHeight="1" x14ac:dyDescent="0.3">
      <c r="A57" s="58"/>
      <c r="B57"/>
      <c r="C57"/>
      <c r="D57"/>
      <c r="E57"/>
      <c r="F57"/>
      <c r="G57"/>
      <c r="H57" s="68"/>
      <c r="I57" s="58"/>
      <c r="J57" s="58"/>
      <c r="K57" s="58"/>
      <c r="L57" s="58"/>
      <c r="M57" s="58"/>
      <c r="N57" s="58"/>
      <c r="O57" s="58"/>
      <c r="P57" s="58"/>
      <c r="Q57" s="58"/>
      <c r="R57" s="58"/>
      <c r="S57" s="58"/>
      <c r="T57" s="58"/>
      <c r="U57" s="58"/>
      <c r="V57" s="58"/>
      <c r="W57" s="58"/>
      <c r="X57" s="58"/>
      <c r="Y57" s="58"/>
      <c r="Z57" s="58"/>
      <c r="AA57" s="58"/>
      <c r="AB57" s="58"/>
      <c r="AC57" s="58"/>
      <c r="AD57" s="58"/>
    </row>
    <row r="58" spans="1:31" ht="40.200000000000003" customHeight="1" x14ac:dyDescent="0.3">
      <c r="A58" s="58"/>
      <c r="B58"/>
      <c r="C58"/>
      <c r="D58"/>
      <c r="E58"/>
      <c r="F58"/>
      <c r="G58"/>
      <c r="H58" s="68"/>
      <c r="I58" s="58"/>
      <c r="J58" s="58"/>
      <c r="K58" s="58"/>
      <c r="L58" s="58"/>
      <c r="M58" s="58"/>
      <c r="N58" s="58"/>
      <c r="O58" s="58"/>
      <c r="P58" s="58"/>
      <c r="Q58" s="58"/>
      <c r="R58" s="58"/>
      <c r="S58" s="58"/>
      <c r="T58" s="58"/>
      <c r="U58" s="58"/>
      <c r="V58" s="58"/>
      <c r="W58" s="58"/>
      <c r="X58" s="58"/>
      <c r="Y58" s="58"/>
      <c r="Z58" s="58"/>
      <c r="AA58" s="58"/>
      <c r="AB58" s="58"/>
      <c r="AC58" s="58"/>
      <c r="AD58" s="58"/>
    </row>
    <row r="59" spans="1:31" ht="40.200000000000003" customHeight="1" x14ac:dyDescent="0.3">
      <c r="A59" s="58"/>
      <c r="B59"/>
      <c r="C59"/>
      <c r="D59"/>
      <c r="E59"/>
      <c r="F59"/>
      <c r="G59"/>
      <c r="H59" s="68"/>
      <c r="I59" s="58"/>
      <c r="J59" s="58"/>
      <c r="K59" s="58"/>
      <c r="L59" s="58"/>
      <c r="M59" s="58"/>
      <c r="N59" s="58"/>
      <c r="O59" s="58"/>
      <c r="P59" s="58"/>
      <c r="Q59" s="58"/>
      <c r="R59" s="58"/>
      <c r="S59" s="58"/>
      <c r="T59" s="58"/>
      <c r="U59" s="58"/>
      <c r="V59" s="58"/>
      <c r="W59" s="58"/>
      <c r="X59" s="58"/>
      <c r="Y59" s="58"/>
      <c r="Z59" s="58"/>
      <c r="AA59" s="58"/>
      <c r="AB59" s="58"/>
      <c r="AC59" s="58"/>
      <c r="AD59" s="58"/>
    </row>
    <row r="60" spans="1:31" ht="40.200000000000003" customHeight="1" x14ac:dyDescent="0.3">
      <c r="A60" s="58"/>
      <c r="B60"/>
      <c r="C60"/>
      <c r="D60"/>
      <c r="E60"/>
      <c r="F60"/>
      <c r="G60"/>
      <c r="H60" s="68"/>
      <c r="I60" s="58"/>
      <c r="J60" s="58"/>
      <c r="K60" s="58"/>
      <c r="L60" s="58"/>
      <c r="M60" s="58"/>
      <c r="N60" s="58"/>
      <c r="O60" s="58"/>
      <c r="P60" s="58"/>
      <c r="Q60" s="58"/>
      <c r="R60" s="58"/>
      <c r="S60" s="58"/>
      <c r="T60" s="58"/>
      <c r="U60" s="58"/>
      <c r="V60" s="58"/>
      <c r="W60" s="58"/>
      <c r="X60" s="58"/>
      <c r="Y60" s="58"/>
      <c r="Z60" s="58"/>
      <c r="AA60" s="58"/>
      <c r="AB60" s="58"/>
      <c r="AC60" s="58"/>
      <c r="AD60" s="58"/>
    </row>
    <row r="61" spans="1:31" ht="40.200000000000003" customHeight="1" x14ac:dyDescent="0.3">
      <c r="A61" s="58"/>
      <c r="B61"/>
      <c r="C61"/>
      <c r="D61"/>
      <c r="E61"/>
      <c r="F61"/>
      <c r="G61"/>
      <c r="H61" s="68"/>
      <c r="I61" s="58"/>
      <c r="J61" s="58"/>
      <c r="K61" s="58"/>
      <c r="L61" s="58"/>
      <c r="M61" s="58"/>
      <c r="N61" s="58"/>
      <c r="O61" s="58"/>
      <c r="P61" s="58"/>
      <c r="Q61" s="58"/>
      <c r="R61" s="58"/>
      <c r="S61" s="58"/>
      <c r="T61" s="58"/>
      <c r="U61" s="58"/>
      <c r="V61" s="58"/>
      <c r="W61" s="58"/>
      <c r="X61" s="58"/>
      <c r="Y61" s="58"/>
      <c r="Z61" s="58"/>
      <c r="AA61" s="58"/>
      <c r="AB61" s="58"/>
      <c r="AC61" s="58"/>
      <c r="AD61" s="58"/>
    </row>
    <row r="62" spans="1:31" ht="40.200000000000003" customHeight="1" x14ac:dyDescent="0.3">
      <c r="A62" s="58"/>
      <c r="B62"/>
      <c r="C62"/>
      <c r="D62"/>
      <c r="E62"/>
      <c r="F62"/>
      <c r="G62"/>
      <c r="H62" s="68"/>
      <c r="I62" s="58"/>
      <c r="J62" s="58"/>
      <c r="K62" s="58"/>
      <c r="L62" s="58"/>
      <c r="M62" s="58"/>
      <c r="N62" s="58"/>
      <c r="O62" s="58"/>
      <c r="P62" s="58"/>
      <c r="Q62" s="58"/>
      <c r="R62" s="58"/>
      <c r="S62" s="58"/>
      <c r="T62" s="58"/>
      <c r="U62" s="58"/>
      <c r="V62" s="58"/>
      <c r="W62" s="58"/>
      <c r="X62" s="58"/>
      <c r="Y62" s="58"/>
      <c r="Z62" s="58"/>
      <c r="AA62" s="58"/>
      <c r="AB62" s="58"/>
      <c r="AC62" s="58"/>
      <c r="AD62" s="58"/>
    </row>
    <row r="63" spans="1:31" ht="40.200000000000003" customHeight="1" x14ac:dyDescent="0.3">
      <c r="A63" s="58"/>
      <c r="B63"/>
      <c r="C63"/>
      <c r="D63"/>
      <c r="E63"/>
      <c r="F63"/>
      <c r="G63"/>
      <c r="H63" s="68"/>
      <c r="I63" s="58"/>
      <c r="J63" s="58"/>
      <c r="K63" s="58"/>
      <c r="L63" s="58"/>
      <c r="M63" s="58"/>
      <c r="N63" s="58"/>
      <c r="O63" s="58"/>
      <c r="P63" s="58"/>
      <c r="Q63" s="58"/>
      <c r="R63" s="58"/>
      <c r="S63" s="58"/>
      <c r="T63" s="58"/>
      <c r="U63" s="58"/>
      <c r="V63" s="58"/>
      <c r="W63" s="58"/>
      <c r="X63" s="58"/>
      <c r="Y63" s="58"/>
      <c r="Z63" s="58"/>
      <c r="AA63" s="58"/>
      <c r="AB63" s="58"/>
      <c r="AC63" s="58"/>
      <c r="AD63" s="58"/>
    </row>
    <row r="64" spans="1:31" ht="40.200000000000003" customHeight="1" x14ac:dyDescent="0.3">
      <c r="A64" s="58"/>
      <c r="B64"/>
      <c r="C64"/>
      <c r="D64"/>
      <c r="E64"/>
      <c r="F64"/>
      <c r="G64"/>
      <c r="H64" s="68"/>
      <c r="I64" s="58"/>
      <c r="J64" s="58"/>
      <c r="K64" s="58"/>
      <c r="L64" s="58"/>
      <c r="M64" s="58"/>
      <c r="N64" s="58"/>
      <c r="O64" s="58"/>
      <c r="P64" s="58"/>
      <c r="Q64" s="58"/>
      <c r="R64" s="58"/>
      <c r="S64" s="58"/>
      <c r="T64" s="58"/>
      <c r="U64" s="58"/>
      <c r="V64" s="58"/>
      <c r="W64" s="58"/>
      <c r="X64" s="58"/>
      <c r="Y64" s="58"/>
      <c r="Z64" s="58"/>
      <c r="AA64" s="58"/>
      <c r="AB64" s="58"/>
      <c r="AC64" s="58"/>
      <c r="AD64" s="58"/>
    </row>
    <row r="65" spans="1:30" ht="40.200000000000003" customHeight="1" x14ac:dyDescent="0.3">
      <c r="A65" s="58"/>
      <c r="B65"/>
      <c r="C65"/>
      <c r="D65"/>
      <c r="E65"/>
      <c r="F65"/>
      <c r="G65"/>
      <c r="H65" s="68"/>
      <c r="I65" s="58"/>
      <c r="J65" s="58"/>
      <c r="K65" s="58"/>
      <c r="L65" s="58"/>
      <c r="M65" s="58"/>
      <c r="N65" s="58"/>
      <c r="O65" s="58"/>
      <c r="P65" s="58"/>
      <c r="Q65" s="58"/>
      <c r="R65" s="58"/>
      <c r="S65" s="58"/>
      <c r="T65" s="58"/>
      <c r="U65" s="58"/>
      <c r="V65" s="58"/>
      <c r="W65" s="58"/>
      <c r="X65" s="58"/>
      <c r="Y65" s="58"/>
      <c r="Z65" s="58"/>
      <c r="AA65" s="58"/>
      <c r="AB65" s="58"/>
      <c r="AC65" s="58"/>
      <c r="AD65" s="58"/>
    </row>
    <row r="66" spans="1:30" ht="40.200000000000003" customHeight="1" x14ac:dyDescent="0.3">
      <c r="A66" s="58"/>
      <c r="B66"/>
      <c r="C66"/>
      <c r="D66"/>
      <c r="E66"/>
      <c r="F66"/>
      <c r="G66"/>
      <c r="H66" s="68"/>
      <c r="I66" s="58"/>
      <c r="J66" s="58"/>
      <c r="K66" s="58"/>
      <c r="L66" s="58"/>
      <c r="M66" s="58"/>
      <c r="N66" s="58"/>
      <c r="O66" s="58"/>
      <c r="P66" s="58"/>
      <c r="Q66" s="58"/>
      <c r="R66" s="58"/>
      <c r="S66" s="58"/>
      <c r="T66" s="58"/>
      <c r="U66" s="58"/>
      <c r="V66" s="58"/>
      <c r="W66" s="58"/>
      <c r="X66" s="58"/>
      <c r="Y66" s="58"/>
      <c r="Z66" s="58"/>
      <c r="AA66" s="58"/>
      <c r="AB66" s="58"/>
      <c r="AC66" s="58"/>
      <c r="AD66" s="58"/>
    </row>
    <row r="67" spans="1:30" ht="40.200000000000003" customHeight="1" x14ac:dyDescent="0.3">
      <c r="A67" s="58"/>
      <c r="B67"/>
      <c r="C67"/>
      <c r="D67"/>
      <c r="E67"/>
      <c r="F67"/>
      <c r="G67"/>
      <c r="H67" s="68"/>
      <c r="I67" s="58"/>
      <c r="J67" s="58"/>
      <c r="K67" s="58"/>
      <c r="L67" s="58"/>
      <c r="M67" s="58"/>
      <c r="N67" s="58"/>
      <c r="O67" s="58"/>
      <c r="P67" s="58"/>
      <c r="Q67" s="58"/>
      <c r="R67" s="58"/>
      <c r="S67" s="58"/>
      <c r="T67" s="58"/>
      <c r="U67" s="58"/>
      <c r="V67" s="58"/>
      <c r="W67" s="58"/>
      <c r="X67" s="58"/>
      <c r="Y67" s="58"/>
      <c r="Z67" s="58"/>
      <c r="AA67" s="58"/>
      <c r="AB67" s="58"/>
      <c r="AC67" s="58"/>
      <c r="AD67" s="58"/>
    </row>
    <row r="68" spans="1:30" ht="40.200000000000003" customHeight="1" x14ac:dyDescent="0.3">
      <c r="A68" s="58"/>
      <c r="B68"/>
      <c r="C68"/>
      <c r="D68"/>
      <c r="E68"/>
      <c r="F68"/>
      <c r="G68"/>
      <c r="H68" s="68"/>
      <c r="I68" s="58"/>
      <c r="J68" s="58"/>
      <c r="K68" s="58"/>
      <c r="L68" s="58"/>
      <c r="M68" s="58"/>
      <c r="N68" s="58"/>
      <c r="O68" s="58"/>
      <c r="P68" s="58"/>
      <c r="Q68" s="58"/>
      <c r="R68" s="58"/>
      <c r="S68" s="58"/>
      <c r="T68" s="58"/>
      <c r="U68" s="58"/>
      <c r="V68" s="58"/>
      <c r="W68" s="58"/>
      <c r="X68" s="58"/>
      <c r="Y68" s="58"/>
      <c r="Z68" s="58"/>
      <c r="AA68" s="58"/>
      <c r="AB68" s="58"/>
      <c r="AC68" s="58"/>
      <c r="AD68" s="58"/>
    </row>
    <row r="69" spans="1:30" ht="40.200000000000003" customHeight="1" x14ac:dyDescent="0.3">
      <c r="A69" s="58"/>
      <c r="B69"/>
      <c r="C69"/>
      <c r="D69"/>
      <c r="E69"/>
      <c r="F69"/>
      <c r="G69"/>
      <c r="H69" s="68"/>
      <c r="I69" s="58"/>
      <c r="J69" s="58"/>
      <c r="K69" s="58"/>
      <c r="L69" s="58"/>
      <c r="M69" s="58"/>
      <c r="N69" s="58"/>
      <c r="O69" s="58"/>
      <c r="P69" s="58"/>
      <c r="Q69" s="58"/>
      <c r="R69" s="58"/>
      <c r="S69" s="58"/>
      <c r="T69" s="58"/>
      <c r="U69" s="58"/>
      <c r="V69" s="58"/>
      <c r="W69" s="58"/>
      <c r="X69" s="58"/>
      <c r="Y69" s="58"/>
      <c r="Z69" s="58"/>
      <c r="AA69" s="58"/>
      <c r="AB69" s="58"/>
      <c r="AC69" s="58"/>
      <c r="AD69" s="58"/>
    </row>
    <row r="70" spans="1:30" ht="40.200000000000003" customHeight="1" x14ac:dyDescent="0.3">
      <c r="A70" s="58"/>
      <c r="B70"/>
      <c r="C70"/>
      <c r="D70"/>
      <c r="E70"/>
      <c r="F70"/>
      <c r="G70"/>
      <c r="H70" s="68"/>
      <c r="I70" s="58"/>
      <c r="J70" s="58"/>
      <c r="K70" s="58"/>
      <c r="L70" s="58"/>
      <c r="M70" s="58"/>
      <c r="N70" s="58"/>
      <c r="O70" s="58"/>
      <c r="P70" s="58"/>
      <c r="Q70" s="58"/>
      <c r="R70" s="58"/>
      <c r="S70" s="58"/>
      <c r="T70" s="58"/>
      <c r="U70" s="58"/>
      <c r="V70" s="58"/>
      <c r="W70" s="58"/>
      <c r="X70" s="58"/>
      <c r="Y70" s="58"/>
      <c r="Z70" s="58"/>
      <c r="AA70" s="58"/>
      <c r="AB70" s="58"/>
      <c r="AC70" s="58"/>
      <c r="AD70" s="58"/>
    </row>
    <row r="71" spans="1:30" ht="40.200000000000003" customHeight="1" x14ac:dyDescent="0.3">
      <c r="A71" s="58"/>
      <c r="B71"/>
      <c r="C71"/>
      <c r="D71"/>
      <c r="E71"/>
      <c r="F71"/>
      <c r="G71"/>
      <c r="H71" s="68"/>
      <c r="I71" s="58"/>
      <c r="J71" s="58"/>
      <c r="K71" s="58"/>
      <c r="L71" s="58"/>
      <c r="M71" s="58"/>
      <c r="N71" s="58"/>
      <c r="O71" s="58"/>
      <c r="P71" s="58"/>
      <c r="Q71" s="58"/>
      <c r="R71" s="58"/>
      <c r="S71" s="58"/>
      <c r="T71" s="58"/>
      <c r="U71" s="58"/>
      <c r="V71" s="58"/>
      <c r="W71" s="58"/>
      <c r="X71" s="58"/>
      <c r="Y71" s="58"/>
      <c r="Z71" s="58"/>
      <c r="AA71" s="58"/>
      <c r="AB71" s="58"/>
      <c r="AC71" s="58"/>
      <c r="AD71" s="58"/>
    </row>
    <row r="72" spans="1:30" ht="40.200000000000003" customHeight="1" x14ac:dyDescent="0.3">
      <c r="A72" s="58"/>
      <c r="B72"/>
      <c r="C72"/>
      <c r="D72"/>
      <c r="E72"/>
      <c r="F72"/>
      <c r="G72"/>
      <c r="H72" s="68"/>
      <c r="I72" s="58"/>
      <c r="J72" s="58"/>
      <c r="K72" s="58"/>
      <c r="L72" s="58"/>
      <c r="M72" s="58"/>
      <c r="N72" s="58"/>
      <c r="O72" s="58"/>
      <c r="P72" s="58"/>
      <c r="Q72" s="58"/>
      <c r="R72" s="58"/>
      <c r="S72" s="58"/>
      <c r="T72" s="58"/>
      <c r="U72" s="58"/>
      <c r="V72" s="58"/>
      <c r="W72" s="58"/>
      <c r="X72" s="58"/>
      <c r="Y72" s="58"/>
      <c r="Z72" s="58"/>
      <c r="AA72" s="58"/>
      <c r="AB72" s="58"/>
      <c r="AC72" s="58"/>
      <c r="AD72" s="58"/>
    </row>
    <row r="73" spans="1:30" ht="40.200000000000003" customHeight="1" x14ac:dyDescent="0.3">
      <c r="A73" s="58"/>
      <c r="B73"/>
      <c r="C73"/>
      <c r="D73"/>
      <c r="E73"/>
      <c r="F73"/>
      <c r="G73"/>
      <c r="H73" s="68"/>
      <c r="I73" s="58"/>
      <c r="J73" s="58"/>
      <c r="K73" s="58"/>
      <c r="L73" s="58"/>
      <c r="M73" s="58"/>
      <c r="N73" s="58"/>
      <c r="O73" s="58"/>
      <c r="P73" s="58"/>
      <c r="Q73" s="58"/>
      <c r="R73" s="58"/>
      <c r="S73" s="58"/>
      <c r="T73" s="58"/>
      <c r="U73" s="58"/>
      <c r="V73" s="58"/>
      <c r="W73" s="58"/>
      <c r="X73" s="58"/>
      <c r="Y73" s="58"/>
      <c r="Z73" s="58"/>
      <c r="AA73" s="58"/>
      <c r="AB73" s="58"/>
      <c r="AC73" s="58"/>
      <c r="AD73" s="58"/>
    </row>
    <row r="74" spans="1:30" ht="40.200000000000003" customHeight="1" x14ac:dyDescent="0.3">
      <c r="A74" s="58"/>
      <c r="B74"/>
      <c r="C74"/>
      <c r="D74"/>
      <c r="E74"/>
      <c r="F74"/>
      <c r="G74"/>
      <c r="H74" s="68"/>
      <c r="I74" s="58"/>
      <c r="J74" s="58"/>
      <c r="K74" s="58"/>
      <c r="L74" s="58"/>
      <c r="M74" s="58"/>
      <c r="N74" s="58"/>
      <c r="O74" s="58"/>
      <c r="P74" s="58"/>
      <c r="Q74" s="58"/>
      <c r="R74" s="58"/>
      <c r="S74" s="58"/>
      <c r="T74" s="58"/>
      <c r="U74" s="58"/>
      <c r="V74" s="58"/>
      <c r="W74" s="58"/>
      <c r="X74" s="58"/>
      <c r="Y74" s="58"/>
      <c r="Z74" s="58"/>
      <c r="AA74" s="58"/>
      <c r="AB74" s="58"/>
      <c r="AC74" s="58"/>
      <c r="AD74" s="58"/>
    </row>
    <row r="75" spans="1:30" ht="40.200000000000003" customHeight="1" x14ac:dyDescent="0.3">
      <c r="A75" s="58"/>
      <c r="B75"/>
      <c r="C75"/>
      <c r="D75"/>
      <c r="E75"/>
      <c r="F75"/>
      <c r="G75"/>
      <c r="H75" s="68"/>
      <c r="I75" s="58"/>
      <c r="J75" s="58"/>
      <c r="K75" s="58"/>
      <c r="L75" s="58"/>
      <c r="M75" s="58"/>
      <c r="N75" s="58"/>
      <c r="O75" s="58"/>
      <c r="P75" s="58"/>
      <c r="Q75" s="58"/>
      <c r="R75" s="58"/>
      <c r="S75" s="58"/>
      <c r="T75" s="58"/>
      <c r="U75" s="58"/>
      <c r="V75" s="58"/>
      <c r="W75" s="58"/>
      <c r="X75" s="58"/>
      <c r="Y75" s="58"/>
      <c r="Z75" s="58"/>
      <c r="AA75" s="58"/>
      <c r="AB75" s="58"/>
      <c r="AC75" s="58"/>
      <c r="AD75" s="58"/>
    </row>
    <row r="76" spans="1:30" ht="40.200000000000003" customHeight="1" x14ac:dyDescent="0.3">
      <c r="A76" s="58"/>
      <c r="B76"/>
      <c r="C76"/>
      <c r="D76"/>
      <c r="E76"/>
      <c r="F76"/>
      <c r="G76"/>
      <c r="H76" s="75"/>
      <c r="I76" s="58"/>
      <c r="J76" s="58"/>
      <c r="K76" s="58"/>
      <c r="L76" s="58"/>
      <c r="M76" s="58"/>
      <c r="N76" s="58"/>
      <c r="O76" s="58"/>
      <c r="P76" s="58"/>
      <c r="Q76" s="58"/>
      <c r="R76" s="58"/>
      <c r="S76" s="58"/>
      <c r="T76" s="58"/>
      <c r="U76" s="58"/>
      <c r="V76" s="58"/>
      <c r="W76" s="58"/>
      <c r="X76" s="58"/>
      <c r="Y76" s="58"/>
      <c r="Z76" s="58"/>
      <c r="AA76" s="58"/>
      <c r="AB76" s="58"/>
      <c r="AC76" s="58"/>
      <c r="AD76" s="58"/>
    </row>
    <row r="77" spans="1:30" ht="40.200000000000003" customHeight="1" x14ac:dyDescent="0.3">
      <c r="A77" s="58"/>
      <c r="B77"/>
      <c r="C77"/>
      <c r="D77"/>
      <c r="E77"/>
      <c r="F77"/>
      <c r="G77"/>
      <c r="H77" s="75"/>
      <c r="I77" s="58"/>
      <c r="J77" s="58"/>
      <c r="K77" s="58"/>
      <c r="L77" s="58"/>
      <c r="M77" s="58"/>
      <c r="N77" s="58"/>
      <c r="O77" s="58"/>
      <c r="P77" s="58"/>
      <c r="Q77" s="58"/>
      <c r="R77" s="58"/>
      <c r="S77" s="58"/>
      <c r="T77" s="58"/>
      <c r="U77" s="58"/>
      <c r="V77" s="58"/>
      <c r="W77" s="58"/>
      <c r="X77" s="58"/>
      <c r="Y77" s="58"/>
      <c r="Z77" s="58"/>
      <c r="AA77" s="58"/>
      <c r="AB77" s="58"/>
      <c r="AC77" s="58"/>
      <c r="AD77" s="58"/>
    </row>
    <row r="78" spans="1:30" ht="40.200000000000003" customHeight="1" x14ac:dyDescent="0.3">
      <c r="A78" s="58"/>
      <c r="B78"/>
      <c r="C78"/>
      <c r="D78"/>
      <c r="E78"/>
      <c r="F78"/>
      <c r="G78"/>
      <c r="H78" s="75"/>
      <c r="I78" s="58"/>
      <c r="J78" s="58"/>
      <c r="K78" s="58"/>
      <c r="L78" s="58"/>
      <c r="M78" s="58"/>
      <c r="N78" s="58"/>
      <c r="O78" s="58"/>
      <c r="P78" s="58"/>
      <c r="Q78" s="58"/>
      <c r="R78" s="58"/>
      <c r="S78" s="58"/>
      <c r="T78" s="58"/>
      <c r="U78" s="58"/>
      <c r="V78" s="58"/>
      <c r="W78" s="58"/>
      <c r="X78" s="58"/>
      <c r="Y78" s="58"/>
      <c r="Z78" s="58"/>
      <c r="AA78" s="58"/>
      <c r="AB78" s="58"/>
      <c r="AC78" s="58"/>
      <c r="AD78" s="58"/>
    </row>
    <row r="79" spans="1:30" ht="40.200000000000003" customHeight="1" x14ac:dyDescent="0.3">
      <c r="A79" s="58"/>
      <c r="B79"/>
      <c r="C79"/>
      <c r="D79"/>
      <c r="E79"/>
      <c r="F79"/>
      <c r="G79"/>
      <c r="H79" s="75"/>
      <c r="I79" s="58"/>
      <c r="J79" s="58"/>
      <c r="K79" s="58"/>
      <c r="L79" s="58"/>
      <c r="M79" s="58"/>
      <c r="N79" s="58"/>
      <c r="O79" s="58"/>
      <c r="P79" s="58"/>
      <c r="Q79" s="58"/>
      <c r="R79" s="58"/>
      <c r="S79" s="58"/>
      <c r="T79" s="58"/>
      <c r="U79" s="58"/>
      <c r="V79" s="58"/>
      <c r="W79" s="58"/>
      <c r="X79" s="58"/>
      <c r="Y79" s="58"/>
      <c r="Z79" s="58"/>
      <c r="AA79" s="58"/>
      <c r="AB79" s="58"/>
      <c r="AC79" s="58"/>
      <c r="AD79" s="58"/>
    </row>
    <row r="80" spans="1:30" ht="40.200000000000003" customHeight="1" x14ac:dyDescent="0.3">
      <c r="A80" s="58"/>
      <c r="B80"/>
      <c r="C80"/>
      <c r="D80"/>
      <c r="E80"/>
      <c r="F80"/>
      <c r="G80"/>
      <c r="H80" s="75"/>
      <c r="I80" s="58"/>
      <c r="J80" s="58"/>
      <c r="K80" s="58"/>
      <c r="L80" s="58"/>
      <c r="M80" s="58"/>
      <c r="N80" s="58"/>
      <c r="O80" s="58"/>
      <c r="P80" s="58"/>
      <c r="Q80" s="58"/>
      <c r="R80" s="58"/>
      <c r="S80" s="58"/>
      <c r="T80" s="58"/>
      <c r="U80" s="58"/>
      <c r="V80" s="58"/>
      <c r="W80" s="58"/>
      <c r="X80" s="58"/>
      <c r="Y80" s="58"/>
      <c r="Z80" s="58"/>
      <c r="AA80" s="58"/>
      <c r="AB80" s="58"/>
      <c r="AC80" s="58"/>
      <c r="AD80" s="58"/>
    </row>
    <row r="81" spans="1:30" ht="40.200000000000003" customHeight="1" x14ac:dyDescent="0.3">
      <c r="A81" s="58"/>
      <c r="B81"/>
      <c r="C81"/>
      <c r="D81"/>
      <c r="E81"/>
      <c r="F81"/>
      <c r="G81"/>
      <c r="H81" s="75"/>
      <c r="I81" s="58"/>
      <c r="J81" s="58"/>
      <c r="K81" s="58"/>
      <c r="L81" s="58"/>
      <c r="M81" s="58"/>
      <c r="N81" s="58"/>
      <c r="O81" s="58"/>
      <c r="P81" s="58"/>
      <c r="Q81" s="58"/>
      <c r="R81" s="58"/>
      <c r="S81" s="58"/>
      <c r="T81" s="58"/>
      <c r="U81" s="58"/>
      <c r="V81" s="58"/>
      <c r="W81" s="58"/>
      <c r="X81" s="58"/>
      <c r="Y81" s="58"/>
      <c r="Z81" s="58"/>
      <c r="AA81" s="58"/>
      <c r="AB81" s="58"/>
      <c r="AC81" s="58"/>
      <c r="AD81" s="58"/>
    </row>
    <row r="82" spans="1:30" ht="40.200000000000003" customHeight="1" x14ac:dyDescent="0.3">
      <c r="A82" s="58"/>
      <c r="B82"/>
      <c r="C82"/>
      <c r="D82"/>
      <c r="E82"/>
      <c r="F82"/>
      <c r="G82"/>
      <c r="H82" s="75"/>
      <c r="I82" s="58"/>
      <c r="J82" s="58"/>
      <c r="K82" s="58"/>
      <c r="L82" s="58"/>
      <c r="M82" s="58"/>
      <c r="N82" s="58"/>
      <c r="O82" s="58"/>
      <c r="P82" s="58"/>
      <c r="Q82" s="58"/>
      <c r="R82" s="58"/>
      <c r="S82" s="58"/>
      <c r="T82" s="58"/>
      <c r="U82" s="58"/>
      <c r="V82" s="58"/>
      <c r="W82" s="58"/>
      <c r="X82" s="58"/>
      <c r="Y82" s="58"/>
      <c r="Z82" s="58"/>
      <c r="AA82" s="58"/>
      <c r="AB82" s="58"/>
      <c r="AC82" s="58"/>
      <c r="AD82" s="58"/>
    </row>
    <row r="83" spans="1:30" ht="40.200000000000003" customHeight="1" x14ac:dyDescent="0.3">
      <c r="A83" s="58"/>
      <c r="B83"/>
      <c r="C83"/>
      <c r="D83"/>
      <c r="E83"/>
      <c r="F83"/>
      <c r="G83"/>
      <c r="H83" s="75"/>
      <c r="I83" s="58"/>
      <c r="J83" s="58"/>
      <c r="K83" s="58"/>
      <c r="L83" s="58"/>
      <c r="M83" s="58"/>
      <c r="N83" s="58"/>
      <c r="O83" s="58"/>
      <c r="P83" s="58"/>
      <c r="Q83" s="58"/>
      <c r="R83" s="58"/>
      <c r="S83" s="58"/>
      <c r="T83" s="58"/>
      <c r="U83" s="58"/>
      <c r="V83" s="58"/>
      <c r="W83" s="58"/>
      <c r="X83" s="58"/>
      <c r="Y83" s="58"/>
      <c r="Z83" s="58"/>
      <c r="AA83" s="58"/>
      <c r="AB83" s="58"/>
      <c r="AC83" s="58"/>
      <c r="AD83" s="58"/>
    </row>
    <row r="84" spans="1:30" ht="40.200000000000003" customHeight="1" x14ac:dyDescent="0.3">
      <c r="A84" s="58"/>
      <c r="B84"/>
      <c r="C84"/>
      <c r="D84"/>
      <c r="E84"/>
      <c r="F84"/>
      <c r="G84"/>
      <c r="H84" s="75"/>
      <c r="I84" s="58"/>
      <c r="J84" s="58"/>
      <c r="K84" s="58"/>
      <c r="L84" s="58"/>
      <c r="M84" s="58"/>
      <c r="N84" s="58"/>
      <c r="O84" s="58"/>
      <c r="P84" s="58"/>
      <c r="Q84" s="58"/>
      <c r="R84" s="58"/>
      <c r="S84" s="58"/>
      <c r="T84" s="58"/>
      <c r="U84" s="58"/>
      <c r="V84" s="58"/>
      <c r="W84" s="58"/>
      <c r="X84" s="58"/>
      <c r="Y84" s="58"/>
      <c r="Z84" s="58"/>
      <c r="AA84" s="58"/>
      <c r="AB84" s="58"/>
      <c r="AC84" s="58"/>
      <c r="AD84" s="58"/>
    </row>
    <row r="85" spans="1:30" ht="40.200000000000003" customHeight="1" x14ac:dyDescent="0.3">
      <c r="A85" s="58"/>
      <c r="B85"/>
      <c r="C85"/>
      <c r="D85"/>
      <c r="E85"/>
      <c r="F85"/>
      <c r="G85"/>
      <c r="H85" s="75"/>
      <c r="I85" s="58"/>
      <c r="J85" s="58"/>
      <c r="K85" s="58"/>
      <c r="L85" s="58"/>
      <c r="M85" s="58"/>
      <c r="N85" s="58"/>
      <c r="O85" s="58"/>
      <c r="P85" s="58"/>
      <c r="Q85" s="58"/>
      <c r="R85" s="58"/>
      <c r="S85" s="58"/>
      <c r="T85" s="58"/>
      <c r="U85" s="58"/>
      <c r="V85" s="58"/>
      <c r="W85" s="58"/>
      <c r="X85" s="58"/>
      <c r="Y85" s="58"/>
      <c r="Z85" s="58"/>
      <c r="AA85" s="58"/>
      <c r="AB85" s="58"/>
      <c r="AC85" s="58"/>
      <c r="AD85" s="58"/>
    </row>
    <row r="86" spans="1:30" ht="40.200000000000003" customHeight="1" x14ac:dyDescent="0.3">
      <c r="A86" s="58"/>
      <c r="B86"/>
      <c r="C86"/>
      <c r="D86"/>
      <c r="E86"/>
      <c r="F86"/>
      <c r="G86"/>
      <c r="H86" s="75"/>
      <c r="I86" s="58"/>
      <c r="J86" s="58"/>
      <c r="K86" s="58"/>
      <c r="L86" s="58"/>
      <c r="M86" s="58"/>
      <c r="N86" s="58"/>
      <c r="O86" s="58"/>
      <c r="P86" s="58"/>
      <c r="Q86" s="58"/>
      <c r="R86" s="58"/>
      <c r="S86" s="58"/>
      <c r="T86" s="58"/>
      <c r="U86" s="58"/>
      <c r="V86" s="58"/>
      <c r="W86" s="58"/>
      <c r="X86" s="58"/>
      <c r="Y86" s="58"/>
      <c r="Z86" s="58"/>
      <c r="AA86" s="58"/>
      <c r="AB86" s="58"/>
      <c r="AC86" s="58"/>
      <c r="AD86" s="58"/>
    </row>
    <row r="87" spans="1:30" ht="40.200000000000003" customHeight="1" x14ac:dyDescent="0.3">
      <c r="A87" s="58"/>
      <c r="B87"/>
      <c r="C87"/>
      <c r="D87"/>
      <c r="E87"/>
      <c r="F87"/>
      <c r="G87"/>
      <c r="H87" s="75"/>
      <c r="I87" s="58"/>
      <c r="J87" s="58"/>
      <c r="K87" s="58"/>
      <c r="L87" s="58"/>
      <c r="M87" s="58"/>
      <c r="N87" s="58"/>
      <c r="O87" s="58"/>
      <c r="P87" s="58"/>
      <c r="Q87" s="58"/>
      <c r="R87" s="58"/>
      <c r="S87" s="58"/>
      <c r="T87" s="58"/>
      <c r="U87" s="58"/>
      <c r="V87" s="58"/>
      <c r="W87" s="58"/>
      <c r="X87" s="58"/>
      <c r="Y87" s="58"/>
      <c r="Z87" s="58"/>
      <c r="AA87" s="58"/>
      <c r="AB87" s="58"/>
      <c r="AC87" s="58"/>
      <c r="AD87" s="58"/>
    </row>
    <row r="88" spans="1:30" ht="40.200000000000003" customHeight="1" x14ac:dyDescent="0.3">
      <c r="A88" s="58"/>
      <c r="B88"/>
      <c r="C88"/>
      <c r="D88"/>
      <c r="E88"/>
      <c r="F88"/>
      <c r="G88"/>
      <c r="H88" s="75"/>
      <c r="I88" s="58"/>
      <c r="J88" s="58"/>
      <c r="K88" s="58"/>
      <c r="L88" s="58"/>
      <c r="M88" s="58"/>
      <c r="N88" s="58"/>
      <c r="O88" s="58"/>
      <c r="P88" s="58"/>
      <c r="Q88" s="58"/>
      <c r="R88" s="58"/>
      <c r="S88" s="58"/>
      <c r="T88" s="58"/>
      <c r="U88" s="58"/>
      <c r="V88" s="58"/>
      <c r="W88" s="58"/>
      <c r="X88" s="58"/>
      <c r="Y88" s="58"/>
      <c r="Z88" s="58"/>
      <c r="AA88" s="58"/>
      <c r="AB88" s="58"/>
      <c r="AC88" s="58"/>
      <c r="AD88" s="58"/>
    </row>
    <row r="89" spans="1:30" ht="40.200000000000003" customHeight="1" x14ac:dyDescent="0.3">
      <c r="A89" s="58"/>
      <c r="B89"/>
      <c r="C89"/>
      <c r="D89"/>
      <c r="E89"/>
      <c r="F89"/>
      <c r="G89"/>
      <c r="H89" s="75"/>
      <c r="I89" s="58"/>
      <c r="J89" s="58"/>
      <c r="K89" s="58"/>
      <c r="L89" s="58"/>
      <c r="M89" s="58"/>
      <c r="N89" s="58"/>
      <c r="O89" s="58"/>
      <c r="P89" s="58"/>
      <c r="Q89" s="58"/>
      <c r="R89" s="58"/>
      <c r="S89" s="58"/>
      <c r="T89" s="58"/>
      <c r="U89" s="58"/>
      <c r="V89" s="58"/>
      <c r="W89" s="58"/>
      <c r="X89" s="58"/>
      <c r="Y89" s="58"/>
      <c r="Z89" s="58"/>
      <c r="AA89" s="58"/>
      <c r="AB89" s="58"/>
      <c r="AC89" s="58"/>
      <c r="AD89" s="58"/>
    </row>
    <row r="90" spans="1:30" ht="40.200000000000003" customHeight="1" x14ac:dyDescent="0.3">
      <c r="A90" s="58"/>
      <c r="B90"/>
      <c r="C90"/>
      <c r="D90"/>
      <c r="E90"/>
      <c r="F90"/>
      <c r="G90"/>
      <c r="H90" s="75"/>
      <c r="I90" s="58"/>
      <c r="J90" s="58"/>
      <c r="K90" s="58"/>
      <c r="L90" s="58"/>
      <c r="M90" s="58"/>
      <c r="N90" s="58"/>
      <c r="O90" s="58"/>
      <c r="P90" s="58"/>
      <c r="Q90" s="58"/>
      <c r="R90" s="58"/>
      <c r="S90" s="58"/>
      <c r="T90" s="58"/>
      <c r="U90" s="58"/>
      <c r="V90" s="58"/>
      <c r="W90" s="58"/>
      <c r="X90" s="58"/>
      <c r="Y90" s="58"/>
      <c r="Z90" s="58"/>
      <c r="AA90" s="58"/>
      <c r="AB90" s="58"/>
      <c r="AC90" s="58"/>
      <c r="AD90" s="58"/>
    </row>
    <row r="91" spans="1:30" ht="40.200000000000003" customHeight="1" x14ac:dyDescent="0.3">
      <c r="A91" s="58"/>
      <c r="B91"/>
      <c r="C91"/>
      <c r="D91"/>
      <c r="E91"/>
      <c r="F91"/>
      <c r="G91"/>
      <c r="H91" s="75"/>
      <c r="I91" s="58"/>
      <c r="J91" s="58"/>
      <c r="K91" s="58"/>
      <c r="L91" s="58"/>
      <c r="M91" s="58"/>
      <c r="N91" s="58"/>
      <c r="O91" s="58"/>
      <c r="P91" s="58"/>
      <c r="Q91" s="58"/>
      <c r="R91" s="58"/>
      <c r="S91" s="58"/>
      <c r="T91" s="58"/>
      <c r="U91" s="58"/>
      <c r="V91" s="58"/>
      <c r="W91" s="58"/>
      <c r="X91" s="58"/>
      <c r="Y91" s="58"/>
      <c r="Z91" s="58"/>
      <c r="AA91" s="58"/>
      <c r="AB91" s="58"/>
      <c r="AC91" s="58"/>
      <c r="AD91" s="58"/>
    </row>
    <row r="92" spans="1:30" ht="40.200000000000003" customHeight="1" x14ac:dyDescent="0.3">
      <c r="A92" s="58"/>
      <c r="B92"/>
      <c r="C92"/>
      <c r="D92"/>
      <c r="E92"/>
      <c r="F92"/>
      <c r="G92"/>
      <c r="H92" s="75"/>
      <c r="I92" s="58"/>
      <c r="J92" s="58"/>
      <c r="K92" s="58"/>
      <c r="L92" s="58"/>
      <c r="M92" s="58"/>
      <c r="N92" s="58"/>
      <c r="O92" s="58"/>
      <c r="P92" s="58"/>
      <c r="Q92" s="58"/>
      <c r="R92" s="58"/>
      <c r="S92" s="58"/>
      <c r="T92" s="58"/>
      <c r="U92" s="58"/>
      <c r="V92" s="58"/>
      <c r="W92" s="58"/>
      <c r="X92" s="58"/>
      <c r="Y92" s="58"/>
      <c r="Z92" s="58"/>
      <c r="AA92" s="58"/>
      <c r="AB92" s="58"/>
      <c r="AC92" s="58"/>
      <c r="AD92" s="58"/>
    </row>
    <row r="93" spans="1:30" ht="40.200000000000003" customHeight="1" x14ac:dyDescent="0.3">
      <c r="A93" s="58"/>
      <c r="B93"/>
      <c r="C93"/>
      <c r="D93"/>
      <c r="E93"/>
      <c r="F93"/>
      <c r="G93"/>
      <c r="H93" s="75"/>
      <c r="I93" s="58"/>
      <c r="J93" s="58"/>
      <c r="K93" s="58"/>
      <c r="L93" s="58"/>
      <c r="M93" s="58"/>
      <c r="N93" s="58"/>
      <c r="O93" s="58"/>
      <c r="P93" s="58"/>
      <c r="Q93" s="58"/>
      <c r="R93" s="58"/>
      <c r="S93" s="58"/>
      <c r="T93" s="58"/>
      <c r="U93" s="58"/>
      <c r="V93" s="58"/>
      <c r="W93" s="58"/>
      <c r="X93" s="58"/>
      <c r="Y93" s="58"/>
      <c r="Z93" s="58"/>
      <c r="AA93" s="58"/>
      <c r="AB93" s="58"/>
      <c r="AC93" s="58"/>
      <c r="AD93" s="58"/>
    </row>
    <row r="94" spans="1:30" ht="40.200000000000003" customHeight="1" x14ac:dyDescent="0.3">
      <c r="A94" s="58"/>
      <c r="B94"/>
      <c r="C94"/>
      <c r="D94"/>
      <c r="E94"/>
      <c r="F94"/>
      <c r="G94"/>
      <c r="H94" s="75"/>
      <c r="I94" s="58"/>
      <c r="J94" s="58"/>
      <c r="K94" s="58"/>
      <c r="L94" s="58"/>
      <c r="M94" s="58"/>
      <c r="N94" s="58"/>
      <c r="O94" s="58"/>
      <c r="P94" s="58"/>
      <c r="Q94" s="58"/>
      <c r="R94" s="58"/>
      <c r="S94" s="58"/>
      <c r="T94" s="58"/>
      <c r="U94" s="58"/>
      <c r="V94" s="58"/>
      <c r="W94" s="58"/>
      <c r="X94" s="58"/>
      <c r="Y94" s="58"/>
      <c r="Z94" s="58"/>
      <c r="AA94" s="58"/>
      <c r="AB94" s="58"/>
      <c r="AC94" s="58"/>
      <c r="AD94" s="58"/>
    </row>
    <row r="95" spans="1:30" ht="40.200000000000003" customHeight="1" x14ac:dyDescent="0.3">
      <c r="A95" s="58"/>
      <c r="B95"/>
      <c r="C95"/>
      <c r="D95"/>
      <c r="E95"/>
      <c r="F95"/>
      <c r="G95"/>
      <c r="H95" s="75"/>
      <c r="I95" s="58"/>
      <c r="J95" s="58"/>
      <c r="K95" s="58"/>
      <c r="L95" s="58"/>
      <c r="M95" s="58"/>
      <c r="N95" s="58"/>
      <c r="O95" s="58"/>
      <c r="P95" s="58"/>
      <c r="Q95" s="58"/>
      <c r="R95" s="58"/>
      <c r="S95" s="58"/>
      <c r="T95" s="58"/>
      <c r="U95" s="58"/>
      <c r="V95" s="58"/>
      <c r="W95" s="58"/>
      <c r="X95" s="58"/>
      <c r="Y95" s="58"/>
      <c r="Z95" s="58"/>
      <c r="AA95" s="58"/>
      <c r="AB95" s="58"/>
      <c r="AC95" s="58"/>
      <c r="AD95" s="58"/>
    </row>
    <row r="96" spans="1:30" ht="40.200000000000003" customHeight="1" x14ac:dyDescent="0.3">
      <c r="A96" s="58"/>
      <c r="B96"/>
      <c r="C96"/>
      <c r="D96"/>
      <c r="E96"/>
      <c r="F96"/>
      <c r="G96"/>
      <c r="H96" s="75"/>
      <c r="I96" s="58"/>
      <c r="J96" s="58"/>
      <c r="K96" s="58"/>
      <c r="L96" s="58"/>
      <c r="M96" s="58"/>
      <c r="N96" s="58"/>
      <c r="O96" s="58"/>
      <c r="P96" s="58"/>
      <c r="Q96" s="58"/>
      <c r="R96" s="58"/>
      <c r="S96" s="58"/>
      <c r="T96" s="58"/>
      <c r="U96" s="58"/>
      <c r="V96" s="58"/>
      <c r="W96" s="58"/>
      <c r="X96" s="58"/>
      <c r="Y96" s="58"/>
      <c r="Z96" s="58"/>
      <c r="AA96" s="58"/>
      <c r="AB96" s="58"/>
      <c r="AC96" s="58"/>
      <c r="AD96" s="58"/>
    </row>
    <row r="97" spans="1:30" ht="40.200000000000003" customHeight="1" x14ac:dyDescent="0.3">
      <c r="A97" s="58"/>
      <c r="B97"/>
      <c r="C97"/>
      <c r="D97"/>
      <c r="E97"/>
      <c r="F97"/>
      <c r="G97"/>
      <c r="H97" s="75"/>
      <c r="I97" s="58"/>
      <c r="J97" s="58"/>
      <c r="K97" s="58"/>
      <c r="L97" s="58"/>
      <c r="M97" s="58"/>
      <c r="N97" s="58"/>
      <c r="O97" s="58"/>
      <c r="P97" s="58"/>
      <c r="Q97" s="58"/>
      <c r="R97" s="58"/>
      <c r="S97" s="58"/>
      <c r="T97" s="58"/>
      <c r="U97" s="58"/>
      <c r="V97" s="58"/>
      <c r="W97" s="58"/>
      <c r="X97" s="58"/>
      <c r="Y97" s="58"/>
      <c r="Z97" s="58"/>
      <c r="AA97" s="58"/>
      <c r="AB97" s="58"/>
      <c r="AC97" s="58"/>
      <c r="AD97" s="58"/>
    </row>
    <row r="98" spans="1:30" ht="40.200000000000003" customHeight="1" x14ac:dyDescent="0.3">
      <c r="A98" s="58"/>
      <c r="B98"/>
      <c r="C98"/>
      <c r="D98"/>
      <c r="E98"/>
      <c r="F98"/>
      <c r="G98"/>
      <c r="H98" s="75"/>
      <c r="I98" s="58"/>
      <c r="J98" s="58"/>
      <c r="K98" s="58"/>
      <c r="L98" s="58"/>
      <c r="M98" s="58"/>
      <c r="N98" s="58"/>
      <c r="O98" s="58"/>
      <c r="P98" s="58"/>
      <c r="Q98" s="58"/>
      <c r="R98" s="58"/>
      <c r="S98" s="58"/>
      <c r="T98" s="58"/>
      <c r="U98" s="58"/>
      <c r="V98" s="58"/>
      <c r="W98" s="58"/>
      <c r="X98" s="58"/>
      <c r="Y98" s="58"/>
      <c r="Z98" s="58"/>
      <c r="AA98" s="58"/>
      <c r="AB98" s="58"/>
      <c r="AC98" s="58"/>
      <c r="AD98" s="58"/>
    </row>
    <row r="99" spans="1:30" ht="40.200000000000003" customHeight="1" x14ac:dyDescent="0.3">
      <c r="A99" s="58"/>
      <c r="B99"/>
      <c r="C99"/>
      <c r="D99"/>
      <c r="E99"/>
      <c r="F99"/>
      <c r="G99"/>
      <c r="H99" s="75"/>
      <c r="I99" s="58"/>
      <c r="J99" s="58"/>
      <c r="K99" s="58"/>
      <c r="L99" s="58"/>
      <c r="M99" s="58"/>
      <c r="N99" s="58"/>
      <c r="O99" s="58"/>
      <c r="P99" s="58"/>
      <c r="Q99" s="58"/>
      <c r="R99" s="58"/>
      <c r="S99" s="58"/>
      <c r="T99" s="58"/>
      <c r="U99" s="58"/>
      <c r="V99" s="58"/>
      <c r="W99" s="58"/>
      <c r="X99" s="58"/>
      <c r="Y99" s="58"/>
      <c r="Z99" s="58"/>
      <c r="AA99" s="58"/>
      <c r="AB99" s="58"/>
      <c r="AC99" s="58"/>
      <c r="AD99" s="58"/>
    </row>
    <row r="100" spans="1:30" ht="40.200000000000003" customHeight="1" x14ac:dyDescent="0.3">
      <c r="A100" s="58"/>
      <c r="B100"/>
      <c r="C100"/>
      <c r="D100"/>
      <c r="E100"/>
      <c r="F100"/>
      <c r="G100"/>
      <c r="H100" s="75"/>
      <c r="I100" s="58"/>
      <c r="J100" s="58"/>
      <c r="K100" s="58"/>
      <c r="L100" s="58"/>
      <c r="M100" s="58"/>
      <c r="N100" s="58"/>
      <c r="O100" s="58"/>
      <c r="P100" s="58"/>
      <c r="Q100" s="58"/>
      <c r="R100" s="58"/>
      <c r="S100" s="58"/>
      <c r="T100" s="58"/>
      <c r="U100" s="58"/>
      <c r="V100" s="58"/>
      <c r="W100" s="58"/>
      <c r="X100" s="58"/>
      <c r="Y100" s="58"/>
      <c r="Z100" s="58"/>
      <c r="AA100" s="58"/>
      <c r="AB100" s="58"/>
      <c r="AC100" s="58"/>
      <c r="AD100" s="58"/>
    </row>
    <row r="101" spans="1:30" ht="40.200000000000003" customHeight="1" x14ac:dyDescent="0.3">
      <c r="A101" s="58"/>
      <c r="B101"/>
      <c r="C101"/>
      <c r="D101"/>
      <c r="E101"/>
      <c r="F101"/>
      <c r="G101"/>
      <c r="H101" s="75"/>
      <c r="I101" s="58"/>
      <c r="J101" s="58"/>
      <c r="K101" s="58"/>
      <c r="L101" s="58"/>
      <c r="M101" s="58"/>
      <c r="N101" s="58"/>
      <c r="O101" s="58"/>
      <c r="P101" s="58"/>
      <c r="Q101" s="58"/>
      <c r="R101" s="58"/>
      <c r="S101" s="58"/>
      <c r="T101" s="58"/>
      <c r="U101" s="58"/>
      <c r="V101" s="58"/>
      <c r="W101" s="58"/>
      <c r="X101" s="58"/>
      <c r="Y101" s="58"/>
      <c r="Z101" s="58"/>
      <c r="AA101" s="58"/>
      <c r="AB101" s="58"/>
      <c r="AC101" s="58"/>
      <c r="AD101" s="58"/>
    </row>
    <row r="102" spans="1:30" ht="40.200000000000003" customHeight="1" x14ac:dyDescent="0.3">
      <c r="A102" s="58"/>
      <c r="B102"/>
      <c r="C102"/>
      <c r="D102"/>
      <c r="E102"/>
      <c r="F102"/>
      <c r="G102"/>
      <c r="H102" s="75"/>
      <c r="I102" s="58"/>
      <c r="J102" s="58"/>
      <c r="K102" s="58"/>
      <c r="L102" s="58"/>
      <c r="M102" s="58"/>
      <c r="N102" s="58"/>
      <c r="O102" s="58"/>
      <c r="P102" s="58"/>
      <c r="Q102" s="58"/>
      <c r="R102" s="58"/>
      <c r="S102" s="58"/>
      <c r="T102" s="58"/>
      <c r="U102" s="58"/>
      <c r="V102" s="58"/>
      <c r="W102" s="58"/>
      <c r="X102" s="58"/>
      <c r="Y102" s="58"/>
      <c r="Z102" s="58"/>
      <c r="AA102" s="58"/>
      <c r="AB102" s="58"/>
      <c r="AC102" s="58"/>
      <c r="AD102" s="58"/>
    </row>
    <row r="103" spans="1:30" ht="40.200000000000003" customHeight="1" x14ac:dyDescent="0.3">
      <c r="A103" s="58"/>
      <c r="B103"/>
      <c r="C103"/>
      <c r="D103"/>
      <c r="E103"/>
      <c r="F103"/>
      <c r="G103"/>
      <c r="H103" s="75"/>
      <c r="I103" s="58"/>
      <c r="J103" s="58"/>
      <c r="K103" s="58"/>
      <c r="L103" s="58"/>
      <c r="M103" s="58"/>
      <c r="N103" s="58"/>
      <c r="O103" s="58"/>
      <c r="P103" s="58"/>
      <c r="Q103" s="58"/>
      <c r="R103" s="58"/>
      <c r="S103" s="58"/>
      <c r="T103" s="58"/>
      <c r="U103" s="58"/>
      <c r="V103" s="58"/>
      <c r="W103" s="58"/>
      <c r="X103" s="58"/>
      <c r="Y103" s="58"/>
      <c r="Z103" s="58"/>
      <c r="AA103" s="58"/>
      <c r="AB103" s="58"/>
      <c r="AC103" s="58"/>
      <c r="AD103" s="58"/>
    </row>
    <row r="104" spans="1:30" ht="40.200000000000003" customHeight="1" x14ac:dyDescent="0.3">
      <c r="A104" s="58"/>
      <c r="B104"/>
      <c r="C104"/>
      <c r="D104"/>
      <c r="E104"/>
      <c r="F104"/>
      <c r="G104"/>
      <c r="H104" s="75"/>
      <c r="I104" s="58"/>
      <c r="J104" s="58"/>
      <c r="K104" s="58"/>
      <c r="L104" s="58"/>
      <c r="M104" s="58"/>
      <c r="N104" s="58"/>
      <c r="O104" s="58"/>
      <c r="P104" s="58"/>
      <c r="Q104" s="58"/>
      <c r="R104" s="58"/>
      <c r="S104" s="58"/>
      <c r="T104" s="58"/>
      <c r="U104" s="58"/>
      <c r="V104" s="58"/>
      <c r="W104" s="58"/>
      <c r="X104" s="58"/>
      <c r="Y104" s="58"/>
      <c r="Z104" s="58"/>
      <c r="AA104" s="58"/>
      <c r="AB104" s="58"/>
      <c r="AC104" s="58"/>
      <c r="AD104" s="58"/>
    </row>
    <row r="105" spans="1:30" ht="40.200000000000003" customHeight="1" x14ac:dyDescent="0.3">
      <c r="A105" s="58"/>
      <c r="B105"/>
      <c r="C105"/>
      <c r="D105"/>
      <c r="E105"/>
      <c r="F105"/>
      <c r="G105"/>
      <c r="H105" s="75"/>
      <c r="I105" s="58"/>
      <c r="J105" s="58"/>
      <c r="K105" s="58"/>
      <c r="L105" s="58"/>
      <c r="M105" s="58"/>
      <c r="N105" s="58"/>
      <c r="O105" s="58"/>
      <c r="P105" s="58"/>
      <c r="Q105" s="58"/>
      <c r="R105" s="58"/>
      <c r="S105" s="58"/>
      <c r="T105" s="58"/>
      <c r="U105" s="58"/>
      <c r="V105" s="58"/>
      <c r="W105" s="58"/>
      <c r="X105" s="58"/>
      <c r="Y105" s="58"/>
      <c r="Z105" s="58"/>
      <c r="AA105" s="58"/>
      <c r="AB105" s="58"/>
      <c r="AC105" s="58"/>
      <c r="AD105" s="58"/>
    </row>
    <row r="106" spans="1:30" ht="40.200000000000003" customHeight="1" x14ac:dyDescent="0.3">
      <c r="A106" s="58"/>
      <c r="B106"/>
      <c r="C106"/>
      <c r="D106"/>
      <c r="E106"/>
      <c r="F106"/>
      <c r="G106"/>
      <c r="H106" s="75"/>
      <c r="I106" s="58"/>
      <c r="J106" s="58"/>
      <c r="K106" s="58"/>
      <c r="L106" s="58"/>
      <c r="M106" s="58"/>
      <c r="N106" s="58"/>
      <c r="O106" s="58"/>
      <c r="P106" s="58"/>
      <c r="Q106" s="58"/>
      <c r="R106" s="58"/>
      <c r="S106" s="58"/>
      <c r="T106" s="58"/>
      <c r="U106" s="58"/>
      <c r="V106" s="58"/>
      <c r="W106" s="58"/>
      <c r="X106" s="58"/>
      <c r="Y106" s="58"/>
      <c r="Z106" s="58"/>
      <c r="AA106" s="58"/>
      <c r="AB106" s="58"/>
      <c r="AC106" s="58"/>
      <c r="AD106" s="58"/>
    </row>
    <row r="107" spans="1:30" ht="40.200000000000003" customHeight="1" x14ac:dyDescent="0.3">
      <c r="A107" s="58"/>
      <c r="B107"/>
      <c r="C107"/>
      <c r="D107"/>
      <c r="E107"/>
      <c r="F107"/>
      <c r="G107"/>
      <c r="H107" s="75"/>
      <c r="I107" s="58"/>
      <c r="J107" s="58"/>
      <c r="K107" s="58"/>
      <c r="L107" s="58"/>
      <c r="M107" s="58"/>
      <c r="N107" s="58"/>
      <c r="O107" s="58"/>
      <c r="P107" s="58"/>
      <c r="Q107" s="58"/>
      <c r="R107" s="58"/>
      <c r="S107" s="58"/>
      <c r="T107" s="58"/>
      <c r="U107" s="58"/>
      <c r="V107" s="58"/>
      <c r="W107" s="58"/>
      <c r="X107" s="58"/>
      <c r="Y107" s="58"/>
      <c r="Z107" s="58"/>
      <c r="AA107" s="58"/>
      <c r="AB107" s="58"/>
      <c r="AC107" s="58"/>
      <c r="AD107" s="58"/>
    </row>
    <row r="108" spans="1:30" ht="40.200000000000003" customHeight="1" x14ac:dyDescent="0.3">
      <c r="A108" s="58"/>
      <c r="B108"/>
      <c r="C108"/>
      <c r="D108"/>
      <c r="E108"/>
      <c r="F108"/>
      <c r="G108"/>
      <c r="H108" s="75"/>
      <c r="I108" s="58"/>
      <c r="J108" s="58"/>
      <c r="K108" s="58"/>
      <c r="L108" s="58"/>
      <c r="M108" s="58"/>
      <c r="N108" s="58"/>
      <c r="O108" s="58"/>
      <c r="P108" s="58"/>
      <c r="Q108" s="58"/>
      <c r="R108" s="58"/>
      <c r="S108" s="58"/>
      <c r="T108" s="58"/>
      <c r="U108" s="58"/>
      <c r="V108" s="58"/>
      <c r="W108" s="58"/>
      <c r="X108" s="58"/>
      <c r="Y108" s="58"/>
      <c r="Z108" s="58"/>
      <c r="AA108" s="58"/>
      <c r="AB108" s="58"/>
      <c r="AC108" s="58"/>
      <c r="AD108" s="58"/>
    </row>
    <row r="109" spans="1:30" ht="40.200000000000003" customHeight="1" x14ac:dyDescent="0.3">
      <c r="A109" s="58"/>
      <c r="B109"/>
      <c r="C109"/>
      <c r="D109"/>
      <c r="E109"/>
      <c r="F109"/>
      <c r="G109"/>
      <c r="H109" s="75"/>
      <c r="I109" s="58"/>
      <c r="J109" s="58"/>
      <c r="K109" s="58"/>
      <c r="L109" s="58"/>
      <c r="M109" s="58"/>
      <c r="N109" s="58"/>
      <c r="O109" s="58"/>
      <c r="P109" s="58"/>
      <c r="Q109" s="58"/>
      <c r="R109" s="58"/>
      <c r="S109" s="58"/>
      <c r="T109" s="58"/>
      <c r="U109" s="58"/>
      <c r="V109" s="58"/>
      <c r="W109" s="58"/>
      <c r="X109" s="58"/>
      <c r="Y109" s="58"/>
      <c r="Z109" s="58"/>
      <c r="AA109" s="58"/>
      <c r="AB109" s="58"/>
      <c r="AC109" s="58"/>
      <c r="AD109" s="58"/>
    </row>
    <row r="110" spans="1:30" ht="40.200000000000003" customHeight="1" x14ac:dyDescent="0.3">
      <c r="A110" s="58"/>
      <c r="B110"/>
      <c r="C110"/>
      <c r="D110"/>
      <c r="E110"/>
      <c r="F110"/>
      <c r="G110"/>
      <c r="H110" s="75"/>
      <c r="I110" s="58"/>
      <c r="J110" s="58"/>
      <c r="K110" s="58"/>
      <c r="L110" s="58"/>
      <c r="M110" s="58"/>
      <c r="N110" s="58"/>
      <c r="O110" s="58"/>
      <c r="P110" s="58"/>
      <c r="Q110" s="58"/>
      <c r="R110" s="58"/>
      <c r="S110" s="58"/>
      <c r="T110" s="58"/>
      <c r="U110" s="58"/>
      <c r="V110" s="58"/>
      <c r="W110" s="58"/>
      <c r="X110" s="58"/>
      <c r="Y110" s="58"/>
      <c r="Z110" s="58"/>
      <c r="AA110" s="58"/>
      <c r="AB110" s="58"/>
      <c r="AC110" s="58"/>
      <c r="AD110" s="58"/>
    </row>
    <row r="111" spans="1:30" ht="40.200000000000003" customHeight="1" x14ac:dyDescent="0.3">
      <c r="A111" s="58"/>
      <c r="B111"/>
      <c r="C111"/>
      <c r="D111"/>
      <c r="E111"/>
      <c r="F111"/>
      <c r="G111"/>
      <c r="H111" s="75"/>
      <c r="I111" s="58"/>
      <c r="J111" s="58"/>
      <c r="K111" s="58"/>
      <c r="L111" s="58"/>
      <c r="M111" s="58"/>
      <c r="N111" s="58"/>
      <c r="O111" s="58"/>
      <c r="P111" s="58"/>
      <c r="Q111" s="58"/>
      <c r="R111" s="58"/>
      <c r="S111" s="58"/>
      <c r="T111" s="58"/>
      <c r="U111" s="58"/>
      <c r="V111" s="58"/>
      <c r="W111" s="58"/>
      <c r="X111" s="58"/>
      <c r="Y111" s="58"/>
      <c r="Z111" s="58"/>
      <c r="AA111" s="58"/>
      <c r="AB111" s="58"/>
      <c r="AC111" s="58"/>
      <c r="AD111" s="58"/>
    </row>
    <row r="112" spans="1:30" ht="40.200000000000003" customHeight="1" x14ac:dyDescent="0.3">
      <c r="A112" s="58"/>
      <c r="B112"/>
      <c r="C112"/>
      <c r="D112"/>
      <c r="E112"/>
      <c r="F112"/>
      <c r="G112"/>
      <c r="H112" s="75"/>
      <c r="I112" s="58"/>
      <c r="J112" s="58"/>
      <c r="K112" s="58"/>
      <c r="L112" s="58"/>
      <c r="M112" s="58"/>
      <c r="N112" s="58"/>
      <c r="O112" s="58"/>
      <c r="P112" s="58"/>
      <c r="Q112" s="58"/>
      <c r="R112" s="58"/>
      <c r="S112" s="58"/>
      <c r="T112" s="58"/>
      <c r="U112" s="58"/>
      <c r="V112" s="58"/>
      <c r="W112" s="58"/>
      <c r="X112" s="58"/>
      <c r="Y112" s="58"/>
      <c r="Z112" s="58"/>
      <c r="AA112" s="58"/>
      <c r="AB112" s="58"/>
      <c r="AC112" s="58"/>
      <c r="AD112" s="58"/>
    </row>
    <row r="113" spans="1:30" ht="40.200000000000003" customHeight="1" x14ac:dyDescent="0.3">
      <c r="A113" s="58"/>
      <c r="B113"/>
      <c r="C113"/>
      <c r="D113"/>
      <c r="E113"/>
      <c r="F113"/>
      <c r="G113"/>
      <c r="H113" s="75"/>
      <c r="I113" s="58"/>
      <c r="J113" s="58"/>
      <c r="K113" s="58"/>
      <c r="L113" s="58"/>
      <c r="M113" s="58"/>
      <c r="N113" s="58"/>
      <c r="O113" s="58"/>
      <c r="P113" s="58"/>
      <c r="Q113" s="58"/>
      <c r="R113" s="58"/>
      <c r="S113" s="58"/>
      <c r="T113" s="58"/>
      <c r="U113" s="58"/>
      <c r="V113" s="58"/>
      <c r="W113" s="58"/>
      <c r="X113" s="58"/>
      <c r="Y113" s="58"/>
      <c r="Z113" s="58"/>
      <c r="AA113" s="58"/>
      <c r="AB113" s="58"/>
      <c r="AC113" s="58"/>
      <c r="AD113" s="58"/>
    </row>
    <row r="114" spans="1:30" ht="40.200000000000003" customHeight="1" x14ac:dyDescent="0.3">
      <c r="A114" s="58"/>
      <c r="B114"/>
      <c r="C114"/>
      <c r="D114"/>
      <c r="E114"/>
      <c r="F114"/>
      <c r="G114"/>
      <c r="H114" s="75"/>
      <c r="I114" s="58"/>
      <c r="J114" s="58"/>
      <c r="K114" s="58"/>
      <c r="L114" s="58"/>
      <c r="M114" s="58"/>
      <c r="N114" s="58"/>
      <c r="O114" s="58"/>
      <c r="P114" s="58"/>
      <c r="Q114" s="58"/>
      <c r="R114" s="58"/>
      <c r="S114" s="58"/>
      <c r="T114" s="58"/>
      <c r="U114" s="58"/>
      <c r="V114" s="58"/>
      <c r="W114" s="58"/>
      <c r="X114" s="58"/>
      <c r="Y114" s="58"/>
      <c r="Z114" s="58"/>
      <c r="AA114" s="58"/>
      <c r="AB114" s="58"/>
      <c r="AC114" s="58"/>
      <c r="AD114" s="58"/>
    </row>
    <row r="115" spans="1:30" ht="40.200000000000003" customHeight="1" x14ac:dyDescent="0.3">
      <c r="A115" s="58"/>
      <c r="B115"/>
      <c r="C115"/>
      <c r="D115"/>
      <c r="E115"/>
      <c r="F115"/>
      <c r="G115"/>
      <c r="H115" s="75"/>
      <c r="I115" s="58"/>
      <c r="J115" s="58"/>
      <c r="K115" s="58"/>
      <c r="L115" s="58"/>
      <c r="M115" s="58"/>
      <c r="N115" s="58"/>
      <c r="O115" s="58"/>
      <c r="P115" s="58"/>
      <c r="Q115" s="58"/>
      <c r="R115" s="58"/>
      <c r="S115" s="58"/>
      <c r="T115" s="58"/>
      <c r="U115" s="58"/>
      <c r="V115" s="58"/>
      <c r="W115" s="58"/>
      <c r="X115" s="58"/>
      <c r="Y115" s="58"/>
      <c r="Z115" s="58"/>
      <c r="AA115" s="58"/>
      <c r="AB115" s="58"/>
      <c r="AC115" s="58"/>
      <c r="AD115" s="58"/>
    </row>
    <row r="116" spans="1:30" ht="40.200000000000003" customHeight="1" x14ac:dyDescent="0.3">
      <c r="A116" s="58"/>
      <c r="B116"/>
      <c r="C116"/>
      <c r="D116"/>
      <c r="E116"/>
      <c r="F116"/>
      <c r="G116"/>
      <c r="H116" s="75"/>
      <c r="I116" s="58"/>
      <c r="J116" s="58"/>
      <c r="K116" s="58"/>
      <c r="L116" s="58"/>
      <c r="M116" s="58"/>
      <c r="N116" s="58"/>
      <c r="O116" s="58"/>
      <c r="P116" s="58"/>
      <c r="Q116" s="58"/>
      <c r="R116" s="58"/>
      <c r="S116" s="58"/>
      <c r="T116" s="58"/>
      <c r="U116" s="58"/>
      <c r="V116" s="58"/>
      <c r="W116" s="58"/>
      <c r="X116" s="58"/>
      <c r="Y116" s="58"/>
      <c r="Z116" s="58"/>
      <c r="AA116" s="58"/>
      <c r="AB116" s="58"/>
      <c r="AC116" s="58"/>
      <c r="AD116" s="58"/>
    </row>
    <row r="117" spans="1:30" ht="40.200000000000003" customHeight="1" x14ac:dyDescent="0.3">
      <c r="A117" s="58"/>
      <c r="B117"/>
      <c r="C117"/>
      <c r="D117"/>
      <c r="E117"/>
      <c r="F117"/>
      <c r="G117"/>
      <c r="H117" s="75"/>
      <c r="I117" s="58"/>
      <c r="J117" s="58"/>
      <c r="K117" s="58"/>
      <c r="L117" s="58"/>
      <c r="M117" s="58"/>
      <c r="N117" s="58"/>
      <c r="O117" s="58"/>
      <c r="P117" s="58"/>
      <c r="Q117" s="58"/>
      <c r="R117" s="58"/>
      <c r="S117" s="58"/>
      <c r="T117" s="58"/>
      <c r="U117" s="58"/>
      <c r="V117" s="58"/>
      <c r="W117" s="58"/>
      <c r="X117" s="58"/>
      <c r="Y117" s="58"/>
      <c r="Z117" s="58"/>
      <c r="AA117" s="58"/>
      <c r="AB117" s="58"/>
      <c r="AC117" s="58"/>
      <c r="AD117" s="58"/>
    </row>
    <row r="118" spans="1:30" ht="40.200000000000003" customHeight="1" x14ac:dyDescent="0.3">
      <c r="A118" s="58"/>
      <c r="B118"/>
      <c r="C118"/>
      <c r="D118"/>
      <c r="E118"/>
      <c r="F118"/>
      <c r="G118"/>
      <c r="H118" s="75"/>
      <c r="I118" s="58"/>
      <c r="J118" s="58"/>
      <c r="K118" s="58"/>
      <c r="L118" s="58"/>
      <c r="M118" s="58"/>
      <c r="N118" s="58"/>
      <c r="O118" s="58"/>
      <c r="P118" s="58"/>
      <c r="Q118" s="58"/>
      <c r="R118" s="58"/>
      <c r="S118" s="58"/>
      <c r="T118" s="58"/>
      <c r="U118" s="58"/>
      <c r="V118" s="58"/>
      <c r="W118" s="58"/>
      <c r="X118" s="58"/>
      <c r="Y118" s="58"/>
      <c r="Z118" s="58"/>
      <c r="AA118" s="58"/>
      <c r="AB118" s="58"/>
      <c r="AC118" s="58"/>
      <c r="AD118" s="58"/>
    </row>
    <row r="119" spans="1:30" ht="40.200000000000003" customHeight="1" x14ac:dyDescent="0.3">
      <c r="A119" s="58"/>
      <c r="B119"/>
      <c r="C119" s="56"/>
      <c r="D119" s="55"/>
      <c r="E119" s="56"/>
      <c r="F119" s="56"/>
      <c r="G119" s="56"/>
      <c r="H119" s="58"/>
      <c r="I119" s="58"/>
      <c r="J119" s="58"/>
      <c r="K119" s="58"/>
      <c r="L119" s="58"/>
      <c r="M119" s="58"/>
      <c r="N119" s="58"/>
      <c r="O119" s="58"/>
      <c r="P119" s="58"/>
      <c r="Q119" s="58"/>
      <c r="R119" s="58"/>
      <c r="S119" s="58"/>
      <c r="T119" s="58"/>
      <c r="U119" s="58"/>
      <c r="V119" s="58"/>
      <c r="W119" s="58"/>
      <c r="X119" s="58"/>
      <c r="Y119" s="58"/>
      <c r="Z119" s="58"/>
      <c r="AA119" s="58"/>
      <c r="AB119" s="58"/>
      <c r="AC119" s="58"/>
      <c r="AD119" s="58"/>
    </row>
    <row r="120" spans="1:30" ht="40.200000000000003" customHeight="1" x14ac:dyDescent="0.3">
      <c r="A120" s="58"/>
      <c r="B120"/>
      <c r="C120" s="56"/>
      <c r="D120" s="55"/>
      <c r="E120" s="56"/>
      <c r="F120" s="56"/>
      <c r="G120" s="56"/>
      <c r="H120" s="58"/>
      <c r="I120" s="58"/>
      <c r="J120" s="58"/>
      <c r="K120" s="58"/>
      <c r="L120" s="58"/>
      <c r="M120" s="58"/>
      <c r="N120" s="58"/>
      <c r="O120" s="58"/>
      <c r="P120" s="58"/>
      <c r="Q120" s="58"/>
      <c r="R120" s="58"/>
      <c r="S120" s="58"/>
      <c r="T120" s="58"/>
      <c r="U120" s="58"/>
      <c r="V120" s="58"/>
      <c r="W120" s="58"/>
      <c r="X120" s="58"/>
      <c r="Y120" s="58"/>
      <c r="Z120" s="58"/>
      <c r="AA120" s="58"/>
      <c r="AB120" s="58"/>
      <c r="AC120" s="58"/>
      <c r="AD120" s="58"/>
    </row>
    <row r="121" spans="1:30" ht="40.200000000000003" customHeight="1" x14ac:dyDescent="0.3">
      <c r="A121" s="58"/>
      <c r="B121"/>
      <c r="C121" s="56"/>
      <c r="D121" s="55"/>
      <c r="E121" s="56"/>
      <c r="F121" s="56"/>
      <c r="G121" s="56"/>
      <c r="H121" s="58"/>
      <c r="I121" s="58"/>
      <c r="J121" s="58"/>
      <c r="K121" s="58"/>
      <c r="L121" s="58"/>
      <c r="M121" s="58"/>
      <c r="N121" s="58"/>
      <c r="O121" s="58"/>
      <c r="P121" s="58"/>
      <c r="Q121" s="58"/>
      <c r="R121" s="58"/>
      <c r="S121" s="58"/>
      <c r="T121" s="58"/>
      <c r="U121" s="58"/>
      <c r="V121" s="58"/>
      <c r="W121" s="58"/>
      <c r="X121" s="58"/>
      <c r="Y121" s="58"/>
      <c r="Z121" s="58"/>
      <c r="AA121" s="58"/>
      <c r="AB121" s="58"/>
      <c r="AC121" s="58"/>
      <c r="AD121" s="58"/>
    </row>
    <row r="122" spans="1:30" ht="40.200000000000003" customHeight="1" x14ac:dyDescent="0.3">
      <c r="A122" s="58"/>
      <c r="B122"/>
      <c r="C122" s="56"/>
      <c r="D122" s="55"/>
      <c r="E122" s="56"/>
      <c r="F122" s="56"/>
      <c r="G122" s="56"/>
      <c r="H122" s="58"/>
      <c r="I122" s="58"/>
      <c r="J122" s="58"/>
      <c r="K122" s="58"/>
      <c r="L122" s="58"/>
      <c r="M122" s="58"/>
      <c r="N122" s="58"/>
      <c r="O122" s="58"/>
      <c r="P122" s="58"/>
      <c r="Q122" s="58"/>
      <c r="R122" s="58"/>
      <c r="S122" s="58"/>
      <c r="T122" s="58"/>
      <c r="U122" s="58"/>
      <c r="V122" s="58"/>
      <c r="W122" s="58"/>
      <c r="X122" s="58"/>
      <c r="Y122" s="58"/>
      <c r="Z122" s="58"/>
      <c r="AA122" s="58"/>
      <c r="AB122" s="58"/>
      <c r="AC122" s="58"/>
      <c r="AD122" s="58"/>
    </row>
    <row r="123" spans="1:30" ht="40.200000000000003" customHeight="1" x14ac:dyDescent="0.3">
      <c r="A123" s="58"/>
      <c r="B123"/>
      <c r="C123" s="56"/>
      <c r="D123" s="55"/>
      <c r="E123" s="56"/>
      <c r="F123" s="56"/>
      <c r="G123" s="56"/>
      <c r="H123" s="58"/>
      <c r="I123" s="58"/>
      <c r="J123" s="58"/>
      <c r="K123" s="58"/>
      <c r="L123" s="58"/>
      <c r="M123" s="58"/>
      <c r="N123" s="58"/>
      <c r="O123" s="58"/>
      <c r="P123" s="58"/>
      <c r="Q123" s="58"/>
      <c r="R123" s="58"/>
      <c r="S123" s="58"/>
      <c r="T123" s="58"/>
      <c r="U123" s="58"/>
      <c r="V123" s="58"/>
      <c r="W123" s="58"/>
      <c r="X123" s="58"/>
      <c r="Y123" s="58"/>
      <c r="Z123" s="58"/>
      <c r="AA123" s="58"/>
      <c r="AB123" s="58"/>
      <c r="AC123" s="58"/>
      <c r="AD123" s="58"/>
    </row>
    <row r="124" spans="1:30" ht="40.200000000000003" customHeight="1" x14ac:dyDescent="0.3">
      <c r="A124" s="58"/>
      <c r="B124"/>
      <c r="C124" s="56"/>
      <c r="D124" s="55"/>
      <c r="E124" s="56"/>
      <c r="F124" s="56"/>
      <c r="G124" s="56"/>
      <c r="H124" s="58"/>
      <c r="I124" s="58"/>
      <c r="J124" s="58"/>
      <c r="K124" s="58"/>
      <c r="L124" s="58"/>
      <c r="M124" s="58"/>
      <c r="N124" s="58"/>
      <c r="O124" s="58"/>
      <c r="P124" s="58"/>
      <c r="Q124" s="58"/>
      <c r="R124" s="58"/>
      <c r="S124" s="58"/>
      <c r="T124" s="58"/>
      <c r="U124" s="58"/>
      <c r="V124" s="58"/>
      <c r="W124" s="58"/>
      <c r="X124" s="58"/>
      <c r="Y124" s="58"/>
      <c r="Z124" s="58"/>
      <c r="AA124" s="58"/>
      <c r="AB124" s="58"/>
      <c r="AC124" s="58"/>
      <c r="AD124" s="58"/>
    </row>
    <row r="125" spans="1:30" ht="40.200000000000003" customHeight="1" x14ac:dyDescent="0.3">
      <c r="A125" s="58"/>
      <c r="B125"/>
      <c r="C125" s="56"/>
      <c r="D125" s="55"/>
      <c r="E125" s="56"/>
      <c r="F125" s="56"/>
      <c r="G125" s="56"/>
      <c r="H125" s="58"/>
      <c r="I125" s="58"/>
      <c r="J125" s="58"/>
      <c r="K125" s="58"/>
      <c r="L125" s="58"/>
      <c r="M125" s="58"/>
      <c r="N125" s="58"/>
      <c r="O125" s="58"/>
      <c r="P125" s="58"/>
      <c r="Q125" s="58"/>
      <c r="R125" s="58"/>
      <c r="S125" s="58"/>
      <c r="T125" s="58"/>
      <c r="U125" s="58"/>
      <c r="V125" s="58"/>
      <c r="W125" s="58"/>
      <c r="X125" s="58"/>
      <c r="Y125" s="58"/>
      <c r="Z125" s="58"/>
      <c r="AA125" s="58"/>
      <c r="AB125" s="58"/>
      <c r="AC125" s="58"/>
      <c r="AD125" s="58"/>
    </row>
    <row r="126" spans="1:30" ht="40.200000000000003" customHeight="1" x14ac:dyDescent="0.3">
      <c r="A126" s="58"/>
      <c r="B126"/>
      <c r="C126" s="56"/>
      <c r="D126" s="55"/>
      <c r="E126" s="56"/>
      <c r="F126" s="56"/>
      <c r="G126" s="56"/>
      <c r="H126" s="58"/>
      <c r="I126" s="58"/>
      <c r="J126" s="58"/>
      <c r="K126" s="58"/>
      <c r="L126" s="58"/>
      <c r="M126" s="58"/>
      <c r="N126" s="58"/>
      <c r="O126" s="58"/>
      <c r="P126" s="58"/>
      <c r="Q126" s="58"/>
      <c r="R126" s="58"/>
      <c r="S126" s="58"/>
      <c r="T126" s="58"/>
      <c r="U126" s="58"/>
      <c r="V126" s="58"/>
      <c r="W126" s="58"/>
      <c r="X126" s="58"/>
      <c r="Y126" s="58"/>
      <c r="Z126" s="58"/>
      <c r="AA126" s="58"/>
      <c r="AB126" s="58"/>
      <c r="AC126" s="58"/>
      <c r="AD126" s="58"/>
    </row>
    <row r="127" spans="1:30" ht="40.200000000000003" customHeight="1" x14ac:dyDescent="0.3">
      <c r="A127" s="58"/>
      <c r="B127"/>
      <c r="C127" s="56"/>
      <c r="D127" s="55"/>
      <c r="E127" s="56"/>
      <c r="F127" s="56"/>
      <c r="G127" s="56"/>
      <c r="H127" s="58"/>
      <c r="I127" s="58"/>
      <c r="J127" s="58"/>
      <c r="K127" s="58"/>
      <c r="L127" s="58"/>
      <c r="M127" s="58"/>
      <c r="N127" s="58"/>
      <c r="O127" s="58"/>
      <c r="P127" s="58"/>
      <c r="Q127" s="58"/>
      <c r="R127" s="58"/>
      <c r="S127" s="58"/>
      <c r="T127" s="58"/>
      <c r="U127" s="58"/>
      <c r="V127" s="58"/>
      <c r="W127" s="58"/>
      <c r="X127" s="58"/>
      <c r="Y127" s="58"/>
      <c r="Z127" s="58"/>
      <c r="AA127" s="58"/>
      <c r="AB127" s="58"/>
      <c r="AC127" s="58"/>
      <c r="AD127" s="58"/>
    </row>
    <row r="128" spans="1:30" ht="40.200000000000003" customHeight="1" x14ac:dyDescent="0.3">
      <c r="A128" s="58"/>
      <c r="B128"/>
      <c r="C128" s="56"/>
      <c r="D128" s="55"/>
      <c r="E128" s="56"/>
      <c r="F128" s="56"/>
      <c r="G128" s="56"/>
      <c r="H128" s="58"/>
      <c r="I128" s="58"/>
      <c r="J128" s="58"/>
      <c r="K128" s="58"/>
      <c r="L128" s="58"/>
      <c r="M128" s="58"/>
      <c r="N128" s="58"/>
      <c r="O128" s="58"/>
      <c r="P128" s="58"/>
      <c r="Q128" s="58"/>
      <c r="R128" s="58"/>
      <c r="S128" s="58"/>
      <c r="T128" s="58"/>
      <c r="U128" s="58"/>
      <c r="V128" s="58"/>
      <c r="W128" s="58"/>
      <c r="X128" s="58"/>
      <c r="Y128" s="58"/>
      <c r="Z128" s="58"/>
      <c r="AA128" s="58"/>
      <c r="AB128" s="58"/>
      <c r="AC128" s="58"/>
      <c r="AD128" s="58"/>
    </row>
    <row r="129" spans="1:30" ht="40.200000000000003" customHeight="1" x14ac:dyDescent="0.3">
      <c r="A129" s="58"/>
      <c r="B129"/>
      <c r="C129" s="56"/>
      <c r="D129" s="55"/>
      <c r="E129" s="56"/>
      <c r="F129" s="56"/>
      <c r="G129" s="56"/>
      <c r="H129" s="58"/>
      <c r="I129" s="58"/>
      <c r="J129" s="58"/>
      <c r="K129" s="58"/>
      <c r="L129" s="58"/>
      <c r="M129" s="58"/>
      <c r="N129" s="58"/>
      <c r="O129" s="58"/>
      <c r="P129" s="58"/>
      <c r="Q129" s="58"/>
      <c r="R129" s="58"/>
      <c r="S129" s="58"/>
      <c r="T129" s="58"/>
      <c r="U129" s="58"/>
      <c r="V129" s="58"/>
      <c r="W129" s="58"/>
      <c r="X129" s="58"/>
      <c r="Y129" s="58"/>
      <c r="Z129" s="58"/>
      <c r="AA129" s="58"/>
      <c r="AB129" s="58"/>
      <c r="AC129" s="58"/>
      <c r="AD129" s="58"/>
    </row>
    <row r="130" spans="1:30" ht="40.200000000000003" customHeight="1" x14ac:dyDescent="0.3">
      <c r="A130" s="58"/>
      <c r="B130"/>
      <c r="C130" s="56"/>
      <c r="D130" s="55"/>
      <c r="E130" s="56"/>
      <c r="F130" s="56"/>
      <c r="G130" s="56"/>
      <c r="H130" s="58"/>
      <c r="I130" s="58"/>
      <c r="J130" s="58"/>
      <c r="K130" s="58"/>
      <c r="L130" s="58"/>
      <c r="M130" s="58"/>
      <c r="N130" s="58"/>
      <c r="O130" s="58"/>
      <c r="P130" s="58"/>
      <c r="Q130" s="58"/>
      <c r="R130" s="58"/>
      <c r="S130" s="58"/>
      <c r="T130" s="58"/>
      <c r="U130" s="58"/>
      <c r="V130" s="58"/>
      <c r="W130" s="58"/>
      <c r="X130" s="58"/>
      <c r="Y130" s="58"/>
      <c r="Z130" s="58"/>
      <c r="AA130" s="58"/>
      <c r="AB130" s="58"/>
      <c r="AC130" s="58"/>
      <c r="AD130" s="58"/>
    </row>
    <row r="131" spans="1:30" ht="40.200000000000003" customHeight="1" x14ac:dyDescent="0.3">
      <c r="A131" s="58"/>
      <c r="B131"/>
      <c r="C131" s="56"/>
      <c r="D131" s="55"/>
      <c r="E131" s="56"/>
      <c r="F131" s="56"/>
      <c r="G131" s="56"/>
      <c r="H131" s="58"/>
      <c r="I131" s="58"/>
      <c r="J131" s="58"/>
      <c r="K131" s="58"/>
      <c r="L131" s="58"/>
      <c r="M131" s="58"/>
      <c r="N131" s="58"/>
      <c r="O131" s="58"/>
      <c r="P131" s="58"/>
      <c r="Q131" s="58"/>
      <c r="R131" s="58"/>
      <c r="S131" s="58"/>
      <c r="T131" s="58"/>
      <c r="U131" s="58"/>
      <c r="V131" s="58"/>
      <c r="W131" s="58"/>
      <c r="X131" s="58"/>
      <c r="Y131" s="58"/>
      <c r="Z131" s="58"/>
      <c r="AA131" s="58"/>
      <c r="AB131" s="58"/>
      <c r="AC131" s="58"/>
      <c r="AD131" s="58"/>
    </row>
    <row r="132" spans="1:30" ht="40.200000000000003" customHeight="1" x14ac:dyDescent="0.3">
      <c r="A132" s="58"/>
      <c r="B132"/>
      <c r="C132" s="56"/>
      <c r="D132" s="55"/>
      <c r="E132" s="56"/>
      <c r="F132" s="56"/>
      <c r="G132" s="56"/>
      <c r="H132" s="58"/>
      <c r="I132" s="58"/>
      <c r="J132" s="58"/>
      <c r="K132" s="58"/>
      <c r="L132" s="58"/>
      <c r="M132" s="58"/>
      <c r="N132" s="58"/>
      <c r="O132" s="58"/>
      <c r="P132" s="58"/>
      <c r="Q132" s="58"/>
      <c r="R132" s="58"/>
      <c r="S132" s="58"/>
      <c r="T132" s="58"/>
      <c r="U132" s="58"/>
      <c r="V132" s="58"/>
      <c r="W132" s="58"/>
      <c r="X132" s="58"/>
      <c r="Y132" s="58"/>
      <c r="Z132" s="58"/>
      <c r="AA132" s="58"/>
      <c r="AB132" s="58"/>
      <c r="AC132" s="58"/>
      <c r="AD132" s="58"/>
    </row>
    <row r="133" spans="1:30" ht="40.200000000000003" customHeight="1" x14ac:dyDescent="0.3">
      <c r="A133" s="58"/>
      <c r="B133"/>
      <c r="C133" s="56"/>
      <c r="D133" s="55"/>
      <c r="E133" s="56"/>
      <c r="F133" s="56"/>
      <c r="G133" s="56"/>
      <c r="H133" s="58"/>
      <c r="I133" s="58"/>
      <c r="J133" s="58"/>
      <c r="K133" s="58"/>
      <c r="L133" s="58"/>
      <c r="M133" s="58"/>
      <c r="N133" s="58"/>
      <c r="O133" s="58"/>
      <c r="P133" s="58"/>
      <c r="Q133" s="58"/>
      <c r="R133" s="58"/>
      <c r="S133" s="58"/>
      <c r="T133" s="58"/>
      <c r="U133" s="58"/>
      <c r="V133" s="58"/>
      <c r="W133" s="58"/>
      <c r="X133" s="58"/>
      <c r="Y133" s="58"/>
      <c r="Z133" s="58"/>
      <c r="AA133" s="58"/>
      <c r="AB133" s="58"/>
      <c r="AC133" s="58"/>
      <c r="AD133" s="58"/>
    </row>
    <row r="134" spans="1:30" ht="40.200000000000003" customHeight="1" x14ac:dyDescent="0.3">
      <c r="A134" s="58"/>
      <c r="B134"/>
      <c r="C134" s="56"/>
      <c r="D134" s="55"/>
      <c r="E134" s="56"/>
      <c r="F134" s="56"/>
      <c r="G134" s="56"/>
      <c r="H134" s="58"/>
      <c r="I134" s="58"/>
      <c r="J134" s="58"/>
      <c r="K134" s="58"/>
      <c r="L134" s="58"/>
      <c r="M134" s="58"/>
      <c r="N134" s="58"/>
      <c r="O134" s="58"/>
      <c r="P134" s="58"/>
      <c r="Q134" s="58"/>
      <c r="R134" s="58"/>
      <c r="S134" s="58"/>
      <c r="T134" s="58"/>
      <c r="U134" s="58"/>
      <c r="V134" s="58"/>
      <c r="W134" s="58"/>
      <c r="X134" s="58"/>
      <c r="Y134" s="58"/>
      <c r="Z134" s="58"/>
      <c r="AA134" s="58"/>
      <c r="AB134" s="58"/>
      <c r="AC134" s="58"/>
      <c r="AD134" s="58"/>
    </row>
    <row r="135" spans="1:30" ht="40.200000000000003" customHeight="1" x14ac:dyDescent="0.3">
      <c r="A135" s="58"/>
      <c r="B135"/>
      <c r="C135" s="56"/>
      <c r="D135" s="55"/>
      <c r="E135" s="56"/>
      <c r="F135" s="56"/>
      <c r="G135" s="56"/>
      <c r="H135" s="58"/>
      <c r="I135" s="58"/>
      <c r="J135" s="58"/>
      <c r="K135" s="58"/>
      <c r="L135" s="58"/>
      <c r="M135" s="58"/>
      <c r="N135" s="58"/>
      <c r="O135" s="58"/>
      <c r="P135" s="58"/>
      <c r="Q135" s="58"/>
      <c r="R135" s="58"/>
      <c r="S135" s="58"/>
      <c r="T135" s="58"/>
      <c r="U135" s="58"/>
      <c r="V135" s="58"/>
      <c r="W135" s="58"/>
      <c r="X135" s="58"/>
      <c r="Y135" s="58"/>
      <c r="Z135" s="58"/>
      <c r="AA135" s="58"/>
      <c r="AB135" s="58"/>
      <c r="AC135" s="58"/>
      <c r="AD135" s="58"/>
    </row>
    <row r="136" spans="1:30" ht="40.200000000000003" customHeight="1" x14ac:dyDescent="0.3">
      <c r="A136" s="58"/>
      <c r="B136"/>
      <c r="C136" s="56"/>
      <c r="D136" s="55"/>
      <c r="E136" s="56"/>
      <c r="F136" s="56"/>
      <c r="G136" s="56"/>
      <c r="H136" s="58"/>
      <c r="I136" s="58"/>
      <c r="J136" s="58"/>
      <c r="K136" s="58"/>
      <c r="L136" s="58"/>
      <c r="M136" s="58"/>
      <c r="N136" s="58"/>
      <c r="O136" s="58"/>
      <c r="P136" s="58"/>
      <c r="Q136" s="58"/>
      <c r="R136" s="58"/>
      <c r="S136" s="58"/>
      <c r="T136" s="58"/>
      <c r="U136" s="58"/>
      <c r="V136" s="58"/>
      <c r="W136" s="58"/>
      <c r="X136" s="58"/>
      <c r="Y136" s="58"/>
      <c r="Z136" s="58"/>
      <c r="AA136" s="58"/>
      <c r="AB136" s="58"/>
      <c r="AC136" s="58"/>
      <c r="AD136" s="58"/>
    </row>
    <row r="137" spans="1:30" ht="40.200000000000003" customHeight="1" x14ac:dyDescent="0.3">
      <c r="A137" s="58"/>
      <c r="B137"/>
      <c r="C137" s="56"/>
      <c r="D137" s="55"/>
      <c r="E137" s="56"/>
      <c r="F137" s="56"/>
      <c r="G137" s="56"/>
      <c r="H137" s="58"/>
      <c r="I137" s="58"/>
      <c r="J137" s="58"/>
      <c r="K137" s="58"/>
      <c r="L137" s="58"/>
      <c r="M137" s="58"/>
      <c r="N137" s="58"/>
      <c r="O137" s="58"/>
      <c r="P137" s="58"/>
      <c r="Q137" s="58"/>
      <c r="R137" s="58"/>
      <c r="S137" s="58"/>
      <c r="T137" s="58"/>
      <c r="U137" s="58"/>
      <c r="V137" s="58"/>
      <c r="W137" s="58"/>
      <c r="X137" s="58"/>
      <c r="Y137" s="58"/>
      <c r="Z137" s="58"/>
      <c r="AA137" s="58"/>
      <c r="AB137" s="58"/>
      <c r="AC137" s="58"/>
      <c r="AD137" s="58"/>
    </row>
    <row r="138" spans="1:30" ht="40.200000000000003" customHeight="1" x14ac:dyDescent="0.3">
      <c r="A138" s="58"/>
      <c r="B138"/>
      <c r="C138" s="56"/>
      <c r="D138" s="55"/>
      <c r="E138" s="56"/>
      <c r="F138" s="56"/>
      <c r="G138" s="56"/>
      <c r="H138" s="58"/>
      <c r="I138" s="58"/>
      <c r="J138" s="58"/>
      <c r="K138" s="58"/>
      <c r="L138" s="58"/>
      <c r="M138" s="58"/>
      <c r="N138" s="58"/>
      <c r="O138" s="58"/>
      <c r="P138" s="58"/>
      <c r="Q138" s="58"/>
      <c r="R138" s="58"/>
      <c r="S138" s="58"/>
      <c r="T138" s="58"/>
      <c r="U138" s="58"/>
      <c r="V138" s="58"/>
      <c r="W138" s="58"/>
      <c r="X138" s="58"/>
      <c r="Y138" s="58"/>
      <c r="Z138" s="58"/>
      <c r="AA138" s="58"/>
      <c r="AB138" s="58"/>
      <c r="AC138" s="58"/>
      <c r="AD138" s="58"/>
    </row>
    <row r="139" spans="1:30" ht="40.200000000000003" customHeight="1" x14ac:dyDescent="0.3">
      <c r="A139" s="58"/>
      <c r="B139"/>
      <c r="C139" s="56"/>
      <c r="D139" s="55"/>
      <c r="E139" s="56"/>
      <c r="F139" s="56"/>
      <c r="G139" s="56"/>
      <c r="H139" s="58"/>
      <c r="I139" s="58"/>
      <c r="J139" s="58"/>
      <c r="K139" s="58"/>
      <c r="L139" s="58"/>
      <c r="M139" s="58"/>
      <c r="N139" s="58"/>
      <c r="O139" s="58"/>
      <c r="P139" s="58"/>
      <c r="Q139" s="58"/>
      <c r="R139" s="58"/>
      <c r="S139" s="58"/>
      <c r="T139" s="58"/>
      <c r="U139" s="58"/>
      <c r="V139" s="58"/>
      <c r="W139" s="58"/>
      <c r="X139" s="58"/>
      <c r="Y139" s="58"/>
      <c r="Z139" s="58"/>
      <c r="AA139" s="58"/>
      <c r="AB139" s="58"/>
      <c r="AC139" s="58"/>
      <c r="AD139" s="58"/>
    </row>
    <row r="140" spans="1:30" ht="40.200000000000003" customHeight="1" x14ac:dyDescent="0.3">
      <c r="A140" s="58"/>
      <c r="B140"/>
      <c r="C140" s="56"/>
      <c r="D140" s="55"/>
      <c r="E140" s="56"/>
      <c r="F140" s="56"/>
      <c r="G140" s="56"/>
      <c r="H140" s="58"/>
      <c r="I140" s="58"/>
      <c r="J140" s="58"/>
      <c r="K140" s="58"/>
      <c r="L140" s="58"/>
      <c r="M140" s="58"/>
      <c r="N140" s="58"/>
      <c r="O140" s="58"/>
      <c r="P140" s="58"/>
      <c r="Q140" s="58"/>
      <c r="R140" s="58"/>
      <c r="S140" s="58"/>
      <c r="T140" s="58"/>
      <c r="U140" s="58"/>
      <c r="V140" s="58"/>
      <c r="W140" s="58"/>
      <c r="X140" s="58"/>
      <c r="Y140" s="58"/>
      <c r="Z140" s="58"/>
      <c r="AA140" s="58"/>
      <c r="AB140" s="58"/>
      <c r="AC140" s="58"/>
      <c r="AD140" s="58"/>
    </row>
    <row r="141" spans="1:30" ht="40.200000000000003" customHeight="1" x14ac:dyDescent="0.3">
      <c r="A141" s="58"/>
      <c r="B141"/>
      <c r="C141" s="56"/>
      <c r="D141" s="55"/>
      <c r="E141" s="56"/>
      <c r="F141" s="56"/>
      <c r="G141" s="56"/>
      <c r="H141" s="58"/>
      <c r="I141" s="58"/>
      <c r="J141" s="58"/>
      <c r="K141" s="58"/>
      <c r="L141" s="58"/>
      <c r="M141" s="58"/>
      <c r="N141" s="58"/>
      <c r="O141" s="58"/>
      <c r="P141" s="58"/>
      <c r="Q141" s="58"/>
      <c r="R141" s="58"/>
      <c r="S141" s="58"/>
      <c r="T141" s="58"/>
      <c r="U141" s="58"/>
      <c r="V141" s="58"/>
      <c r="W141" s="58"/>
      <c r="X141" s="58"/>
      <c r="Y141" s="58"/>
      <c r="Z141" s="58"/>
      <c r="AA141" s="58"/>
      <c r="AB141" s="58"/>
      <c r="AC141" s="58"/>
      <c r="AD141" s="58"/>
    </row>
    <row r="142" spans="1:30" ht="40.200000000000003" customHeight="1" x14ac:dyDescent="0.3">
      <c r="A142" s="58"/>
      <c r="B142"/>
      <c r="C142" s="56"/>
      <c r="D142" s="55"/>
      <c r="E142" s="56"/>
      <c r="F142" s="56"/>
      <c r="G142" s="56"/>
      <c r="H142" s="58"/>
      <c r="I142" s="58"/>
      <c r="J142" s="58"/>
      <c r="K142" s="58"/>
      <c r="L142" s="58"/>
      <c r="M142" s="58"/>
      <c r="N142" s="58"/>
      <c r="O142" s="58"/>
      <c r="P142" s="58"/>
      <c r="Q142" s="58"/>
      <c r="R142" s="58"/>
      <c r="S142" s="58"/>
      <c r="T142" s="58"/>
      <c r="U142" s="58"/>
      <c r="V142" s="58"/>
      <c r="W142" s="58"/>
      <c r="X142" s="58"/>
      <c r="Y142" s="58"/>
      <c r="Z142" s="58"/>
      <c r="AA142" s="58"/>
      <c r="AB142" s="58"/>
      <c r="AC142" s="58"/>
      <c r="AD142" s="58"/>
    </row>
    <row r="143" spans="1:30" ht="40.200000000000003" customHeight="1" x14ac:dyDescent="0.3">
      <c r="A143" s="58"/>
      <c r="B143"/>
      <c r="C143" s="56"/>
      <c r="D143" s="55"/>
      <c r="E143" s="56"/>
      <c r="F143" s="56"/>
      <c r="G143" s="56"/>
      <c r="H143" s="58"/>
      <c r="I143" s="58"/>
      <c r="J143" s="58"/>
      <c r="K143" s="58"/>
      <c r="L143" s="58"/>
      <c r="M143" s="58"/>
      <c r="N143" s="58"/>
      <c r="O143" s="58"/>
      <c r="P143" s="58"/>
      <c r="Q143" s="58"/>
      <c r="R143" s="58"/>
      <c r="S143" s="58"/>
      <c r="T143" s="58"/>
      <c r="U143" s="58"/>
      <c r="V143" s="58"/>
      <c r="W143" s="58"/>
      <c r="X143" s="58"/>
      <c r="Y143" s="58"/>
      <c r="Z143" s="58"/>
      <c r="AA143" s="58"/>
      <c r="AB143" s="58"/>
      <c r="AC143" s="58"/>
      <c r="AD143" s="58"/>
    </row>
    <row r="144" spans="1:30" ht="40.200000000000003" customHeight="1" x14ac:dyDescent="0.3">
      <c r="A144" s="58"/>
      <c r="B144"/>
      <c r="C144" s="56"/>
      <c r="D144" s="55"/>
      <c r="E144" s="56"/>
      <c r="F144" s="56"/>
      <c r="G144" s="56"/>
      <c r="H144" s="58"/>
      <c r="I144" s="58"/>
      <c r="J144" s="58"/>
      <c r="K144" s="58"/>
      <c r="L144" s="58"/>
      <c r="M144" s="58"/>
      <c r="N144" s="58"/>
      <c r="O144" s="58"/>
      <c r="P144" s="58"/>
      <c r="Q144" s="58"/>
      <c r="R144" s="58"/>
      <c r="S144" s="58"/>
      <c r="T144" s="58"/>
      <c r="U144" s="58"/>
      <c r="V144" s="58"/>
      <c r="W144" s="58"/>
      <c r="X144" s="58"/>
      <c r="Y144" s="58"/>
      <c r="Z144" s="58"/>
      <c r="AA144" s="58"/>
      <c r="AB144" s="58"/>
      <c r="AC144" s="58"/>
      <c r="AD144" s="58"/>
    </row>
    <row r="145" spans="1:30" ht="40.200000000000003" customHeight="1" x14ac:dyDescent="0.3">
      <c r="A145" s="58"/>
      <c r="B145"/>
      <c r="C145" s="56"/>
      <c r="D145" s="55"/>
      <c r="E145" s="56"/>
      <c r="F145" s="56"/>
      <c r="G145" s="56"/>
      <c r="H145" s="58"/>
      <c r="I145" s="58"/>
      <c r="J145" s="58"/>
      <c r="K145" s="58"/>
      <c r="L145" s="58"/>
      <c r="M145" s="58"/>
      <c r="N145" s="58"/>
      <c r="O145" s="58"/>
      <c r="P145" s="58"/>
      <c r="Q145" s="58"/>
      <c r="R145" s="58"/>
      <c r="S145" s="58"/>
      <c r="T145" s="58"/>
      <c r="U145" s="58"/>
      <c r="V145" s="58"/>
      <c r="W145" s="58"/>
      <c r="X145" s="58"/>
      <c r="Y145" s="58"/>
      <c r="Z145" s="58"/>
      <c r="AA145" s="58"/>
      <c r="AB145" s="58"/>
      <c r="AC145" s="58"/>
      <c r="AD145" s="58"/>
    </row>
    <row r="146" spans="1:30" ht="40.200000000000003" customHeight="1" x14ac:dyDescent="0.3">
      <c r="A146" s="58"/>
      <c r="B146"/>
      <c r="C146" s="56"/>
      <c r="D146" s="55"/>
      <c r="E146" s="56"/>
      <c r="F146" s="56"/>
      <c r="G146" s="56"/>
      <c r="H146" s="58"/>
      <c r="I146" s="58"/>
      <c r="J146" s="58"/>
      <c r="K146" s="58"/>
      <c r="L146" s="58"/>
      <c r="M146" s="58"/>
      <c r="N146" s="58"/>
      <c r="O146" s="58"/>
      <c r="P146" s="58"/>
      <c r="Q146" s="58"/>
      <c r="R146" s="58"/>
      <c r="S146" s="58"/>
      <c r="T146" s="58"/>
      <c r="U146" s="58"/>
      <c r="V146" s="58"/>
      <c r="W146" s="58"/>
      <c r="X146" s="58"/>
      <c r="Y146" s="58"/>
      <c r="Z146" s="58"/>
      <c r="AA146" s="58"/>
      <c r="AB146" s="58"/>
      <c r="AC146" s="58"/>
      <c r="AD146" s="58"/>
    </row>
    <row r="147" spans="1:30" ht="40.200000000000003" customHeight="1" x14ac:dyDescent="0.3">
      <c r="A147" s="58"/>
      <c r="B147"/>
      <c r="C147" s="56"/>
      <c r="D147" s="55"/>
      <c r="E147" s="56"/>
      <c r="F147" s="56"/>
      <c r="G147" s="56"/>
      <c r="H147" s="58"/>
      <c r="I147" s="58"/>
      <c r="J147" s="58"/>
      <c r="K147" s="58"/>
      <c r="L147" s="58"/>
      <c r="M147" s="58"/>
      <c r="N147" s="58"/>
      <c r="O147" s="58"/>
      <c r="P147" s="58"/>
      <c r="Q147" s="58"/>
      <c r="R147" s="58"/>
      <c r="S147" s="58"/>
      <c r="T147" s="58"/>
      <c r="U147" s="58"/>
      <c r="V147" s="58"/>
      <c r="W147" s="58"/>
      <c r="X147" s="58"/>
      <c r="Y147" s="58"/>
      <c r="Z147" s="58"/>
      <c r="AA147" s="58"/>
      <c r="AB147" s="58"/>
      <c r="AC147" s="58"/>
      <c r="AD147" s="58"/>
    </row>
    <row r="148" spans="1:30" ht="40.200000000000003" customHeight="1" x14ac:dyDescent="0.3">
      <c r="A148" s="58"/>
      <c r="B148"/>
      <c r="C148" s="56"/>
      <c r="D148" s="55"/>
      <c r="E148" s="56"/>
      <c r="F148" s="56"/>
      <c r="G148" s="56"/>
      <c r="H148" s="58"/>
      <c r="I148" s="58"/>
      <c r="J148" s="58"/>
      <c r="K148" s="58"/>
      <c r="L148" s="58"/>
      <c r="M148" s="58"/>
      <c r="N148" s="58"/>
      <c r="O148" s="58"/>
      <c r="P148" s="58"/>
      <c r="Q148" s="58"/>
      <c r="R148" s="58"/>
      <c r="S148" s="58"/>
      <c r="T148" s="58"/>
      <c r="U148" s="58"/>
      <c r="V148" s="58"/>
      <c r="W148" s="58"/>
      <c r="X148" s="58"/>
      <c r="Y148" s="58"/>
      <c r="Z148" s="58"/>
      <c r="AA148" s="58"/>
      <c r="AB148" s="58"/>
      <c r="AC148" s="58"/>
      <c r="AD148" s="58"/>
    </row>
    <row r="149" spans="1:30" ht="40.200000000000003" customHeight="1" x14ac:dyDescent="0.3">
      <c r="A149" s="58"/>
      <c r="B149"/>
      <c r="C149" s="56"/>
      <c r="D149" s="55"/>
      <c r="E149" s="56"/>
      <c r="F149" s="56"/>
      <c r="G149" s="56"/>
      <c r="H149" s="58"/>
      <c r="I149" s="58"/>
      <c r="J149" s="58"/>
      <c r="K149" s="58"/>
      <c r="L149" s="58"/>
      <c r="M149" s="58"/>
      <c r="N149" s="58"/>
      <c r="O149" s="58"/>
      <c r="P149" s="58"/>
      <c r="Q149" s="58"/>
      <c r="R149" s="58"/>
      <c r="S149" s="58"/>
      <c r="T149" s="58"/>
      <c r="U149" s="58"/>
      <c r="V149" s="58"/>
      <c r="W149" s="58"/>
      <c r="X149" s="58"/>
      <c r="Y149" s="58"/>
      <c r="Z149" s="58"/>
      <c r="AA149" s="58"/>
      <c r="AB149" s="58"/>
      <c r="AC149" s="58"/>
      <c r="AD149" s="58"/>
    </row>
    <row r="150" spans="1:30" ht="40.200000000000003" customHeight="1" x14ac:dyDescent="0.3">
      <c r="A150" s="58"/>
      <c r="B150"/>
      <c r="C150" s="56"/>
      <c r="D150" s="55"/>
      <c r="E150" s="56"/>
      <c r="F150" s="56"/>
      <c r="G150" s="56"/>
      <c r="H150" s="58"/>
      <c r="I150" s="58"/>
      <c r="J150" s="58"/>
      <c r="K150" s="58"/>
      <c r="L150" s="58"/>
      <c r="M150" s="58"/>
      <c r="N150" s="58"/>
      <c r="O150" s="58"/>
      <c r="P150" s="58"/>
      <c r="Q150" s="58"/>
      <c r="R150" s="58"/>
      <c r="S150" s="58"/>
      <c r="T150" s="58"/>
      <c r="U150" s="58"/>
      <c r="V150" s="58"/>
      <c r="W150" s="58"/>
      <c r="X150" s="58"/>
      <c r="Y150" s="58"/>
      <c r="Z150" s="58"/>
      <c r="AA150" s="58"/>
      <c r="AB150" s="58"/>
      <c r="AC150" s="58"/>
      <c r="AD150" s="58"/>
    </row>
    <row r="151" spans="1:30" ht="40.200000000000003" customHeight="1" x14ac:dyDescent="0.3">
      <c r="A151" s="58"/>
      <c r="B151"/>
      <c r="C151" s="56"/>
      <c r="D151" s="55"/>
      <c r="E151" s="56"/>
      <c r="F151" s="56"/>
      <c r="G151" s="56"/>
      <c r="H151" s="58"/>
      <c r="I151" s="58"/>
      <c r="J151" s="58"/>
      <c r="K151" s="58"/>
      <c r="L151" s="58"/>
      <c r="M151" s="58"/>
      <c r="N151" s="58"/>
      <c r="O151" s="58"/>
      <c r="P151" s="58"/>
      <c r="Q151" s="58"/>
      <c r="R151" s="58"/>
      <c r="S151" s="58"/>
      <c r="T151" s="58"/>
      <c r="U151" s="58"/>
      <c r="V151" s="58"/>
      <c r="W151" s="58"/>
      <c r="X151" s="58"/>
      <c r="Y151" s="58"/>
      <c r="Z151" s="58"/>
      <c r="AA151" s="58"/>
      <c r="AB151" s="58"/>
      <c r="AC151" s="58"/>
      <c r="AD151" s="58"/>
    </row>
    <row r="152" spans="1:30" ht="40.200000000000003" customHeight="1" x14ac:dyDescent="0.3">
      <c r="A152" s="58"/>
      <c r="B152"/>
      <c r="C152" s="56"/>
      <c r="D152" s="55"/>
      <c r="E152" s="56"/>
      <c r="F152" s="56"/>
      <c r="G152" s="56"/>
      <c r="H152" s="58"/>
      <c r="I152" s="58"/>
      <c r="J152" s="58"/>
      <c r="K152" s="58"/>
      <c r="L152" s="58"/>
      <c r="M152" s="58"/>
      <c r="N152" s="58"/>
      <c r="O152" s="58"/>
      <c r="P152" s="58"/>
      <c r="Q152" s="58"/>
      <c r="R152" s="58"/>
      <c r="S152" s="58"/>
      <c r="T152" s="58"/>
      <c r="U152" s="58"/>
      <c r="V152" s="58"/>
      <c r="W152" s="58"/>
      <c r="X152" s="58"/>
      <c r="Y152" s="58"/>
      <c r="Z152" s="58"/>
      <c r="AA152" s="58"/>
      <c r="AB152" s="58"/>
      <c r="AC152" s="58"/>
      <c r="AD152" s="58"/>
    </row>
    <row r="153" spans="1:30" ht="40.200000000000003" customHeight="1" x14ac:dyDescent="0.3">
      <c r="A153" s="58"/>
      <c r="B153"/>
      <c r="C153" s="56"/>
      <c r="D153" s="55"/>
      <c r="E153" s="56"/>
      <c r="F153" s="56"/>
      <c r="G153" s="56"/>
      <c r="H153" s="58"/>
      <c r="I153" s="58"/>
      <c r="J153" s="58"/>
      <c r="K153" s="58"/>
      <c r="L153" s="58"/>
      <c r="M153" s="58"/>
      <c r="N153" s="58"/>
      <c r="O153" s="58"/>
      <c r="P153" s="58"/>
      <c r="Q153" s="58"/>
      <c r="R153" s="58"/>
      <c r="S153" s="58"/>
      <c r="T153" s="58"/>
      <c r="U153" s="58"/>
      <c r="V153" s="58"/>
      <c r="W153" s="58"/>
      <c r="X153" s="58"/>
      <c r="Y153" s="58"/>
      <c r="Z153" s="58"/>
      <c r="AA153" s="58"/>
      <c r="AB153" s="58"/>
      <c r="AC153" s="58"/>
      <c r="AD153" s="58"/>
    </row>
    <row r="154" spans="1:30" ht="40.200000000000003" customHeight="1" x14ac:dyDescent="0.3">
      <c r="A154" s="58"/>
      <c r="B154"/>
      <c r="C154" s="56"/>
      <c r="D154" s="55"/>
      <c r="E154" s="56"/>
      <c r="F154" s="56"/>
      <c r="G154" s="56"/>
      <c r="H154" s="58"/>
      <c r="I154" s="58"/>
      <c r="J154" s="58"/>
      <c r="K154" s="58"/>
      <c r="L154" s="58"/>
      <c r="M154" s="58"/>
      <c r="N154" s="58"/>
      <c r="O154" s="58"/>
      <c r="P154" s="58"/>
      <c r="Q154" s="58"/>
      <c r="R154" s="58"/>
      <c r="S154" s="58"/>
      <c r="T154" s="58"/>
      <c r="U154" s="58"/>
      <c r="V154" s="58"/>
      <c r="W154" s="58"/>
      <c r="X154" s="58"/>
      <c r="Y154" s="58"/>
      <c r="Z154" s="58"/>
      <c r="AA154" s="58"/>
      <c r="AB154" s="58"/>
      <c r="AC154" s="58"/>
      <c r="AD154" s="58"/>
    </row>
    <row r="155" spans="1:30" ht="40.200000000000003" customHeight="1" x14ac:dyDescent="0.3">
      <c r="A155" s="58"/>
      <c r="B155"/>
      <c r="C155" s="56"/>
      <c r="D155" s="55"/>
      <c r="E155" s="56"/>
      <c r="F155" s="56"/>
      <c r="G155" s="56"/>
      <c r="H155" s="58"/>
      <c r="I155" s="58"/>
      <c r="J155" s="58"/>
      <c r="K155" s="58"/>
      <c r="L155" s="58"/>
      <c r="M155" s="58"/>
      <c r="N155" s="58"/>
      <c r="O155" s="58"/>
      <c r="P155" s="58"/>
      <c r="Q155" s="58"/>
      <c r="R155" s="58"/>
      <c r="S155" s="58"/>
      <c r="T155" s="58"/>
      <c r="U155" s="58"/>
      <c r="V155" s="58"/>
      <c r="W155" s="58"/>
      <c r="X155" s="58"/>
      <c r="Y155" s="58"/>
      <c r="Z155" s="58"/>
      <c r="AA155" s="58"/>
      <c r="AB155" s="58"/>
      <c r="AC155" s="58"/>
      <c r="AD155" s="58"/>
    </row>
    <row r="156" spans="1:30" ht="40.200000000000003" customHeight="1" x14ac:dyDescent="0.3">
      <c r="A156" s="58"/>
      <c r="B156"/>
      <c r="C156" s="56"/>
      <c r="D156" s="55"/>
      <c r="E156" s="56"/>
      <c r="F156" s="56"/>
      <c r="G156" s="56"/>
      <c r="H156" s="58"/>
      <c r="I156" s="58"/>
      <c r="J156" s="58"/>
      <c r="K156" s="58"/>
      <c r="L156" s="58"/>
      <c r="M156" s="58"/>
      <c r="N156" s="58"/>
      <c r="O156" s="58"/>
      <c r="P156" s="58"/>
      <c r="Q156" s="58"/>
      <c r="R156" s="58"/>
      <c r="S156" s="58"/>
      <c r="T156" s="58"/>
      <c r="U156" s="58"/>
      <c r="V156" s="58"/>
      <c r="W156" s="58"/>
      <c r="X156" s="58"/>
      <c r="Y156" s="58"/>
      <c r="Z156" s="58"/>
      <c r="AA156" s="58"/>
      <c r="AB156" s="58"/>
      <c r="AC156" s="58"/>
      <c r="AD156" s="58"/>
    </row>
    <row r="157" spans="1:30" ht="40.200000000000003" customHeight="1" x14ac:dyDescent="0.3">
      <c r="A157" s="58"/>
      <c r="B157"/>
      <c r="C157" s="56"/>
      <c r="D157" s="55"/>
      <c r="E157" s="56"/>
      <c r="F157" s="56"/>
      <c r="G157" s="56"/>
      <c r="H157" s="58"/>
      <c r="I157" s="58"/>
      <c r="J157" s="58"/>
      <c r="K157" s="58"/>
      <c r="L157" s="58"/>
      <c r="M157" s="58"/>
      <c r="N157" s="58"/>
      <c r="O157" s="58"/>
      <c r="P157" s="58"/>
      <c r="Q157" s="58"/>
      <c r="R157" s="58"/>
      <c r="S157" s="58"/>
      <c r="T157" s="58"/>
      <c r="U157" s="58"/>
      <c r="V157" s="58"/>
      <c r="W157" s="58"/>
      <c r="X157" s="58"/>
      <c r="Y157" s="58"/>
      <c r="Z157" s="58"/>
      <c r="AA157" s="58"/>
      <c r="AB157" s="58"/>
      <c r="AC157" s="58"/>
      <c r="AD157" s="58"/>
    </row>
    <row r="158" spans="1:30" ht="40.200000000000003" customHeight="1" x14ac:dyDescent="0.3">
      <c r="A158" s="58"/>
      <c r="B158"/>
      <c r="C158" s="56"/>
      <c r="D158" s="55"/>
      <c r="E158" s="56"/>
      <c r="F158" s="56"/>
      <c r="G158" s="56"/>
      <c r="H158" s="58"/>
      <c r="I158" s="58"/>
      <c r="J158" s="58"/>
      <c r="K158" s="58"/>
      <c r="L158" s="58"/>
      <c r="M158" s="58"/>
      <c r="N158" s="58"/>
      <c r="O158" s="58"/>
      <c r="P158" s="58"/>
      <c r="Q158" s="58"/>
      <c r="R158" s="58"/>
      <c r="S158" s="58"/>
      <c r="T158" s="58"/>
      <c r="U158" s="58"/>
      <c r="V158" s="58"/>
      <c r="W158" s="58"/>
      <c r="X158" s="58"/>
      <c r="Y158" s="58"/>
      <c r="Z158" s="58"/>
      <c r="AA158" s="58"/>
      <c r="AB158" s="58"/>
      <c r="AC158" s="58"/>
      <c r="AD158" s="58"/>
    </row>
    <row r="159" spans="1:30" ht="40.200000000000003" customHeight="1" x14ac:dyDescent="0.3">
      <c r="A159" s="58"/>
      <c r="B159"/>
      <c r="C159" s="56"/>
      <c r="D159" s="55"/>
      <c r="E159" s="56"/>
      <c r="F159" s="56"/>
      <c r="G159" s="56"/>
      <c r="H159" s="58"/>
      <c r="I159" s="58"/>
      <c r="J159" s="58"/>
      <c r="K159" s="58"/>
      <c r="L159" s="58"/>
      <c r="M159" s="58"/>
      <c r="N159" s="58"/>
      <c r="O159" s="58"/>
      <c r="P159" s="58"/>
      <c r="Q159" s="58"/>
      <c r="R159" s="58"/>
      <c r="S159" s="58"/>
      <c r="T159" s="58"/>
      <c r="U159" s="58"/>
      <c r="V159" s="58"/>
      <c r="W159" s="58"/>
      <c r="X159" s="58"/>
      <c r="Y159" s="58"/>
      <c r="Z159" s="58"/>
      <c r="AA159" s="58"/>
      <c r="AB159" s="58"/>
      <c r="AC159" s="58"/>
      <c r="AD159" s="58"/>
    </row>
    <row r="160" spans="1:30" ht="40.200000000000003" customHeight="1" x14ac:dyDescent="0.3">
      <c r="A160" s="58"/>
      <c r="B160"/>
      <c r="C160" s="56"/>
      <c r="D160" s="55"/>
      <c r="E160" s="56"/>
      <c r="F160" s="56"/>
      <c r="G160" s="56"/>
      <c r="H160" s="58"/>
      <c r="I160" s="58"/>
      <c r="J160" s="58"/>
      <c r="K160" s="58"/>
      <c r="L160" s="58"/>
      <c r="M160" s="58"/>
      <c r="N160" s="58"/>
      <c r="O160" s="58"/>
      <c r="P160" s="58"/>
      <c r="Q160" s="58"/>
      <c r="R160" s="58"/>
      <c r="S160" s="58"/>
      <c r="T160" s="58"/>
      <c r="U160" s="58"/>
      <c r="V160" s="58"/>
      <c r="W160" s="58"/>
      <c r="X160" s="58"/>
      <c r="Y160" s="58"/>
      <c r="Z160" s="58"/>
      <c r="AA160" s="58"/>
      <c r="AB160" s="58"/>
      <c r="AC160" s="58"/>
      <c r="AD160" s="58"/>
    </row>
    <row r="161" spans="1:30" ht="40.200000000000003" customHeight="1" x14ac:dyDescent="0.3">
      <c r="A161" s="58"/>
      <c r="B161"/>
      <c r="C161" s="56"/>
      <c r="D161" s="55"/>
      <c r="E161" s="56"/>
      <c r="F161" s="56"/>
      <c r="G161" s="56"/>
      <c r="H161" s="58"/>
      <c r="I161" s="58"/>
      <c r="J161" s="58"/>
      <c r="K161" s="58"/>
      <c r="L161" s="58"/>
      <c r="M161" s="58"/>
      <c r="N161" s="58"/>
      <c r="O161" s="58"/>
      <c r="P161" s="58"/>
      <c r="Q161" s="58"/>
      <c r="R161" s="58"/>
      <c r="S161" s="58"/>
      <c r="T161" s="58"/>
      <c r="U161" s="58"/>
      <c r="V161" s="58"/>
      <c r="W161" s="58"/>
      <c r="X161" s="58"/>
      <c r="Y161" s="58"/>
      <c r="Z161" s="58"/>
      <c r="AA161" s="58"/>
      <c r="AB161" s="58"/>
      <c r="AC161" s="58"/>
      <c r="AD161" s="58"/>
    </row>
    <row r="162" spans="1:30" ht="40.200000000000003" customHeight="1" x14ac:dyDescent="0.3">
      <c r="A162" s="58"/>
      <c r="B162"/>
      <c r="C162" s="56"/>
      <c r="D162" s="55"/>
      <c r="E162" s="56"/>
      <c r="F162" s="56"/>
      <c r="G162" s="56"/>
      <c r="H162" s="58"/>
      <c r="I162" s="58"/>
      <c r="J162" s="58"/>
      <c r="K162" s="58"/>
      <c r="L162" s="58"/>
      <c r="M162" s="58"/>
      <c r="N162" s="58"/>
      <c r="O162" s="58"/>
      <c r="P162" s="58"/>
      <c r="Q162" s="58"/>
      <c r="R162" s="58"/>
      <c r="S162" s="58"/>
      <c r="T162" s="58"/>
      <c r="U162" s="58"/>
      <c r="V162" s="58"/>
      <c r="W162" s="58"/>
      <c r="X162" s="58"/>
      <c r="Y162" s="58"/>
      <c r="Z162" s="58"/>
      <c r="AA162" s="58"/>
      <c r="AB162" s="58"/>
      <c r="AC162" s="58"/>
      <c r="AD162" s="58"/>
    </row>
    <row r="163" spans="1:30" ht="40.200000000000003" customHeight="1" x14ac:dyDescent="0.3">
      <c r="A163" s="58"/>
      <c r="B163"/>
      <c r="C163" s="56"/>
      <c r="D163" s="55"/>
      <c r="E163" s="56"/>
      <c r="F163" s="56"/>
      <c r="G163" s="56"/>
      <c r="H163" s="58"/>
      <c r="I163" s="58"/>
      <c r="J163" s="58"/>
      <c r="K163" s="58"/>
      <c r="L163" s="58"/>
      <c r="M163" s="58"/>
      <c r="N163" s="58"/>
      <c r="O163" s="58"/>
      <c r="P163" s="58"/>
      <c r="Q163" s="58"/>
      <c r="R163" s="58"/>
      <c r="S163" s="58"/>
      <c r="T163" s="58"/>
      <c r="U163" s="58"/>
      <c r="V163" s="58"/>
      <c r="W163" s="58"/>
      <c r="X163" s="58"/>
      <c r="Y163" s="58"/>
      <c r="Z163" s="58"/>
      <c r="AA163" s="58"/>
      <c r="AB163" s="58"/>
      <c r="AC163" s="58"/>
      <c r="AD163" s="58"/>
    </row>
    <row r="164" spans="1:30" ht="40.200000000000003" customHeight="1" x14ac:dyDescent="0.3">
      <c r="A164" s="58"/>
      <c r="B164"/>
      <c r="C164" s="56"/>
      <c r="D164" s="55"/>
      <c r="E164" s="56"/>
      <c r="F164" s="56"/>
      <c r="G164" s="56"/>
      <c r="H164" s="58"/>
      <c r="I164" s="58"/>
      <c r="J164" s="58"/>
      <c r="K164" s="58"/>
      <c r="L164" s="58"/>
      <c r="M164" s="58"/>
      <c r="N164" s="58"/>
      <c r="O164" s="58"/>
      <c r="P164" s="58"/>
      <c r="Q164" s="58"/>
      <c r="R164" s="58"/>
      <c r="S164" s="58"/>
      <c r="T164" s="58"/>
      <c r="U164" s="58"/>
      <c r="V164" s="58"/>
      <c r="W164" s="58"/>
      <c r="X164" s="58"/>
      <c r="Y164" s="58"/>
      <c r="Z164" s="58"/>
      <c r="AA164" s="58"/>
      <c r="AB164" s="58"/>
      <c r="AC164" s="58"/>
      <c r="AD164" s="58"/>
    </row>
    <row r="165" spans="1:30" ht="40.200000000000003" customHeight="1" x14ac:dyDescent="0.3">
      <c r="A165" s="58"/>
      <c r="B165"/>
      <c r="C165" s="56"/>
      <c r="D165" s="55"/>
      <c r="E165" s="56"/>
      <c r="F165" s="56"/>
      <c r="G165" s="56"/>
      <c r="H165" s="58"/>
      <c r="I165" s="58"/>
      <c r="J165" s="58"/>
      <c r="K165" s="58"/>
      <c r="L165" s="58"/>
      <c r="M165" s="58"/>
      <c r="N165" s="58"/>
      <c r="O165" s="58"/>
      <c r="P165" s="58"/>
      <c r="Q165" s="58"/>
      <c r="R165" s="58"/>
      <c r="S165" s="58"/>
      <c r="T165" s="58"/>
      <c r="U165" s="58"/>
      <c r="V165" s="58"/>
      <c r="W165" s="58"/>
      <c r="X165" s="58"/>
      <c r="Y165" s="58"/>
      <c r="Z165" s="58"/>
      <c r="AA165" s="58"/>
      <c r="AB165" s="58"/>
      <c r="AC165" s="58"/>
      <c r="AD165" s="58"/>
    </row>
    <row r="166" spans="1:30" ht="40.200000000000003" customHeight="1" x14ac:dyDescent="0.3">
      <c r="A166" s="58"/>
      <c r="B166"/>
      <c r="C166" s="56"/>
      <c r="D166" s="55"/>
      <c r="E166" s="56"/>
      <c r="F166" s="56"/>
      <c r="G166" s="56"/>
      <c r="H166" s="58"/>
      <c r="I166" s="58"/>
      <c r="J166" s="58"/>
      <c r="K166" s="58"/>
      <c r="L166" s="58"/>
      <c r="M166" s="58"/>
      <c r="N166" s="58"/>
      <c r="O166" s="58"/>
      <c r="P166" s="58"/>
      <c r="Q166" s="58"/>
      <c r="R166" s="58"/>
      <c r="S166" s="58"/>
      <c r="T166" s="58"/>
      <c r="U166" s="58"/>
      <c r="V166" s="58"/>
      <c r="W166" s="58"/>
      <c r="X166" s="58"/>
      <c r="Y166" s="58"/>
      <c r="Z166" s="58"/>
      <c r="AA166" s="58"/>
      <c r="AB166" s="58"/>
      <c r="AC166" s="58"/>
      <c r="AD166" s="58"/>
    </row>
    <row r="167" spans="1:30" ht="40.200000000000003" customHeight="1" x14ac:dyDescent="0.3">
      <c r="A167" s="58"/>
      <c r="B167"/>
      <c r="C167" s="56"/>
      <c r="D167" s="55"/>
      <c r="E167" s="56"/>
      <c r="F167" s="56"/>
      <c r="G167" s="56"/>
      <c r="H167" s="58"/>
      <c r="I167" s="58"/>
      <c r="J167" s="58"/>
      <c r="K167" s="58"/>
      <c r="L167" s="58"/>
      <c r="M167" s="58"/>
      <c r="N167" s="58"/>
      <c r="O167" s="58"/>
      <c r="P167" s="58"/>
      <c r="Q167" s="58"/>
      <c r="R167" s="58"/>
      <c r="S167" s="58"/>
      <c r="T167" s="58"/>
      <c r="U167" s="58"/>
      <c r="V167" s="58"/>
      <c r="W167" s="58"/>
      <c r="X167" s="58"/>
      <c r="Y167" s="58"/>
      <c r="Z167" s="58"/>
      <c r="AA167" s="58"/>
      <c r="AB167" s="58"/>
      <c r="AC167" s="58"/>
      <c r="AD167" s="58"/>
    </row>
    <row r="168" spans="1:30" ht="40.200000000000003" customHeight="1" x14ac:dyDescent="0.3">
      <c r="A168" s="58"/>
      <c r="B168"/>
      <c r="C168" s="56"/>
      <c r="D168" s="55"/>
      <c r="E168" s="56"/>
      <c r="F168" s="56"/>
      <c r="G168" s="56"/>
      <c r="H168" s="58"/>
      <c r="I168" s="58"/>
      <c r="J168" s="58"/>
      <c r="K168" s="58"/>
      <c r="L168" s="58"/>
      <c r="M168" s="58"/>
      <c r="N168" s="58"/>
      <c r="O168" s="58"/>
      <c r="P168" s="58"/>
      <c r="Q168" s="58"/>
      <c r="R168" s="58"/>
      <c r="S168" s="58"/>
      <c r="T168" s="58"/>
      <c r="U168" s="58"/>
      <c r="V168" s="58"/>
      <c r="W168" s="58"/>
      <c r="X168" s="58"/>
      <c r="Y168" s="58"/>
      <c r="Z168" s="58"/>
      <c r="AA168" s="58"/>
      <c r="AB168" s="58"/>
      <c r="AC168" s="58"/>
      <c r="AD168" s="58"/>
    </row>
    <row r="169" spans="1:30" ht="40.200000000000003" customHeight="1" x14ac:dyDescent="0.3">
      <c r="A169" s="58"/>
      <c r="B169"/>
      <c r="C169" s="56"/>
      <c r="D169" s="55"/>
      <c r="E169" s="56"/>
      <c r="F169" s="56"/>
      <c r="G169" s="56"/>
      <c r="H169" s="58"/>
      <c r="I169" s="58"/>
      <c r="J169" s="58"/>
      <c r="K169" s="58"/>
      <c r="L169" s="58"/>
      <c r="M169" s="58"/>
      <c r="N169" s="58"/>
      <c r="O169" s="58"/>
      <c r="P169" s="58"/>
      <c r="Q169" s="58"/>
      <c r="R169" s="58"/>
      <c r="S169" s="58"/>
      <c r="T169" s="58"/>
      <c r="U169" s="58"/>
      <c r="V169" s="58"/>
      <c r="W169" s="58"/>
      <c r="X169" s="58"/>
      <c r="Y169" s="58"/>
      <c r="Z169" s="58"/>
      <c r="AA169" s="58"/>
      <c r="AB169" s="58"/>
      <c r="AC169" s="58"/>
      <c r="AD169" s="58"/>
    </row>
    <row r="170" spans="1:30" ht="40.200000000000003" customHeight="1" x14ac:dyDescent="0.3">
      <c r="A170" s="58"/>
      <c r="B170"/>
      <c r="C170" s="56"/>
      <c r="D170" s="55"/>
      <c r="E170" s="56"/>
      <c r="F170" s="56"/>
      <c r="G170" s="56"/>
      <c r="H170" s="58"/>
      <c r="I170" s="58"/>
      <c r="J170" s="58"/>
      <c r="K170" s="58"/>
      <c r="L170" s="58"/>
      <c r="M170" s="58"/>
      <c r="N170" s="58"/>
      <c r="O170" s="58"/>
      <c r="P170" s="58"/>
      <c r="Q170" s="58"/>
      <c r="R170" s="58"/>
      <c r="S170" s="58"/>
      <c r="T170" s="58"/>
      <c r="U170" s="58"/>
      <c r="V170" s="58"/>
      <c r="W170" s="58"/>
      <c r="X170" s="58"/>
      <c r="Y170" s="58"/>
      <c r="Z170" s="58"/>
      <c r="AA170" s="58"/>
      <c r="AB170" s="58"/>
      <c r="AC170" s="58"/>
      <c r="AD170" s="58"/>
    </row>
    <row r="171" spans="1:30" ht="40.200000000000003" customHeight="1" x14ac:dyDescent="0.3">
      <c r="A171" s="58"/>
      <c r="B171"/>
      <c r="C171" s="56"/>
      <c r="D171" s="55"/>
      <c r="E171" s="56"/>
      <c r="F171" s="56"/>
      <c r="G171" s="56"/>
      <c r="H171" s="58"/>
      <c r="I171" s="58"/>
      <c r="J171" s="58"/>
      <c r="K171" s="58"/>
      <c r="L171" s="58"/>
      <c r="M171" s="58"/>
      <c r="N171" s="58"/>
      <c r="O171" s="58"/>
      <c r="P171" s="58"/>
      <c r="Q171" s="58"/>
      <c r="R171" s="58"/>
      <c r="S171" s="58"/>
      <c r="T171" s="58"/>
      <c r="U171" s="58"/>
      <c r="V171" s="58"/>
      <c r="W171" s="58"/>
      <c r="X171" s="58"/>
      <c r="Y171" s="58"/>
      <c r="Z171" s="58"/>
      <c r="AA171" s="58"/>
      <c r="AB171" s="58"/>
      <c r="AC171" s="58"/>
      <c r="AD171" s="58"/>
    </row>
    <row r="172" spans="1:30" ht="40.200000000000003" customHeight="1" x14ac:dyDescent="0.3">
      <c r="A172" s="58"/>
      <c r="B172"/>
      <c r="C172" s="56"/>
      <c r="D172" s="55"/>
      <c r="E172" s="56"/>
      <c r="F172" s="56"/>
      <c r="G172" s="56"/>
      <c r="H172" s="58"/>
      <c r="I172" s="58"/>
      <c r="J172" s="58"/>
      <c r="K172" s="58"/>
      <c r="L172" s="58"/>
      <c r="M172" s="58"/>
      <c r="N172" s="58"/>
      <c r="O172" s="58"/>
      <c r="P172" s="58"/>
      <c r="Q172" s="58"/>
      <c r="R172" s="58"/>
      <c r="S172" s="58"/>
      <c r="T172" s="58"/>
      <c r="U172" s="58"/>
      <c r="V172" s="58"/>
      <c r="W172" s="58"/>
      <c r="X172" s="58"/>
      <c r="Y172" s="58"/>
      <c r="Z172" s="58"/>
      <c r="AA172" s="58"/>
      <c r="AB172" s="58"/>
      <c r="AC172" s="58"/>
      <c r="AD172" s="58"/>
    </row>
    <row r="173" spans="1:30" ht="40.200000000000003" customHeight="1" x14ac:dyDescent="0.3">
      <c r="A173" s="58"/>
      <c r="B173"/>
      <c r="C173" s="56"/>
      <c r="D173" s="55"/>
      <c r="E173" s="56"/>
      <c r="F173" s="56"/>
      <c r="G173" s="56"/>
      <c r="H173" s="58"/>
      <c r="I173" s="58"/>
      <c r="J173" s="58"/>
      <c r="K173" s="58"/>
      <c r="L173" s="58"/>
      <c r="M173" s="58"/>
      <c r="N173" s="58"/>
      <c r="O173" s="58"/>
      <c r="P173" s="58"/>
      <c r="Q173" s="58"/>
      <c r="R173" s="58"/>
      <c r="S173" s="58"/>
      <c r="T173" s="58"/>
      <c r="U173" s="58"/>
      <c r="V173" s="58"/>
      <c r="W173" s="58"/>
      <c r="X173" s="58"/>
      <c r="Y173" s="58"/>
      <c r="Z173" s="58"/>
      <c r="AA173" s="58"/>
      <c r="AB173" s="58"/>
      <c r="AC173" s="58"/>
      <c r="AD173" s="58"/>
    </row>
    <row r="174" spans="1:30" ht="40.200000000000003" customHeight="1" x14ac:dyDescent="0.3">
      <c r="A174" s="58"/>
      <c r="B174"/>
      <c r="C174" s="56"/>
      <c r="D174" s="55"/>
      <c r="E174" s="56"/>
      <c r="F174" s="56"/>
      <c r="G174" s="56"/>
      <c r="H174" s="58"/>
      <c r="I174" s="58"/>
      <c r="J174" s="58"/>
      <c r="K174" s="58"/>
      <c r="L174" s="58"/>
      <c r="M174" s="58"/>
      <c r="N174" s="58"/>
      <c r="O174" s="58"/>
      <c r="P174" s="58"/>
      <c r="Q174" s="58"/>
      <c r="R174" s="58"/>
      <c r="S174" s="58"/>
      <c r="T174" s="58"/>
      <c r="U174" s="58"/>
      <c r="V174" s="58"/>
      <c r="W174" s="58"/>
      <c r="X174" s="58"/>
      <c r="Y174" s="58"/>
      <c r="Z174" s="58"/>
      <c r="AA174" s="58"/>
      <c r="AB174" s="58"/>
      <c r="AC174" s="58"/>
      <c r="AD174" s="58"/>
    </row>
    <row r="175" spans="1:30" ht="40.200000000000003" customHeight="1" x14ac:dyDescent="0.3">
      <c r="A175" s="58"/>
      <c r="B175"/>
      <c r="C175" s="56"/>
      <c r="D175" s="55"/>
      <c r="E175" s="56"/>
      <c r="F175" s="56"/>
      <c r="G175" s="56"/>
      <c r="H175" s="58"/>
      <c r="I175" s="58"/>
      <c r="J175" s="58"/>
      <c r="K175" s="58"/>
      <c r="L175" s="58"/>
      <c r="M175" s="58"/>
      <c r="N175" s="58"/>
      <c r="O175" s="58"/>
      <c r="P175" s="58"/>
      <c r="Q175" s="58"/>
      <c r="R175" s="58"/>
      <c r="S175" s="58"/>
      <c r="T175" s="58"/>
      <c r="U175" s="58"/>
      <c r="V175" s="58"/>
      <c r="W175" s="58"/>
      <c r="X175" s="58"/>
      <c r="Y175" s="58"/>
      <c r="Z175" s="58"/>
      <c r="AA175" s="58"/>
      <c r="AB175" s="58"/>
      <c r="AC175" s="58"/>
      <c r="AD175" s="58"/>
    </row>
    <row r="176" spans="1:30" ht="40.200000000000003" customHeight="1" x14ac:dyDescent="0.3">
      <c r="A176" s="58"/>
      <c r="B176"/>
      <c r="C176" s="56"/>
      <c r="D176" s="55"/>
      <c r="E176" s="56"/>
      <c r="F176" s="56"/>
      <c r="G176" s="56"/>
      <c r="H176" s="58"/>
      <c r="I176" s="58"/>
      <c r="J176" s="58"/>
      <c r="K176" s="58"/>
      <c r="L176" s="58"/>
      <c r="M176" s="58"/>
      <c r="N176" s="58"/>
      <c r="O176" s="58"/>
      <c r="P176" s="58"/>
      <c r="Q176" s="58"/>
      <c r="R176" s="58"/>
      <c r="S176" s="58"/>
      <c r="T176" s="58"/>
      <c r="U176" s="58"/>
      <c r="V176" s="58"/>
      <c r="W176" s="58"/>
      <c r="X176" s="58"/>
      <c r="Y176" s="58"/>
      <c r="Z176" s="58"/>
      <c r="AA176" s="58"/>
      <c r="AB176" s="58"/>
      <c r="AC176" s="58"/>
      <c r="AD176" s="58"/>
    </row>
    <row r="177" spans="1:30" ht="40.200000000000003" customHeight="1" x14ac:dyDescent="0.3">
      <c r="A177" s="58"/>
      <c r="B177"/>
      <c r="C177" s="56"/>
      <c r="D177" s="55"/>
      <c r="E177" s="56"/>
      <c r="F177" s="56"/>
      <c r="G177" s="56"/>
      <c r="H177" s="58"/>
      <c r="I177" s="58"/>
      <c r="J177" s="58"/>
      <c r="K177" s="58"/>
      <c r="L177" s="58"/>
      <c r="M177" s="58"/>
      <c r="N177" s="58"/>
      <c r="O177" s="58"/>
      <c r="P177" s="58"/>
      <c r="Q177" s="58"/>
      <c r="R177" s="58"/>
      <c r="S177" s="58"/>
      <c r="T177" s="58"/>
      <c r="U177" s="58"/>
      <c r="V177" s="58"/>
      <c r="W177" s="58"/>
      <c r="X177" s="58"/>
      <c r="Y177" s="58"/>
      <c r="Z177" s="58"/>
      <c r="AA177" s="58"/>
      <c r="AB177" s="58"/>
      <c r="AC177" s="58"/>
      <c r="AD177" s="58"/>
    </row>
    <row r="178" spans="1:30" ht="40.200000000000003" customHeight="1" x14ac:dyDescent="0.3">
      <c r="A178" s="58"/>
      <c r="B178"/>
      <c r="C178" s="56"/>
      <c r="D178" s="55"/>
      <c r="E178" s="56"/>
      <c r="F178" s="56"/>
      <c r="G178" s="56"/>
      <c r="H178" s="58"/>
      <c r="I178" s="58"/>
      <c r="J178" s="58"/>
      <c r="K178" s="58"/>
      <c r="L178" s="58"/>
      <c r="M178" s="58"/>
      <c r="N178" s="58"/>
      <c r="O178" s="58"/>
      <c r="P178" s="58"/>
      <c r="Q178" s="58"/>
      <c r="R178" s="58"/>
      <c r="S178" s="58"/>
      <c r="T178" s="58"/>
      <c r="U178" s="58"/>
      <c r="V178" s="58"/>
      <c r="W178" s="58"/>
      <c r="X178" s="58"/>
      <c r="Y178" s="58"/>
      <c r="Z178" s="58"/>
      <c r="AA178" s="58"/>
      <c r="AB178" s="58"/>
      <c r="AC178" s="58"/>
      <c r="AD178" s="58"/>
    </row>
    <row r="179" spans="1:30" ht="40.200000000000003" customHeight="1" x14ac:dyDescent="0.3">
      <c r="A179" s="58"/>
      <c r="B179"/>
      <c r="C179" s="56"/>
      <c r="D179" s="55"/>
      <c r="E179" s="56"/>
      <c r="F179" s="56"/>
      <c r="G179" s="56"/>
      <c r="H179" s="58"/>
      <c r="I179" s="58"/>
      <c r="J179" s="58"/>
      <c r="K179" s="58"/>
      <c r="L179" s="58"/>
      <c r="M179" s="58"/>
      <c r="N179" s="58"/>
      <c r="O179" s="58"/>
      <c r="P179" s="58"/>
      <c r="Q179" s="58"/>
      <c r="R179" s="58"/>
      <c r="S179" s="58"/>
      <c r="T179" s="58"/>
      <c r="U179" s="58"/>
      <c r="V179" s="58"/>
      <c r="W179" s="58"/>
      <c r="X179" s="58"/>
      <c r="Y179" s="58"/>
      <c r="Z179" s="58"/>
      <c r="AA179" s="58"/>
      <c r="AB179" s="58"/>
      <c r="AC179" s="58"/>
      <c r="AD179" s="58"/>
    </row>
    <row r="180" spans="1:30" ht="40.200000000000003" customHeight="1" x14ac:dyDescent="0.3">
      <c r="A180" s="58"/>
      <c r="B180"/>
      <c r="C180" s="56"/>
      <c r="D180" s="55"/>
      <c r="E180" s="56"/>
      <c r="F180" s="56"/>
      <c r="G180" s="56"/>
      <c r="H180" s="58"/>
      <c r="I180" s="58"/>
      <c r="J180" s="58"/>
      <c r="K180" s="58"/>
      <c r="L180" s="58"/>
      <c r="M180" s="58"/>
      <c r="N180" s="58"/>
      <c r="O180" s="58"/>
      <c r="P180" s="58"/>
      <c r="Q180" s="58"/>
      <c r="R180" s="58"/>
      <c r="S180" s="58"/>
      <c r="T180" s="58"/>
      <c r="U180" s="58"/>
      <c r="V180" s="58"/>
      <c r="W180" s="58"/>
      <c r="X180" s="58"/>
      <c r="Y180" s="58"/>
      <c r="Z180" s="58"/>
      <c r="AA180" s="58"/>
      <c r="AB180" s="58"/>
      <c r="AC180" s="58"/>
      <c r="AD180" s="58"/>
    </row>
    <row r="181" spans="1:30" ht="40.200000000000003" customHeight="1" x14ac:dyDescent="0.3">
      <c r="A181" s="58"/>
      <c r="B181"/>
      <c r="C181" s="56"/>
      <c r="D181" s="55"/>
      <c r="E181" s="56"/>
      <c r="F181" s="56"/>
      <c r="G181" s="56"/>
      <c r="H181" s="58"/>
      <c r="I181" s="58"/>
      <c r="J181" s="58"/>
      <c r="K181" s="58"/>
      <c r="L181" s="58"/>
      <c r="M181" s="58"/>
      <c r="N181" s="58"/>
      <c r="O181" s="58"/>
      <c r="P181" s="58"/>
      <c r="Q181" s="58"/>
      <c r="R181" s="58"/>
      <c r="S181" s="58"/>
      <c r="T181" s="58"/>
      <c r="U181" s="58"/>
      <c r="V181" s="58"/>
      <c r="W181" s="58"/>
      <c r="X181" s="58"/>
      <c r="Y181" s="58"/>
      <c r="Z181" s="58"/>
      <c r="AA181" s="58"/>
      <c r="AB181" s="58"/>
      <c r="AC181" s="58"/>
      <c r="AD181" s="58"/>
    </row>
    <row r="182" spans="1:30" ht="40.200000000000003" customHeight="1" x14ac:dyDescent="0.3">
      <c r="A182" s="58"/>
      <c r="B182"/>
      <c r="C182" s="56"/>
      <c r="D182" s="55"/>
      <c r="E182" s="56"/>
      <c r="F182" s="56"/>
      <c r="G182" s="56"/>
      <c r="H182" s="58"/>
      <c r="I182" s="58"/>
      <c r="J182" s="58"/>
      <c r="K182" s="58"/>
      <c r="L182" s="58"/>
      <c r="M182" s="58"/>
      <c r="N182" s="58"/>
      <c r="O182" s="58"/>
      <c r="P182" s="58"/>
      <c r="Q182" s="58"/>
      <c r="R182" s="58"/>
      <c r="S182" s="58"/>
      <c r="T182" s="58"/>
      <c r="U182" s="58"/>
      <c r="V182" s="58"/>
      <c r="W182" s="58"/>
      <c r="X182" s="58"/>
      <c r="Y182" s="58"/>
      <c r="Z182" s="58"/>
      <c r="AA182" s="58"/>
      <c r="AB182" s="58"/>
      <c r="AC182" s="58"/>
      <c r="AD182" s="58"/>
    </row>
    <row r="183" spans="1:30" ht="40.200000000000003" customHeight="1" x14ac:dyDescent="0.3">
      <c r="A183" s="58"/>
      <c r="B183"/>
      <c r="C183" s="56"/>
      <c r="D183" s="55"/>
      <c r="E183" s="56"/>
      <c r="F183" s="56"/>
      <c r="G183" s="56"/>
      <c r="H183" s="58"/>
      <c r="I183" s="58"/>
      <c r="J183" s="58"/>
      <c r="K183" s="58"/>
      <c r="L183" s="58"/>
      <c r="M183" s="58"/>
      <c r="N183" s="58"/>
      <c r="O183" s="58"/>
      <c r="P183" s="58"/>
      <c r="Q183" s="58"/>
      <c r="R183" s="58"/>
      <c r="S183" s="58"/>
      <c r="T183" s="58"/>
      <c r="U183" s="58"/>
      <c r="V183" s="58"/>
      <c r="W183" s="58"/>
      <c r="X183" s="58"/>
      <c r="Y183" s="58"/>
      <c r="Z183" s="58"/>
      <c r="AA183" s="58"/>
      <c r="AB183" s="58"/>
      <c r="AC183" s="58"/>
      <c r="AD183" s="58"/>
    </row>
    <row r="184" spans="1:30" ht="40.200000000000003" customHeight="1" x14ac:dyDescent="0.3">
      <c r="A184" s="58"/>
      <c r="B184"/>
      <c r="C184" s="56"/>
      <c r="D184" s="55"/>
      <c r="E184" s="56"/>
      <c r="F184" s="56"/>
      <c r="G184" s="56"/>
      <c r="H184" s="58"/>
      <c r="I184" s="58"/>
      <c r="J184" s="58"/>
      <c r="K184" s="58"/>
      <c r="L184" s="58"/>
      <c r="M184" s="58"/>
      <c r="N184" s="58"/>
      <c r="O184" s="58"/>
      <c r="P184" s="58"/>
      <c r="Q184" s="58"/>
      <c r="R184" s="58"/>
      <c r="S184" s="58"/>
      <c r="T184" s="58"/>
      <c r="U184" s="58"/>
      <c r="V184" s="58"/>
      <c r="W184" s="58"/>
      <c r="X184" s="58"/>
      <c r="Y184" s="58"/>
      <c r="Z184" s="58"/>
      <c r="AA184" s="58"/>
      <c r="AB184" s="58"/>
      <c r="AC184" s="58"/>
      <c r="AD184" s="58"/>
    </row>
    <row r="185" spans="1:30" ht="40.200000000000003" customHeight="1" x14ac:dyDescent="0.3">
      <c r="A185" s="58"/>
      <c r="B185"/>
      <c r="C185" s="56"/>
      <c r="D185" s="55"/>
      <c r="E185" s="56"/>
      <c r="F185" s="56"/>
      <c r="G185" s="56"/>
      <c r="H185" s="58"/>
      <c r="I185" s="58"/>
      <c r="J185" s="58"/>
      <c r="K185" s="58"/>
      <c r="L185" s="58"/>
      <c r="M185" s="58"/>
      <c r="N185" s="58"/>
      <c r="O185" s="58"/>
      <c r="P185" s="58"/>
      <c r="Q185" s="58"/>
      <c r="R185" s="58"/>
      <c r="S185" s="58"/>
      <c r="T185" s="58"/>
      <c r="U185" s="58"/>
      <c r="V185" s="58"/>
      <c r="W185" s="58"/>
      <c r="X185" s="58"/>
      <c r="Y185" s="58"/>
      <c r="Z185" s="58"/>
      <c r="AA185" s="58"/>
      <c r="AB185" s="58"/>
      <c r="AC185" s="58"/>
      <c r="AD185" s="58"/>
    </row>
    <row r="186" spans="1:30" ht="40.200000000000003" customHeight="1" x14ac:dyDescent="0.3">
      <c r="A186" s="58"/>
      <c r="B186"/>
      <c r="C186" s="56"/>
      <c r="D186" s="55"/>
      <c r="E186" s="56"/>
      <c r="F186" s="56"/>
      <c r="G186" s="56"/>
      <c r="H186" s="58"/>
      <c r="I186" s="58"/>
      <c r="J186" s="58"/>
      <c r="K186" s="58"/>
      <c r="L186" s="58"/>
      <c r="M186" s="58"/>
      <c r="N186" s="58"/>
      <c r="O186" s="58"/>
      <c r="P186" s="58"/>
      <c r="Q186" s="58"/>
      <c r="R186" s="58"/>
      <c r="S186" s="58"/>
      <c r="T186" s="58"/>
      <c r="U186" s="58"/>
      <c r="V186" s="58"/>
      <c r="W186" s="58"/>
      <c r="X186" s="58"/>
      <c r="Y186" s="58"/>
      <c r="Z186" s="58"/>
      <c r="AA186" s="58"/>
      <c r="AB186" s="58"/>
      <c r="AC186" s="58"/>
      <c r="AD186" s="58"/>
    </row>
    <row r="187" spans="1:30" ht="40.200000000000003" customHeight="1" x14ac:dyDescent="0.3">
      <c r="A187" s="58"/>
      <c r="B187"/>
      <c r="C187" s="56"/>
      <c r="D187" s="55"/>
      <c r="E187" s="56"/>
      <c r="F187" s="56"/>
      <c r="G187" s="56"/>
      <c r="H187" s="58"/>
      <c r="I187" s="58"/>
      <c r="J187" s="58"/>
      <c r="K187" s="58"/>
      <c r="L187" s="58"/>
      <c r="M187" s="58"/>
      <c r="N187" s="58"/>
      <c r="O187" s="58"/>
      <c r="P187" s="58"/>
      <c r="Q187" s="58"/>
      <c r="R187" s="58"/>
      <c r="S187" s="58"/>
      <c r="T187" s="58"/>
      <c r="U187" s="58"/>
      <c r="V187" s="58"/>
      <c r="W187" s="58"/>
      <c r="X187" s="58"/>
      <c r="Y187" s="58"/>
      <c r="Z187" s="58"/>
      <c r="AA187" s="58"/>
      <c r="AB187" s="58"/>
      <c r="AC187" s="58"/>
      <c r="AD187" s="58"/>
    </row>
    <row r="188" spans="1:30" ht="40.200000000000003" customHeight="1" x14ac:dyDescent="0.3">
      <c r="A188" s="58"/>
      <c r="B188"/>
      <c r="C188" s="56"/>
      <c r="D188" s="55"/>
      <c r="E188" s="56"/>
      <c r="F188" s="56"/>
      <c r="G188" s="56"/>
      <c r="H188" s="58"/>
      <c r="I188" s="58"/>
      <c r="J188" s="58"/>
      <c r="K188" s="58"/>
      <c r="L188" s="58"/>
      <c r="M188" s="58"/>
      <c r="N188" s="58"/>
      <c r="O188" s="58"/>
      <c r="P188" s="58"/>
      <c r="Q188" s="58"/>
      <c r="R188" s="58"/>
      <c r="S188" s="58"/>
      <c r="T188" s="58"/>
      <c r="U188" s="58"/>
      <c r="V188" s="58"/>
      <c r="W188" s="58"/>
      <c r="X188" s="58"/>
      <c r="Y188" s="58"/>
      <c r="Z188" s="58"/>
      <c r="AA188" s="58"/>
      <c r="AB188" s="58"/>
      <c r="AC188" s="58"/>
      <c r="AD188" s="58"/>
    </row>
    <row r="189" spans="1:30" ht="40.200000000000003" customHeight="1" x14ac:dyDescent="0.3">
      <c r="A189" s="58"/>
      <c r="B189"/>
      <c r="C189" s="56"/>
      <c r="D189" s="55"/>
      <c r="E189" s="56"/>
      <c r="F189" s="56"/>
      <c r="G189" s="56"/>
      <c r="H189" s="58"/>
      <c r="I189" s="58"/>
      <c r="J189" s="58"/>
      <c r="K189" s="58"/>
      <c r="L189" s="58"/>
      <c r="M189" s="58"/>
      <c r="N189" s="58"/>
      <c r="O189" s="58"/>
      <c r="P189" s="58"/>
      <c r="Q189" s="58"/>
      <c r="R189" s="58"/>
      <c r="S189" s="58"/>
      <c r="T189" s="58"/>
      <c r="U189" s="58"/>
      <c r="V189" s="58"/>
      <c r="W189" s="58"/>
      <c r="X189" s="58"/>
      <c r="Y189" s="58"/>
      <c r="Z189" s="58"/>
      <c r="AA189" s="58"/>
      <c r="AB189" s="58"/>
      <c r="AC189" s="58"/>
      <c r="AD189" s="58"/>
    </row>
    <row r="190" spans="1:30" ht="40.200000000000003" customHeight="1" x14ac:dyDescent="0.3">
      <c r="A190" s="58"/>
      <c r="B190"/>
      <c r="C190" s="56"/>
      <c r="D190" s="55"/>
      <c r="E190" s="56"/>
      <c r="F190" s="56"/>
      <c r="G190" s="56"/>
      <c r="H190" s="58"/>
      <c r="I190" s="58"/>
      <c r="J190" s="58"/>
      <c r="K190" s="58"/>
      <c r="L190" s="58"/>
      <c r="M190" s="58"/>
      <c r="N190" s="58"/>
      <c r="O190" s="58"/>
      <c r="P190" s="58"/>
      <c r="Q190" s="58"/>
      <c r="R190" s="58"/>
      <c r="S190" s="58"/>
      <c r="T190" s="58"/>
      <c r="U190" s="58"/>
      <c r="V190" s="58"/>
      <c r="W190" s="58"/>
      <c r="X190" s="58"/>
      <c r="Y190" s="58"/>
      <c r="Z190" s="58"/>
      <c r="AA190" s="58"/>
      <c r="AB190" s="58"/>
      <c r="AC190" s="58"/>
      <c r="AD190" s="58"/>
    </row>
    <row r="191" spans="1:30" ht="40.200000000000003" customHeight="1" x14ac:dyDescent="0.3">
      <c r="A191" s="58"/>
      <c r="B191"/>
      <c r="C191" s="56"/>
      <c r="D191" s="55"/>
      <c r="E191" s="56"/>
      <c r="F191" s="56"/>
      <c r="G191" s="56"/>
      <c r="H191" s="58"/>
      <c r="I191" s="58"/>
      <c r="J191" s="58"/>
      <c r="K191" s="58"/>
      <c r="L191" s="58"/>
      <c r="M191" s="58"/>
      <c r="N191" s="58"/>
      <c r="O191" s="58"/>
      <c r="P191" s="58"/>
      <c r="Q191" s="58"/>
      <c r="R191" s="58"/>
      <c r="S191" s="58"/>
      <c r="T191" s="58"/>
      <c r="U191" s="58"/>
      <c r="V191" s="58"/>
      <c r="W191" s="58"/>
      <c r="X191" s="58"/>
      <c r="Y191" s="58"/>
      <c r="Z191" s="58"/>
      <c r="AA191" s="58"/>
      <c r="AB191" s="58"/>
      <c r="AC191" s="58"/>
      <c r="AD191" s="58"/>
    </row>
    <row r="192" spans="1:30" ht="40.200000000000003" customHeight="1" x14ac:dyDescent="0.3">
      <c r="A192" s="58"/>
      <c r="B192"/>
      <c r="C192" s="56"/>
      <c r="D192" s="55"/>
      <c r="E192" s="56"/>
      <c r="F192" s="56"/>
      <c r="G192" s="56"/>
      <c r="H192" s="58"/>
      <c r="I192" s="58"/>
      <c r="J192" s="58"/>
      <c r="K192" s="58"/>
      <c r="L192" s="58"/>
      <c r="M192" s="58"/>
      <c r="N192" s="58"/>
      <c r="O192" s="58"/>
      <c r="P192" s="58"/>
      <c r="Q192" s="58"/>
      <c r="R192" s="58"/>
      <c r="S192" s="58"/>
      <c r="T192" s="58"/>
      <c r="U192" s="58"/>
      <c r="V192" s="58"/>
      <c r="W192" s="58"/>
      <c r="X192" s="58"/>
      <c r="Y192" s="58"/>
      <c r="Z192" s="58"/>
      <c r="AA192" s="58"/>
      <c r="AB192" s="58"/>
      <c r="AC192" s="58"/>
      <c r="AD192" s="58"/>
    </row>
    <row r="193" spans="1:30" ht="40.200000000000003" customHeight="1" x14ac:dyDescent="0.3">
      <c r="A193" s="58"/>
      <c r="B193"/>
      <c r="C193" s="56"/>
      <c r="D193" s="55"/>
      <c r="E193" s="56"/>
      <c r="F193" s="56"/>
      <c r="G193" s="56"/>
      <c r="H193" s="58"/>
      <c r="I193" s="58"/>
      <c r="J193" s="58"/>
      <c r="K193" s="58"/>
      <c r="L193" s="58"/>
      <c r="M193" s="58"/>
      <c r="N193" s="58"/>
      <c r="O193" s="58"/>
      <c r="P193" s="58"/>
      <c r="Q193" s="58"/>
      <c r="R193" s="58"/>
      <c r="S193" s="58"/>
      <c r="T193" s="58"/>
      <c r="U193" s="58"/>
      <c r="V193" s="58"/>
      <c r="W193" s="58"/>
      <c r="X193" s="58"/>
      <c r="Y193" s="58"/>
      <c r="Z193" s="58"/>
      <c r="AA193" s="58"/>
      <c r="AB193" s="58"/>
      <c r="AC193" s="58"/>
      <c r="AD193" s="58"/>
    </row>
    <row r="194" spans="1:30" ht="40.200000000000003" customHeight="1" x14ac:dyDescent="0.3">
      <c r="A194" s="58"/>
      <c r="B194"/>
      <c r="C194" s="56"/>
      <c r="D194" s="55"/>
      <c r="E194" s="56"/>
      <c r="F194" s="56"/>
      <c r="G194" s="56"/>
      <c r="H194" s="58"/>
      <c r="I194" s="58"/>
      <c r="J194" s="58"/>
      <c r="K194" s="58"/>
      <c r="L194" s="58"/>
      <c r="M194" s="58"/>
      <c r="N194" s="58"/>
      <c r="O194" s="58"/>
      <c r="P194" s="58"/>
      <c r="Q194" s="58"/>
      <c r="R194" s="58"/>
      <c r="S194" s="58"/>
      <c r="T194" s="58"/>
      <c r="U194" s="58"/>
      <c r="V194" s="58"/>
      <c r="W194" s="58"/>
      <c r="X194" s="58"/>
      <c r="Y194" s="58"/>
      <c r="Z194" s="58"/>
      <c r="AA194" s="58"/>
      <c r="AB194" s="58"/>
      <c r="AC194" s="58"/>
      <c r="AD194" s="58"/>
    </row>
    <row r="195" spans="1:30" ht="40.200000000000003" customHeight="1" x14ac:dyDescent="0.3">
      <c r="A195" s="58"/>
      <c r="B195"/>
      <c r="C195" s="56"/>
      <c r="D195" s="55"/>
      <c r="E195" s="56"/>
      <c r="F195" s="56"/>
      <c r="G195" s="56"/>
      <c r="H195" s="58"/>
      <c r="I195" s="58"/>
      <c r="J195" s="58"/>
      <c r="K195" s="58"/>
      <c r="L195" s="58"/>
      <c r="M195" s="58"/>
      <c r="N195" s="58"/>
      <c r="O195" s="58"/>
      <c r="P195" s="58"/>
      <c r="Q195" s="58"/>
      <c r="R195" s="58"/>
      <c r="S195" s="58"/>
      <c r="T195" s="58"/>
      <c r="U195" s="58"/>
      <c r="V195" s="58"/>
      <c r="W195" s="58"/>
      <c r="X195" s="58"/>
      <c r="Y195" s="58"/>
      <c r="Z195" s="58"/>
      <c r="AA195" s="58"/>
      <c r="AB195" s="58"/>
      <c r="AC195" s="58"/>
      <c r="AD195" s="58"/>
    </row>
    <row r="196" spans="1:30" ht="40.200000000000003" customHeight="1" x14ac:dyDescent="0.3">
      <c r="A196" s="58"/>
      <c r="B196"/>
      <c r="C196" s="56"/>
      <c r="D196" s="55"/>
      <c r="E196" s="56"/>
      <c r="F196" s="56"/>
      <c r="G196" s="56"/>
      <c r="H196" s="58"/>
      <c r="I196" s="58"/>
      <c r="J196" s="58"/>
      <c r="K196" s="58"/>
      <c r="L196" s="58"/>
      <c r="M196" s="58"/>
      <c r="N196" s="58"/>
      <c r="O196" s="58"/>
      <c r="P196" s="58"/>
      <c r="Q196" s="58"/>
      <c r="R196" s="58"/>
      <c r="S196" s="58"/>
      <c r="T196" s="58"/>
      <c r="U196" s="58"/>
      <c r="V196" s="58"/>
      <c r="W196" s="58"/>
      <c r="X196" s="58"/>
      <c r="Y196" s="58"/>
      <c r="Z196" s="58"/>
      <c r="AA196" s="58"/>
      <c r="AB196" s="58"/>
      <c r="AC196" s="58"/>
      <c r="AD196" s="58"/>
    </row>
    <row r="197" spans="1:30" ht="40.200000000000003" customHeight="1" x14ac:dyDescent="0.3">
      <c r="A197" s="58"/>
      <c r="B197"/>
      <c r="C197" s="56"/>
      <c r="D197" s="55"/>
      <c r="E197" s="56"/>
      <c r="F197" s="56"/>
      <c r="G197" s="56"/>
      <c r="H197" s="58"/>
      <c r="I197" s="58"/>
      <c r="J197" s="58"/>
      <c r="K197" s="58"/>
      <c r="L197" s="58"/>
      <c r="M197" s="58"/>
      <c r="N197" s="58"/>
      <c r="O197" s="58"/>
      <c r="P197" s="58"/>
      <c r="Q197" s="58"/>
      <c r="R197" s="58"/>
      <c r="S197" s="58"/>
      <c r="T197" s="58"/>
      <c r="U197" s="58"/>
      <c r="V197" s="58"/>
      <c r="W197" s="58"/>
      <c r="X197" s="58"/>
      <c r="Y197" s="58"/>
      <c r="Z197" s="58"/>
      <c r="AA197" s="58"/>
      <c r="AB197" s="58"/>
      <c r="AC197" s="58"/>
      <c r="AD197" s="58"/>
    </row>
    <row r="198" spans="1:30" ht="40.200000000000003" customHeight="1" x14ac:dyDescent="0.3">
      <c r="A198" s="58"/>
      <c r="B198"/>
      <c r="C198" s="56"/>
      <c r="D198" s="55"/>
      <c r="E198" s="56"/>
      <c r="F198" s="56"/>
      <c r="G198" s="56"/>
      <c r="H198" s="58"/>
      <c r="I198" s="58"/>
      <c r="J198" s="58"/>
      <c r="K198" s="58"/>
      <c r="L198" s="58"/>
      <c r="M198" s="58"/>
      <c r="N198" s="58"/>
      <c r="O198" s="58"/>
      <c r="P198" s="58"/>
      <c r="Q198" s="58"/>
      <c r="R198" s="58"/>
      <c r="S198" s="58"/>
      <c r="T198" s="58"/>
      <c r="U198" s="58"/>
      <c r="V198" s="58"/>
      <c r="W198" s="58"/>
      <c r="X198" s="58"/>
      <c r="Y198" s="58"/>
      <c r="Z198" s="58"/>
      <c r="AA198" s="58"/>
      <c r="AB198" s="58"/>
      <c r="AC198" s="58"/>
      <c r="AD198" s="58"/>
    </row>
    <row r="199" spans="1:30" ht="40.200000000000003" customHeight="1" x14ac:dyDescent="0.3">
      <c r="A199" s="58"/>
      <c r="B199"/>
      <c r="C199" s="56"/>
      <c r="D199" s="55"/>
      <c r="E199" s="56"/>
      <c r="F199" s="56"/>
      <c r="G199" s="56"/>
      <c r="H199" s="58"/>
      <c r="I199" s="58"/>
      <c r="J199" s="58"/>
      <c r="K199" s="58"/>
      <c r="L199" s="58"/>
      <c r="M199" s="58"/>
      <c r="N199" s="58"/>
      <c r="O199" s="58"/>
      <c r="P199" s="58"/>
      <c r="Q199" s="58"/>
      <c r="R199" s="58"/>
      <c r="S199" s="58"/>
      <c r="T199" s="58"/>
      <c r="U199" s="58"/>
      <c r="V199" s="58"/>
      <c r="W199" s="58"/>
      <c r="X199" s="58"/>
      <c r="Y199" s="58"/>
      <c r="Z199" s="58"/>
      <c r="AA199" s="58"/>
      <c r="AB199" s="58"/>
      <c r="AC199" s="58"/>
      <c r="AD199" s="58"/>
    </row>
    <row r="200" spans="1:30" ht="40.200000000000003" customHeight="1" x14ac:dyDescent="0.3">
      <c r="A200" s="58"/>
      <c r="B200"/>
      <c r="C200" s="56"/>
      <c r="D200" s="55"/>
      <c r="E200" s="56"/>
      <c r="F200" s="56"/>
      <c r="G200" s="56"/>
      <c r="H200" s="58"/>
      <c r="I200" s="58"/>
      <c r="J200" s="58"/>
      <c r="K200" s="58"/>
      <c r="L200" s="58"/>
      <c r="M200" s="58"/>
      <c r="N200" s="58"/>
      <c r="O200" s="58"/>
      <c r="P200" s="58"/>
      <c r="Q200" s="58"/>
      <c r="R200" s="58"/>
      <c r="S200" s="58"/>
      <c r="T200" s="58"/>
      <c r="U200" s="58"/>
      <c r="V200" s="58"/>
      <c r="W200" s="58"/>
      <c r="X200" s="58"/>
      <c r="Y200" s="58"/>
      <c r="Z200" s="58"/>
      <c r="AA200" s="58"/>
      <c r="AB200" s="58"/>
      <c r="AC200" s="58"/>
      <c r="AD200" s="58"/>
    </row>
    <row r="201" spans="1:30" ht="40.200000000000003" customHeight="1" x14ac:dyDescent="0.3">
      <c r="A201" s="58"/>
      <c r="B201"/>
      <c r="C201" s="56"/>
      <c r="D201" s="55"/>
      <c r="E201" s="56"/>
      <c r="F201" s="56"/>
      <c r="G201" s="56"/>
      <c r="H201" s="58"/>
      <c r="I201" s="58"/>
      <c r="J201" s="58"/>
      <c r="K201" s="58"/>
      <c r="L201" s="58"/>
      <c r="M201" s="58"/>
      <c r="N201" s="58"/>
      <c r="O201" s="58"/>
      <c r="P201" s="58"/>
      <c r="Q201" s="58"/>
      <c r="R201" s="58"/>
      <c r="S201" s="58"/>
      <c r="T201" s="58"/>
      <c r="U201" s="58"/>
      <c r="V201" s="58"/>
      <c r="W201" s="58"/>
      <c r="X201" s="58"/>
      <c r="Y201" s="58"/>
      <c r="Z201" s="58"/>
      <c r="AA201" s="58"/>
      <c r="AB201" s="58"/>
      <c r="AC201" s="58"/>
      <c r="AD201" s="58"/>
    </row>
    <row r="202" spans="1:30" ht="40.200000000000003" customHeight="1" x14ac:dyDescent="0.3">
      <c r="A202" s="58"/>
      <c r="B202"/>
      <c r="C202" s="56"/>
      <c r="D202" s="55"/>
      <c r="E202" s="56"/>
      <c r="F202" s="56"/>
      <c r="G202" s="56"/>
      <c r="H202" s="58"/>
      <c r="I202" s="58"/>
      <c r="J202" s="58"/>
      <c r="K202" s="58"/>
      <c r="L202" s="58"/>
      <c r="M202" s="58"/>
      <c r="N202" s="58"/>
      <c r="O202" s="58"/>
      <c r="P202" s="58"/>
      <c r="Q202" s="58"/>
      <c r="R202" s="58"/>
      <c r="S202" s="58"/>
      <c r="T202" s="58"/>
      <c r="U202" s="58"/>
      <c r="V202" s="58"/>
      <c r="W202" s="58"/>
      <c r="X202" s="58"/>
      <c r="Y202" s="58"/>
      <c r="Z202" s="58"/>
      <c r="AA202" s="58"/>
      <c r="AB202" s="58"/>
      <c r="AC202" s="58"/>
      <c r="AD202" s="58"/>
    </row>
    <row r="203" spans="1:30" ht="40.200000000000003" customHeight="1" x14ac:dyDescent="0.3">
      <c r="A203" s="58"/>
      <c r="B203"/>
      <c r="C203" s="56"/>
      <c r="D203" s="55"/>
      <c r="E203" s="56"/>
      <c r="F203" s="56"/>
      <c r="G203" s="56"/>
      <c r="H203" s="58"/>
      <c r="I203" s="58"/>
      <c r="J203" s="58"/>
      <c r="K203" s="58"/>
      <c r="L203" s="58"/>
      <c r="M203" s="58"/>
      <c r="N203" s="58"/>
      <c r="O203" s="58"/>
      <c r="P203" s="58"/>
      <c r="Q203" s="58"/>
      <c r="R203" s="58"/>
      <c r="S203" s="58"/>
      <c r="T203" s="58"/>
      <c r="U203" s="58"/>
      <c r="V203" s="58"/>
      <c r="W203" s="58"/>
      <c r="X203" s="58"/>
      <c r="Y203" s="58"/>
      <c r="Z203" s="58"/>
      <c r="AA203" s="58"/>
      <c r="AB203" s="58"/>
      <c r="AC203" s="58"/>
      <c r="AD203" s="58"/>
    </row>
    <row r="204" spans="1:30" ht="40.200000000000003" customHeight="1" x14ac:dyDescent="0.3">
      <c r="A204" s="58"/>
      <c r="B204"/>
      <c r="C204" s="56"/>
      <c r="D204" s="55"/>
      <c r="E204" s="56"/>
      <c r="F204" s="56"/>
      <c r="G204" s="56"/>
      <c r="H204" s="58"/>
      <c r="I204" s="58"/>
      <c r="J204" s="58"/>
      <c r="K204" s="58"/>
      <c r="L204" s="58"/>
      <c r="M204" s="58"/>
      <c r="N204" s="58"/>
      <c r="O204" s="58"/>
      <c r="P204" s="58"/>
      <c r="Q204" s="58"/>
      <c r="R204" s="58"/>
      <c r="S204" s="58"/>
      <c r="T204" s="58"/>
      <c r="U204" s="58"/>
      <c r="V204" s="58"/>
      <c r="W204" s="58"/>
      <c r="X204" s="58"/>
      <c r="Y204" s="58"/>
      <c r="Z204" s="58"/>
      <c r="AA204" s="58"/>
      <c r="AB204" s="58"/>
      <c r="AC204" s="58"/>
      <c r="AD204" s="58"/>
    </row>
    <row r="205" spans="1:30" ht="40.200000000000003" customHeight="1" x14ac:dyDescent="0.3">
      <c r="A205" s="58"/>
      <c r="B205"/>
      <c r="C205" s="56"/>
      <c r="D205" s="55"/>
      <c r="E205" s="56"/>
      <c r="F205" s="56"/>
      <c r="G205" s="56"/>
      <c r="H205" s="58"/>
      <c r="I205" s="58"/>
      <c r="J205" s="58"/>
      <c r="K205" s="58"/>
      <c r="L205" s="58"/>
      <c r="M205" s="58"/>
      <c r="N205" s="58"/>
      <c r="O205" s="58"/>
      <c r="P205" s="58"/>
      <c r="Q205" s="58"/>
      <c r="R205" s="58"/>
      <c r="S205" s="58"/>
      <c r="T205" s="58"/>
      <c r="U205" s="58"/>
      <c r="V205" s="58"/>
      <c r="W205" s="58"/>
      <c r="X205" s="58"/>
      <c r="Y205" s="58"/>
      <c r="Z205" s="58"/>
      <c r="AA205" s="58"/>
      <c r="AB205" s="58"/>
      <c r="AC205" s="58"/>
      <c r="AD205" s="58"/>
    </row>
    <row r="206" spans="1:30" ht="40.200000000000003" customHeight="1" x14ac:dyDescent="0.3">
      <c r="A206" s="58"/>
      <c r="B206"/>
      <c r="C206" s="56"/>
      <c r="D206" s="55"/>
      <c r="E206" s="56"/>
      <c r="F206" s="56"/>
      <c r="G206" s="56"/>
      <c r="H206" s="58"/>
      <c r="I206" s="58"/>
      <c r="J206" s="58"/>
      <c r="K206" s="58"/>
      <c r="L206" s="58"/>
      <c r="M206" s="58"/>
      <c r="N206" s="58"/>
      <c r="O206" s="58"/>
      <c r="P206" s="58"/>
      <c r="Q206" s="58"/>
      <c r="R206" s="58"/>
      <c r="S206" s="58"/>
      <c r="T206" s="58"/>
      <c r="U206" s="58"/>
      <c r="V206" s="58"/>
      <c r="W206" s="58"/>
      <c r="X206" s="58"/>
      <c r="Y206" s="58"/>
      <c r="Z206" s="58"/>
      <c r="AA206" s="58"/>
      <c r="AB206" s="58"/>
      <c r="AC206" s="58"/>
      <c r="AD206" s="58"/>
    </row>
    <row r="207" spans="1:30" ht="40.200000000000003" customHeight="1" x14ac:dyDescent="0.3">
      <c r="A207" s="58"/>
      <c r="B207"/>
      <c r="C207" s="56"/>
      <c r="D207" s="55"/>
      <c r="E207" s="56"/>
      <c r="F207" s="56"/>
      <c r="G207" s="56"/>
      <c r="H207" s="58"/>
      <c r="I207" s="58"/>
      <c r="J207" s="58"/>
      <c r="K207" s="58"/>
      <c r="L207" s="58"/>
      <c r="M207" s="58"/>
      <c r="N207" s="58"/>
      <c r="O207" s="58"/>
      <c r="P207" s="58"/>
      <c r="Q207" s="58"/>
      <c r="R207" s="58"/>
      <c r="S207" s="58"/>
      <c r="T207" s="58"/>
      <c r="U207" s="58"/>
      <c r="V207" s="58"/>
      <c r="W207" s="58"/>
      <c r="X207" s="58"/>
      <c r="Y207" s="58"/>
      <c r="Z207" s="58"/>
      <c r="AA207" s="58"/>
      <c r="AB207" s="58"/>
      <c r="AC207" s="58"/>
      <c r="AD207" s="58"/>
    </row>
    <row r="208" spans="1:30" ht="40.200000000000003" customHeight="1" x14ac:dyDescent="0.3">
      <c r="A208" s="58"/>
      <c r="B208"/>
      <c r="C208" s="56"/>
      <c r="D208" s="55"/>
      <c r="E208" s="56"/>
      <c r="F208" s="56"/>
      <c r="G208" s="56"/>
      <c r="H208" s="58"/>
      <c r="I208" s="58"/>
      <c r="J208" s="58"/>
      <c r="K208" s="58"/>
      <c r="L208" s="58"/>
      <c r="M208" s="58"/>
      <c r="N208" s="58"/>
      <c r="O208" s="58"/>
      <c r="P208" s="58"/>
      <c r="Q208" s="58"/>
      <c r="R208" s="58"/>
      <c r="S208" s="58"/>
      <c r="T208" s="58"/>
      <c r="U208" s="58"/>
      <c r="V208" s="58"/>
      <c r="W208" s="58"/>
      <c r="X208" s="58"/>
      <c r="Y208" s="58"/>
      <c r="Z208" s="58"/>
      <c r="AA208" s="58"/>
      <c r="AB208" s="58"/>
      <c r="AC208" s="58"/>
      <c r="AD208" s="58"/>
    </row>
    <row r="209" spans="1:30" ht="40.200000000000003" customHeight="1" x14ac:dyDescent="0.3">
      <c r="A209" s="58"/>
      <c r="B209"/>
      <c r="C209" s="56"/>
      <c r="D209" s="55"/>
      <c r="E209" s="56"/>
      <c r="F209" s="56"/>
      <c r="G209" s="56"/>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row>
    <row r="210" spans="1:30" ht="40.200000000000003" customHeight="1" x14ac:dyDescent="0.3">
      <c r="A210" s="58"/>
      <c r="B210"/>
      <c r="C210" s="56"/>
      <c r="D210" s="55"/>
      <c r="E210" s="56"/>
      <c r="F210" s="56"/>
      <c r="G210" s="56"/>
      <c r="H210" s="58"/>
      <c r="I210" s="58"/>
      <c r="J210" s="58"/>
      <c r="K210" s="58"/>
      <c r="L210" s="58"/>
      <c r="M210" s="58"/>
      <c r="N210" s="58"/>
      <c r="O210" s="58"/>
      <c r="P210" s="58"/>
      <c r="Q210" s="58"/>
      <c r="R210" s="58"/>
      <c r="S210" s="58"/>
      <c r="T210" s="58"/>
      <c r="U210" s="58"/>
      <c r="V210" s="58"/>
      <c r="W210" s="58"/>
      <c r="X210" s="58"/>
      <c r="Y210" s="58"/>
      <c r="Z210" s="58"/>
      <c r="AA210" s="58"/>
      <c r="AB210" s="58"/>
      <c r="AC210" s="58"/>
      <c r="AD210" s="58"/>
    </row>
    <row r="211" spans="1:30" ht="40.200000000000003" customHeight="1" x14ac:dyDescent="0.3">
      <c r="A211" s="58"/>
      <c r="B211"/>
      <c r="C211" s="56"/>
      <c r="D211" s="55"/>
      <c r="E211" s="56"/>
      <c r="F211" s="56"/>
      <c r="G211" s="56"/>
      <c r="H211" s="58"/>
      <c r="I211" s="58"/>
      <c r="J211" s="58"/>
      <c r="K211" s="58"/>
      <c r="L211" s="58"/>
      <c r="M211" s="58"/>
      <c r="N211" s="58"/>
      <c r="O211" s="58"/>
      <c r="P211" s="58"/>
      <c r="Q211" s="58"/>
      <c r="R211" s="58"/>
      <c r="S211" s="58"/>
      <c r="T211" s="58"/>
      <c r="U211" s="58"/>
      <c r="V211" s="58"/>
      <c r="W211" s="58"/>
      <c r="X211" s="58"/>
      <c r="Y211" s="58"/>
      <c r="Z211" s="58"/>
      <c r="AA211" s="58"/>
      <c r="AB211" s="58"/>
      <c r="AC211" s="58"/>
      <c r="AD211" s="58"/>
    </row>
    <row r="212" spans="1:30" ht="40.200000000000003" customHeight="1" x14ac:dyDescent="0.3">
      <c r="A212" s="58"/>
      <c r="B212"/>
      <c r="C212" s="56"/>
      <c r="D212" s="55"/>
      <c r="E212" s="56"/>
      <c r="F212" s="56"/>
      <c r="G212" s="56"/>
      <c r="H212" s="58"/>
      <c r="I212" s="58"/>
      <c r="J212" s="58"/>
      <c r="K212" s="58"/>
      <c r="L212" s="58"/>
      <c r="M212" s="58"/>
      <c r="N212" s="58"/>
      <c r="O212" s="58"/>
      <c r="P212" s="58"/>
      <c r="Q212" s="58"/>
      <c r="R212" s="58"/>
      <c r="S212" s="58"/>
      <c r="T212" s="58"/>
      <c r="U212" s="58"/>
      <c r="V212" s="58"/>
      <c r="W212" s="58"/>
      <c r="X212" s="58"/>
      <c r="Y212" s="58"/>
      <c r="Z212" s="58"/>
      <c r="AA212" s="58"/>
      <c r="AB212" s="58"/>
      <c r="AC212" s="58"/>
      <c r="AD212" s="58"/>
    </row>
    <row r="213" spans="1:30" ht="40.200000000000003" customHeight="1" x14ac:dyDescent="0.3">
      <c r="A213" s="58"/>
      <c r="B213"/>
      <c r="C213" s="56"/>
      <c r="D213" s="55"/>
      <c r="E213" s="56"/>
      <c r="F213" s="56"/>
      <c r="G213" s="56"/>
      <c r="H213" s="58"/>
      <c r="I213" s="58"/>
      <c r="J213" s="58"/>
      <c r="K213" s="58"/>
      <c r="L213" s="58"/>
      <c r="M213" s="58"/>
      <c r="N213" s="58"/>
      <c r="O213" s="58"/>
      <c r="P213" s="58"/>
      <c r="Q213" s="58"/>
      <c r="R213" s="58"/>
      <c r="S213" s="58"/>
      <c r="T213" s="58"/>
      <c r="U213" s="58"/>
      <c r="V213" s="58"/>
      <c r="W213" s="58"/>
      <c r="X213" s="58"/>
      <c r="Y213" s="58"/>
      <c r="Z213" s="58"/>
      <c r="AA213" s="58"/>
      <c r="AB213" s="58"/>
      <c r="AC213" s="58"/>
      <c r="AD213" s="58"/>
    </row>
    <row r="214" spans="1:30" ht="40.200000000000003" customHeight="1" x14ac:dyDescent="0.3">
      <c r="A214" s="58"/>
      <c r="B214"/>
      <c r="C214" s="56"/>
      <c r="D214" s="55"/>
      <c r="E214" s="56"/>
      <c r="F214" s="56"/>
      <c r="G214" s="56"/>
      <c r="H214" s="58"/>
      <c r="I214" s="58"/>
      <c r="J214" s="58"/>
      <c r="K214" s="58"/>
      <c r="L214" s="58"/>
      <c r="M214" s="58"/>
      <c r="N214" s="58"/>
      <c r="O214" s="58"/>
      <c r="P214" s="58"/>
      <c r="Q214" s="58"/>
      <c r="R214" s="58"/>
      <c r="S214" s="58"/>
      <c r="T214" s="58"/>
      <c r="U214" s="58"/>
      <c r="V214" s="58"/>
      <c r="W214" s="58"/>
      <c r="X214" s="58"/>
      <c r="Y214" s="58"/>
      <c r="Z214" s="58"/>
      <c r="AA214" s="58"/>
      <c r="AB214" s="58"/>
      <c r="AC214" s="58"/>
      <c r="AD214" s="58"/>
    </row>
    <row r="215" spans="1:30" ht="40.200000000000003" customHeight="1" x14ac:dyDescent="0.3">
      <c r="A215" s="58"/>
      <c r="B215"/>
      <c r="C215" s="56"/>
      <c r="D215" s="55"/>
      <c r="E215" s="56"/>
      <c r="F215" s="56"/>
      <c r="G215" s="56"/>
      <c r="H215" s="58"/>
      <c r="I215" s="58"/>
      <c r="J215" s="58"/>
      <c r="K215" s="58"/>
      <c r="L215" s="58"/>
      <c r="M215" s="58"/>
      <c r="N215" s="58"/>
      <c r="O215" s="58"/>
      <c r="P215" s="58"/>
      <c r="Q215" s="58"/>
      <c r="R215" s="58"/>
      <c r="S215" s="58"/>
      <c r="T215" s="58"/>
      <c r="U215" s="58"/>
      <c r="V215" s="58"/>
      <c r="W215" s="58"/>
      <c r="X215" s="58"/>
      <c r="Y215" s="58"/>
      <c r="Z215" s="58"/>
      <c r="AA215" s="58"/>
      <c r="AB215" s="58"/>
      <c r="AC215" s="58"/>
      <c r="AD215" s="58"/>
    </row>
    <row r="216" spans="1:30" ht="40.200000000000003" customHeight="1" x14ac:dyDescent="0.3">
      <c r="A216" s="58"/>
      <c r="B216"/>
      <c r="C216" s="56"/>
      <c r="D216" s="55"/>
      <c r="E216" s="56"/>
      <c r="F216" s="56"/>
      <c r="G216" s="56"/>
      <c r="H216" s="58"/>
      <c r="I216" s="58"/>
      <c r="J216" s="58"/>
      <c r="K216" s="58"/>
      <c r="L216" s="58"/>
      <c r="M216" s="58"/>
      <c r="N216" s="58"/>
      <c r="O216" s="58"/>
      <c r="P216" s="58"/>
      <c r="Q216" s="58"/>
      <c r="R216" s="58"/>
      <c r="S216" s="58"/>
      <c r="T216" s="58"/>
      <c r="U216" s="58"/>
      <c r="V216" s="58"/>
      <c r="W216" s="58"/>
      <c r="X216" s="58"/>
      <c r="Y216" s="58"/>
      <c r="Z216" s="58"/>
      <c r="AA216" s="58"/>
      <c r="AB216" s="58"/>
      <c r="AC216" s="58"/>
      <c r="AD216" s="58"/>
    </row>
    <row r="217" spans="1:30" ht="40.200000000000003" customHeight="1" x14ac:dyDescent="0.3">
      <c r="A217" s="58"/>
      <c r="B217"/>
      <c r="C217" s="56"/>
      <c r="D217" s="55"/>
      <c r="E217" s="56"/>
      <c r="F217" s="56"/>
      <c r="G217" s="56"/>
      <c r="H217" s="58"/>
      <c r="I217" s="58"/>
      <c r="J217" s="58"/>
      <c r="K217" s="58"/>
      <c r="L217" s="58"/>
      <c r="M217" s="58"/>
      <c r="N217" s="58"/>
      <c r="O217" s="58"/>
      <c r="P217" s="58"/>
      <c r="Q217" s="58"/>
      <c r="R217" s="58"/>
      <c r="S217" s="58"/>
      <c r="T217" s="58"/>
      <c r="U217" s="58"/>
      <c r="V217" s="58"/>
      <c r="W217" s="58"/>
      <c r="X217" s="58"/>
      <c r="Y217" s="58"/>
      <c r="Z217" s="58"/>
      <c r="AA217" s="58"/>
      <c r="AB217" s="58"/>
      <c r="AC217" s="58"/>
      <c r="AD217" s="58"/>
    </row>
    <row r="218" spans="1:30" ht="40.200000000000003" customHeight="1" x14ac:dyDescent="0.3">
      <c r="A218" s="58"/>
      <c r="B218"/>
      <c r="C218" s="56"/>
      <c r="D218" s="55"/>
      <c r="E218" s="56"/>
      <c r="F218" s="56"/>
      <c r="G218" s="56"/>
      <c r="H218" s="58"/>
      <c r="I218" s="58"/>
      <c r="J218" s="58"/>
      <c r="K218" s="58"/>
      <c r="L218" s="58"/>
      <c r="M218" s="58"/>
      <c r="N218" s="58"/>
      <c r="O218" s="58"/>
      <c r="P218" s="58"/>
      <c r="Q218" s="58"/>
      <c r="R218" s="58"/>
      <c r="S218" s="58"/>
      <c r="T218" s="58"/>
      <c r="U218" s="58"/>
      <c r="V218" s="58"/>
      <c r="W218" s="58"/>
      <c r="X218" s="58"/>
      <c r="Y218" s="58"/>
      <c r="Z218" s="58"/>
      <c r="AA218" s="58"/>
      <c r="AB218" s="58"/>
      <c r="AC218" s="58"/>
      <c r="AD218" s="58"/>
    </row>
    <row r="219" spans="1:30" ht="40.200000000000003" customHeight="1" x14ac:dyDescent="0.3">
      <c r="A219" s="58"/>
      <c r="B219"/>
      <c r="C219" s="56"/>
      <c r="D219" s="55"/>
      <c r="E219" s="56"/>
      <c r="F219" s="56"/>
      <c r="G219" s="56"/>
      <c r="H219" s="58"/>
      <c r="I219" s="58"/>
      <c r="J219" s="58"/>
      <c r="K219" s="58"/>
      <c r="L219" s="58"/>
      <c r="M219" s="58"/>
      <c r="N219" s="58"/>
      <c r="O219" s="58"/>
      <c r="P219" s="58"/>
      <c r="Q219" s="58"/>
      <c r="R219" s="58"/>
      <c r="S219" s="58"/>
      <c r="T219" s="58"/>
      <c r="U219" s="58"/>
      <c r="V219" s="58"/>
      <c r="W219" s="58"/>
      <c r="X219" s="58"/>
      <c r="Y219" s="58"/>
      <c r="Z219" s="58"/>
      <c r="AA219" s="58"/>
      <c r="AB219" s="58"/>
      <c r="AC219" s="58"/>
      <c r="AD219" s="58"/>
    </row>
    <row r="220" spans="1:30" ht="40.200000000000003" customHeight="1" x14ac:dyDescent="0.3">
      <c r="A220" s="58"/>
      <c r="B220"/>
      <c r="C220" s="56"/>
      <c r="D220" s="55"/>
      <c r="E220" s="56"/>
      <c r="F220" s="56"/>
      <c r="G220" s="56"/>
      <c r="H220" s="58"/>
      <c r="I220" s="58"/>
      <c r="J220" s="58"/>
      <c r="K220" s="58"/>
      <c r="L220" s="58"/>
      <c r="M220" s="58"/>
      <c r="N220" s="58"/>
      <c r="O220" s="58"/>
      <c r="P220" s="58"/>
      <c r="Q220" s="58"/>
      <c r="R220" s="58"/>
      <c r="S220" s="58"/>
      <c r="T220" s="58"/>
      <c r="U220" s="58"/>
      <c r="V220" s="58"/>
      <c r="W220" s="58"/>
      <c r="X220" s="58"/>
      <c r="Y220" s="58"/>
      <c r="Z220" s="58"/>
      <c r="AA220" s="58"/>
      <c r="AB220" s="58"/>
      <c r="AC220" s="58"/>
      <c r="AD220" s="58"/>
    </row>
    <row r="221" spans="1:30" ht="40.200000000000003" customHeight="1" x14ac:dyDescent="0.3">
      <c r="A221" s="58"/>
      <c r="B221"/>
      <c r="C221" s="56"/>
      <c r="D221" s="55"/>
      <c r="E221" s="56"/>
      <c r="F221" s="56"/>
      <c r="G221" s="56"/>
      <c r="H221" s="58"/>
      <c r="I221" s="58"/>
      <c r="J221" s="58"/>
      <c r="K221" s="58"/>
      <c r="L221" s="58"/>
      <c r="M221" s="58"/>
      <c r="N221" s="58"/>
      <c r="O221" s="58"/>
      <c r="P221" s="58"/>
      <c r="Q221" s="58"/>
      <c r="R221" s="58"/>
      <c r="S221" s="58"/>
      <c r="T221" s="58"/>
      <c r="U221" s="58"/>
      <c r="V221" s="58"/>
      <c r="W221" s="58"/>
      <c r="X221" s="58"/>
      <c r="Y221" s="58"/>
      <c r="Z221" s="58"/>
      <c r="AA221" s="58"/>
      <c r="AB221" s="58"/>
      <c r="AC221" s="58"/>
      <c r="AD221" s="58"/>
    </row>
    <row r="222" spans="1:30" ht="40.200000000000003" customHeight="1" x14ac:dyDescent="0.3">
      <c r="A222" s="58"/>
      <c r="B222"/>
      <c r="C222" s="56"/>
      <c r="D222" s="55"/>
      <c r="E222" s="56"/>
      <c r="F222" s="56"/>
      <c r="G222" s="56"/>
      <c r="H222" s="58"/>
      <c r="I222" s="58"/>
      <c r="J222" s="58"/>
      <c r="K222" s="58"/>
      <c r="L222" s="58"/>
      <c r="M222" s="58"/>
      <c r="N222" s="58"/>
      <c r="O222" s="58"/>
      <c r="P222" s="58"/>
      <c r="Q222" s="58"/>
      <c r="R222" s="58"/>
      <c r="S222" s="58"/>
      <c r="T222" s="58"/>
      <c r="U222" s="58"/>
      <c r="V222" s="58"/>
      <c r="W222" s="58"/>
      <c r="X222" s="58"/>
      <c r="Y222" s="58"/>
      <c r="Z222" s="58"/>
      <c r="AA222" s="58"/>
      <c r="AB222" s="58"/>
      <c r="AC222" s="58"/>
      <c r="AD222" s="58"/>
    </row>
    <row r="223" spans="1:30" ht="40.200000000000003" customHeight="1" x14ac:dyDescent="0.3">
      <c r="A223" s="58"/>
      <c r="B223"/>
      <c r="C223" s="56"/>
      <c r="D223" s="55"/>
      <c r="E223" s="56"/>
      <c r="F223" s="56"/>
      <c r="G223" s="56"/>
      <c r="H223" s="58"/>
      <c r="I223" s="58"/>
      <c r="J223" s="58"/>
      <c r="K223" s="58"/>
      <c r="L223" s="58"/>
      <c r="M223" s="58"/>
      <c r="N223" s="58"/>
      <c r="O223" s="58"/>
      <c r="P223" s="58"/>
      <c r="Q223" s="58"/>
      <c r="R223" s="58"/>
      <c r="S223" s="58"/>
      <c r="T223" s="58"/>
      <c r="U223" s="58"/>
      <c r="V223" s="58"/>
      <c r="W223" s="58"/>
      <c r="X223" s="58"/>
      <c r="Y223" s="58"/>
      <c r="Z223" s="58"/>
      <c r="AA223" s="58"/>
      <c r="AB223" s="58"/>
      <c r="AC223" s="58"/>
      <c r="AD223" s="58"/>
    </row>
    <row r="224" spans="1:30" ht="40.200000000000003" customHeight="1" x14ac:dyDescent="0.3">
      <c r="A224" s="58"/>
      <c r="B224"/>
      <c r="C224" s="56"/>
      <c r="D224" s="55"/>
      <c r="E224" s="56"/>
      <c r="F224" s="56"/>
      <c r="G224" s="56"/>
      <c r="H224" s="58"/>
      <c r="I224" s="58"/>
      <c r="J224" s="58"/>
      <c r="K224" s="58"/>
      <c r="L224" s="58"/>
      <c r="M224" s="58"/>
      <c r="N224" s="58"/>
      <c r="O224" s="58"/>
      <c r="P224" s="58"/>
      <c r="Q224" s="58"/>
      <c r="R224" s="58"/>
      <c r="S224" s="58"/>
      <c r="T224" s="58"/>
      <c r="U224" s="58"/>
      <c r="V224" s="58"/>
      <c r="W224" s="58"/>
      <c r="X224" s="58"/>
      <c r="Y224" s="58"/>
      <c r="Z224" s="58"/>
      <c r="AA224" s="58"/>
      <c r="AB224" s="58"/>
      <c r="AC224" s="58"/>
      <c r="AD224" s="58"/>
    </row>
    <row r="225" spans="1:30" ht="40.200000000000003" customHeight="1" x14ac:dyDescent="0.3">
      <c r="A225" s="58"/>
      <c r="B225"/>
      <c r="C225" s="56"/>
      <c r="D225" s="55"/>
      <c r="E225" s="56"/>
      <c r="F225" s="56"/>
      <c r="G225" s="56"/>
      <c r="H225" s="58"/>
      <c r="I225" s="58"/>
      <c r="J225" s="58"/>
      <c r="K225" s="58"/>
      <c r="L225" s="58"/>
      <c r="M225" s="58"/>
      <c r="N225" s="58"/>
      <c r="O225" s="58"/>
      <c r="P225" s="58"/>
      <c r="Q225" s="58"/>
      <c r="R225" s="58"/>
      <c r="S225" s="58"/>
      <c r="T225" s="58"/>
      <c r="U225" s="58"/>
      <c r="V225" s="58"/>
      <c r="W225" s="58"/>
      <c r="X225" s="58"/>
      <c r="Y225" s="58"/>
      <c r="Z225" s="58"/>
      <c r="AA225" s="58"/>
      <c r="AB225" s="58"/>
      <c r="AC225" s="58"/>
      <c r="AD225" s="58"/>
    </row>
    <row r="226" spans="1:30" ht="40.200000000000003" customHeight="1" x14ac:dyDescent="0.3">
      <c r="A226" s="58"/>
      <c r="B226"/>
      <c r="C226" s="56"/>
      <c r="D226" s="55"/>
      <c r="E226" s="56"/>
      <c r="F226" s="56"/>
      <c r="G226" s="56"/>
      <c r="H226" s="58"/>
      <c r="I226" s="58"/>
      <c r="J226" s="58"/>
      <c r="K226" s="58"/>
      <c r="L226" s="58"/>
      <c r="M226" s="58"/>
      <c r="N226" s="58"/>
      <c r="O226" s="58"/>
      <c r="P226" s="58"/>
      <c r="Q226" s="58"/>
      <c r="R226" s="58"/>
      <c r="S226" s="58"/>
      <c r="T226" s="58"/>
      <c r="U226" s="58"/>
      <c r="V226" s="58"/>
      <c r="W226" s="58"/>
      <c r="X226" s="58"/>
      <c r="Y226" s="58"/>
      <c r="Z226" s="58"/>
      <c r="AA226" s="58"/>
      <c r="AB226" s="58"/>
      <c r="AC226" s="58"/>
      <c r="AD226" s="58"/>
    </row>
    <row r="227" spans="1:30" ht="40.200000000000003" customHeight="1" x14ac:dyDescent="0.3">
      <c r="A227" s="58"/>
      <c r="B227"/>
      <c r="C227" s="56"/>
      <c r="D227" s="55"/>
      <c r="E227" s="56"/>
      <c r="F227" s="56"/>
      <c r="G227" s="56"/>
      <c r="H227" s="58"/>
      <c r="I227" s="58"/>
      <c r="J227" s="58"/>
      <c r="K227" s="58"/>
      <c r="L227" s="58"/>
      <c r="M227" s="58"/>
      <c r="N227" s="58"/>
      <c r="O227" s="58"/>
      <c r="P227" s="58"/>
      <c r="Q227" s="58"/>
      <c r="R227" s="58"/>
      <c r="S227" s="58"/>
      <c r="T227" s="58"/>
      <c r="U227" s="58"/>
      <c r="V227" s="58"/>
      <c r="W227" s="58"/>
      <c r="X227" s="58"/>
      <c r="Y227" s="58"/>
      <c r="Z227" s="58"/>
      <c r="AA227" s="58"/>
      <c r="AB227" s="58"/>
      <c r="AC227" s="58"/>
      <c r="AD227" s="58"/>
    </row>
    <row r="228" spans="1:30" ht="40.200000000000003" customHeight="1" x14ac:dyDescent="0.3">
      <c r="A228" s="58"/>
      <c r="B228"/>
      <c r="C228" s="56"/>
      <c r="D228" s="55"/>
      <c r="E228" s="56"/>
      <c r="F228" s="56"/>
      <c r="G228" s="56"/>
      <c r="H228" s="58"/>
      <c r="I228" s="58"/>
      <c r="J228" s="58"/>
      <c r="K228" s="58"/>
      <c r="L228" s="58"/>
      <c r="M228" s="58"/>
      <c r="N228" s="58"/>
      <c r="O228" s="58"/>
      <c r="P228" s="58"/>
      <c r="Q228" s="58"/>
      <c r="R228" s="58"/>
      <c r="S228" s="58"/>
      <c r="T228" s="58"/>
      <c r="U228" s="58"/>
      <c r="V228" s="58"/>
      <c r="W228" s="58"/>
      <c r="X228" s="58"/>
      <c r="Y228" s="58"/>
      <c r="Z228" s="58"/>
      <c r="AA228" s="58"/>
      <c r="AB228" s="58"/>
      <c r="AC228" s="58"/>
      <c r="AD228" s="58"/>
    </row>
    <row r="229" spans="1:30" ht="40.200000000000003" customHeight="1" x14ac:dyDescent="0.3">
      <c r="A229" s="58"/>
      <c r="B229"/>
      <c r="C229" s="56"/>
      <c r="D229" s="55"/>
      <c r="E229" s="56"/>
      <c r="F229" s="56"/>
      <c r="G229" s="56"/>
      <c r="H229" s="58"/>
      <c r="I229" s="58"/>
      <c r="J229" s="58"/>
      <c r="K229" s="58"/>
      <c r="L229" s="58"/>
      <c r="M229" s="58"/>
      <c r="N229" s="58"/>
      <c r="O229" s="58"/>
      <c r="P229" s="58"/>
      <c r="Q229" s="58"/>
      <c r="R229" s="58"/>
      <c r="S229" s="58"/>
      <c r="T229" s="58"/>
      <c r="U229" s="58"/>
      <c r="V229" s="58"/>
      <c r="W229" s="58"/>
      <c r="X229" s="58"/>
      <c r="Y229" s="58"/>
      <c r="Z229" s="58"/>
      <c r="AA229" s="58"/>
      <c r="AB229" s="58"/>
      <c r="AC229" s="58"/>
      <c r="AD229" s="58"/>
    </row>
    <row r="230" spans="1:30" ht="40.200000000000003" customHeight="1" x14ac:dyDescent="0.3">
      <c r="A230" s="58"/>
      <c r="B230"/>
      <c r="C230" s="56"/>
      <c r="D230" s="55"/>
      <c r="E230" s="56"/>
      <c r="F230" s="56"/>
      <c r="G230" s="56"/>
      <c r="H230" s="58"/>
      <c r="I230" s="58"/>
      <c r="J230" s="58"/>
      <c r="K230" s="58"/>
      <c r="L230" s="58"/>
      <c r="M230" s="58"/>
      <c r="N230" s="58"/>
      <c r="O230" s="58"/>
      <c r="P230" s="58"/>
      <c r="Q230" s="58"/>
      <c r="R230" s="58"/>
      <c r="S230" s="58"/>
      <c r="T230" s="58"/>
      <c r="U230" s="58"/>
      <c r="V230" s="58"/>
      <c r="W230" s="58"/>
      <c r="X230" s="58"/>
      <c r="Y230" s="58"/>
      <c r="Z230" s="58"/>
      <c r="AA230" s="58"/>
      <c r="AB230" s="58"/>
      <c r="AC230" s="58"/>
      <c r="AD230" s="58"/>
    </row>
    <row r="231" spans="1:30" ht="40.200000000000003" customHeight="1" x14ac:dyDescent="0.3">
      <c r="A231" s="58"/>
      <c r="B231"/>
      <c r="C231" s="56"/>
      <c r="D231" s="55"/>
      <c r="E231" s="56"/>
      <c r="F231" s="56"/>
      <c r="G231" s="56"/>
      <c r="H231" s="58"/>
      <c r="I231" s="58"/>
      <c r="J231" s="58"/>
      <c r="K231" s="58"/>
      <c r="L231" s="58"/>
      <c r="M231" s="58"/>
      <c r="N231" s="58"/>
      <c r="O231" s="58"/>
      <c r="P231" s="58"/>
      <c r="Q231" s="58"/>
      <c r="R231" s="58"/>
      <c r="S231" s="58"/>
      <c r="T231" s="58"/>
      <c r="U231" s="58"/>
      <c r="V231" s="58"/>
      <c r="W231" s="58"/>
      <c r="X231" s="58"/>
      <c r="Y231" s="58"/>
      <c r="Z231" s="58"/>
      <c r="AA231" s="58"/>
      <c r="AB231" s="58"/>
      <c r="AC231" s="58"/>
      <c r="AD231" s="58"/>
    </row>
    <row r="232" spans="1:30" ht="40.200000000000003" customHeight="1" x14ac:dyDescent="0.3">
      <c r="A232" s="58"/>
      <c r="B232"/>
      <c r="C232" s="56"/>
      <c r="D232" s="55"/>
      <c r="E232" s="56"/>
      <c r="F232" s="56"/>
      <c r="G232" s="56"/>
      <c r="H232" s="58"/>
      <c r="I232" s="58"/>
      <c r="J232" s="58"/>
      <c r="K232" s="58"/>
      <c r="L232" s="58"/>
      <c r="M232" s="58"/>
      <c r="N232" s="58"/>
      <c r="O232" s="58"/>
      <c r="P232" s="58"/>
      <c r="Q232" s="58"/>
      <c r="R232" s="58"/>
      <c r="S232" s="58"/>
      <c r="T232" s="58"/>
      <c r="U232" s="58"/>
      <c r="V232" s="58"/>
      <c r="W232" s="58"/>
      <c r="X232" s="58"/>
      <c r="Y232" s="58"/>
      <c r="Z232" s="58"/>
      <c r="AA232" s="58"/>
      <c r="AB232" s="58"/>
      <c r="AC232" s="58"/>
      <c r="AD232" s="58"/>
    </row>
    <row r="233" spans="1:30" ht="40.200000000000003" customHeight="1" x14ac:dyDescent="0.3">
      <c r="A233" s="58"/>
      <c r="B233"/>
      <c r="C233" s="56"/>
      <c r="D233" s="55"/>
      <c r="E233" s="56"/>
      <c r="F233" s="56"/>
      <c r="G233" s="56"/>
      <c r="H233" s="58"/>
      <c r="I233" s="58"/>
      <c r="J233" s="58"/>
      <c r="K233" s="58"/>
      <c r="L233" s="58"/>
      <c r="M233" s="58"/>
      <c r="N233" s="58"/>
      <c r="O233" s="58"/>
      <c r="P233" s="58"/>
      <c r="Q233" s="58"/>
      <c r="R233" s="58"/>
      <c r="S233" s="58"/>
      <c r="T233" s="58"/>
      <c r="U233" s="58"/>
      <c r="V233" s="58"/>
      <c r="W233" s="58"/>
      <c r="X233" s="58"/>
      <c r="Y233" s="58"/>
      <c r="Z233" s="58"/>
      <c r="AA233" s="58"/>
      <c r="AB233" s="58"/>
      <c r="AC233" s="58"/>
      <c r="AD233" s="58"/>
    </row>
    <row r="234" spans="1:30" ht="40.200000000000003" customHeight="1" x14ac:dyDescent="0.3">
      <c r="A234" s="58"/>
      <c r="B234"/>
      <c r="C234" s="56"/>
      <c r="D234" s="55"/>
      <c r="E234" s="56"/>
      <c r="F234" s="56"/>
      <c r="G234" s="56"/>
      <c r="H234" s="58"/>
      <c r="I234" s="58"/>
      <c r="J234" s="58"/>
      <c r="K234" s="58"/>
      <c r="L234" s="58"/>
      <c r="M234" s="58"/>
      <c r="N234" s="58"/>
      <c r="O234" s="58"/>
      <c r="P234" s="58"/>
      <c r="Q234" s="58"/>
      <c r="R234" s="58"/>
      <c r="S234" s="58"/>
      <c r="T234" s="58"/>
      <c r="U234" s="58"/>
      <c r="V234" s="58"/>
      <c r="W234" s="58"/>
      <c r="X234" s="58"/>
      <c r="Y234" s="58"/>
      <c r="Z234" s="58"/>
      <c r="AA234" s="58"/>
      <c r="AB234" s="58"/>
      <c r="AC234" s="58"/>
      <c r="AD234" s="58"/>
    </row>
    <row r="235" spans="1:30" ht="40.200000000000003" customHeight="1" x14ac:dyDescent="0.3">
      <c r="A235" s="58"/>
      <c r="B235"/>
      <c r="C235" s="56"/>
      <c r="D235" s="55"/>
      <c r="E235" s="56"/>
      <c r="F235" s="56"/>
      <c r="G235" s="56"/>
      <c r="H235" s="58"/>
      <c r="I235" s="58"/>
      <c r="J235" s="58"/>
      <c r="K235" s="58"/>
      <c r="L235" s="58"/>
      <c r="M235" s="58"/>
      <c r="N235" s="58"/>
      <c r="O235" s="58"/>
      <c r="P235" s="58"/>
      <c r="Q235" s="58"/>
      <c r="R235" s="58"/>
      <c r="S235" s="58"/>
      <c r="T235" s="58"/>
      <c r="U235" s="58"/>
      <c r="V235" s="58"/>
      <c r="W235" s="58"/>
      <c r="X235" s="58"/>
      <c r="Y235" s="58"/>
      <c r="Z235" s="58"/>
      <c r="AA235" s="58"/>
      <c r="AB235" s="58"/>
      <c r="AC235" s="58"/>
      <c r="AD235" s="58"/>
    </row>
    <row r="236" spans="1:30" ht="40.200000000000003" customHeight="1" x14ac:dyDescent="0.3">
      <c r="A236" s="58"/>
      <c r="B236"/>
      <c r="C236" s="56"/>
      <c r="D236" s="55"/>
      <c r="E236" s="56"/>
      <c r="F236" s="56"/>
      <c r="G236" s="56"/>
      <c r="H236" s="58"/>
      <c r="I236" s="58"/>
      <c r="J236" s="58"/>
      <c r="K236" s="58"/>
      <c r="L236" s="58"/>
      <c r="M236" s="58"/>
      <c r="N236" s="58"/>
      <c r="O236" s="58"/>
      <c r="P236" s="58"/>
      <c r="Q236" s="58"/>
      <c r="R236" s="58"/>
      <c r="S236" s="58"/>
      <c r="T236" s="58"/>
      <c r="U236" s="58"/>
      <c r="V236" s="58"/>
      <c r="W236" s="58"/>
      <c r="X236" s="58"/>
      <c r="Y236" s="58"/>
      <c r="Z236" s="58"/>
      <c r="AA236" s="58"/>
      <c r="AB236" s="58"/>
      <c r="AC236" s="58"/>
      <c r="AD236" s="58"/>
    </row>
    <row r="237" spans="1:30" ht="40.200000000000003" customHeight="1" x14ac:dyDescent="0.3">
      <c r="A237" s="58"/>
      <c r="B237"/>
      <c r="C237" s="56"/>
      <c r="D237" s="55"/>
      <c r="E237" s="56"/>
      <c r="F237" s="56"/>
      <c r="G237" s="56"/>
      <c r="H237" s="58"/>
      <c r="I237" s="58"/>
      <c r="J237" s="58"/>
      <c r="K237" s="58"/>
      <c r="L237" s="58"/>
      <c r="M237" s="58"/>
      <c r="N237" s="58"/>
      <c r="O237" s="58"/>
      <c r="P237" s="58"/>
      <c r="Q237" s="58"/>
      <c r="R237" s="58"/>
      <c r="S237" s="58"/>
      <c r="T237" s="58"/>
      <c r="U237" s="58"/>
      <c r="V237" s="58"/>
      <c r="W237" s="58"/>
      <c r="X237" s="58"/>
      <c r="Y237" s="58"/>
      <c r="Z237" s="58"/>
      <c r="AA237" s="58"/>
      <c r="AB237" s="58"/>
      <c r="AC237" s="58"/>
      <c r="AD237" s="58"/>
    </row>
    <row r="238" spans="1:30" ht="40.200000000000003" customHeight="1" x14ac:dyDescent="0.3">
      <c r="A238" s="58"/>
      <c r="B238"/>
      <c r="C238" s="56"/>
      <c r="D238" s="55"/>
      <c r="E238" s="56"/>
      <c r="F238" s="56"/>
      <c r="G238" s="56"/>
      <c r="H238" s="58"/>
      <c r="I238" s="58"/>
      <c r="J238" s="58"/>
      <c r="K238" s="58"/>
      <c r="L238" s="58"/>
      <c r="M238" s="58"/>
      <c r="N238" s="58"/>
      <c r="O238" s="58"/>
      <c r="P238" s="58"/>
      <c r="Q238" s="58"/>
      <c r="R238" s="58"/>
      <c r="S238" s="58"/>
      <c r="T238" s="58"/>
      <c r="U238" s="58"/>
      <c r="V238" s="58"/>
      <c r="W238" s="58"/>
      <c r="X238" s="58"/>
      <c r="Y238" s="58"/>
      <c r="Z238" s="58"/>
      <c r="AA238" s="58"/>
      <c r="AB238" s="58"/>
      <c r="AC238" s="58"/>
      <c r="AD238" s="58"/>
    </row>
    <row r="239" spans="1:30" ht="40.200000000000003" customHeight="1" x14ac:dyDescent="0.3">
      <c r="A239" s="58"/>
      <c r="B239"/>
      <c r="C239" s="56"/>
      <c r="D239" s="55"/>
      <c r="E239" s="56"/>
      <c r="F239" s="56"/>
      <c r="G239" s="56"/>
      <c r="H239" s="58"/>
      <c r="I239" s="58"/>
      <c r="J239" s="58"/>
      <c r="K239" s="58"/>
      <c r="L239" s="58"/>
      <c r="M239" s="58"/>
      <c r="N239" s="58"/>
      <c r="O239" s="58"/>
      <c r="P239" s="58"/>
      <c r="Q239" s="58"/>
      <c r="R239" s="58"/>
      <c r="S239" s="58"/>
      <c r="T239" s="58"/>
      <c r="U239" s="58"/>
      <c r="V239" s="58"/>
      <c r="W239" s="58"/>
      <c r="X239" s="58"/>
      <c r="Y239" s="58"/>
      <c r="Z239" s="58"/>
      <c r="AA239" s="58"/>
      <c r="AB239" s="58"/>
      <c r="AC239" s="58"/>
      <c r="AD239" s="58"/>
    </row>
    <row r="240" spans="1:30" ht="40.200000000000003" customHeight="1" x14ac:dyDescent="0.3">
      <c r="A240" s="58"/>
      <c r="B240"/>
      <c r="C240" s="56"/>
      <c r="D240" s="55"/>
      <c r="E240" s="56"/>
      <c r="F240" s="56"/>
      <c r="G240" s="56"/>
      <c r="H240" s="58"/>
      <c r="I240" s="58"/>
      <c r="J240" s="58"/>
      <c r="K240" s="58"/>
      <c r="L240" s="58"/>
      <c r="M240" s="58"/>
      <c r="N240" s="58"/>
      <c r="O240" s="58"/>
      <c r="P240" s="58"/>
      <c r="Q240" s="58"/>
      <c r="R240" s="58"/>
      <c r="S240" s="58"/>
      <c r="T240" s="58"/>
      <c r="U240" s="58"/>
      <c r="V240" s="58"/>
      <c r="W240" s="58"/>
      <c r="X240" s="58"/>
      <c r="Y240" s="58"/>
      <c r="Z240" s="58"/>
      <c r="AA240" s="58"/>
      <c r="AB240" s="58"/>
      <c r="AC240" s="58"/>
      <c r="AD240" s="58"/>
    </row>
    <row r="241" spans="1:30" ht="40.200000000000003" customHeight="1" x14ac:dyDescent="0.3">
      <c r="A241" s="58"/>
      <c r="B241"/>
      <c r="C241" s="56"/>
      <c r="D241" s="55"/>
      <c r="E241" s="56"/>
      <c r="F241" s="56"/>
      <c r="G241" s="56"/>
      <c r="H241" s="58"/>
      <c r="I241" s="58"/>
      <c r="J241" s="58"/>
      <c r="K241" s="58"/>
      <c r="L241" s="58"/>
      <c r="M241" s="58"/>
      <c r="N241" s="58"/>
      <c r="O241" s="58"/>
      <c r="P241" s="58"/>
      <c r="Q241" s="58"/>
      <c r="R241" s="58"/>
      <c r="S241" s="58"/>
      <c r="T241" s="58"/>
      <c r="U241" s="58"/>
      <c r="V241" s="58"/>
      <c r="W241" s="58"/>
      <c r="X241" s="58"/>
      <c r="Y241" s="58"/>
      <c r="Z241" s="58"/>
      <c r="AA241" s="58"/>
      <c r="AB241" s="58"/>
      <c r="AC241" s="58"/>
      <c r="AD241" s="58"/>
    </row>
    <row r="242" spans="1:30" ht="40.200000000000003" customHeight="1" x14ac:dyDescent="0.3">
      <c r="A242" s="58"/>
      <c r="B242"/>
      <c r="C242" s="56"/>
      <c r="D242" s="55"/>
      <c r="E242" s="56"/>
      <c r="F242" s="56"/>
      <c r="G242" s="56"/>
      <c r="H242" s="58"/>
      <c r="I242" s="58"/>
      <c r="J242" s="58"/>
      <c r="K242" s="58"/>
      <c r="L242" s="58"/>
      <c r="M242" s="58"/>
      <c r="N242" s="58"/>
      <c r="O242" s="58"/>
      <c r="P242" s="58"/>
      <c r="Q242" s="58"/>
      <c r="R242" s="58"/>
      <c r="S242" s="58"/>
      <c r="T242" s="58"/>
      <c r="U242" s="58"/>
      <c r="V242" s="58"/>
      <c r="W242" s="58"/>
      <c r="X242" s="58"/>
      <c r="Y242" s="58"/>
      <c r="Z242" s="58"/>
      <c r="AA242" s="58"/>
      <c r="AB242" s="58"/>
      <c r="AC242" s="58"/>
      <c r="AD242" s="58"/>
    </row>
    <row r="243" spans="1:30" ht="40.200000000000003" customHeight="1" x14ac:dyDescent="0.3">
      <c r="A243" s="58"/>
      <c r="B243"/>
      <c r="C243" s="56"/>
      <c r="D243" s="55"/>
      <c r="E243" s="56"/>
      <c r="F243" s="56"/>
      <c r="G243" s="56"/>
      <c r="H243" s="58"/>
      <c r="I243" s="58"/>
      <c r="J243" s="58"/>
      <c r="K243" s="58"/>
      <c r="L243" s="58"/>
      <c r="M243" s="58"/>
      <c r="N243" s="58"/>
      <c r="O243" s="58"/>
      <c r="P243" s="58"/>
      <c r="Q243" s="58"/>
      <c r="R243" s="58"/>
      <c r="S243" s="58"/>
      <c r="T243" s="58"/>
      <c r="U243" s="58"/>
      <c r="V243" s="58"/>
      <c r="W243" s="58"/>
      <c r="X243" s="58"/>
      <c r="Y243" s="58"/>
      <c r="Z243" s="58"/>
      <c r="AA243" s="58"/>
      <c r="AB243" s="58"/>
      <c r="AC243" s="58"/>
      <c r="AD243" s="58"/>
    </row>
    <row r="244" spans="1:30" ht="40.200000000000003" customHeight="1" x14ac:dyDescent="0.3">
      <c r="A244" s="58"/>
      <c r="B244"/>
      <c r="C244" s="56"/>
      <c r="D244" s="55"/>
      <c r="E244" s="56"/>
      <c r="F244" s="56"/>
      <c r="G244" s="56"/>
      <c r="H244" s="58"/>
      <c r="I244" s="58"/>
      <c r="J244" s="58"/>
      <c r="K244" s="58"/>
      <c r="L244" s="58"/>
      <c r="M244" s="58"/>
      <c r="N244" s="58"/>
      <c r="O244" s="58"/>
      <c r="P244" s="58"/>
      <c r="Q244" s="58"/>
      <c r="R244" s="58"/>
      <c r="S244" s="58"/>
      <c r="T244" s="58"/>
      <c r="U244" s="58"/>
      <c r="V244" s="58"/>
      <c r="W244" s="58"/>
      <c r="X244" s="58"/>
      <c r="Y244" s="58"/>
      <c r="Z244" s="58"/>
      <c r="AA244" s="58"/>
      <c r="AB244" s="58"/>
      <c r="AC244" s="58"/>
      <c r="AD244" s="58"/>
    </row>
    <row r="245" spans="1:30" ht="40.200000000000003" customHeight="1" x14ac:dyDescent="0.3">
      <c r="A245" s="58"/>
      <c r="B245"/>
      <c r="C245" s="56"/>
      <c r="D245" s="55"/>
      <c r="E245" s="56"/>
      <c r="F245" s="56"/>
      <c r="G245" s="56"/>
      <c r="H245" s="58"/>
      <c r="I245" s="58"/>
      <c r="J245" s="58"/>
      <c r="K245" s="58"/>
      <c r="L245" s="58"/>
      <c r="M245" s="58"/>
      <c r="N245" s="58"/>
      <c r="O245" s="58"/>
      <c r="P245" s="58"/>
      <c r="Q245" s="58"/>
      <c r="R245" s="58"/>
      <c r="S245" s="58"/>
      <c r="T245" s="58"/>
      <c r="U245" s="58"/>
      <c r="V245" s="58"/>
      <c r="W245" s="58"/>
      <c r="X245" s="58"/>
      <c r="Y245" s="58"/>
      <c r="Z245" s="58"/>
      <c r="AA245" s="58"/>
      <c r="AB245" s="58"/>
      <c r="AC245" s="58"/>
      <c r="AD245" s="58"/>
    </row>
    <row r="246" spans="1:30" ht="40.200000000000003" customHeight="1" x14ac:dyDescent="0.3">
      <c r="A246" s="58"/>
      <c r="B246"/>
      <c r="C246" s="56"/>
      <c r="D246" s="55"/>
      <c r="E246" s="56"/>
      <c r="F246" s="56"/>
      <c r="G246" s="56"/>
      <c r="H246" s="58"/>
      <c r="I246" s="58"/>
      <c r="J246" s="58"/>
      <c r="K246" s="58"/>
      <c r="L246" s="58"/>
      <c r="M246" s="58"/>
      <c r="N246" s="58"/>
      <c r="O246" s="58"/>
      <c r="P246" s="58"/>
      <c r="Q246" s="58"/>
      <c r="R246" s="58"/>
      <c r="S246" s="58"/>
      <c r="T246" s="58"/>
      <c r="U246" s="58"/>
      <c r="V246" s="58"/>
      <c r="W246" s="58"/>
      <c r="X246" s="58"/>
      <c r="Y246" s="58"/>
      <c r="Z246" s="58"/>
      <c r="AA246" s="58"/>
      <c r="AB246" s="58"/>
      <c r="AC246" s="58"/>
      <c r="AD246" s="58"/>
    </row>
    <row r="247" spans="1:30" ht="40.200000000000003" customHeight="1" x14ac:dyDescent="0.3">
      <c r="A247" s="58"/>
      <c r="B247"/>
      <c r="C247" s="56"/>
      <c r="D247" s="55"/>
      <c r="E247" s="56"/>
      <c r="F247" s="56"/>
      <c r="G247" s="56"/>
      <c r="H247" s="58"/>
      <c r="I247" s="58"/>
      <c r="J247" s="58"/>
      <c r="K247" s="58"/>
      <c r="L247" s="58"/>
      <c r="M247" s="58"/>
      <c r="N247" s="58"/>
      <c r="O247" s="58"/>
      <c r="P247" s="58"/>
      <c r="Q247" s="58"/>
      <c r="R247" s="58"/>
      <c r="S247" s="58"/>
      <c r="T247" s="58"/>
      <c r="U247" s="58"/>
      <c r="V247" s="58"/>
      <c r="W247" s="58"/>
      <c r="X247" s="58"/>
      <c r="Y247" s="58"/>
      <c r="Z247" s="58"/>
      <c r="AA247" s="58"/>
      <c r="AB247" s="58"/>
      <c r="AC247" s="58"/>
      <c r="AD247" s="58"/>
    </row>
    <row r="248" spans="1:30" ht="40.200000000000003" customHeight="1" x14ac:dyDescent="0.3">
      <c r="A248" s="58"/>
      <c r="B248"/>
      <c r="C248" s="56"/>
      <c r="D248" s="55"/>
      <c r="E248" s="56"/>
      <c r="F248" s="56"/>
      <c r="G248" s="56"/>
      <c r="H248" s="58"/>
      <c r="I248" s="58"/>
      <c r="J248" s="58"/>
      <c r="K248" s="58"/>
      <c r="L248" s="58"/>
      <c r="M248" s="58"/>
      <c r="N248" s="58"/>
      <c r="O248" s="58"/>
      <c r="P248" s="58"/>
      <c r="Q248" s="58"/>
      <c r="R248" s="58"/>
      <c r="S248" s="58"/>
      <c r="T248" s="58"/>
      <c r="U248" s="58"/>
      <c r="V248" s="58"/>
      <c r="W248" s="58"/>
      <c r="X248" s="58"/>
      <c r="Y248" s="58"/>
      <c r="Z248" s="58"/>
      <c r="AA248" s="58"/>
      <c r="AB248" s="58"/>
      <c r="AC248" s="58"/>
      <c r="AD248" s="58"/>
    </row>
    <row r="249" spans="1:30" ht="40.200000000000003" customHeight="1" x14ac:dyDescent="0.3">
      <c r="A249" s="58"/>
      <c r="B249"/>
      <c r="C249" s="56"/>
      <c r="D249" s="55"/>
      <c r="E249" s="56"/>
      <c r="F249" s="56"/>
      <c r="G249" s="56"/>
      <c r="H249" s="58"/>
      <c r="I249" s="58"/>
      <c r="J249" s="58"/>
      <c r="K249" s="58"/>
      <c r="L249" s="58"/>
      <c r="M249" s="58"/>
      <c r="N249" s="58"/>
      <c r="O249" s="58"/>
      <c r="P249" s="58"/>
      <c r="Q249" s="58"/>
      <c r="R249" s="58"/>
      <c r="S249" s="58"/>
      <c r="T249" s="58"/>
      <c r="U249" s="58"/>
      <c r="V249" s="58"/>
      <c r="W249" s="58"/>
      <c r="X249" s="58"/>
      <c r="Y249" s="58"/>
      <c r="Z249" s="58"/>
      <c r="AA249" s="58"/>
      <c r="AB249" s="58"/>
      <c r="AC249" s="58"/>
      <c r="AD249" s="58"/>
    </row>
    <row r="250" spans="1:30" ht="40.200000000000003" customHeight="1" x14ac:dyDescent="0.3">
      <c r="A250" s="58"/>
      <c r="B250"/>
      <c r="C250" s="56"/>
      <c r="D250" s="55"/>
      <c r="E250" s="56"/>
      <c r="F250" s="56"/>
      <c r="G250" s="56"/>
      <c r="H250" s="58"/>
      <c r="I250" s="58"/>
      <c r="J250" s="58"/>
      <c r="K250" s="58"/>
      <c r="L250" s="58"/>
      <c r="M250" s="58"/>
      <c r="N250" s="58"/>
      <c r="O250" s="58"/>
      <c r="P250" s="58"/>
      <c r="Q250" s="58"/>
      <c r="R250" s="58"/>
      <c r="S250" s="58"/>
      <c r="T250" s="58"/>
      <c r="U250" s="58"/>
      <c r="V250" s="58"/>
      <c r="W250" s="58"/>
      <c r="X250" s="58"/>
      <c r="Y250" s="58"/>
      <c r="Z250" s="58"/>
      <c r="AA250" s="58"/>
      <c r="AB250" s="58"/>
      <c r="AC250" s="58"/>
      <c r="AD250" s="58"/>
    </row>
    <row r="251" spans="1:30" ht="40.200000000000003" customHeight="1" x14ac:dyDescent="0.3">
      <c r="A251" s="58"/>
      <c r="B251"/>
      <c r="C251" s="56"/>
      <c r="D251" s="55"/>
      <c r="E251" s="56"/>
      <c r="F251" s="56"/>
      <c r="G251" s="56"/>
      <c r="H251" s="58"/>
      <c r="I251" s="58"/>
      <c r="J251" s="58"/>
      <c r="K251" s="58"/>
      <c r="L251" s="58"/>
      <c r="M251" s="58"/>
      <c r="N251" s="58"/>
      <c r="O251" s="58"/>
      <c r="P251" s="58"/>
      <c r="Q251" s="58"/>
      <c r="R251" s="58"/>
      <c r="S251" s="58"/>
      <c r="T251" s="58"/>
      <c r="U251" s="58"/>
      <c r="V251" s="58"/>
      <c r="W251" s="58"/>
      <c r="X251" s="58"/>
      <c r="Y251" s="58"/>
      <c r="Z251" s="58"/>
      <c r="AA251" s="58"/>
      <c r="AB251" s="58"/>
      <c r="AC251" s="58"/>
      <c r="AD251" s="58"/>
    </row>
    <row r="252" spans="1:30" ht="40.200000000000003" customHeight="1" x14ac:dyDescent="0.3">
      <c r="A252" s="58"/>
      <c r="B252"/>
      <c r="C252" s="56"/>
      <c r="D252" s="55"/>
      <c r="E252" s="56"/>
      <c r="F252" s="56"/>
      <c r="G252" s="56"/>
      <c r="H252" s="58"/>
      <c r="I252" s="58"/>
      <c r="J252" s="58"/>
      <c r="K252" s="58"/>
      <c r="L252" s="58"/>
      <c r="M252" s="58"/>
      <c r="N252" s="58"/>
      <c r="O252" s="58"/>
      <c r="P252" s="58"/>
      <c r="Q252" s="58"/>
      <c r="R252" s="58"/>
      <c r="S252" s="58"/>
      <c r="T252" s="58"/>
      <c r="U252" s="58"/>
      <c r="V252" s="58"/>
      <c r="W252" s="58"/>
      <c r="X252" s="58"/>
      <c r="Y252" s="58"/>
      <c r="Z252" s="58"/>
      <c r="AA252" s="58"/>
      <c r="AB252" s="58"/>
      <c r="AC252" s="58"/>
      <c r="AD252" s="58"/>
    </row>
    <row r="253" spans="1:30" ht="40.200000000000003" customHeight="1" x14ac:dyDescent="0.3">
      <c r="A253" s="58"/>
      <c r="B253"/>
      <c r="C253" s="56"/>
      <c r="D253" s="55"/>
      <c r="E253" s="56"/>
      <c r="F253" s="56"/>
      <c r="G253" s="56"/>
      <c r="H253" s="58"/>
      <c r="I253" s="58"/>
      <c r="J253" s="58"/>
      <c r="K253" s="58"/>
      <c r="L253" s="58"/>
      <c r="M253" s="58"/>
      <c r="N253" s="58"/>
      <c r="O253" s="58"/>
      <c r="P253" s="58"/>
      <c r="Q253" s="58"/>
      <c r="R253" s="58"/>
      <c r="S253" s="58"/>
      <c r="T253" s="58"/>
      <c r="U253" s="58"/>
      <c r="V253" s="58"/>
      <c r="W253" s="58"/>
      <c r="X253" s="58"/>
      <c r="Y253" s="58"/>
      <c r="Z253" s="58"/>
      <c r="AA253" s="58"/>
      <c r="AB253" s="58"/>
      <c r="AC253" s="58"/>
      <c r="AD253" s="58"/>
    </row>
    <row r="254" spans="1:30" ht="40.200000000000003" customHeight="1" x14ac:dyDescent="0.3">
      <c r="A254" s="58"/>
      <c r="B254"/>
      <c r="C254" s="56"/>
      <c r="D254" s="55"/>
      <c r="E254" s="56"/>
      <c r="F254" s="56"/>
      <c r="G254" s="56"/>
      <c r="H254" s="58"/>
      <c r="I254" s="58"/>
      <c r="J254" s="58"/>
      <c r="K254" s="58"/>
      <c r="L254" s="58"/>
      <c r="M254" s="58"/>
      <c r="N254" s="58"/>
      <c r="O254" s="58"/>
      <c r="P254" s="58"/>
      <c r="Q254" s="58"/>
      <c r="R254" s="58"/>
      <c r="S254" s="58"/>
      <c r="T254" s="58"/>
      <c r="U254" s="58"/>
      <c r="V254" s="58"/>
      <c r="W254" s="58"/>
      <c r="X254" s="58"/>
      <c r="Y254" s="58"/>
      <c r="Z254" s="58"/>
      <c r="AA254" s="58"/>
      <c r="AB254" s="58"/>
      <c r="AC254" s="58"/>
      <c r="AD254" s="58"/>
    </row>
    <row r="255" spans="1:30" ht="40.200000000000003" customHeight="1" x14ac:dyDescent="0.3">
      <c r="A255" s="58"/>
      <c r="B255"/>
      <c r="C255" s="56"/>
      <c r="D255" s="55"/>
      <c r="E255" s="56"/>
      <c r="F255" s="56"/>
      <c r="G255" s="56"/>
      <c r="H255" s="58"/>
      <c r="I255" s="58"/>
      <c r="J255" s="58"/>
      <c r="K255" s="58"/>
      <c r="L255" s="58"/>
      <c r="M255" s="58"/>
      <c r="N255" s="58"/>
      <c r="O255" s="58"/>
      <c r="P255" s="58"/>
      <c r="Q255" s="58"/>
      <c r="R255" s="58"/>
      <c r="S255" s="58"/>
      <c r="T255" s="58"/>
      <c r="U255" s="58"/>
      <c r="V255" s="58"/>
      <c r="W255" s="58"/>
      <c r="X255" s="58"/>
      <c r="Y255" s="58"/>
      <c r="Z255" s="58"/>
      <c r="AA255" s="58"/>
      <c r="AB255" s="58"/>
      <c r="AC255" s="58"/>
      <c r="AD255" s="58"/>
    </row>
    <row r="256" spans="1:30" ht="40.200000000000003" customHeight="1" x14ac:dyDescent="0.3">
      <c r="A256" s="58"/>
      <c r="B256"/>
      <c r="C256" s="56"/>
      <c r="D256" s="55"/>
      <c r="E256" s="56"/>
      <c r="F256" s="56"/>
      <c r="G256" s="56"/>
      <c r="H256" s="58"/>
      <c r="I256" s="58"/>
      <c r="J256" s="58"/>
      <c r="K256" s="58"/>
      <c r="L256" s="58"/>
      <c r="M256" s="58"/>
      <c r="N256" s="58"/>
      <c r="O256" s="58"/>
      <c r="P256" s="58"/>
      <c r="Q256" s="58"/>
      <c r="R256" s="58"/>
      <c r="S256" s="58"/>
      <c r="T256" s="58"/>
      <c r="U256" s="58"/>
      <c r="V256" s="58"/>
      <c r="W256" s="58"/>
      <c r="X256" s="58"/>
      <c r="Y256" s="58"/>
      <c r="Z256" s="58"/>
      <c r="AA256" s="58"/>
      <c r="AB256" s="58"/>
      <c r="AC256" s="58"/>
      <c r="AD256" s="58"/>
    </row>
    <row r="257" spans="1:30" ht="40.200000000000003" customHeight="1" x14ac:dyDescent="0.3">
      <c r="A257" s="58"/>
      <c r="B257"/>
      <c r="C257" s="56"/>
      <c r="D257" s="55"/>
      <c r="E257" s="56"/>
      <c r="F257" s="56"/>
      <c r="G257" s="56"/>
      <c r="H257" s="58"/>
      <c r="I257" s="58"/>
      <c r="J257" s="58"/>
      <c r="K257" s="58"/>
      <c r="L257" s="58"/>
      <c r="M257" s="58"/>
      <c r="N257" s="58"/>
      <c r="O257" s="58"/>
      <c r="P257" s="58"/>
      <c r="Q257" s="58"/>
      <c r="R257" s="58"/>
      <c r="S257" s="58"/>
      <c r="T257" s="58"/>
      <c r="U257" s="58"/>
      <c r="V257" s="58"/>
      <c r="W257" s="58"/>
      <c r="X257" s="58"/>
      <c r="Y257" s="58"/>
      <c r="Z257" s="58"/>
      <c r="AA257" s="58"/>
      <c r="AB257" s="58"/>
      <c r="AC257" s="58"/>
      <c r="AD257" s="58"/>
    </row>
    <row r="258" spans="1:30" ht="40.200000000000003" customHeight="1" x14ac:dyDescent="0.3">
      <c r="A258" s="58"/>
      <c r="B258"/>
      <c r="C258" s="56"/>
      <c r="D258" s="55"/>
      <c r="E258" s="56"/>
      <c r="F258" s="56"/>
      <c r="G258" s="56"/>
      <c r="H258" s="58"/>
      <c r="I258" s="58"/>
      <c r="J258" s="58"/>
      <c r="K258" s="58"/>
      <c r="L258" s="58"/>
      <c r="M258" s="58"/>
      <c r="N258" s="58"/>
      <c r="O258" s="58"/>
      <c r="P258" s="58"/>
      <c r="Q258" s="58"/>
      <c r="R258" s="58"/>
      <c r="S258" s="58"/>
      <c r="T258" s="58"/>
      <c r="U258" s="58"/>
      <c r="V258" s="58"/>
      <c r="W258" s="58"/>
      <c r="X258" s="58"/>
      <c r="Y258" s="58"/>
      <c r="Z258" s="58"/>
      <c r="AA258" s="58"/>
      <c r="AB258" s="58"/>
      <c r="AC258" s="58"/>
      <c r="AD258" s="58"/>
    </row>
    <row r="259" spans="1:30" ht="40.200000000000003" customHeight="1" x14ac:dyDescent="0.3">
      <c r="A259" s="58"/>
      <c r="B259"/>
      <c r="C259" s="56"/>
      <c r="D259" s="55"/>
      <c r="E259" s="56"/>
      <c r="F259" s="56"/>
      <c r="G259" s="56"/>
      <c r="H259" s="58"/>
      <c r="I259" s="58"/>
      <c r="J259" s="58"/>
      <c r="K259" s="58"/>
      <c r="L259" s="58"/>
      <c r="M259" s="58"/>
      <c r="N259" s="58"/>
      <c r="O259" s="58"/>
      <c r="P259" s="58"/>
      <c r="Q259" s="58"/>
      <c r="R259" s="58"/>
      <c r="S259" s="58"/>
      <c r="T259" s="58"/>
      <c r="U259" s="58"/>
      <c r="V259" s="58"/>
      <c r="W259" s="58"/>
      <c r="X259" s="58"/>
      <c r="Y259" s="58"/>
      <c r="Z259" s="58"/>
      <c r="AA259" s="58"/>
      <c r="AB259" s="58"/>
      <c r="AC259" s="58"/>
      <c r="AD259" s="58"/>
    </row>
    <row r="260" spans="1:30" ht="40.200000000000003" customHeight="1" x14ac:dyDescent="0.3">
      <c r="A260" s="58"/>
      <c r="B260"/>
      <c r="C260" s="56"/>
      <c r="D260" s="55"/>
      <c r="E260" s="56"/>
      <c r="F260" s="56"/>
      <c r="G260" s="56"/>
      <c r="H260" s="58"/>
      <c r="I260" s="58"/>
      <c r="J260" s="58"/>
      <c r="K260" s="58"/>
      <c r="L260" s="58"/>
      <c r="M260" s="58"/>
      <c r="N260" s="58"/>
      <c r="O260" s="58"/>
      <c r="P260" s="58"/>
      <c r="Q260" s="58"/>
      <c r="R260" s="58"/>
      <c r="S260" s="58"/>
      <c r="T260" s="58"/>
      <c r="U260" s="58"/>
      <c r="V260" s="58"/>
      <c r="W260" s="58"/>
      <c r="X260" s="58"/>
      <c r="Y260" s="58"/>
      <c r="Z260" s="58"/>
      <c r="AA260" s="58"/>
      <c r="AB260" s="58"/>
      <c r="AC260" s="58"/>
      <c r="AD260" s="58"/>
    </row>
    <row r="261" spans="1:30" ht="40.200000000000003" customHeight="1" x14ac:dyDescent="0.3">
      <c r="A261" s="58"/>
      <c r="B261"/>
      <c r="C261" s="56"/>
      <c r="D261" s="55"/>
      <c r="E261" s="56"/>
      <c r="F261" s="56"/>
      <c r="G261" s="56"/>
      <c r="H261" s="58"/>
      <c r="I261" s="58"/>
      <c r="J261" s="58"/>
      <c r="K261" s="58"/>
      <c r="L261" s="58"/>
      <c r="M261" s="58"/>
      <c r="N261" s="58"/>
      <c r="O261" s="58"/>
      <c r="P261" s="58"/>
      <c r="Q261" s="58"/>
      <c r="R261" s="58"/>
      <c r="S261" s="58"/>
      <c r="T261" s="58"/>
      <c r="U261" s="58"/>
      <c r="V261" s="58"/>
      <c r="W261" s="58"/>
      <c r="X261" s="58"/>
      <c r="Y261" s="58"/>
      <c r="Z261" s="58"/>
      <c r="AA261" s="58"/>
      <c r="AB261" s="58"/>
      <c r="AC261" s="58"/>
      <c r="AD261" s="58"/>
    </row>
    <row r="262" spans="1:30" ht="40.200000000000003" customHeight="1" x14ac:dyDescent="0.3">
      <c r="A262" s="58"/>
      <c r="B262"/>
      <c r="C262" s="56"/>
      <c r="D262" s="55"/>
      <c r="E262" s="56"/>
      <c r="F262" s="56"/>
      <c r="G262" s="56"/>
      <c r="H262" s="58"/>
      <c r="I262" s="58"/>
      <c r="J262" s="58"/>
      <c r="K262" s="58"/>
      <c r="L262" s="58"/>
      <c r="M262" s="58"/>
      <c r="N262" s="58"/>
      <c r="O262" s="58"/>
      <c r="P262" s="58"/>
      <c r="Q262" s="58"/>
      <c r="R262" s="58"/>
      <c r="S262" s="58"/>
      <c r="T262" s="58"/>
      <c r="U262" s="58"/>
      <c r="V262" s="58"/>
      <c r="W262" s="58"/>
      <c r="X262" s="58"/>
      <c r="Y262" s="58"/>
      <c r="Z262" s="58"/>
      <c r="AA262" s="58"/>
      <c r="AB262" s="58"/>
      <c r="AC262" s="58"/>
      <c r="AD262" s="58"/>
    </row>
    <row r="263" spans="1:30" ht="40.200000000000003" customHeight="1" x14ac:dyDescent="0.3">
      <c r="A263" s="58"/>
      <c r="B263"/>
      <c r="C263" s="56"/>
      <c r="D263" s="55"/>
      <c r="E263" s="56"/>
      <c r="F263" s="56"/>
      <c r="G263" s="56"/>
      <c r="H263" s="58"/>
      <c r="I263" s="58"/>
      <c r="J263" s="58"/>
      <c r="K263" s="58"/>
      <c r="L263" s="58"/>
      <c r="M263" s="58"/>
      <c r="N263" s="58"/>
      <c r="O263" s="58"/>
      <c r="P263" s="58"/>
      <c r="Q263" s="58"/>
      <c r="R263" s="58"/>
      <c r="S263" s="58"/>
      <c r="T263" s="58"/>
      <c r="U263" s="58"/>
      <c r="V263" s="58"/>
      <c r="W263" s="58"/>
      <c r="X263" s="58"/>
      <c r="Y263" s="58"/>
      <c r="Z263" s="58"/>
      <c r="AA263" s="58"/>
      <c r="AB263" s="58"/>
      <c r="AC263" s="58"/>
      <c r="AD263" s="58"/>
    </row>
    <row r="264" spans="1:30" ht="40.200000000000003" customHeight="1" x14ac:dyDescent="0.3">
      <c r="A264" s="58"/>
      <c r="B264"/>
      <c r="C264" s="56"/>
      <c r="D264" s="55"/>
      <c r="E264" s="56"/>
      <c r="F264" s="56"/>
      <c r="G264" s="56"/>
      <c r="H264" s="58"/>
      <c r="I264" s="58"/>
      <c r="J264" s="58"/>
      <c r="K264" s="58"/>
      <c r="L264" s="58"/>
      <c r="M264" s="58"/>
      <c r="N264" s="58"/>
      <c r="O264" s="58"/>
      <c r="P264" s="58"/>
      <c r="Q264" s="58"/>
      <c r="R264" s="58"/>
      <c r="S264" s="58"/>
      <c r="T264" s="58"/>
      <c r="U264" s="58"/>
      <c r="V264" s="58"/>
      <c r="W264" s="58"/>
      <c r="X264" s="58"/>
      <c r="Y264" s="58"/>
      <c r="Z264" s="58"/>
      <c r="AA264" s="58"/>
      <c r="AB264" s="58"/>
      <c r="AC264" s="58"/>
      <c r="AD264" s="58"/>
    </row>
    <row r="265" spans="1:30" ht="40.200000000000003" customHeight="1" x14ac:dyDescent="0.3">
      <c r="A265" s="58"/>
      <c r="B265"/>
      <c r="C265" s="56"/>
      <c r="D265" s="55"/>
      <c r="E265" s="56"/>
      <c r="F265" s="56"/>
      <c r="G265" s="56"/>
      <c r="H265" s="58"/>
      <c r="I265" s="58"/>
      <c r="J265" s="58"/>
      <c r="K265" s="58"/>
      <c r="L265" s="58"/>
      <c r="M265" s="58"/>
      <c r="N265" s="58"/>
      <c r="O265" s="58"/>
      <c r="P265" s="58"/>
      <c r="Q265" s="58"/>
      <c r="R265" s="58"/>
      <c r="S265" s="58"/>
      <c r="T265" s="58"/>
      <c r="U265" s="58"/>
      <c r="V265" s="58"/>
      <c r="W265" s="58"/>
      <c r="X265" s="58"/>
      <c r="Y265" s="58"/>
      <c r="Z265" s="58"/>
      <c r="AA265" s="58"/>
      <c r="AB265" s="58"/>
      <c r="AC265" s="58"/>
      <c r="AD265" s="58"/>
    </row>
    <row r="266" spans="1:30" ht="40.200000000000003" customHeight="1" x14ac:dyDescent="0.3">
      <c r="A266" s="58"/>
      <c r="B266"/>
      <c r="C266" s="56"/>
      <c r="D266" s="55"/>
      <c r="E266" s="56"/>
      <c r="F266" s="56"/>
      <c r="G266" s="56"/>
      <c r="H266" s="58"/>
      <c r="I266" s="58"/>
      <c r="J266" s="58"/>
      <c r="K266" s="58"/>
      <c r="L266" s="58"/>
      <c r="M266" s="58"/>
      <c r="N266" s="58"/>
      <c r="O266" s="58"/>
      <c r="P266" s="58"/>
      <c r="Q266" s="58"/>
      <c r="R266" s="58"/>
      <c r="S266" s="58"/>
      <c r="T266" s="58"/>
      <c r="U266" s="58"/>
      <c r="V266" s="58"/>
      <c r="W266" s="58"/>
      <c r="X266" s="58"/>
      <c r="Y266" s="58"/>
      <c r="Z266" s="58"/>
      <c r="AA266" s="58"/>
      <c r="AB266" s="58"/>
      <c r="AC266" s="58"/>
      <c r="AD266" s="58"/>
    </row>
    <row r="267" spans="1:30" ht="40.200000000000003" customHeight="1" x14ac:dyDescent="0.3">
      <c r="A267" s="58"/>
      <c r="B267"/>
      <c r="C267" s="56"/>
      <c r="D267" s="55"/>
      <c r="E267" s="56"/>
      <c r="F267" s="56"/>
      <c r="G267" s="56"/>
      <c r="H267" s="58"/>
      <c r="I267" s="58"/>
      <c r="J267" s="58"/>
      <c r="K267" s="58"/>
      <c r="L267" s="58"/>
      <c r="M267" s="58"/>
      <c r="N267" s="58"/>
      <c r="O267" s="58"/>
      <c r="P267" s="58"/>
      <c r="Q267" s="58"/>
      <c r="R267" s="58"/>
      <c r="S267" s="58"/>
      <c r="T267" s="58"/>
      <c r="U267" s="58"/>
      <c r="V267" s="58"/>
      <c r="W267" s="58"/>
      <c r="X267" s="58"/>
      <c r="Y267" s="58"/>
      <c r="Z267" s="58"/>
      <c r="AA267" s="58"/>
      <c r="AB267" s="58"/>
      <c r="AC267" s="58"/>
      <c r="AD267" s="58"/>
    </row>
    <row r="268" spans="1:30" ht="40.200000000000003" customHeight="1" x14ac:dyDescent="0.3">
      <c r="A268" s="58"/>
      <c r="B268"/>
      <c r="C268" s="56"/>
      <c r="D268" s="55"/>
      <c r="E268" s="56"/>
      <c r="F268" s="56"/>
      <c r="G268" s="56"/>
      <c r="H268" s="58"/>
      <c r="I268" s="58"/>
      <c r="J268" s="58"/>
      <c r="K268" s="58"/>
      <c r="L268" s="58"/>
      <c r="M268" s="58"/>
      <c r="N268" s="58"/>
      <c r="O268" s="58"/>
      <c r="P268" s="58"/>
      <c r="Q268" s="58"/>
      <c r="R268" s="58"/>
      <c r="S268" s="58"/>
      <c r="T268" s="58"/>
      <c r="U268" s="58"/>
      <c r="V268" s="58"/>
      <c r="W268" s="58"/>
      <c r="X268" s="58"/>
      <c r="Y268" s="58"/>
      <c r="Z268" s="58"/>
      <c r="AA268" s="58"/>
      <c r="AB268" s="58"/>
      <c r="AC268" s="58"/>
      <c r="AD268" s="58"/>
    </row>
    <row r="269" spans="1:30" ht="40.200000000000003" customHeight="1" x14ac:dyDescent="0.3">
      <c r="A269" s="58"/>
      <c r="B269"/>
      <c r="C269" s="56"/>
      <c r="D269" s="55"/>
      <c r="E269" s="56"/>
      <c r="F269" s="56"/>
      <c r="G269" s="56"/>
      <c r="H269" s="58"/>
      <c r="I269" s="58"/>
      <c r="J269" s="58"/>
      <c r="K269" s="58"/>
      <c r="L269" s="58"/>
      <c r="M269" s="58"/>
      <c r="N269" s="58"/>
      <c r="O269" s="58"/>
      <c r="P269" s="58"/>
      <c r="Q269" s="58"/>
      <c r="R269" s="58"/>
      <c r="S269" s="58"/>
      <c r="T269" s="58"/>
      <c r="U269" s="58"/>
      <c r="V269" s="58"/>
      <c r="W269" s="58"/>
      <c r="X269" s="58"/>
      <c r="Y269" s="58"/>
      <c r="Z269" s="58"/>
      <c r="AA269" s="58"/>
      <c r="AB269" s="58"/>
      <c r="AC269" s="58"/>
      <c r="AD269" s="58"/>
    </row>
    <row r="270" spans="1:30" ht="40.200000000000003" customHeight="1" x14ac:dyDescent="0.3">
      <c r="A270" s="58"/>
      <c r="B270"/>
      <c r="C270" s="56"/>
      <c r="D270" s="55"/>
      <c r="E270" s="56"/>
      <c r="F270" s="56"/>
      <c r="G270" s="56"/>
      <c r="H270" s="58"/>
      <c r="I270" s="58"/>
      <c r="J270" s="58"/>
      <c r="K270" s="58"/>
      <c r="L270" s="58"/>
      <c r="M270" s="58"/>
      <c r="N270" s="58"/>
      <c r="O270" s="58"/>
      <c r="P270" s="58"/>
      <c r="Q270" s="58"/>
      <c r="R270" s="58"/>
      <c r="S270" s="58"/>
      <c r="T270" s="58"/>
      <c r="U270" s="58"/>
      <c r="V270" s="58"/>
      <c r="W270" s="58"/>
      <c r="X270" s="58"/>
      <c r="Y270" s="58"/>
      <c r="Z270" s="58"/>
      <c r="AA270" s="58"/>
      <c r="AB270" s="58"/>
      <c r="AC270" s="58"/>
      <c r="AD270" s="58"/>
    </row>
    <row r="271" spans="1:30" ht="40.200000000000003" customHeight="1" x14ac:dyDescent="0.3">
      <c r="A271" s="58"/>
      <c r="B271"/>
      <c r="C271" s="56"/>
      <c r="D271" s="55"/>
      <c r="E271" s="56"/>
      <c r="F271" s="56"/>
      <c r="G271" s="56"/>
      <c r="H271" s="58"/>
      <c r="I271" s="58"/>
      <c r="J271" s="58"/>
      <c r="K271" s="58"/>
      <c r="L271" s="58"/>
      <c r="M271" s="58"/>
      <c r="N271" s="58"/>
      <c r="O271" s="58"/>
      <c r="P271" s="58"/>
      <c r="Q271" s="58"/>
      <c r="R271" s="58"/>
      <c r="S271" s="58"/>
      <c r="T271" s="58"/>
      <c r="U271" s="58"/>
      <c r="V271" s="58"/>
      <c r="W271" s="58"/>
      <c r="X271" s="58"/>
      <c r="Y271" s="58"/>
      <c r="Z271" s="58"/>
      <c r="AA271" s="58"/>
      <c r="AB271" s="58"/>
      <c r="AC271" s="58"/>
      <c r="AD271" s="58"/>
    </row>
    <row r="272" spans="1:30" ht="40.200000000000003" customHeight="1" x14ac:dyDescent="0.3">
      <c r="A272" s="58"/>
      <c r="B272"/>
      <c r="C272" s="56"/>
      <c r="D272" s="55"/>
      <c r="E272" s="56"/>
      <c r="F272" s="56"/>
      <c r="G272" s="56"/>
      <c r="H272" s="58"/>
      <c r="I272" s="58"/>
      <c r="J272" s="58"/>
      <c r="K272" s="58"/>
      <c r="L272" s="58"/>
      <c r="M272" s="58"/>
      <c r="N272" s="58"/>
      <c r="O272" s="58"/>
      <c r="P272" s="58"/>
      <c r="Q272" s="58"/>
      <c r="R272" s="58"/>
      <c r="S272" s="58"/>
      <c r="T272" s="58"/>
      <c r="U272" s="58"/>
      <c r="V272" s="58"/>
      <c r="W272" s="58"/>
      <c r="X272" s="58"/>
      <c r="Y272" s="58"/>
      <c r="Z272" s="58"/>
      <c r="AA272" s="58"/>
      <c r="AB272" s="58"/>
      <c r="AC272" s="58"/>
      <c r="AD272" s="58"/>
    </row>
    <row r="273" spans="1:30" ht="40.200000000000003" customHeight="1" x14ac:dyDescent="0.3">
      <c r="A273" s="58"/>
      <c r="B273"/>
      <c r="C273" s="56"/>
      <c r="D273" s="55"/>
      <c r="E273" s="56"/>
      <c r="F273" s="56"/>
      <c r="G273" s="56"/>
      <c r="H273" s="58"/>
      <c r="I273" s="58"/>
      <c r="J273" s="58"/>
      <c r="K273" s="58"/>
      <c r="L273" s="58"/>
      <c r="M273" s="58"/>
      <c r="N273" s="58"/>
      <c r="O273" s="58"/>
      <c r="P273" s="58"/>
      <c r="Q273" s="58"/>
      <c r="R273" s="58"/>
      <c r="S273" s="58"/>
      <c r="T273" s="58"/>
      <c r="U273" s="58"/>
      <c r="V273" s="58"/>
      <c r="W273" s="58"/>
      <c r="X273" s="58"/>
      <c r="Y273" s="58"/>
      <c r="Z273" s="58"/>
      <c r="AA273" s="58"/>
      <c r="AB273" s="58"/>
      <c r="AC273" s="58"/>
      <c r="AD273" s="58"/>
    </row>
    <row r="274" spans="1:30" ht="40.200000000000003" customHeight="1" x14ac:dyDescent="0.3">
      <c r="A274" s="58"/>
      <c r="B274"/>
      <c r="C274" s="56"/>
      <c r="D274" s="55"/>
      <c r="E274" s="56"/>
      <c r="F274" s="56"/>
      <c r="G274" s="56"/>
      <c r="H274" s="58"/>
      <c r="I274" s="58"/>
      <c r="J274" s="58"/>
      <c r="K274" s="58"/>
      <c r="L274" s="58"/>
      <c r="M274" s="58"/>
      <c r="N274" s="58"/>
      <c r="O274" s="58"/>
      <c r="P274" s="58"/>
      <c r="Q274" s="58"/>
      <c r="R274" s="58"/>
      <c r="S274" s="58"/>
      <c r="T274" s="58"/>
      <c r="U274" s="58"/>
      <c r="V274" s="58"/>
      <c r="W274" s="58"/>
      <c r="X274" s="58"/>
      <c r="Y274" s="58"/>
      <c r="Z274" s="58"/>
      <c r="AA274" s="58"/>
      <c r="AB274" s="58"/>
      <c r="AC274" s="58"/>
      <c r="AD274" s="58"/>
    </row>
    <row r="275" spans="1:30" ht="40.200000000000003" customHeight="1" x14ac:dyDescent="0.3">
      <c r="A275" s="58"/>
      <c r="B275"/>
      <c r="C275" s="56"/>
      <c r="D275" s="55"/>
      <c r="E275" s="56"/>
      <c r="F275" s="56"/>
      <c r="G275" s="56"/>
      <c r="H275" s="58"/>
      <c r="I275" s="58"/>
      <c r="J275" s="58"/>
      <c r="K275" s="58"/>
      <c r="L275" s="58"/>
      <c r="M275" s="58"/>
      <c r="N275" s="58"/>
      <c r="O275" s="58"/>
      <c r="P275" s="58"/>
      <c r="Q275" s="58"/>
      <c r="R275" s="58"/>
      <c r="S275" s="58"/>
      <c r="T275" s="58"/>
      <c r="U275" s="58"/>
      <c r="V275" s="58"/>
      <c r="W275" s="58"/>
      <c r="X275" s="58"/>
      <c r="Y275" s="58"/>
      <c r="Z275" s="58"/>
      <c r="AA275" s="58"/>
      <c r="AB275" s="58"/>
      <c r="AC275" s="58"/>
      <c r="AD275" s="58"/>
    </row>
    <row r="276" spans="1:30" ht="40.200000000000003" customHeight="1" x14ac:dyDescent="0.3">
      <c r="A276" s="58"/>
      <c r="B276"/>
      <c r="C276" s="56"/>
      <c r="D276" s="55"/>
      <c r="E276" s="56"/>
      <c r="F276" s="56"/>
      <c r="G276" s="56"/>
      <c r="H276" s="58"/>
      <c r="I276" s="58"/>
      <c r="J276" s="58"/>
      <c r="K276" s="58"/>
      <c r="L276" s="58"/>
      <c r="M276" s="58"/>
      <c r="N276" s="58"/>
      <c r="O276" s="58"/>
      <c r="P276" s="58"/>
      <c r="Q276" s="58"/>
      <c r="R276" s="58"/>
      <c r="S276" s="58"/>
      <c r="T276" s="58"/>
      <c r="U276" s="58"/>
      <c r="V276" s="58"/>
      <c r="W276" s="58"/>
      <c r="X276" s="58"/>
      <c r="Y276" s="58"/>
      <c r="Z276" s="58"/>
      <c r="AA276" s="58"/>
      <c r="AB276" s="58"/>
      <c r="AC276" s="58"/>
      <c r="AD276" s="58"/>
    </row>
    <row r="277" spans="1:30" ht="40.200000000000003" customHeight="1" x14ac:dyDescent="0.3">
      <c r="A277" s="58"/>
      <c r="B277"/>
      <c r="C277" s="56"/>
      <c r="D277" s="55"/>
      <c r="E277" s="56"/>
      <c r="F277" s="56"/>
      <c r="G277" s="56"/>
      <c r="H277" s="58"/>
      <c r="I277" s="58"/>
      <c r="J277" s="58"/>
      <c r="K277" s="58"/>
      <c r="L277" s="58"/>
      <c r="M277" s="58"/>
      <c r="N277" s="58"/>
      <c r="O277" s="58"/>
      <c r="P277" s="58"/>
      <c r="Q277" s="58"/>
      <c r="R277" s="58"/>
      <c r="S277" s="58"/>
      <c r="T277" s="58"/>
      <c r="U277" s="58"/>
      <c r="V277" s="58"/>
      <c r="W277" s="58"/>
      <c r="X277" s="58"/>
      <c r="Y277" s="58"/>
      <c r="Z277" s="58"/>
      <c r="AA277" s="58"/>
      <c r="AB277" s="58"/>
      <c r="AC277" s="58"/>
      <c r="AD277" s="58"/>
    </row>
    <row r="278" spans="1:30" ht="40.200000000000003" customHeight="1" x14ac:dyDescent="0.3">
      <c r="A278" s="58"/>
      <c r="B278"/>
      <c r="C278" s="56"/>
      <c r="D278" s="55"/>
      <c r="E278" s="56"/>
      <c r="F278" s="56"/>
      <c r="G278" s="56"/>
      <c r="H278" s="58"/>
      <c r="I278" s="58"/>
      <c r="J278" s="58"/>
      <c r="K278" s="58"/>
      <c r="L278" s="58"/>
      <c r="M278" s="58"/>
      <c r="N278" s="58"/>
      <c r="O278" s="58"/>
      <c r="P278" s="58"/>
      <c r="Q278" s="58"/>
      <c r="R278" s="58"/>
      <c r="S278" s="58"/>
      <c r="T278" s="58"/>
      <c r="U278" s="58"/>
      <c r="V278" s="58"/>
      <c r="W278" s="58"/>
      <c r="X278" s="58"/>
      <c r="Y278" s="58"/>
      <c r="Z278" s="58"/>
      <c r="AA278" s="58"/>
      <c r="AB278" s="58"/>
      <c r="AC278" s="58"/>
      <c r="AD278" s="58"/>
    </row>
    <row r="279" spans="1:30" ht="40.200000000000003" customHeight="1" x14ac:dyDescent="0.3">
      <c r="A279" s="58"/>
      <c r="B279"/>
      <c r="C279" s="56"/>
      <c r="D279" s="55"/>
      <c r="E279" s="56"/>
      <c r="F279" s="56"/>
      <c r="G279" s="56"/>
      <c r="H279" s="58"/>
      <c r="I279" s="58"/>
      <c r="J279" s="58"/>
      <c r="K279" s="58"/>
      <c r="L279" s="58"/>
      <c r="M279" s="58"/>
      <c r="N279" s="58"/>
      <c r="O279" s="58"/>
      <c r="P279" s="58"/>
      <c r="Q279" s="58"/>
      <c r="R279" s="58"/>
      <c r="S279" s="58"/>
      <c r="T279" s="58"/>
      <c r="U279" s="58"/>
      <c r="V279" s="58"/>
      <c r="W279" s="58"/>
      <c r="X279" s="58"/>
      <c r="Y279" s="58"/>
      <c r="Z279" s="58"/>
      <c r="AA279" s="58"/>
      <c r="AB279" s="58"/>
      <c r="AC279" s="58"/>
      <c r="AD279" s="58"/>
    </row>
    <row r="280" spans="1:30" ht="40.200000000000003" customHeight="1" x14ac:dyDescent="0.3">
      <c r="A280" s="58"/>
      <c r="B280"/>
      <c r="C280" s="56"/>
      <c r="D280" s="55"/>
      <c r="E280" s="56"/>
      <c r="F280" s="56"/>
      <c r="G280" s="56"/>
      <c r="H280" s="58"/>
      <c r="I280" s="58"/>
      <c r="J280" s="58"/>
      <c r="K280" s="58"/>
      <c r="L280" s="58"/>
      <c r="M280" s="58"/>
      <c r="N280" s="58"/>
      <c r="O280" s="58"/>
      <c r="P280" s="58"/>
      <c r="Q280" s="58"/>
      <c r="R280" s="58"/>
      <c r="S280" s="58"/>
      <c r="T280" s="58"/>
      <c r="U280" s="58"/>
      <c r="V280" s="58"/>
      <c r="W280" s="58"/>
      <c r="X280" s="58"/>
      <c r="Y280" s="58"/>
      <c r="Z280" s="58"/>
      <c r="AA280" s="58"/>
      <c r="AB280" s="58"/>
      <c r="AC280" s="58"/>
      <c r="AD280" s="58"/>
    </row>
    <row r="281" spans="1:30" ht="40.200000000000003" customHeight="1" x14ac:dyDescent="0.3">
      <c r="A281" s="58"/>
      <c r="B281"/>
      <c r="C281" s="56"/>
      <c r="D281" s="55"/>
      <c r="E281" s="56"/>
      <c r="F281" s="56"/>
      <c r="G281" s="56"/>
      <c r="H281" s="58"/>
      <c r="I281" s="58"/>
      <c r="J281" s="58"/>
      <c r="K281" s="58"/>
      <c r="L281" s="58"/>
      <c r="M281" s="58"/>
      <c r="N281" s="58"/>
      <c r="O281" s="58"/>
      <c r="P281" s="58"/>
      <c r="Q281" s="58"/>
      <c r="R281" s="58"/>
      <c r="S281" s="58"/>
      <c r="T281" s="58"/>
      <c r="U281" s="58"/>
      <c r="V281" s="58"/>
      <c r="W281" s="58"/>
      <c r="X281" s="58"/>
      <c r="Y281" s="58"/>
      <c r="Z281" s="58"/>
      <c r="AA281" s="58"/>
      <c r="AB281" s="58"/>
      <c r="AC281" s="58"/>
      <c r="AD281" s="58"/>
    </row>
    <row r="282" spans="1:30" ht="40.200000000000003" customHeight="1" x14ac:dyDescent="0.3">
      <c r="A282" s="58"/>
      <c r="B282"/>
      <c r="C282" s="56"/>
      <c r="D282" s="55"/>
      <c r="E282" s="56"/>
      <c r="F282" s="56"/>
      <c r="G282" s="56"/>
      <c r="H282" s="58"/>
      <c r="I282" s="58"/>
      <c r="J282" s="58"/>
      <c r="K282" s="58"/>
      <c r="L282" s="58"/>
      <c r="M282" s="58"/>
      <c r="N282" s="58"/>
      <c r="O282" s="58"/>
      <c r="P282" s="58"/>
      <c r="Q282" s="58"/>
      <c r="R282" s="58"/>
      <c r="S282" s="58"/>
      <c r="T282" s="58"/>
      <c r="U282" s="58"/>
      <c r="V282" s="58"/>
      <c r="W282" s="58"/>
      <c r="X282" s="58"/>
      <c r="Y282" s="58"/>
      <c r="Z282" s="58"/>
      <c r="AA282" s="58"/>
      <c r="AB282" s="58"/>
      <c r="AC282" s="58"/>
      <c r="AD282" s="58"/>
    </row>
    <row r="283" spans="1:30" ht="40.200000000000003" customHeight="1" x14ac:dyDescent="0.3">
      <c r="A283" s="58"/>
      <c r="B283"/>
      <c r="C283" s="56"/>
      <c r="D283" s="55"/>
      <c r="E283" s="56"/>
      <c r="F283" s="56"/>
      <c r="G283" s="56"/>
      <c r="H283" s="58"/>
      <c r="I283" s="58"/>
      <c r="J283" s="58"/>
      <c r="K283" s="58"/>
      <c r="L283" s="58"/>
      <c r="M283" s="58"/>
      <c r="N283" s="58"/>
      <c r="O283" s="58"/>
      <c r="P283" s="58"/>
      <c r="Q283" s="58"/>
      <c r="R283" s="58"/>
      <c r="S283" s="58"/>
      <c r="T283" s="58"/>
      <c r="U283" s="58"/>
      <c r="V283" s="58"/>
      <c r="W283" s="58"/>
      <c r="X283" s="58"/>
      <c r="Y283" s="58"/>
      <c r="Z283" s="58"/>
      <c r="AA283" s="58"/>
      <c r="AB283" s="58"/>
      <c r="AC283" s="58"/>
      <c r="AD283" s="58"/>
    </row>
    <row r="284" spans="1:30" ht="40.200000000000003" customHeight="1" x14ac:dyDescent="0.3">
      <c r="A284" s="58"/>
      <c r="B284"/>
      <c r="C284" s="56"/>
      <c r="D284" s="55"/>
      <c r="E284" s="56"/>
      <c r="F284" s="56"/>
      <c r="G284" s="56"/>
      <c r="H284" s="58"/>
      <c r="I284" s="58"/>
      <c r="J284" s="58"/>
      <c r="K284" s="58"/>
      <c r="L284" s="58"/>
      <c r="M284" s="58"/>
      <c r="N284" s="58"/>
      <c r="O284" s="58"/>
      <c r="P284" s="58"/>
      <c r="Q284" s="58"/>
      <c r="R284" s="58"/>
      <c r="S284" s="58"/>
      <c r="T284" s="58"/>
      <c r="U284" s="58"/>
      <c r="V284" s="58"/>
      <c r="W284" s="58"/>
      <c r="X284" s="58"/>
      <c r="Y284" s="58"/>
      <c r="Z284" s="58"/>
      <c r="AA284" s="58"/>
      <c r="AB284" s="58"/>
      <c r="AC284" s="58"/>
      <c r="AD284" s="58"/>
    </row>
    <row r="285" spans="1:30" ht="40.200000000000003" customHeight="1" x14ac:dyDescent="0.3">
      <c r="A285" s="58"/>
      <c r="B285"/>
      <c r="C285" s="56"/>
      <c r="D285" s="55"/>
      <c r="E285" s="56"/>
      <c r="F285" s="56"/>
      <c r="G285" s="56"/>
      <c r="H285" s="58"/>
      <c r="I285" s="58"/>
      <c r="J285" s="58"/>
      <c r="K285" s="58"/>
      <c r="L285" s="58"/>
      <c r="M285" s="58"/>
      <c r="N285" s="58"/>
      <c r="O285" s="58"/>
      <c r="P285" s="58"/>
      <c r="Q285" s="58"/>
      <c r="R285" s="58"/>
      <c r="S285" s="58"/>
      <c r="T285" s="58"/>
      <c r="U285" s="58"/>
      <c r="V285" s="58"/>
      <c r="W285" s="58"/>
      <c r="X285" s="58"/>
      <c r="Y285" s="58"/>
      <c r="Z285" s="58"/>
      <c r="AA285" s="58"/>
      <c r="AB285" s="58"/>
      <c r="AC285" s="58"/>
      <c r="AD285" s="58"/>
    </row>
    <row r="286" spans="1:30" ht="40.200000000000003" customHeight="1" x14ac:dyDescent="0.3">
      <c r="A286" s="58"/>
      <c r="B286"/>
      <c r="C286" s="56"/>
      <c r="D286" s="55"/>
      <c r="E286" s="56"/>
      <c r="F286" s="56"/>
      <c r="G286" s="56"/>
      <c r="H286" s="58"/>
      <c r="I286" s="58"/>
      <c r="J286" s="58"/>
      <c r="K286" s="58"/>
      <c r="L286" s="58"/>
      <c r="M286" s="58"/>
      <c r="N286" s="58"/>
      <c r="O286" s="58"/>
      <c r="P286" s="58"/>
      <c r="Q286" s="58"/>
      <c r="R286" s="58"/>
      <c r="S286" s="58"/>
      <c r="T286" s="58"/>
      <c r="U286" s="58"/>
      <c r="V286" s="58"/>
      <c r="W286" s="58"/>
      <c r="X286" s="58"/>
      <c r="Y286" s="58"/>
      <c r="Z286" s="58"/>
      <c r="AA286" s="58"/>
      <c r="AB286" s="58"/>
      <c r="AC286" s="58"/>
      <c r="AD286" s="58"/>
    </row>
    <row r="287" spans="1:30" ht="40.200000000000003" customHeight="1" x14ac:dyDescent="0.3">
      <c r="A287" s="58"/>
      <c r="B287"/>
      <c r="C287" s="56"/>
      <c r="D287" s="55"/>
      <c r="E287" s="56"/>
      <c r="F287" s="56"/>
      <c r="G287" s="56"/>
      <c r="H287" s="58"/>
      <c r="I287" s="58"/>
      <c r="J287" s="58"/>
      <c r="K287" s="58"/>
      <c r="L287" s="58"/>
      <c r="M287" s="58"/>
      <c r="N287" s="58"/>
      <c r="O287" s="58"/>
      <c r="P287" s="58"/>
      <c r="Q287" s="58"/>
      <c r="R287" s="58"/>
      <c r="S287" s="58"/>
      <c r="T287" s="58"/>
      <c r="U287" s="58"/>
      <c r="V287" s="58"/>
      <c r="W287" s="58"/>
      <c r="X287" s="58"/>
      <c r="Y287" s="58"/>
      <c r="Z287" s="58"/>
      <c r="AA287" s="58"/>
      <c r="AB287" s="58"/>
      <c r="AC287" s="58"/>
      <c r="AD287" s="58"/>
    </row>
    <row r="288" spans="1:30" ht="40.200000000000003" customHeight="1" x14ac:dyDescent="0.3">
      <c r="A288" s="58"/>
      <c r="B288"/>
      <c r="C288" s="56"/>
      <c r="D288" s="55"/>
      <c r="E288" s="56"/>
      <c r="F288" s="56"/>
      <c r="G288" s="56"/>
      <c r="H288" s="58"/>
      <c r="I288" s="58"/>
      <c r="J288" s="58"/>
      <c r="K288" s="58"/>
      <c r="L288" s="58"/>
      <c r="M288" s="58"/>
      <c r="N288" s="58"/>
      <c r="O288" s="58"/>
      <c r="P288" s="58"/>
      <c r="Q288" s="58"/>
      <c r="R288" s="58"/>
      <c r="S288" s="58"/>
      <c r="T288" s="58"/>
      <c r="U288" s="58"/>
      <c r="V288" s="58"/>
      <c r="W288" s="58"/>
      <c r="X288" s="58"/>
      <c r="Y288" s="58"/>
      <c r="Z288" s="58"/>
      <c r="AA288" s="58"/>
      <c r="AB288" s="58"/>
      <c r="AC288" s="58"/>
      <c r="AD288" s="58"/>
    </row>
    <row r="289" spans="1:30" ht="40.200000000000003" customHeight="1" x14ac:dyDescent="0.3">
      <c r="A289" s="58"/>
      <c r="B289"/>
      <c r="C289" s="56"/>
      <c r="D289" s="55"/>
      <c r="E289" s="56"/>
      <c r="F289" s="56"/>
      <c r="G289" s="56"/>
      <c r="H289" s="58"/>
      <c r="I289" s="58"/>
      <c r="J289" s="58"/>
      <c r="K289" s="58"/>
      <c r="L289" s="58"/>
      <c r="M289" s="58"/>
      <c r="N289" s="58"/>
      <c r="O289" s="58"/>
      <c r="P289" s="58"/>
      <c r="Q289" s="58"/>
      <c r="R289" s="58"/>
      <c r="S289" s="58"/>
      <c r="T289" s="58"/>
      <c r="U289" s="58"/>
      <c r="V289" s="58"/>
      <c r="W289" s="58"/>
      <c r="X289" s="58"/>
      <c r="Y289" s="58"/>
      <c r="Z289" s="58"/>
      <c r="AA289" s="58"/>
      <c r="AB289" s="58"/>
      <c r="AC289" s="58"/>
      <c r="AD289" s="58"/>
    </row>
    <row r="290" spans="1:30" ht="40.200000000000003" customHeight="1" x14ac:dyDescent="0.3">
      <c r="A290" s="58"/>
      <c r="B290"/>
      <c r="C290" s="56"/>
      <c r="D290" s="55"/>
      <c r="E290" s="56"/>
      <c r="F290" s="56"/>
      <c r="G290" s="56"/>
      <c r="H290" s="58"/>
      <c r="I290" s="58"/>
      <c r="J290" s="58"/>
      <c r="K290" s="58"/>
      <c r="L290" s="58"/>
      <c r="M290" s="58"/>
      <c r="N290" s="58"/>
      <c r="O290" s="58"/>
      <c r="P290" s="58"/>
      <c r="Q290" s="58"/>
      <c r="R290" s="58"/>
      <c r="S290" s="58"/>
      <c r="T290" s="58"/>
      <c r="U290" s="58"/>
      <c r="V290" s="58"/>
      <c r="W290" s="58"/>
      <c r="X290" s="58"/>
      <c r="Y290" s="58"/>
      <c r="Z290" s="58"/>
      <c r="AA290" s="58"/>
      <c r="AB290" s="58"/>
      <c r="AC290" s="58"/>
      <c r="AD290" s="58"/>
    </row>
    <row r="291" spans="1:30" ht="40.200000000000003" customHeight="1" x14ac:dyDescent="0.3">
      <c r="A291" s="58"/>
      <c r="B291"/>
      <c r="C291" s="56"/>
      <c r="D291" s="55"/>
      <c r="E291" s="56"/>
      <c r="F291" s="56"/>
      <c r="G291" s="56"/>
      <c r="H291" s="58"/>
      <c r="I291" s="58"/>
      <c r="J291" s="58"/>
      <c r="K291" s="58"/>
      <c r="L291" s="58"/>
      <c r="M291" s="58"/>
      <c r="N291" s="58"/>
      <c r="O291" s="58"/>
      <c r="P291" s="58"/>
      <c r="Q291" s="58"/>
      <c r="R291" s="58"/>
      <c r="S291" s="58"/>
      <c r="T291" s="58"/>
      <c r="U291" s="58"/>
      <c r="V291" s="58"/>
      <c r="W291" s="58"/>
      <c r="X291" s="58"/>
      <c r="Y291" s="58"/>
      <c r="Z291" s="58"/>
      <c r="AA291" s="58"/>
      <c r="AB291" s="58"/>
      <c r="AC291" s="58"/>
      <c r="AD291" s="58"/>
    </row>
    <row r="292" spans="1:30" ht="40.200000000000003" customHeight="1" x14ac:dyDescent="0.3">
      <c r="A292" s="58"/>
      <c r="B292"/>
      <c r="C292" s="56"/>
      <c r="D292" s="55"/>
      <c r="E292" s="56"/>
      <c r="F292" s="56"/>
      <c r="G292" s="56"/>
      <c r="H292" s="58"/>
      <c r="I292" s="58"/>
      <c r="J292" s="58"/>
      <c r="K292" s="58"/>
      <c r="L292" s="58"/>
      <c r="M292" s="58"/>
      <c r="N292" s="58"/>
      <c r="O292" s="58"/>
      <c r="P292" s="58"/>
      <c r="Q292" s="58"/>
      <c r="R292" s="58"/>
      <c r="S292" s="58"/>
      <c r="T292" s="58"/>
      <c r="U292" s="58"/>
      <c r="V292" s="58"/>
      <c r="W292" s="58"/>
      <c r="X292" s="58"/>
      <c r="Y292" s="58"/>
      <c r="Z292" s="58"/>
      <c r="AA292" s="58"/>
      <c r="AB292" s="58"/>
      <c r="AC292" s="58"/>
      <c r="AD292" s="58"/>
    </row>
    <row r="293" spans="1:30" ht="40.200000000000003" customHeight="1" x14ac:dyDescent="0.3">
      <c r="A293" s="58"/>
      <c r="B293"/>
      <c r="C293" s="56"/>
      <c r="D293" s="55"/>
      <c r="E293" s="56"/>
      <c r="F293" s="56"/>
      <c r="G293" s="56"/>
      <c r="H293" s="58"/>
      <c r="I293" s="58"/>
      <c r="J293" s="58"/>
      <c r="K293" s="58"/>
      <c r="L293" s="58"/>
      <c r="M293" s="58"/>
      <c r="N293" s="58"/>
      <c r="O293" s="58"/>
      <c r="P293" s="58"/>
      <c r="Q293" s="58"/>
      <c r="R293" s="58"/>
      <c r="S293" s="58"/>
      <c r="T293" s="58"/>
      <c r="U293" s="58"/>
      <c r="V293" s="58"/>
      <c r="W293" s="58"/>
      <c r="X293" s="58"/>
      <c r="Y293" s="58"/>
      <c r="Z293" s="58"/>
      <c r="AA293" s="58"/>
      <c r="AB293" s="58"/>
      <c r="AC293" s="58"/>
      <c r="AD293" s="58"/>
    </row>
    <row r="294" spans="1:30" ht="40.200000000000003" customHeight="1" x14ac:dyDescent="0.3">
      <c r="A294" s="58"/>
      <c r="B294"/>
      <c r="C294" s="56"/>
      <c r="D294" s="55"/>
      <c r="E294" s="56"/>
      <c r="F294" s="56"/>
      <c r="G294" s="56"/>
      <c r="H294" s="58"/>
      <c r="I294" s="58"/>
      <c r="J294" s="58"/>
      <c r="K294" s="58"/>
      <c r="L294" s="58"/>
      <c r="M294" s="58"/>
      <c r="N294" s="58"/>
      <c r="O294" s="58"/>
      <c r="P294" s="58"/>
      <c r="Q294" s="58"/>
      <c r="R294" s="58"/>
      <c r="S294" s="58"/>
      <c r="T294" s="58"/>
      <c r="U294" s="58"/>
      <c r="V294" s="58"/>
      <c r="W294" s="58"/>
      <c r="X294" s="58"/>
      <c r="Y294" s="58"/>
      <c r="Z294" s="58"/>
      <c r="AA294" s="58"/>
      <c r="AB294" s="58"/>
      <c r="AC294" s="58"/>
      <c r="AD294" s="58"/>
    </row>
    <row r="295" spans="1:30" ht="40.200000000000003" customHeight="1" x14ac:dyDescent="0.3">
      <c r="A295" s="58"/>
      <c r="B295"/>
      <c r="C295" s="56"/>
      <c r="D295" s="55"/>
      <c r="E295" s="56"/>
      <c r="F295" s="56"/>
      <c r="G295" s="56"/>
      <c r="H295" s="58"/>
      <c r="I295" s="58"/>
      <c r="J295" s="58"/>
      <c r="K295" s="58"/>
      <c r="L295" s="58"/>
      <c r="M295" s="58"/>
      <c r="N295" s="58"/>
      <c r="O295" s="58"/>
      <c r="P295" s="58"/>
      <c r="Q295" s="58"/>
      <c r="R295" s="58"/>
      <c r="S295" s="58"/>
      <c r="T295" s="58"/>
      <c r="U295" s="58"/>
      <c r="V295" s="58"/>
      <c r="W295" s="58"/>
      <c r="X295" s="58"/>
      <c r="Y295" s="58"/>
      <c r="Z295" s="58"/>
      <c r="AA295" s="58"/>
      <c r="AB295" s="58"/>
      <c r="AC295" s="58"/>
      <c r="AD295" s="58"/>
    </row>
    <row r="296" spans="1:30" ht="40.200000000000003" customHeight="1" x14ac:dyDescent="0.3">
      <c r="A296" s="58"/>
      <c r="B296"/>
      <c r="C296" s="56"/>
      <c r="D296" s="55"/>
      <c r="E296" s="56"/>
      <c r="F296" s="56"/>
      <c r="G296" s="56"/>
      <c r="H296" s="58"/>
      <c r="I296" s="58"/>
      <c r="J296" s="58"/>
      <c r="K296" s="58"/>
      <c r="L296" s="58"/>
      <c r="M296" s="58"/>
      <c r="N296" s="58"/>
      <c r="O296" s="58"/>
      <c r="P296" s="58"/>
      <c r="Q296" s="58"/>
      <c r="R296" s="58"/>
      <c r="S296" s="58"/>
      <c r="T296" s="58"/>
      <c r="U296" s="58"/>
      <c r="V296" s="58"/>
      <c r="W296" s="58"/>
      <c r="X296" s="58"/>
      <c r="Y296" s="58"/>
      <c r="Z296" s="58"/>
      <c r="AA296" s="58"/>
      <c r="AB296" s="58"/>
      <c r="AC296" s="58"/>
      <c r="AD296" s="58"/>
    </row>
    <row r="297" spans="1:30" ht="40.200000000000003" customHeight="1" x14ac:dyDescent="0.3">
      <c r="A297" s="58"/>
      <c r="B297"/>
      <c r="C297" s="56"/>
      <c r="D297" s="55"/>
      <c r="E297" s="56"/>
      <c r="F297" s="56"/>
      <c r="G297" s="56"/>
      <c r="H297" s="58"/>
      <c r="I297" s="58"/>
      <c r="J297" s="58"/>
      <c r="K297" s="58"/>
      <c r="L297" s="58"/>
      <c r="M297" s="58"/>
      <c r="N297" s="58"/>
      <c r="O297" s="58"/>
      <c r="P297" s="58"/>
      <c r="Q297" s="58"/>
      <c r="R297" s="58"/>
      <c r="S297" s="58"/>
      <c r="T297" s="58"/>
      <c r="U297" s="58"/>
      <c r="V297" s="58"/>
      <c r="W297" s="58"/>
      <c r="X297" s="58"/>
      <c r="Y297" s="58"/>
      <c r="Z297" s="58"/>
      <c r="AA297" s="58"/>
      <c r="AB297" s="58"/>
      <c r="AC297" s="58"/>
      <c r="AD297" s="58"/>
    </row>
    <row r="298" spans="1:30" ht="40.200000000000003" customHeight="1" x14ac:dyDescent="0.3">
      <c r="A298" s="58"/>
      <c r="B298"/>
      <c r="C298" s="56"/>
      <c r="D298" s="55"/>
      <c r="E298" s="56"/>
      <c r="F298" s="56"/>
      <c r="G298" s="56"/>
      <c r="H298" s="58"/>
      <c r="I298" s="58"/>
      <c r="J298" s="58"/>
      <c r="K298" s="58"/>
      <c r="L298" s="58"/>
      <c r="M298" s="58"/>
      <c r="N298" s="58"/>
      <c r="O298" s="58"/>
      <c r="P298" s="58"/>
      <c r="Q298" s="58"/>
      <c r="R298" s="58"/>
      <c r="S298" s="58"/>
      <c r="T298" s="58"/>
      <c r="U298" s="58"/>
      <c r="V298" s="58"/>
      <c r="W298" s="58"/>
      <c r="X298" s="58"/>
      <c r="Y298" s="58"/>
      <c r="Z298" s="58"/>
      <c r="AA298" s="58"/>
      <c r="AB298" s="58"/>
      <c r="AC298" s="58"/>
      <c r="AD298" s="58"/>
    </row>
    <row r="299" spans="1:30" ht="40.200000000000003" customHeight="1" x14ac:dyDescent="0.3">
      <c r="A299" s="58"/>
      <c r="B299"/>
      <c r="C299" s="56"/>
      <c r="D299" s="55"/>
      <c r="E299" s="56"/>
      <c r="F299" s="56"/>
      <c r="G299" s="56"/>
      <c r="H299" s="58"/>
      <c r="I299" s="58"/>
      <c r="J299" s="58"/>
      <c r="K299" s="58"/>
      <c r="L299" s="58"/>
      <c r="M299" s="58"/>
      <c r="N299" s="58"/>
      <c r="O299" s="58"/>
      <c r="P299" s="58"/>
      <c r="Q299" s="58"/>
      <c r="R299" s="58"/>
      <c r="S299" s="58"/>
      <c r="T299" s="58"/>
      <c r="U299" s="58"/>
      <c r="V299" s="58"/>
      <c r="W299" s="58"/>
      <c r="X299" s="58"/>
      <c r="Y299" s="58"/>
      <c r="Z299" s="58"/>
      <c r="AA299" s="58"/>
      <c r="AB299" s="58"/>
      <c r="AC299" s="58"/>
      <c r="AD299" s="58"/>
    </row>
    <row r="300" spans="1:30" ht="40.200000000000003" customHeight="1" x14ac:dyDescent="0.3">
      <c r="A300" s="58"/>
      <c r="B300"/>
      <c r="C300" s="56"/>
      <c r="D300" s="55"/>
      <c r="E300" s="56"/>
      <c r="F300" s="56"/>
      <c r="G300" s="56"/>
      <c r="H300" s="58"/>
      <c r="I300" s="58"/>
      <c r="J300" s="58"/>
      <c r="K300" s="58"/>
      <c r="L300" s="58"/>
      <c r="M300" s="58"/>
      <c r="N300" s="58"/>
      <c r="O300" s="58"/>
      <c r="P300" s="58"/>
      <c r="Q300" s="58"/>
      <c r="R300" s="58"/>
      <c r="S300" s="58"/>
      <c r="T300" s="58"/>
      <c r="U300" s="58"/>
      <c r="V300" s="58"/>
      <c r="W300" s="58"/>
      <c r="X300" s="58"/>
      <c r="Y300" s="58"/>
      <c r="Z300" s="58"/>
      <c r="AA300" s="58"/>
      <c r="AB300" s="58"/>
      <c r="AC300" s="58"/>
      <c r="AD300" s="58"/>
    </row>
    <row r="301" spans="1:30" ht="40.200000000000003" customHeight="1" x14ac:dyDescent="0.3">
      <c r="A301" s="58"/>
      <c r="B301"/>
      <c r="C301" s="56"/>
      <c r="D301" s="55"/>
      <c r="E301" s="56"/>
      <c r="F301" s="56"/>
      <c r="G301" s="56"/>
      <c r="H301" s="58"/>
      <c r="I301" s="58"/>
      <c r="J301" s="58"/>
      <c r="K301" s="58"/>
      <c r="L301" s="58"/>
      <c r="M301" s="58"/>
      <c r="N301" s="58"/>
      <c r="O301" s="58"/>
      <c r="P301" s="58"/>
      <c r="Q301" s="58"/>
      <c r="R301" s="58"/>
      <c r="S301" s="58"/>
      <c r="T301" s="58"/>
      <c r="U301" s="58"/>
      <c r="V301" s="58"/>
      <c r="W301" s="58"/>
      <c r="X301" s="58"/>
      <c r="Y301" s="58"/>
      <c r="Z301" s="58"/>
      <c r="AA301" s="58"/>
      <c r="AB301" s="58"/>
      <c r="AC301" s="58"/>
      <c r="AD301" s="58"/>
    </row>
    <row r="302" spans="1:30" ht="40.200000000000003" customHeight="1" x14ac:dyDescent="0.3">
      <c r="A302" s="58"/>
      <c r="B302"/>
      <c r="C302" s="56"/>
      <c r="D302" s="55"/>
      <c r="E302" s="56"/>
      <c r="F302" s="56"/>
      <c r="G302" s="56"/>
      <c r="H302" s="58"/>
      <c r="I302" s="58"/>
      <c r="J302" s="58"/>
      <c r="K302" s="58"/>
      <c r="L302" s="58"/>
      <c r="M302" s="58"/>
      <c r="N302" s="58"/>
      <c r="O302" s="58"/>
      <c r="P302" s="58"/>
      <c r="Q302" s="58"/>
      <c r="R302" s="58"/>
      <c r="S302" s="58"/>
      <c r="T302" s="58"/>
      <c r="U302" s="58"/>
      <c r="V302" s="58"/>
      <c r="W302" s="58"/>
      <c r="X302" s="58"/>
      <c r="Y302" s="58"/>
      <c r="Z302" s="58"/>
      <c r="AA302" s="58"/>
      <c r="AB302" s="58"/>
      <c r="AC302" s="58"/>
      <c r="AD302" s="58"/>
    </row>
    <row r="303" spans="1:30" ht="40.200000000000003" customHeight="1" x14ac:dyDescent="0.3">
      <c r="A303" s="58"/>
      <c r="B303"/>
      <c r="C303" s="56"/>
      <c r="D303" s="55"/>
      <c r="E303" s="56"/>
      <c r="F303" s="56"/>
      <c r="G303" s="56"/>
      <c r="H303" s="58"/>
      <c r="I303" s="58"/>
      <c r="J303" s="58"/>
      <c r="K303" s="58"/>
      <c r="L303" s="58"/>
      <c r="M303" s="58"/>
      <c r="N303" s="58"/>
      <c r="O303" s="58"/>
      <c r="P303" s="58"/>
      <c r="Q303" s="58"/>
      <c r="R303" s="58"/>
      <c r="S303" s="58"/>
      <c r="T303" s="58"/>
      <c r="U303" s="58"/>
      <c r="V303" s="58"/>
      <c r="W303" s="58"/>
      <c r="X303" s="58"/>
      <c r="Y303" s="58"/>
      <c r="Z303" s="58"/>
      <c r="AA303" s="58"/>
      <c r="AB303" s="58"/>
      <c r="AC303" s="58"/>
      <c r="AD303" s="58"/>
    </row>
    <row r="304" spans="1:30" ht="40.200000000000003" customHeight="1" x14ac:dyDescent="0.3">
      <c r="A304" s="58"/>
      <c r="B304"/>
      <c r="C304" s="56"/>
      <c r="D304" s="55"/>
      <c r="E304" s="56"/>
      <c r="F304" s="56"/>
      <c r="G304" s="56"/>
      <c r="H304" s="58"/>
      <c r="I304" s="58"/>
      <c r="J304" s="58"/>
      <c r="K304" s="58"/>
      <c r="L304" s="58"/>
      <c r="M304" s="58"/>
      <c r="N304" s="58"/>
      <c r="O304" s="58"/>
      <c r="P304" s="58"/>
      <c r="Q304" s="58"/>
      <c r="R304" s="58"/>
      <c r="S304" s="58"/>
      <c r="T304" s="58"/>
      <c r="U304" s="58"/>
      <c r="V304" s="58"/>
      <c r="W304" s="58"/>
      <c r="X304" s="58"/>
      <c r="Y304" s="58"/>
      <c r="Z304" s="58"/>
      <c r="AA304" s="58"/>
      <c r="AB304" s="58"/>
      <c r="AC304" s="58"/>
      <c r="AD304" s="58"/>
    </row>
    <row r="305" spans="1:30" ht="40.200000000000003" customHeight="1" x14ac:dyDescent="0.3">
      <c r="A305" s="58"/>
      <c r="B305"/>
      <c r="C305" s="56"/>
      <c r="D305" s="55"/>
      <c r="E305" s="56"/>
      <c r="F305" s="56"/>
      <c r="G305" s="56"/>
      <c r="H305" s="58"/>
      <c r="I305" s="58"/>
      <c r="J305" s="58"/>
      <c r="K305" s="58"/>
      <c r="L305" s="58"/>
      <c r="M305" s="58"/>
      <c r="N305" s="58"/>
      <c r="O305" s="58"/>
      <c r="P305" s="58"/>
      <c r="Q305" s="58"/>
      <c r="R305" s="58"/>
      <c r="S305" s="58"/>
      <c r="T305" s="58"/>
      <c r="U305" s="58"/>
      <c r="V305" s="58"/>
      <c r="W305" s="58"/>
      <c r="X305" s="58"/>
      <c r="Y305" s="58"/>
      <c r="Z305" s="58"/>
      <c r="AA305" s="58"/>
      <c r="AB305" s="58"/>
      <c r="AC305" s="58"/>
      <c r="AD305" s="58"/>
    </row>
    <row r="306" spans="1:30" ht="40.200000000000003" customHeight="1" x14ac:dyDescent="0.3">
      <c r="A306" s="58"/>
      <c r="B306"/>
      <c r="C306" s="56"/>
      <c r="D306" s="55"/>
      <c r="E306" s="56"/>
      <c r="F306" s="56"/>
      <c r="G306" s="56"/>
      <c r="H306" s="58"/>
      <c r="I306" s="58"/>
      <c r="J306" s="58"/>
      <c r="K306" s="58"/>
      <c r="L306" s="58"/>
      <c r="M306" s="58"/>
      <c r="N306" s="58"/>
      <c r="O306" s="58"/>
      <c r="P306" s="58"/>
      <c r="Q306" s="58"/>
      <c r="R306" s="58"/>
      <c r="S306" s="58"/>
      <c r="T306" s="58"/>
      <c r="U306" s="58"/>
      <c r="V306" s="58"/>
      <c r="W306" s="58"/>
      <c r="X306" s="58"/>
      <c r="Y306" s="58"/>
      <c r="Z306" s="58"/>
      <c r="AA306" s="58"/>
      <c r="AB306" s="58"/>
      <c r="AC306" s="58"/>
      <c r="AD306" s="58"/>
    </row>
    <row r="307" spans="1:30" ht="40.200000000000003" customHeight="1" x14ac:dyDescent="0.3">
      <c r="A307" s="58"/>
      <c r="B307"/>
      <c r="C307" s="56"/>
      <c r="D307" s="55"/>
      <c r="E307" s="56"/>
      <c r="F307" s="56"/>
      <c r="G307" s="56"/>
      <c r="H307" s="58"/>
      <c r="I307" s="58"/>
      <c r="J307" s="58"/>
      <c r="K307" s="58"/>
      <c r="L307" s="58"/>
      <c r="M307" s="58"/>
      <c r="N307" s="58"/>
      <c r="O307" s="58"/>
      <c r="P307" s="58"/>
      <c r="Q307" s="58"/>
      <c r="R307" s="58"/>
      <c r="S307" s="58"/>
      <c r="T307" s="58"/>
      <c r="U307" s="58"/>
      <c r="V307" s="58"/>
      <c r="W307" s="58"/>
      <c r="X307" s="58"/>
      <c r="Y307" s="58"/>
      <c r="Z307" s="58"/>
      <c r="AA307" s="58"/>
      <c r="AB307" s="58"/>
      <c r="AC307" s="58"/>
      <c r="AD307" s="58"/>
    </row>
    <row r="308" spans="1:30" ht="40.200000000000003" customHeight="1" x14ac:dyDescent="0.3">
      <c r="A308" s="58"/>
      <c r="B308"/>
      <c r="C308" s="56"/>
      <c r="D308" s="55"/>
      <c r="E308" s="56"/>
      <c r="F308" s="56"/>
      <c r="G308" s="56"/>
      <c r="H308" s="58"/>
      <c r="I308" s="58"/>
      <c r="J308" s="58"/>
      <c r="K308" s="58"/>
      <c r="L308" s="58"/>
      <c r="M308" s="58"/>
      <c r="N308" s="58"/>
      <c r="O308" s="58"/>
      <c r="P308" s="58"/>
      <c r="Q308" s="58"/>
      <c r="R308" s="58"/>
      <c r="S308" s="58"/>
      <c r="T308" s="58"/>
      <c r="U308" s="58"/>
      <c r="V308" s="58"/>
      <c r="W308" s="58"/>
      <c r="X308" s="58"/>
      <c r="Y308" s="58"/>
      <c r="Z308" s="58"/>
      <c r="AA308" s="58"/>
      <c r="AB308" s="58"/>
      <c r="AC308" s="58"/>
      <c r="AD308" s="58"/>
    </row>
    <row r="309" spans="1:30" ht="40.200000000000003" customHeight="1" x14ac:dyDescent="0.3">
      <c r="A309" s="58"/>
      <c r="B309"/>
      <c r="C309" s="56"/>
      <c r="D309" s="55"/>
      <c r="E309" s="56"/>
      <c r="F309" s="56"/>
      <c r="G309" s="56"/>
      <c r="H309" s="58"/>
      <c r="I309" s="58"/>
      <c r="J309" s="58"/>
      <c r="K309" s="58"/>
      <c r="L309" s="58"/>
      <c r="M309" s="58"/>
      <c r="N309" s="58"/>
      <c r="O309" s="58"/>
      <c r="P309" s="58"/>
      <c r="Q309" s="58"/>
      <c r="R309" s="58"/>
      <c r="S309" s="58"/>
      <c r="T309" s="58"/>
      <c r="U309" s="58"/>
      <c r="V309" s="58"/>
      <c r="W309" s="58"/>
      <c r="X309" s="58"/>
      <c r="Y309" s="58"/>
      <c r="Z309" s="58"/>
      <c r="AA309" s="58"/>
      <c r="AB309" s="58"/>
      <c r="AC309" s="58"/>
      <c r="AD309" s="58"/>
    </row>
    <row r="310" spans="1:30" ht="40.200000000000003" customHeight="1" x14ac:dyDescent="0.3">
      <c r="A310" s="58"/>
      <c r="B310"/>
      <c r="C310" s="56"/>
      <c r="D310" s="55"/>
      <c r="E310" s="56"/>
      <c r="F310" s="56"/>
      <c r="G310" s="56"/>
      <c r="H310" s="58"/>
      <c r="I310" s="58"/>
      <c r="J310" s="58"/>
      <c r="K310" s="58"/>
      <c r="L310" s="58"/>
      <c r="M310" s="58"/>
      <c r="N310" s="58"/>
      <c r="O310" s="58"/>
      <c r="P310" s="58"/>
      <c r="Q310" s="58"/>
      <c r="R310" s="58"/>
      <c r="S310" s="58"/>
      <c r="T310" s="58"/>
      <c r="U310" s="58"/>
      <c r="V310" s="58"/>
      <c r="W310" s="58"/>
      <c r="X310" s="58"/>
      <c r="Y310" s="58"/>
      <c r="Z310" s="58"/>
      <c r="AA310" s="58"/>
      <c r="AB310" s="58"/>
      <c r="AC310" s="58"/>
      <c r="AD310" s="58"/>
    </row>
    <row r="311" spans="1:30" ht="40.200000000000003" customHeight="1" x14ac:dyDescent="0.3">
      <c r="A311" s="58"/>
      <c r="B311"/>
      <c r="C311" s="56"/>
      <c r="D311" s="55"/>
      <c r="E311" s="56"/>
      <c r="F311" s="56"/>
      <c r="G311" s="56"/>
      <c r="H311" s="58"/>
      <c r="I311" s="58"/>
      <c r="J311" s="58"/>
      <c r="K311" s="58"/>
      <c r="L311" s="58"/>
      <c r="M311" s="58"/>
      <c r="N311" s="58"/>
      <c r="O311" s="58"/>
      <c r="P311" s="58"/>
      <c r="Q311" s="58"/>
      <c r="R311" s="58"/>
      <c r="S311" s="58"/>
      <c r="T311" s="58"/>
      <c r="U311" s="58"/>
      <c r="V311" s="58"/>
      <c r="W311" s="58"/>
      <c r="X311" s="58"/>
      <c r="Y311" s="58"/>
      <c r="Z311" s="58"/>
      <c r="AA311" s="58"/>
      <c r="AB311" s="58"/>
      <c r="AC311" s="58"/>
      <c r="AD311" s="58"/>
    </row>
    <row r="312" spans="1:30" ht="40.200000000000003" customHeight="1" x14ac:dyDescent="0.3">
      <c r="A312" s="58"/>
      <c r="B312"/>
      <c r="C312" s="56"/>
      <c r="D312" s="55"/>
      <c r="E312" s="56"/>
      <c r="F312" s="56"/>
      <c r="G312" s="56"/>
      <c r="H312" s="58"/>
      <c r="I312" s="58"/>
      <c r="J312" s="58"/>
      <c r="K312" s="58"/>
      <c r="L312" s="58"/>
      <c r="M312" s="58"/>
      <c r="N312" s="58"/>
      <c r="O312" s="58"/>
      <c r="P312" s="58"/>
      <c r="Q312" s="58"/>
      <c r="R312" s="58"/>
      <c r="S312" s="58"/>
      <c r="T312" s="58"/>
      <c r="U312" s="58"/>
      <c r="V312" s="58"/>
      <c r="W312" s="58"/>
      <c r="X312" s="58"/>
      <c r="Y312" s="58"/>
      <c r="Z312" s="58"/>
      <c r="AA312" s="58"/>
      <c r="AB312" s="58"/>
      <c r="AC312" s="58"/>
      <c r="AD312" s="58"/>
    </row>
    <row r="313" spans="1:30" ht="40.200000000000003" customHeight="1" x14ac:dyDescent="0.3">
      <c r="A313" s="58"/>
      <c r="B313"/>
      <c r="C313" s="56"/>
      <c r="D313" s="55"/>
      <c r="E313" s="56"/>
      <c r="F313" s="56"/>
      <c r="G313" s="56"/>
      <c r="H313" s="58"/>
      <c r="I313" s="58"/>
      <c r="J313" s="58"/>
      <c r="K313" s="58"/>
      <c r="L313" s="58"/>
      <c r="M313" s="58"/>
      <c r="N313" s="58"/>
      <c r="O313" s="58"/>
      <c r="P313" s="58"/>
      <c r="Q313" s="58"/>
      <c r="R313" s="58"/>
      <c r="S313" s="58"/>
      <c r="T313" s="58"/>
      <c r="U313" s="58"/>
      <c r="V313" s="58"/>
      <c r="W313" s="58"/>
      <c r="X313" s="58"/>
      <c r="Y313" s="58"/>
      <c r="Z313" s="58"/>
      <c r="AA313" s="58"/>
      <c r="AB313" s="58"/>
      <c r="AC313" s="58"/>
      <c r="AD313" s="58"/>
    </row>
    <row r="314" spans="1:30" ht="40.200000000000003" customHeight="1" x14ac:dyDescent="0.3">
      <c r="A314" s="58"/>
      <c r="B314"/>
      <c r="C314" s="56"/>
      <c r="D314" s="55"/>
      <c r="E314" s="56"/>
      <c r="F314" s="56"/>
      <c r="G314" s="56"/>
      <c r="H314" s="58"/>
      <c r="I314" s="58"/>
      <c r="J314" s="58"/>
      <c r="K314" s="58"/>
      <c r="L314" s="58"/>
      <c r="M314" s="58"/>
      <c r="N314" s="58"/>
      <c r="O314" s="58"/>
      <c r="P314" s="58"/>
      <c r="Q314" s="58"/>
      <c r="R314" s="58"/>
      <c r="S314" s="58"/>
      <c r="T314" s="58"/>
      <c r="U314" s="58"/>
      <c r="V314" s="58"/>
      <c r="W314" s="58"/>
      <c r="X314" s="58"/>
      <c r="Y314" s="58"/>
      <c r="Z314" s="58"/>
      <c r="AA314" s="58"/>
      <c r="AB314" s="58"/>
      <c r="AC314" s="58"/>
      <c r="AD314" s="58"/>
    </row>
    <row r="315" spans="1:30" ht="40.200000000000003" customHeight="1" x14ac:dyDescent="0.3">
      <c r="A315" s="58"/>
      <c r="B315"/>
      <c r="C315" s="56"/>
      <c r="D315" s="55"/>
      <c r="E315" s="56"/>
      <c r="F315" s="56"/>
      <c r="G315" s="56"/>
      <c r="H315" s="58"/>
      <c r="I315" s="58"/>
      <c r="J315" s="58"/>
      <c r="K315" s="58"/>
      <c r="L315" s="58"/>
      <c r="M315" s="58"/>
      <c r="N315" s="58"/>
      <c r="O315" s="58"/>
      <c r="P315" s="58"/>
      <c r="Q315" s="58"/>
      <c r="R315" s="58"/>
      <c r="S315" s="58"/>
      <c r="T315" s="58"/>
      <c r="U315" s="58"/>
      <c r="V315" s="58"/>
      <c r="W315" s="58"/>
      <c r="X315" s="58"/>
      <c r="Y315" s="58"/>
      <c r="Z315" s="58"/>
      <c r="AA315" s="58"/>
      <c r="AB315" s="58"/>
      <c r="AC315" s="58"/>
      <c r="AD315" s="58"/>
    </row>
    <row r="316" spans="1:30" ht="40.200000000000003" customHeight="1" x14ac:dyDescent="0.3">
      <c r="A316" s="58"/>
      <c r="B316"/>
      <c r="C316" s="56"/>
      <c r="D316" s="55"/>
      <c r="E316" s="56"/>
      <c r="F316" s="56"/>
      <c r="G316" s="56"/>
      <c r="H316" s="58"/>
      <c r="I316" s="58"/>
      <c r="J316" s="58"/>
      <c r="K316" s="58"/>
      <c r="L316" s="58"/>
      <c r="M316" s="58"/>
      <c r="N316" s="58"/>
      <c r="O316" s="58"/>
      <c r="P316" s="58"/>
      <c r="Q316" s="58"/>
      <c r="R316" s="58"/>
      <c r="S316" s="58"/>
      <c r="T316" s="58"/>
      <c r="U316" s="58"/>
      <c r="V316" s="58"/>
      <c r="W316" s="58"/>
      <c r="X316" s="58"/>
      <c r="Y316" s="58"/>
      <c r="Z316" s="58"/>
      <c r="AA316" s="58"/>
      <c r="AB316" s="58"/>
      <c r="AC316" s="58"/>
      <c r="AD316" s="58"/>
    </row>
    <row r="317" spans="1:30" ht="40.200000000000003" customHeight="1" x14ac:dyDescent="0.3">
      <c r="A317" s="58"/>
      <c r="B317"/>
      <c r="C317" s="56"/>
      <c r="D317" s="55"/>
      <c r="E317" s="56"/>
      <c r="F317" s="56"/>
      <c r="G317" s="56"/>
      <c r="H317" s="58"/>
      <c r="I317" s="58"/>
      <c r="J317" s="58"/>
      <c r="K317" s="58"/>
      <c r="L317" s="58"/>
      <c r="M317" s="58"/>
      <c r="N317" s="58"/>
      <c r="O317" s="58"/>
      <c r="P317" s="58"/>
      <c r="Q317" s="58"/>
      <c r="R317" s="58"/>
      <c r="S317" s="58"/>
      <c r="T317" s="58"/>
      <c r="U317" s="58"/>
      <c r="V317" s="58"/>
      <c r="W317" s="58"/>
      <c r="X317" s="58"/>
      <c r="Y317" s="58"/>
      <c r="Z317" s="58"/>
      <c r="AA317" s="58"/>
      <c r="AB317" s="58"/>
      <c r="AC317" s="58"/>
      <c r="AD317" s="58"/>
    </row>
    <row r="318" spans="1:30" ht="40.200000000000003" customHeight="1" x14ac:dyDescent="0.3">
      <c r="A318" s="58"/>
      <c r="B318"/>
      <c r="C318" s="56"/>
      <c r="D318" s="55"/>
      <c r="E318" s="56"/>
      <c r="F318" s="56"/>
      <c r="G318" s="56"/>
      <c r="H318" s="58"/>
      <c r="I318" s="58"/>
      <c r="J318" s="58"/>
      <c r="K318" s="58"/>
      <c r="L318" s="58"/>
      <c r="M318" s="58"/>
      <c r="N318" s="58"/>
      <c r="O318" s="58"/>
      <c r="P318" s="58"/>
      <c r="Q318" s="58"/>
      <c r="R318" s="58"/>
      <c r="S318" s="58"/>
      <c r="T318" s="58"/>
      <c r="U318" s="58"/>
      <c r="V318" s="58"/>
      <c r="W318" s="58"/>
      <c r="X318" s="58"/>
      <c r="Y318" s="58"/>
      <c r="Z318" s="58"/>
      <c r="AA318" s="58"/>
      <c r="AB318" s="58"/>
      <c r="AC318" s="58"/>
      <c r="AD318" s="58"/>
    </row>
    <row r="319" spans="1:30" ht="40.200000000000003" customHeight="1" x14ac:dyDescent="0.3">
      <c r="A319" s="58"/>
      <c r="B319"/>
      <c r="C319" s="56"/>
      <c r="D319" s="55"/>
      <c r="E319" s="56"/>
      <c r="F319" s="56"/>
      <c r="G319" s="56"/>
      <c r="H319" s="58"/>
      <c r="I319" s="58"/>
      <c r="J319" s="58"/>
      <c r="K319" s="58"/>
      <c r="L319" s="58"/>
      <c r="M319" s="58"/>
      <c r="N319" s="58"/>
      <c r="O319" s="58"/>
      <c r="P319" s="58"/>
      <c r="Q319" s="58"/>
      <c r="R319" s="58"/>
      <c r="S319" s="58"/>
      <c r="T319" s="58"/>
      <c r="U319" s="58"/>
      <c r="V319" s="58"/>
      <c r="W319" s="58"/>
      <c r="X319" s="58"/>
      <c r="Y319" s="58"/>
      <c r="Z319" s="58"/>
      <c r="AA319" s="58"/>
      <c r="AB319" s="58"/>
      <c r="AC319" s="58"/>
      <c r="AD319" s="58"/>
    </row>
    <row r="320" spans="1:30" ht="40.200000000000003" customHeight="1" x14ac:dyDescent="0.3">
      <c r="A320" s="58"/>
      <c r="B320"/>
      <c r="C320" s="56"/>
      <c r="D320" s="55"/>
      <c r="E320" s="56"/>
      <c r="F320" s="56"/>
      <c r="G320" s="56"/>
      <c r="H320" s="58"/>
      <c r="I320" s="58"/>
      <c r="J320" s="58"/>
      <c r="K320" s="58"/>
      <c r="L320" s="58"/>
      <c r="M320" s="58"/>
      <c r="N320" s="58"/>
      <c r="O320" s="58"/>
      <c r="P320" s="58"/>
      <c r="Q320" s="58"/>
      <c r="R320" s="58"/>
      <c r="S320" s="58"/>
      <c r="T320" s="58"/>
      <c r="U320" s="58"/>
      <c r="V320" s="58"/>
      <c r="W320" s="58"/>
      <c r="X320" s="58"/>
      <c r="Y320" s="58"/>
      <c r="Z320" s="58"/>
      <c r="AA320" s="58"/>
      <c r="AB320" s="58"/>
      <c r="AC320" s="58"/>
      <c r="AD320" s="58"/>
    </row>
    <row r="321" spans="1:30" ht="40.200000000000003" customHeight="1" x14ac:dyDescent="0.3">
      <c r="A321" s="58"/>
      <c r="B321"/>
      <c r="C321" s="56"/>
      <c r="D321" s="55"/>
      <c r="E321" s="56"/>
      <c r="F321" s="56"/>
      <c r="G321" s="56"/>
      <c r="H321" s="58"/>
      <c r="I321" s="58"/>
      <c r="J321" s="58"/>
      <c r="K321" s="58"/>
      <c r="L321" s="58"/>
      <c r="M321" s="58"/>
      <c r="N321" s="58"/>
      <c r="O321" s="58"/>
      <c r="P321" s="58"/>
      <c r="Q321" s="58"/>
      <c r="R321" s="58"/>
      <c r="S321" s="58"/>
      <c r="T321" s="58"/>
      <c r="U321" s="58"/>
      <c r="V321" s="58"/>
      <c r="W321" s="58"/>
      <c r="X321" s="58"/>
      <c r="Y321" s="58"/>
      <c r="Z321" s="58"/>
      <c r="AA321" s="58"/>
      <c r="AB321" s="58"/>
      <c r="AC321" s="58"/>
      <c r="AD321" s="58"/>
    </row>
    <row r="322" spans="1:30" ht="40.200000000000003" customHeight="1" x14ac:dyDescent="0.3">
      <c r="A322" s="58"/>
      <c r="B322"/>
      <c r="C322" s="56"/>
      <c r="D322" s="55"/>
      <c r="E322" s="56"/>
      <c r="F322" s="56"/>
      <c r="G322" s="56"/>
      <c r="H322" s="58"/>
      <c r="I322" s="58"/>
      <c r="J322" s="58"/>
      <c r="K322" s="58"/>
      <c r="L322" s="58"/>
      <c r="M322" s="58"/>
      <c r="N322" s="58"/>
      <c r="O322" s="58"/>
      <c r="P322" s="58"/>
      <c r="Q322" s="58"/>
      <c r="R322" s="58"/>
      <c r="S322" s="58"/>
      <c r="T322" s="58"/>
      <c r="U322" s="58"/>
      <c r="V322" s="58"/>
      <c r="W322" s="58"/>
      <c r="X322" s="58"/>
      <c r="Y322" s="58"/>
      <c r="Z322" s="58"/>
      <c r="AA322" s="58"/>
      <c r="AB322" s="58"/>
      <c r="AC322" s="58"/>
      <c r="AD322" s="58"/>
    </row>
    <row r="323" spans="1:30" ht="40.200000000000003" customHeight="1" x14ac:dyDescent="0.3">
      <c r="A323" s="58"/>
      <c r="B323"/>
      <c r="C323" s="56"/>
      <c r="D323" s="55"/>
      <c r="E323" s="56"/>
      <c r="F323" s="56"/>
      <c r="G323" s="56"/>
      <c r="H323" s="58"/>
      <c r="I323" s="58"/>
      <c r="J323" s="58"/>
      <c r="K323" s="58"/>
      <c r="L323" s="58"/>
      <c r="M323" s="58"/>
      <c r="N323" s="58"/>
      <c r="O323" s="58"/>
      <c r="P323" s="58"/>
      <c r="Q323" s="58"/>
      <c r="R323" s="58"/>
      <c r="S323" s="58"/>
      <c r="T323" s="58"/>
      <c r="U323" s="58"/>
      <c r="V323" s="58"/>
      <c r="W323" s="58"/>
      <c r="X323" s="58"/>
      <c r="Y323" s="58"/>
      <c r="Z323" s="58"/>
      <c r="AA323" s="58"/>
      <c r="AB323" s="58"/>
      <c r="AC323" s="58"/>
      <c r="AD323" s="58"/>
    </row>
    <row r="324" spans="1:30" ht="40.200000000000003" customHeight="1" x14ac:dyDescent="0.3">
      <c r="A324" s="58"/>
      <c r="B324"/>
      <c r="C324" s="56"/>
      <c r="D324" s="55"/>
      <c r="E324" s="56"/>
      <c r="F324" s="56"/>
      <c r="G324" s="56"/>
      <c r="H324" s="58"/>
      <c r="I324" s="58"/>
      <c r="J324" s="58"/>
      <c r="K324" s="58"/>
      <c r="L324" s="58"/>
      <c r="M324" s="58"/>
      <c r="N324" s="58"/>
      <c r="O324" s="58"/>
      <c r="P324" s="58"/>
      <c r="Q324" s="58"/>
      <c r="R324" s="58"/>
      <c r="S324" s="58"/>
      <c r="T324" s="58"/>
      <c r="U324" s="58"/>
      <c r="V324" s="58"/>
      <c r="W324" s="58"/>
      <c r="X324" s="58"/>
      <c r="Y324" s="58"/>
      <c r="Z324" s="58"/>
      <c r="AA324" s="58"/>
      <c r="AB324" s="58"/>
      <c r="AC324" s="58"/>
      <c r="AD324" s="58"/>
    </row>
    <row r="325" spans="1:30" ht="40.200000000000003" customHeight="1" x14ac:dyDescent="0.3">
      <c r="A325" s="58"/>
      <c r="B325"/>
      <c r="C325" s="56"/>
      <c r="D325" s="55"/>
      <c r="E325" s="56"/>
      <c r="F325" s="56"/>
      <c r="G325" s="56"/>
      <c r="H325" s="58"/>
      <c r="I325" s="58"/>
      <c r="J325" s="58"/>
      <c r="K325" s="58"/>
      <c r="L325" s="58"/>
      <c r="M325" s="58"/>
      <c r="N325" s="58"/>
      <c r="O325" s="58"/>
      <c r="P325" s="58"/>
      <c r="Q325" s="58"/>
      <c r="R325" s="58"/>
      <c r="S325" s="58"/>
      <c r="T325" s="58"/>
      <c r="U325" s="58"/>
      <c r="V325" s="58"/>
      <c r="W325" s="58"/>
      <c r="X325" s="58"/>
      <c r="Y325" s="58"/>
      <c r="Z325" s="58"/>
      <c r="AA325" s="58"/>
      <c r="AB325" s="58"/>
      <c r="AC325" s="58"/>
      <c r="AD325" s="58"/>
    </row>
    <row r="326" spans="1:30" ht="40.200000000000003" customHeight="1" x14ac:dyDescent="0.3">
      <c r="A326" s="58"/>
      <c r="B326"/>
      <c r="C326" s="56"/>
      <c r="D326" s="55"/>
      <c r="E326" s="56"/>
      <c r="F326" s="56"/>
      <c r="G326" s="56"/>
      <c r="H326" s="58"/>
      <c r="I326" s="58"/>
      <c r="J326" s="58"/>
      <c r="K326" s="58"/>
      <c r="L326" s="58"/>
      <c r="M326" s="58"/>
      <c r="N326" s="58"/>
      <c r="O326" s="58"/>
      <c r="P326" s="58"/>
      <c r="Q326" s="58"/>
      <c r="R326" s="58"/>
      <c r="S326" s="58"/>
      <c r="T326" s="58"/>
      <c r="U326" s="58"/>
      <c r="V326" s="58"/>
      <c r="W326" s="58"/>
      <c r="X326" s="58"/>
      <c r="Y326" s="58"/>
      <c r="Z326" s="58"/>
      <c r="AA326" s="58"/>
      <c r="AB326" s="58"/>
      <c r="AC326" s="58"/>
      <c r="AD326" s="58"/>
    </row>
    <row r="327" spans="1:30" ht="40.200000000000003" customHeight="1" x14ac:dyDescent="0.3">
      <c r="A327" s="58"/>
      <c r="B327"/>
      <c r="C327" s="56"/>
      <c r="D327" s="55"/>
      <c r="E327" s="56"/>
      <c r="F327" s="56"/>
      <c r="G327" s="56"/>
      <c r="H327" s="58"/>
      <c r="I327" s="58"/>
      <c r="J327" s="58"/>
      <c r="K327" s="58"/>
      <c r="L327" s="58"/>
      <c r="M327" s="58"/>
      <c r="N327" s="58"/>
      <c r="O327" s="58"/>
      <c r="P327" s="58"/>
      <c r="Q327" s="58"/>
      <c r="R327" s="58"/>
      <c r="S327" s="58"/>
      <c r="T327" s="58"/>
      <c r="U327" s="58"/>
      <c r="V327" s="58"/>
      <c r="W327" s="58"/>
      <c r="X327" s="58"/>
      <c r="Y327" s="58"/>
      <c r="Z327" s="58"/>
      <c r="AA327" s="58"/>
      <c r="AB327" s="58"/>
      <c r="AC327" s="58"/>
      <c r="AD327" s="58"/>
    </row>
    <row r="328" spans="1:30" ht="40.200000000000003" customHeight="1" x14ac:dyDescent="0.3">
      <c r="A328" s="58"/>
      <c r="B328"/>
      <c r="C328" s="56"/>
      <c r="D328" s="55"/>
      <c r="E328" s="56"/>
      <c r="F328" s="56"/>
      <c r="G328" s="56"/>
      <c r="H328" s="58"/>
      <c r="I328" s="58"/>
      <c r="J328" s="58"/>
      <c r="K328" s="58"/>
      <c r="L328" s="58"/>
      <c r="M328" s="58"/>
      <c r="N328" s="58"/>
      <c r="O328" s="58"/>
      <c r="P328" s="58"/>
      <c r="Q328" s="58"/>
      <c r="R328" s="58"/>
      <c r="S328" s="58"/>
      <c r="T328" s="58"/>
      <c r="U328" s="58"/>
      <c r="V328" s="58"/>
      <c r="W328" s="58"/>
      <c r="X328" s="58"/>
      <c r="Y328" s="58"/>
      <c r="Z328" s="58"/>
      <c r="AA328" s="58"/>
      <c r="AB328" s="58"/>
      <c r="AC328" s="58"/>
      <c r="AD328" s="58"/>
    </row>
    <row r="329" spans="1:30" ht="40.200000000000003" customHeight="1" x14ac:dyDescent="0.3">
      <c r="A329" s="58"/>
      <c r="B329"/>
      <c r="C329" s="56"/>
      <c r="D329" s="55"/>
      <c r="E329" s="56"/>
      <c r="F329" s="56"/>
      <c r="G329" s="56"/>
      <c r="H329" s="58"/>
      <c r="I329" s="58"/>
      <c r="J329" s="58"/>
      <c r="K329" s="58"/>
      <c r="L329" s="58"/>
      <c r="M329" s="58"/>
      <c r="N329" s="58"/>
      <c r="O329" s="58"/>
      <c r="P329" s="58"/>
      <c r="Q329" s="58"/>
      <c r="R329" s="58"/>
      <c r="S329" s="58"/>
      <c r="T329" s="58"/>
      <c r="U329" s="58"/>
      <c r="V329" s="58"/>
      <c r="W329" s="58"/>
      <c r="X329" s="58"/>
      <c r="Y329" s="58"/>
      <c r="Z329" s="58"/>
      <c r="AA329" s="58"/>
      <c r="AB329" s="58"/>
      <c r="AC329" s="58"/>
      <c r="AD329" s="58"/>
    </row>
    <row r="330" spans="1:30" ht="40.200000000000003" customHeight="1" x14ac:dyDescent="0.3">
      <c r="A330" s="58"/>
      <c r="B330"/>
      <c r="C330" s="56"/>
      <c r="D330" s="55"/>
      <c r="E330" s="56"/>
      <c r="F330" s="56"/>
      <c r="G330" s="56"/>
      <c r="H330" s="58"/>
      <c r="I330" s="58"/>
      <c r="J330" s="58"/>
      <c r="K330" s="58"/>
      <c r="L330" s="58"/>
      <c r="M330" s="58"/>
      <c r="N330" s="58"/>
      <c r="O330" s="58"/>
      <c r="P330" s="58"/>
      <c r="Q330" s="58"/>
      <c r="R330" s="58"/>
      <c r="S330" s="58"/>
      <c r="T330" s="58"/>
      <c r="U330" s="58"/>
      <c r="V330" s="58"/>
      <c r="W330" s="58"/>
      <c r="X330" s="58"/>
      <c r="Y330" s="58"/>
      <c r="Z330" s="58"/>
      <c r="AA330" s="58"/>
      <c r="AB330" s="58"/>
      <c r="AC330" s="58"/>
      <c r="AD330" s="58"/>
    </row>
    <row r="331" spans="1:30" ht="40.200000000000003" customHeight="1" x14ac:dyDescent="0.3">
      <c r="A331" s="58"/>
      <c r="B331"/>
      <c r="C331" s="56"/>
      <c r="D331" s="55"/>
      <c r="E331" s="56"/>
      <c r="F331" s="56"/>
      <c r="G331" s="56"/>
      <c r="H331" s="58"/>
      <c r="I331" s="58"/>
      <c r="J331" s="58"/>
      <c r="K331" s="58"/>
      <c r="L331" s="58"/>
      <c r="M331" s="58"/>
      <c r="N331" s="58"/>
      <c r="O331" s="58"/>
      <c r="P331" s="58"/>
      <c r="Q331" s="58"/>
      <c r="R331" s="58"/>
      <c r="S331" s="58"/>
      <c r="T331" s="58"/>
      <c r="U331" s="58"/>
      <c r="V331" s="58"/>
      <c r="W331" s="58"/>
      <c r="X331" s="58"/>
      <c r="Y331" s="58"/>
      <c r="Z331" s="58"/>
      <c r="AA331" s="58"/>
      <c r="AB331" s="58"/>
      <c r="AC331" s="58"/>
      <c r="AD331" s="58"/>
    </row>
    <row r="332" spans="1:30" ht="40.200000000000003" customHeight="1" x14ac:dyDescent="0.3">
      <c r="A332" s="58"/>
      <c r="B332"/>
      <c r="C332" s="56"/>
      <c r="D332" s="55"/>
      <c r="E332" s="56"/>
      <c r="F332" s="56"/>
      <c r="G332" s="56"/>
      <c r="H332" s="58"/>
      <c r="I332" s="58"/>
      <c r="J332" s="58"/>
      <c r="K332" s="58"/>
      <c r="L332" s="58"/>
      <c r="M332" s="58"/>
      <c r="N332" s="58"/>
      <c r="O332" s="58"/>
      <c r="P332" s="58"/>
      <c r="Q332" s="58"/>
      <c r="R332" s="58"/>
      <c r="S332" s="58"/>
      <c r="T332" s="58"/>
      <c r="U332" s="58"/>
      <c r="V332" s="58"/>
      <c r="W332" s="58"/>
      <c r="X332" s="58"/>
      <c r="Y332" s="58"/>
      <c r="Z332" s="58"/>
      <c r="AA332" s="58"/>
      <c r="AB332" s="58"/>
      <c r="AC332" s="58"/>
      <c r="AD332" s="58"/>
    </row>
    <row r="333" spans="1:30" ht="40.200000000000003" customHeight="1" x14ac:dyDescent="0.3">
      <c r="A333" s="58"/>
      <c r="B333"/>
      <c r="C333" s="56"/>
      <c r="D333" s="55"/>
      <c r="E333" s="56"/>
      <c r="F333" s="56"/>
      <c r="G333" s="56"/>
      <c r="H333" s="58"/>
      <c r="I333" s="58"/>
      <c r="J333" s="58"/>
      <c r="K333" s="58"/>
      <c r="L333" s="58"/>
      <c r="M333" s="58"/>
      <c r="N333" s="58"/>
      <c r="O333" s="58"/>
      <c r="P333" s="58"/>
      <c r="Q333" s="58"/>
      <c r="R333" s="58"/>
      <c r="S333" s="58"/>
      <c r="T333" s="58"/>
      <c r="U333" s="58"/>
      <c r="V333" s="58"/>
      <c r="W333" s="58"/>
      <c r="X333" s="58"/>
      <c r="Y333" s="58"/>
      <c r="Z333" s="58"/>
      <c r="AA333" s="58"/>
      <c r="AB333" s="58"/>
      <c r="AC333" s="58"/>
      <c r="AD333" s="58"/>
    </row>
    <row r="334" spans="1:30" ht="40.200000000000003" customHeight="1" x14ac:dyDescent="0.3">
      <c r="A334" s="58"/>
      <c r="B334"/>
      <c r="C334" s="56"/>
      <c r="D334" s="55"/>
      <c r="E334" s="56"/>
      <c r="F334" s="56"/>
      <c r="G334" s="56"/>
      <c r="H334" s="58"/>
      <c r="I334" s="58"/>
      <c r="J334" s="58"/>
      <c r="K334" s="58"/>
      <c r="L334" s="58"/>
      <c r="M334" s="58"/>
      <c r="N334" s="58"/>
      <c r="O334" s="58"/>
      <c r="P334" s="58"/>
      <c r="Q334" s="58"/>
      <c r="R334" s="58"/>
      <c r="S334" s="58"/>
      <c r="T334" s="58"/>
      <c r="U334" s="58"/>
      <c r="V334" s="58"/>
      <c r="W334" s="58"/>
      <c r="X334" s="58"/>
      <c r="Y334" s="58"/>
      <c r="Z334" s="58"/>
      <c r="AA334" s="58"/>
      <c r="AB334" s="58"/>
      <c r="AC334" s="58"/>
      <c r="AD334" s="58"/>
    </row>
    <row r="335" spans="1:30" ht="40.200000000000003" customHeight="1" x14ac:dyDescent="0.3">
      <c r="A335" s="58"/>
      <c r="B335"/>
      <c r="C335" s="56"/>
      <c r="D335" s="55"/>
      <c r="E335" s="56"/>
      <c r="F335" s="56"/>
      <c r="G335" s="56"/>
      <c r="H335" s="58"/>
      <c r="I335" s="58"/>
      <c r="J335" s="58"/>
      <c r="K335" s="58"/>
      <c r="L335" s="58"/>
      <c r="M335" s="58"/>
      <c r="N335" s="58"/>
      <c r="O335" s="58"/>
      <c r="P335" s="58"/>
      <c r="Q335" s="58"/>
      <c r="R335" s="58"/>
      <c r="S335" s="58"/>
      <c r="T335" s="58"/>
      <c r="U335" s="58"/>
      <c r="V335" s="58"/>
      <c r="W335" s="58"/>
      <c r="X335" s="58"/>
      <c r="Y335" s="58"/>
      <c r="Z335" s="58"/>
      <c r="AA335" s="58"/>
      <c r="AB335" s="58"/>
      <c r="AC335" s="58"/>
      <c r="AD335" s="58"/>
    </row>
    <row r="336" spans="1:30" ht="40.200000000000003" customHeight="1" x14ac:dyDescent="0.3">
      <c r="A336" s="58"/>
      <c r="B336"/>
      <c r="C336" s="56"/>
      <c r="D336" s="55"/>
      <c r="E336" s="56"/>
      <c r="F336" s="56"/>
      <c r="G336" s="56"/>
      <c r="H336" s="58"/>
      <c r="I336" s="58"/>
      <c r="J336" s="58"/>
      <c r="K336" s="58"/>
      <c r="L336" s="58"/>
      <c r="M336" s="58"/>
      <c r="N336" s="58"/>
      <c r="O336" s="58"/>
      <c r="P336" s="58"/>
      <c r="Q336" s="58"/>
      <c r="R336" s="58"/>
      <c r="S336" s="58"/>
      <c r="T336" s="58"/>
      <c r="U336" s="58"/>
      <c r="V336" s="58"/>
      <c r="W336" s="58"/>
      <c r="X336" s="58"/>
      <c r="Y336" s="58"/>
      <c r="Z336" s="58"/>
      <c r="AA336" s="58"/>
      <c r="AB336" s="58"/>
      <c r="AC336" s="58"/>
      <c r="AD336" s="58"/>
    </row>
    <row r="337" spans="1:30" ht="40.200000000000003" customHeight="1" x14ac:dyDescent="0.3">
      <c r="A337" s="58"/>
      <c r="B337"/>
      <c r="C337" s="56"/>
      <c r="D337" s="55"/>
      <c r="E337" s="56"/>
      <c r="F337" s="56"/>
      <c r="G337" s="56"/>
      <c r="H337" s="58"/>
      <c r="I337" s="58"/>
      <c r="J337" s="58"/>
      <c r="K337" s="58"/>
      <c r="L337" s="58"/>
      <c r="M337" s="58"/>
      <c r="N337" s="58"/>
      <c r="O337" s="58"/>
      <c r="P337" s="58"/>
      <c r="Q337" s="58"/>
      <c r="R337" s="58"/>
      <c r="S337" s="58"/>
      <c r="T337" s="58"/>
      <c r="U337" s="58"/>
      <c r="V337" s="58"/>
      <c r="W337" s="58"/>
      <c r="X337" s="58"/>
      <c r="Y337" s="58"/>
      <c r="Z337" s="58"/>
      <c r="AA337" s="58"/>
      <c r="AB337" s="58"/>
      <c r="AC337" s="58"/>
      <c r="AD337" s="58"/>
    </row>
    <row r="338" spans="1:30" ht="40.200000000000003" customHeight="1" x14ac:dyDescent="0.3">
      <c r="A338" s="58"/>
      <c r="B338"/>
      <c r="C338" s="56"/>
      <c r="D338" s="55"/>
      <c r="E338" s="56"/>
      <c r="F338" s="56"/>
      <c r="G338" s="56"/>
      <c r="H338" s="58"/>
      <c r="I338" s="58"/>
      <c r="J338" s="58"/>
      <c r="K338" s="58"/>
      <c r="L338" s="58"/>
      <c r="M338" s="58"/>
      <c r="N338" s="58"/>
      <c r="O338" s="58"/>
      <c r="P338" s="58"/>
      <c r="Q338" s="58"/>
      <c r="R338" s="58"/>
      <c r="S338" s="58"/>
      <c r="T338" s="58"/>
      <c r="U338" s="58"/>
      <c r="V338" s="58"/>
      <c r="W338" s="58"/>
      <c r="X338" s="58"/>
      <c r="Y338" s="58"/>
      <c r="Z338" s="58"/>
      <c r="AA338" s="58"/>
      <c r="AB338" s="58"/>
      <c r="AC338" s="58"/>
      <c r="AD338" s="58"/>
    </row>
    <row r="339" spans="1:30" ht="40.200000000000003" customHeight="1" x14ac:dyDescent="0.3">
      <c r="A339" s="58"/>
      <c r="B339"/>
      <c r="C339" s="56"/>
      <c r="D339" s="55"/>
      <c r="E339" s="56"/>
      <c r="F339" s="56"/>
      <c r="G339" s="56"/>
      <c r="H339" s="58"/>
      <c r="I339" s="58"/>
      <c r="J339" s="58"/>
      <c r="K339" s="58"/>
      <c r="L339" s="58"/>
      <c r="M339" s="58"/>
      <c r="N339" s="58"/>
      <c r="O339" s="58"/>
      <c r="P339" s="58"/>
      <c r="Q339" s="58"/>
      <c r="R339" s="58"/>
      <c r="S339" s="58"/>
      <c r="T339" s="58"/>
      <c r="U339" s="58"/>
      <c r="V339" s="58"/>
      <c r="W339" s="58"/>
      <c r="X339" s="58"/>
      <c r="Y339" s="58"/>
      <c r="Z339" s="58"/>
      <c r="AA339" s="58"/>
      <c r="AB339" s="58"/>
      <c r="AC339" s="58"/>
      <c r="AD339" s="58"/>
    </row>
    <row r="340" spans="1:30" ht="40.200000000000003" customHeight="1" x14ac:dyDescent="0.3">
      <c r="A340" s="58"/>
      <c r="B340"/>
      <c r="C340" s="56"/>
      <c r="D340" s="55"/>
      <c r="E340" s="56"/>
      <c r="F340" s="56"/>
      <c r="G340" s="56"/>
      <c r="H340" s="58"/>
      <c r="I340" s="58"/>
      <c r="J340" s="58"/>
      <c r="K340" s="58"/>
      <c r="L340" s="58"/>
      <c r="M340" s="58"/>
      <c r="N340" s="58"/>
      <c r="O340" s="58"/>
      <c r="P340" s="58"/>
      <c r="Q340" s="58"/>
      <c r="R340" s="58"/>
      <c r="S340" s="58"/>
      <c r="T340" s="58"/>
      <c r="U340" s="58"/>
      <c r="V340" s="58"/>
      <c r="W340" s="58"/>
      <c r="X340" s="58"/>
      <c r="Y340" s="58"/>
      <c r="Z340" s="58"/>
      <c r="AA340" s="58"/>
      <c r="AB340" s="58"/>
      <c r="AC340" s="58"/>
      <c r="AD340" s="58"/>
    </row>
    <row r="341" spans="1:30" ht="40.200000000000003" customHeight="1" x14ac:dyDescent="0.3">
      <c r="A341" s="58"/>
      <c r="B341"/>
      <c r="C341" s="56"/>
      <c r="D341" s="55"/>
      <c r="E341" s="56"/>
      <c r="F341" s="56"/>
      <c r="G341" s="56"/>
      <c r="H341" s="58"/>
      <c r="I341" s="58"/>
      <c r="J341" s="58"/>
      <c r="K341" s="58"/>
      <c r="L341" s="58"/>
      <c r="M341" s="58"/>
      <c r="N341" s="58"/>
      <c r="O341" s="58"/>
      <c r="P341" s="58"/>
      <c r="Q341" s="58"/>
      <c r="R341" s="58"/>
      <c r="S341" s="58"/>
      <c r="T341" s="58"/>
      <c r="U341" s="58"/>
      <c r="V341" s="58"/>
      <c r="W341" s="58"/>
      <c r="X341" s="58"/>
      <c r="Y341" s="58"/>
      <c r="Z341" s="58"/>
      <c r="AA341" s="58"/>
      <c r="AB341" s="58"/>
      <c r="AC341" s="58"/>
      <c r="AD341" s="58"/>
    </row>
    <row r="342" spans="1:30" ht="40.200000000000003" customHeight="1" x14ac:dyDescent="0.3">
      <c r="A342" s="58"/>
      <c r="B342"/>
      <c r="C342" s="56"/>
      <c r="D342" s="55"/>
      <c r="E342" s="56"/>
      <c r="F342" s="56"/>
      <c r="G342" s="56"/>
      <c r="H342" s="58"/>
      <c r="I342" s="58"/>
      <c r="J342" s="58"/>
      <c r="K342" s="58"/>
      <c r="L342" s="58"/>
      <c r="M342" s="58"/>
      <c r="N342" s="58"/>
      <c r="O342" s="58"/>
      <c r="P342" s="58"/>
      <c r="Q342" s="58"/>
      <c r="R342" s="58"/>
      <c r="S342" s="58"/>
      <c r="T342" s="58"/>
      <c r="U342" s="58"/>
      <c r="V342" s="58"/>
      <c r="W342" s="58"/>
      <c r="X342" s="58"/>
      <c r="Y342" s="58"/>
      <c r="Z342" s="58"/>
      <c r="AA342" s="58"/>
      <c r="AB342" s="58"/>
      <c r="AC342" s="58"/>
      <c r="AD342" s="58"/>
    </row>
    <row r="343" spans="1:30" ht="40.200000000000003" customHeight="1" x14ac:dyDescent="0.3">
      <c r="A343" s="58"/>
      <c r="B343"/>
      <c r="C343" s="56"/>
      <c r="D343" s="55"/>
      <c r="E343" s="56"/>
      <c r="F343" s="56"/>
      <c r="G343" s="56"/>
      <c r="H343" s="58"/>
      <c r="I343" s="58"/>
      <c r="J343" s="58"/>
      <c r="K343" s="58"/>
      <c r="L343" s="58"/>
      <c r="M343" s="58"/>
      <c r="N343" s="58"/>
      <c r="O343" s="58"/>
      <c r="P343" s="58"/>
      <c r="Q343" s="58"/>
      <c r="R343" s="58"/>
      <c r="S343" s="58"/>
      <c r="T343" s="58"/>
      <c r="U343" s="58"/>
      <c r="V343" s="58"/>
      <c r="W343" s="58"/>
      <c r="X343" s="58"/>
      <c r="Y343" s="58"/>
      <c r="Z343" s="58"/>
      <c r="AA343" s="58"/>
      <c r="AB343" s="58"/>
      <c r="AC343" s="58"/>
      <c r="AD343" s="58"/>
    </row>
    <row r="344" spans="1:30" ht="40.200000000000003" customHeight="1" x14ac:dyDescent="0.3">
      <c r="A344" s="58"/>
      <c r="B344"/>
      <c r="C344" s="56"/>
      <c r="D344" s="55"/>
      <c r="E344" s="56"/>
      <c r="F344" s="56"/>
      <c r="G344" s="56"/>
      <c r="H344" s="58"/>
      <c r="I344" s="58"/>
      <c r="J344" s="58"/>
      <c r="K344" s="58"/>
      <c r="L344" s="58"/>
      <c r="M344" s="58"/>
      <c r="N344" s="58"/>
      <c r="O344" s="58"/>
      <c r="P344" s="58"/>
      <c r="Q344" s="58"/>
      <c r="R344" s="58"/>
      <c r="S344" s="58"/>
      <c r="T344" s="58"/>
      <c r="U344" s="58"/>
      <c r="V344" s="58"/>
      <c r="W344" s="58"/>
      <c r="X344" s="58"/>
      <c r="Y344" s="58"/>
      <c r="Z344" s="58"/>
      <c r="AA344" s="58"/>
      <c r="AB344" s="58"/>
      <c r="AC344" s="58"/>
      <c r="AD344" s="58"/>
    </row>
    <row r="345" spans="1:30" ht="40.200000000000003" customHeight="1" x14ac:dyDescent="0.3">
      <c r="A345" s="58"/>
      <c r="B345"/>
      <c r="C345" s="56"/>
      <c r="D345" s="55"/>
      <c r="E345" s="56"/>
      <c r="F345" s="56"/>
      <c r="G345" s="56"/>
      <c r="H345" s="58"/>
      <c r="I345" s="58"/>
      <c r="J345" s="58"/>
      <c r="K345" s="58"/>
      <c r="L345" s="58"/>
      <c r="M345" s="58"/>
      <c r="N345" s="58"/>
      <c r="O345" s="58"/>
      <c r="P345" s="58"/>
      <c r="Q345" s="58"/>
      <c r="R345" s="58"/>
      <c r="S345" s="58"/>
      <c r="T345" s="58"/>
      <c r="U345" s="58"/>
      <c r="V345" s="58"/>
      <c r="W345" s="58"/>
      <c r="X345" s="58"/>
      <c r="Y345" s="58"/>
      <c r="Z345" s="58"/>
      <c r="AA345" s="58"/>
      <c r="AB345" s="58"/>
      <c r="AC345" s="58"/>
      <c r="AD345" s="58"/>
    </row>
    <row r="346" spans="1:30" ht="40.200000000000003" customHeight="1" x14ac:dyDescent="0.3">
      <c r="A346" s="58"/>
      <c r="B346"/>
      <c r="C346" s="56"/>
      <c r="D346" s="55"/>
      <c r="E346" s="56"/>
      <c r="F346" s="56"/>
      <c r="G346" s="56"/>
      <c r="H346" s="58"/>
      <c r="I346" s="58"/>
      <c r="J346" s="58"/>
      <c r="K346" s="58"/>
      <c r="L346" s="58"/>
      <c r="M346" s="58"/>
      <c r="N346" s="58"/>
      <c r="O346" s="58"/>
      <c r="P346" s="58"/>
      <c r="Q346" s="58"/>
      <c r="R346" s="58"/>
      <c r="S346" s="58"/>
      <c r="T346" s="58"/>
      <c r="U346" s="58"/>
      <c r="V346" s="58"/>
      <c r="W346" s="58"/>
      <c r="X346" s="58"/>
      <c r="Y346" s="58"/>
      <c r="Z346" s="58"/>
      <c r="AA346" s="58"/>
      <c r="AB346" s="58"/>
      <c r="AC346" s="58"/>
      <c r="AD346" s="58"/>
    </row>
    <row r="347" spans="1:30" ht="40.200000000000003" customHeight="1" x14ac:dyDescent="0.3">
      <c r="A347" s="58"/>
      <c r="B347"/>
      <c r="C347" s="56"/>
      <c r="D347" s="55"/>
      <c r="E347" s="56"/>
      <c r="F347" s="56"/>
      <c r="G347" s="56"/>
      <c r="H347" s="58"/>
      <c r="I347" s="58"/>
      <c r="J347" s="58"/>
      <c r="K347" s="58"/>
      <c r="L347" s="58"/>
      <c r="M347" s="58"/>
      <c r="N347" s="58"/>
      <c r="O347" s="58"/>
      <c r="P347" s="58"/>
      <c r="Q347" s="58"/>
      <c r="R347" s="58"/>
      <c r="S347" s="58"/>
      <c r="T347" s="58"/>
      <c r="U347" s="58"/>
      <c r="V347" s="58"/>
      <c r="W347" s="58"/>
      <c r="X347" s="58"/>
      <c r="Y347" s="58"/>
      <c r="Z347" s="58"/>
      <c r="AA347" s="58"/>
      <c r="AB347" s="58"/>
      <c r="AC347" s="58"/>
      <c r="AD347" s="58"/>
    </row>
    <row r="348" spans="1:30" ht="40.200000000000003" customHeight="1" x14ac:dyDescent="0.3">
      <c r="A348" s="58"/>
      <c r="B348"/>
      <c r="C348" s="56"/>
      <c r="D348" s="55"/>
      <c r="E348" s="56"/>
      <c r="F348" s="56"/>
      <c r="G348" s="56"/>
      <c r="H348" s="58"/>
      <c r="I348" s="58"/>
      <c r="J348" s="58"/>
      <c r="K348" s="58"/>
      <c r="L348" s="58"/>
      <c r="M348" s="58"/>
      <c r="N348" s="58"/>
      <c r="O348" s="58"/>
      <c r="P348" s="58"/>
      <c r="Q348" s="58"/>
      <c r="R348" s="58"/>
      <c r="S348" s="58"/>
      <c r="T348" s="58"/>
      <c r="U348" s="58"/>
      <c r="V348" s="58"/>
      <c r="W348" s="58"/>
      <c r="X348" s="58"/>
      <c r="Y348" s="58"/>
      <c r="Z348" s="58"/>
      <c r="AA348" s="58"/>
      <c r="AB348" s="58"/>
      <c r="AC348" s="58"/>
      <c r="AD348" s="58"/>
    </row>
    <row r="349" spans="1:30" ht="40.200000000000003" customHeight="1" x14ac:dyDescent="0.3">
      <c r="A349" s="58"/>
      <c r="B349"/>
      <c r="C349" s="56"/>
      <c r="D349" s="55"/>
      <c r="E349" s="56"/>
      <c r="F349" s="56"/>
      <c r="G349" s="56"/>
      <c r="H349" s="58"/>
      <c r="I349" s="58"/>
      <c r="J349" s="58"/>
      <c r="K349" s="58"/>
      <c r="L349" s="58"/>
      <c r="M349" s="58"/>
      <c r="N349" s="58"/>
      <c r="O349" s="58"/>
      <c r="P349" s="58"/>
      <c r="Q349" s="58"/>
      <c r="R349" s="58"/>
      <c r="S349" s="58"/>
      <c r="T349" s="58"/>
      <c r="U349" s="58"/>
      <c r="V349" s="58"/>
      <c r="W349" s="58"/>
      <c r="X349" s="58"/>
      <c r="Y349" s="58"/>
      <c r="Z349" s="58"/>
      <c r="AA349" s="58"/>
      <c r="AB349" s="58"/>
      <c r="AC349" s="58"/>
      <c r="AD349" s="58"/>
    </row>
    <row r="350" spans="1:30" ht="40.200000000000003" customHeight="1" x14ac:dyDescent="0.3">
      <c r="A350" s="58"/>
      <c r="B350"/>
      <c r="C350" s="56"/>
      <c r="D350" s="55"/>
      <c r="E350" s="56"/>
      <c r="F350" s="56"/>
      <c r="G350" s="56"/>
      <c r="H350" s="58"/>
      <c r="I350" s="58"/>
      <c r="J350" s="58"/>
      <c r="K350" s="58"/>
      <c r="L350" s="58"/>
      <c r="M350" s="58"/>
      <c r="N350" s="58"/>
      <c r="O350" s="58"/>
      <c r="P350" s="58"/>
      <c r="Q350" s="58"/>
      <c r="R350" s="58"/>
      <c r="S350" s="58"/>
      <c r="T350" s="58"/>
      <c r="U350" s="58"/>
      <c r="V350" s="58"/>
      <c r="W350" s="58"/>
      <c r="X350" s="58"/>
      <c r="Y350" s="58"/>
      <c r="Z350" s="58"/>
      <c r="AA350" s="58"/>
      <c r="AB350" s="58"/>
      <c r="AC350" s="58"/>
      <c r="AD350" s="58"/>
    </row>
    <row r="351" spans="1:30" ht="40.200000000000003" customHeight="1" x14ac:dyDescent="0.3">
      <c r="A351" s="58"/>
      <c r="B351"/>
      <c r="C351" s="56"/>
      <c r="D351" s="55"/>
      <c r="E351" s="56"/>
      <c r="F351" s="56"/>
      <c r="G351" s="56"/>
      <c r="H351" s="58"/>
      <c r="I351" s="58"/>
      <c r="J351" s="58"/>
      <c r="K351" s="58"/>
      <c r="L351" s="58"/>
      <c r="M351" s="58"/>
      <c r="N351" s="58"/>
      <c r="O351" s="58"/>
      <c r="P351" s="58"/>
      <c r="Q351" s="58"/>
      <c r="R351" s="58"/>
      <c r="S351" s="58"/>
      <c r="T351" s="58"/>
      <c r="U351" s="58"/>
      <c r="V351" s="58"/>
      <c r="W351" s="58"/>
      <c r="X351" s="58"/>
      <c r="Y351" s="58"/>
      <c r="Z351" s="58"/>
      <c r="AA351" s="58"/>
      <c r="AB351" s="58"/>
      <c r="AC351" s="58"/>
      <c r="AD351" s="58"/>
    </row>
    <row r="352" spans="1:30" ht="40.200000000000003" customHeight="1" x14ac:dyDescent="0.3">
      <c r="A352" s="58"/>
      <c r="B352"/>
      <c r="C352" s="56"/>
      <c r="D352" s="55"/>
      <c r="E352" s="56"/>
      <c r="F352" s="56"/>
      <c r="G352" s="56"/>
      <c r="H352" s="58"/>
      <c r="I352" s="58"/>
      <c r="J352" s="58"/>
      <c r="K352" s="58"/>
      <c r="L352" s="58"/>
      <c r="M352" s="58"/>
      <c r="N352" s="58"/>
      <c r="O352" s="58"/>
      <c r="P352" s="58"/>
      <c r="Q352" s="58"/>
      <c r="R352" s="58"/>
      <c r="S352" s="58"/>
      <c r="T352" s="58"/>
      <c r="U352" s="58"/>
      <c r="V352" s="58"/>
      <c r="W352" s="58"/>
      <c r="X352" s="58"/>
      <c r="Y352" s="58"/>
      <c r="Z352" s="58"/>
      <c r="AA352" s="58"/>
      <c r="AB352" s="58"/>
      <c r="AC352" s="58"/>
      <c r="AD352" s="58"/>
    </row>
    <row r="353" spans="1:30" ht="40.200000000000003" customHeight="1" x14ac:dyDescent="0.3">
      <c r="A353" s="58"/>
      <c r="B353"/>
      <c r="C353" s="56"/>
      <c r="D353" s="55"/>
      <c r="E353" s="56"/>
      <c r="F353" s="56"/>
      <c r="G353" s="56"/>
      <c r="H353" s="58"/>
      <c r="I353" s="58"/>
      <c r="J353" s="58"/>
      <c r="K353" s="58"/>
      <c r="L353" s="58"/>
      <c r="M353" s="58"/>
      <c r="N353" s="58"/>
      <c r="O353" s="58"/>
      <c r="P353" s="58"/>
      <c r="Q353" s="58"/>
      <c r="R353" s="58"/>
      <c r="S353" s="58"/>
      <c r="T353" s="58"/>
      <c r="U353" s="58"/>
      <c r="V353" s="58"/>
      <c r="W353" s="58"/>
      <c r="X353" s="58"/>
      <c r="Y353" s="58"/>
      <c r="Z353" s="58"/>
      <c r="AA353" s="58"/>
      <c r="AB353" s="58"/>
      <c r="AC353" s="58"/>
      <c r="AD353" s="58"/>
    </row>
    <row r="354" spans="1:30" ht="40.200000000000003" customHeight="1" x14ac:dyDescent="0.3">
      <c r="A354" s="58"/>
      <c r="B354"/>
      <c r="C354" s="56"/>
      <c r="D354" s="55"/>
      <c r="E354" s="56"/>
      <c r="F354" s="56"/>
      <c r="G354" s="56"/>
      <c r="H354" s="58"/>
      <c r="I354" s="58"/>
      <c r="J354" s="58"/>
      <c r="K354" s="58"/>
      <c r="L354" s="58"/>
      <c r="M354" s="58"/>
      <c r="N354" s="58"/>
      <c r="O354" s="58"/>
      <c r="P354" s="58"/>
      <c r="Q354" s="58"/>
      <c r="R354" s="58"/>
      <c r="S354" s="58"/>
      <c r="T354" s="58"/>
      <c r="U354" s="58"/>
      <c r="V354" s="58"/>
      <c r="W354" s="58"/>
      <c r="X354" s="58"/>
      <c r="Y354" s="58"/>
      <c r="Z354" s="58"/>
      <c r="AA354" s="58"/>
      <c r="AB354" s="58"/>
      <c r="AC354" s="58"/>
      <c r="AD354" s="58"/>
    </row>
    <row r="355" spans="1:30" ht="40.200000000000003" customHeight="1" x14ac:dyDescent="0.3">
      <c r="A355" s="58"/>
      <c r="B355"/>
      <c r="C355" s="56"/>
      <c r="D355" s="55"/>
      <c r="E355" s="56"/>
      <c r="F355" s="56"/>
      <c r="G355" s="56"/>
      <c r="H355" s="58"/>
      <c r="I355" s="58"/>
      <c r="J355" s="58"/>
      <c r="K355" s="58"/>
      <c r="L355" s="58"/>
      <c r="M355" s="58"/>
      <c r="N355" s="58"/>
      <c r="O355" s="58"/>
      <c r="P355" s="58"/>
      <c r="Q355" s="58"/>
      <c r="R355" s="58"/>
      <c r="S355" s="58"/>
      <c r="T355" s="58"/>
      <c r="U355" s="58"/>
      <c r="V355" s="58"/>
      <c r="W355" s="58"/>
      <c r="X355" s="58"/>
      <c r="Y355" s="58"/>
      <c r="Z355" s="58"/>
      <c r="AA355" s="58"/>
      <c r="AB355" s="58"/>
      <c r="AC355" s="58"/>
      <c r="AD355" s="58"/>
    </row>
    <row r="356" spans="1:30" ht="40.200000000000003" customHeight="1" x14ac:dyDescent="0.3">
      <c r="A356" s="58"/>
      <c r="B356"/>
      <c r="C356" s="56"/>
      <c r="D356" s="55"/>
      <c r="E356" s="56"/>
      <c r="F356" s="56"/>
      <c r="G356" s="56"/>
      <c r="H356" s="58"/>
      <c r="I356" s="58"/>
      <c r="J356" s="58"/>
      <c r="K356" s="58"/>
      <c r="L356" s="58"/>
      <c r="M356" s="58"/>
      <c r="N356" s="58"/>
      <c r="O356" s="58"/>
      <c r="P356" s="58"/>
      <c r="Q356" s="58"/>
      <c r="R356" s="58"/>
      <c r="S356" s="58"/>
      <c r="T356" s="58"/>
      <c r="U356" s="58"/>
      <c r="V356" s="58"/>
      <c r="W356" s="58"/>
      <c r="X356" s="58"/>
      <c r="Y356" s="58"/>
      <c r="Z356" s="58"/>
      <c r="AA356" s="58"/>
      <c r="AB356" s="58"/>
      <c r="AC356" s="58"/>
      <c r="AD356" s="58"/>
    </row>
    <row r="357" spans="1:30" ht="40.200000000000003" customHeight="1" x14ac:dyDescent="0.3">
      <c r="A357" s="58"/>
      <c r="B357"/>
      <c r="C357" s="56"/>
      <c r="D357" s="55"/>
      <c r="E357" s="56"/>
      <c r="F357" s="56"/>
      <c r="G357" s="56"/>
      <c r="H357" s="58"/>
      <c r="I357" s="58"/>
      <c r="J357" s="58"/>
      <c r="K357" s="58"/>
      <c r="L357" s="58"/>
      <c r="M357" s="58"/>
      <c r="N357" s="58"/>
      <c r="O357" s="58"/>
      <c r="P357" s="58"/>
      <c r="Q357" s="58"/>
      <c r="R357" s="58"/>
      <c r="S357" s="58"/>
      <c r="T357" s="58"/>
      <c r="U357" s="58"/>
      <c r="V357" s="58"/>
      <c r="W357" s="58"/>
      <c r="X357" s="58"/>
      <c r="Y357" s="58"/>
      <c r="Z357" s="58"/>
      <c r="AA357" s="58"/>
      <c r="AB357" s="58"/>
      <c r="AC357" s="58"/>
      <c r="AD357" s="58"/>
    </row>
    <row r="358" spans="1:30" ht="40.200000000000003" customHeight="1" x14ac:dyDescent="0.3">
      <c r="A358" s="58"/>
      <c r="B358"/>
      <c r="C358" s="56"/>
      <c r="D358" s="55"/>
      <c r="E358" s="56"/>
      <c r="F358" s="56"/>
      <c r="G358" s="56"/>
      <c r="H358" s="58"/>
      <c r="I358" s="58"/>
      <c r="J358" s="58"/>
      <c r="K358" s="58"/>
      <c r="L358" s="58"/>
      <c r="M358" s="58"/>
      <c r="N358" s="58"/>
      <c r="O358" s="58"/>
      <c r="P358" s="58"/>
      <c r="Q358" s="58"/>
      <c r="R358" s="58"/>
      <c r="S358" s="58"/>
      <c r="T358" s="58"/>
      <c r="U358" s="58"/>
      <c r="V358" s="58"/>
      <c r="W358" s="58"/>
      <c r="X358" s="58"/>
      <c r="Y358" s="58"/>
      <c r="Z358" s="58"/>
      <c r="AA358" s="58"/>
      <c r="AB358" s="58"/>
      <c r="AC358" s="58"/>
      <c r="AD358" s="58"/>
    </row>
    <row r="359" spans="1:30" ht="40.200000000000003" customHeight="1" x14ac:dyDescent="0.3">
      <c r="A359" s="58"/>
      <c r="B359"/>
      <c r="C359" s="56"/>
      <c r="D359" s="55"/>
      <c r="E359" s="56"/>
      <c r="F359" s="56"/>
      <c r="G359" s="56"/>
      <c r="H359" s="58"/>
      <c r="I359" s="58"/>
      <c r="J359" s="58"/>
      <c r="K359" s="58"/>
      <c r="L359" s="58"/>
      <c r="M359" s="58"/>
      <c r="N359" s="58"/>
      <c r="O359" s="58"/>
      <c r="P359" s="58"/>
      <c r="Q359" s="58"/>
      <c r="R359" s="58"/>
      <c r="S359" s="58"/>
      <c r="T359" s="58"/>
      <c r="U359" s="58"/>
      <c r="V359" s="58"/>
      <c r="W359" s="58"/>
      <c r="X359" s="58"/>
      <c r="Y359" s="58"/>
      <c r="Z359" s="58"/>
      <c r="AA359" s="58"/>
      <c r="AB359" s="58"/>
      <c r="AC359" s="58"/>
      <c r="AD359" s="58"/>
    </row>
    <row r="360" spans="1:30" ht="40.200000000000003" customHeight="1" x14ac:dyDescent="0.3">
      <c r="A360" s="58"/>
      <c r="B360"/>
      <c r="C360" s="56"/>
      <c r="D360" s="55"/>
      <c r="E360" s="56"/>
      <c r="F360" s="56"/>
      <c r="G360" s="56"/>
      <c r="H360" s="58"/>
      <c r="I360" s="58"/>
      <c r="J360" s="58"/>
      <c r="K360" s="58"/>
      <c r="L360" s="58"/>
      <c r="M360" s="58"/>
      <c r="N360" s="58"/>
      <c r="O360" s="58"/>
      <c r="P360" s="58"/>
      <c r="Q360" s="58"/>
      <c r="R360" s="58"/>
      <c r="S360" s="58"/>
      <c r="T360" s="58"/>
      <c r="U360" s="58"/>
      <c r="V360" s="58"/>
      <c r="W360" s="58"/>
      <c r="X360" s="58"/>
      <c r="Y360" s="58"/>
      <c r="Z360" s="58"/>
      <c r="AA360" s="58"/>
      <c r="AB360" s="58"/>
      <c r="AC360" s="58"/>
      <c r="AD360" s="58"/>
    </row>
    <row r="361" spans="1:30" ht="40.200000000000003" customHeight="1" x14ac:dyDescent="0.3">
      <c r="A361" s="58"/>
      <c r="B361"/>
      <c r="C361" s="56"/>
      <c r="D361" s="55"/>
      <c r="E361" s="56"/>
      <c r="F361" s="56"/>
      <c r="G361" s="56"/>
      <c r="H361" s="58"/>
      <c r="I361" s="58"/>
      <c r="J361" s="58"/>
      <c r="K361" s="58"/>
      <c r="L361" s="58"/>
      <c r="M361" s="58"/>
      <c r="N361" s="58"/>
      <c r="O361" s="58"/>
      <c r="P361" s="58"/>
      <c r="Q361" s="58"/>
      <c r="R361" s="58"/>
      <c r="S361" s="58"/>
      <c r="T361" s="58"/>
      <c r="U361" s="58"/>
      <c r="V361" s="58"/>
      <c r="W361" s="58"/>
      <c r="X361" s="58"/>
      <c r="Y361" s="58"/>
      <c r="Z361" s="58"/>
      <c r="AA361" s="58"/>
      <c r="AB361" s="58"/>
      <c r="AC361" s="58"/>
      <c r="AD361" s="58"/>
    </row>
    <row r="362" spans="1:30" ht="40.200000000000003" customHeight="1" x14ac:dyDescent="0.3">
      <c r="A362" s="58"/>
      <c r="B362"/>
      <c r="C362" s="56"/>
      <c r="D362" s="55"/>
      <c r="E362" s="56"/>
      <c r="F362" s="56"/>
      <c r="G362" s="56"/>
      <c r="H362" s="58"/>
      <c r="I362" s="58"/>
      <c r="J362" s="58"/>
      <c r="K362" s="60"/>
      <c r="L362" s="60"/>
      <c r="M362" s="60"/>
      <c r="N362" s="60"/>
      <c r="O362" s="60"/>
      <c r="P362" s="60"/>
      <c r="Q362" s="60"/>
      <c r="R362" s="60"/>
      <c r="S362" s="60"/>
      <c r="T362" s="60"/>
      <c r="U362" s="60"/>
      <c r="V362" s="60"/>
      <c r="W362" s="60"/>
      <c r="X362" s="60"/>
      <c r="Y362" s="60"/>
      <c r="Z362" s="60"/>
      <c r="AA362" s="60"/>
      <c r="AB362" s="60"/>
      <c r="AC362" s="60"/>
      <c r="AD362" s="60"/>
    </row>
    <row r="363" spans="1:30" ht="40.200000000000003" customHeight="1" x14ac:dyDescent="0.3">
      <c r="A363" s="58"/>
      <c r="B363"/>
      <c r="C363" s="56"/>
      <c r="D363" s="55"/>
      <c r="E363" s="56"/>
      <c r="F363" s="56"/>
      <c r="G363" s="56"/>
      <c r="H363" s="58"/>
      <c r="I363" s="58"/>
      <c r="J363" s="58"/>
    </row>
    <row r="364" spans="1:30" ht="40.200000000000003" customHeight="1" x14ac:dyDescent="0.3">
      <c r="A364" s="58"/>
      <c r="B364"/>
      <c r="C364" s="56"/>
      <c r="D364" s="55"/>
      <c r="E364" s="56"/>
      <c r="F364" s="56"/>
      <c r="G364" s="56"/>
      <c r="H364" s="58"/>
      <c r="I364" s="58"/>
      <c r="J364" s="58"/>
    </row>
    <row r="365" spans="1:30" ht="40.200000000000003" customHeight="1" x14ac:dyDescent="0.3">
      <c r="A365" s="58"/>
      <c r="B365"/>
      <c r="C365" s="56"/>
      <c r="D365" s="55"/>
      <c r="E365" s="56"/>
      <c r="F365" s="56"/>
      <c r="G365" s="56"/>
      <c r="H365" s="58"/>
      <c r="I365" s="58"/>
      <c r="J365" s="58"/>
    </row>
    <row r="366" spans="1:30" ht="40.200000000000003" customHeight="1" x14ac:dyDescent="0.3">
      <c r="A366" s="58"/>
      <c r="B366"/>
      <c r="C366" s="56"/>
      <c r="D366" s="55"/>
      <c r="E366" s="56"/>
      <c r="F366" s="56"/>
      <c r="G366" s="56"/>
      <c r="H366" s="58"/>
      <c r="I366" s="58"/>
      <c r="J366" s="58"/>
    </row>
    <row r="367" spans="1:30" ht="40.200000000000003" customHeight="1" x14ac:dyDescent="0.3">
      <c r="A367" s="58"/>
      <c r="B367"/>
      <c r="C367" s="56"/>
      <c r="D367" s="55"/>
      <c r="E367" s="56"/>
      <c r="F367" s="56"/>
      <c r="G367" s="56"/>
      <c r="H367" s="58"/>
      <c r="I367" s="58"/>
      <c r="J367" s="58"/>
    </row>
    <row r="368" spans="1:30" ht="40.200000000000003" customHeight="1" x14ac:dyDescent="0.3">
      <c r="A368" s="58"/>
      <c r="B368"/>
      <c r="C368" s="56"/>
      <c r="D368" s="55"/>
      <c r="E368" s="56"/>
      <c r="F368" s="56"/>
      <c r="G368" s="56"/>
      <c r="H368" s="58"/>
      <c r="I368" s="58"/>
      <c r="J368" s="58"/>
    </row>
    <row r="369" spans="1:10" ht="40.200000000000003" customHeight="1" x14ac:dyDescent="0.3">
      <c r="A369" s="58"/>
      <c r="B369"/>
      <c r="C369" s="56"/>
      <c r="D369" s="55"/>
      <c r="E369" s="56"/>
      <c r="F369" s="56"/>
      <c r="G369" s="56"/>
      <c r="H369" s="58"/>
      <c r="I369" s="58"/>
      <c r="J369" s="58"/>
    </row>
    <row r="370" spans="1:10" ht="40.200000000000003" customHeight="1" x14ac:dyDescent="0.3">
      <c r="A370" s="58"/>
      <c r="B370"/>
      <c r="C370" s="56"/>
      <c r="D370" s="55"/>
      <c r="E370" s="56"/>
      <c r="F370" s="56"/>
      <c r="G370" s="56"/>
      <c r="H370" s="58"/>
      <c r="I370" s="58"/>
      <c r="J370" s="58"/>
    </row>
    <row r="371" spans="1:10" ht="40.200000000000003" customHeight="1" x14ac:dyDescent="0.3">
      <c r="A371" s="58"/>
      <c r="B371"/>
      <c r="C371" s="56"/>
      <c r="D371" s="55"/>
      <c r="E371" s="56"/>
      <c r="F371" s="56"/>
      <c r="G371" s="56"/>
      <c r="H371" s="58"/>
      <c r="I371" s="58"/>
      <c r="J371" s="58"/>
    </row>
    <row r="372" spans="1:10" ht="40.200000000000003" customHeight="1" x14ac:dyDescent="0.3">
      <c r="A372" s="58"/>
      <c r="B372"/>
      <c r="C372" s="56"/>
      <c r="D372" s="55"/>
      <c r="E372" s="56"/>
      <c r="F372" s="56"/>
      <c r="G372" s="56"/>
      <c r="H372" s="58"/>
      <c r="I372" s="58"/>
      <c r="J372" s="60"/>
    </row>
    <row r="373" spans="1:10" ht="40.200000000000003" customHeight="1" x14ac:dyDescent="0.3">
      <c r="B373"/>
      <c r="C373" s="56"/>
      <c r="D373" s="55"/>
      <c r="E373" s="56"/>
      <c r="F373" s="56"/>
      <c r="G373" s="56"/>
    </row>
    <row r="374" spans="1:10" ht="40.200000000000003" customHeight="1" x14ac:dyDescent="0.3">
      <c r="B374"/>
      <c r="C374" s="56"/>
      <c r="D374" s="55"/>
      <c r="E374" s="56"/>
      <c r="F374" s="56"/>
      <c r="G374" s="56"/>
    </row>
    <row r="375" spans="1:10" ht="40.200000000000003" customHeight="1" x14ac:dyDescent="0.3">
      <c r="B375"/>
      <c r="C375" s="56"/>
      <c r="D375" s="55"/>
      <c r="E375" s="56"/>
      <c r="F375" s="56"/>
      <c r="G375" s="56"/>
    </row>
    <row r="376" spans="1:10" ht="40.200000000000003" customHeight="1" x14ac:dyDescent="0.3">
      <c r="B376"/>
      <c r="C376" s="56"/>
      <c r="D376" s="55"/>
      <c r="E376" s="56"/>
      <c r="F376" s="56"/>
      <c r="G376" s="56"/>
    </row>
    <row r="377" spans="1:10" ht="40.200000000000003" customHeight="1" x14ac:dyDescent="0.3">
      <c r="B377"/>
      <c r="C377" s="56"/>
      <c r="D377" s="55"/>
      <c r="E377" s="56"/>
      <c r="F377" s="56"/>
      <c r="G377" s="56"/>
    </row>
  </sheetData>
  <sheetProtection selectLockedCells="1"/>
  <mergeCells count="20">
    <mergeCell ref="K15:L15"/>
    <mergeCell ref="P15:Q15"/>
    <mergeCell ref="K11:M11"/>
    <mergeCell ref="K12:M12"/>
    <mergeCell ref="P11:R11"/>
    <mergeCell ref="P12:R12"/>
    <mergeCell ref="U11:W11"/>
    <mergeCell ref="U12:W12"/>
    <mergeCell ref="K14:L14"/>
    <mergeCell ref="P14:Q14"/>
    <mergeCell ref="U10:W10"/>
    <mergeCell ref="F1:G1"/>
    <mergeCell ref="K2:L2"/>
    <mergeCell ref="N2:O2"/>
    <mergeCell ref="K1:AD1"/>
    <mergeCell ref="U9:X9"/>
    <mergeCell ref="K10:M10"/>
    <mergeCell ref="K9:N9"/>
    <mergeCell ref="P9:S9"/>
    <mergeCell ref="P10:R10"/>
  </mergeCells>
  <conditionalFormatting sqref="P30:P44 AE19:AE20 AE12:AE13">
    <cfRule type="cellIs" dxfId="87" priority="33" operator="equal">
      <formula>"check"</formula>
    </cfRule>
  </conditionalFormatting>
  <conditionalFormatting sqref="O30:O32">
    <cfRule type="cellIs" dxfId="86" priority="34" operator="equal">
      <formula>"check"</formula>
    </cfRule>
  </conditionalFormatting>
  <conditionalFormatting sqref="P29:T29">
    <cfRule type="cellIs" dxfId="85" priority="32" operator="equal">
      <formula>"check"</formula>
    </cfRule>
  </conditionalFormatting>
  <conditionalFormatting sqref="AE11">
    <cfRule type="cellIs" dxfId="84" priority="28" operator="equal">
      <formula>"check"</formula>
    </cfRule>
  </conditionalFormatting>
  <conditionalFormatting sqref="L7:Y7">
    <cfRule type="cellIs" dxfId="83" priority="13" operator="greaterThan">
      <formula>1.05</formula>
    </cfRule>
    <cfRule type="cellIs" dxfId="82" priority="14" operator="lessThan">
      <formula>0.95</formula>
    </cfRule>
    <cfRule type="cellIs" dxfId="81" priority="15" operator="between">
      <formula>0.95</formula>
      <formula>1.05</formula>
    </cfRule>
  </conditionalFormatting>
  <conditionalFormatting sqref="N12">
    <cfRule type="cellIs" dxfId="80" priority="7" operator="greaterThan">
      <formula>1.05</formula>
    </cfRule>
    <cfRule type="cellIs" dxfId="79" priority="8" operator="lessThan">
      <formula>0.95</formula>
    </cfRule>
    <cfRule type="cellIs" dxfId="78" priority="9" operator="between">
      <formula>0.95</formula>
      <formula>1.05</formula>
    </cfRule>
  </conditionalFormatting>
  <conditionalFormatting sqref="S12">
    <cfRule type="cellIs" dxfId="77" priority="4" operator="greaterThan">
      <formula>1.05</formula>
    </cfRule>
    <cfRule type="cellIs" dxfId="76" priority="5" operator="lessThan">
      <formula>0.95</formula>
    </cfRule>
    <cfRule type="cellIs" dxfId="75" priority="6" operator="between">
      <formula>0.95</formula>
      <formula>1.05</formula>
    </cfRule>
  </conditionalFormatting>
  <conditionalFormatting sqref="X12">
    <cfRule type="cellIs" dxfId="74" priority="1" operator="greaterThan">
      <formula>1.05</formula>
    </cfRule>
    <cfRule type="cellIs" dxfId="73" priority="2" operator="lessThan">
      <formula>0.95</formula>
    </cfRule>
    <cfRule type="cellIs" dxfId="72"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filterMode="1"/>
  <dimension ref="A1:G134"/>
  <sheetViews>
    <sheetView topLeftCell="A135" zoomScale="70" zoomScaleNormal="70" workbookViewId="0">
      <selection activeCell="F62" sqref="F62"/>
    </sheetView>
  </sheetViews>
  <sheetFormatPr defaultColWidth="8.88671875" defaultRowHeight="45" customHeight="1" x14ac:dyDescent="0.3"/>
  <cols>
    <col min="1" max="1" width="10.44140625" style="108" customWidth="1"/>
    <col min="2" max="2" width="16.6640625" style="119" bestFit="1" customWidth="1"/>
    <col min="3" max="3" width="103.33203125" style="120" customWidth="1"/>
    <col min="4" max="4" width="11.109375" style="121" customWidth="1"/>
    <col min="5" max="5" width="11.5546875" style="121" customWidth="1"/>
    <col min="6" max="6" width="11" style="121" customWidth="1"/>
    <col min="7" max="7" width="18.6640625" style="68" bestFit="1" customWidth="1"/>
    <col min="8" max="16384" width="8.88671875" style="59"/>
  </cols>
  <sheetData>
    <row r="1" spans="1:7" ht="45" customHeight="1" x14ac:dyDescent="0.3">
      <c r="A1" s="122" t="s">
        <v>3762</v>
      </c>
      <c r="B1" s="82" t="s">
        <v>3772</v>
      </c>
      <c r="C1" s="83" t="s">
        <v>3767</v>
      </c>
      <c r="D1" s="127"/>
      <c r="E1" s="87" t="s">
        <v>3773</v>
      </c>
      <c r="F1" s="89"/>
    </row>
    <row r="2" spans="1:7" ht="45" hidden="1" customHeight="1" x14ac:dyDescent="0.3">
      <c r="A2" s="123"/>
      <c r="B2" s="93" t="s">
        <v>124</v>
      </c>
      <c r="C2" s="91" t="s">
        <v>3768</v>
      </c>
      <c r="D2" s="84"/>
      <c r="E2" s="88"/>
      <c r="F2" s="133">
        <f ca="1">_xlfn.IFNA(VLOOKUP(B2,Worksheet!$C$3:$G$12,5,FALSE),F2)</f>
        <v>0</v>
      </c>
      <c r="G2" s="64" t="s">
        <v>124</v>
      </c>
    </row>
    <row r="3" spans="1:7" ht="45" hidden="1" customHeight="1" x14ac:dyDescent="0.3">
      <c r="A3" s="123"/>
      <c r="B3" s="124" t="s">
        <v>3774</v>
      </c>
      <c r="C3" s="91" t="s">
        <v>3769</v>
      </c>
      <c r="D3" s="84"/>
      <c r="E3" s="88"/>
      <c r="F3" s="133">
        <f ca="1">_xlfn.IFNA(VLOOKUP(B3,Worksheet!$C$3:$G$12,5,FALSE),F3)</f>
        <v>0</v>
      </c>
      <c r="G3" s="64" t="s">
        <v>124</v>
      </c>
    </row>
    <row r="4" spans="1:7" ht="45" hidden="1" customHeight="1" x14ac:dyDescent="0.3">
      <c r="A4" s="123"/>
      <c r="B4" s="124" t="s">
        <v>3775</v>
      </c>
      <c r="C4" s="91" t="s">
        <v>3770</v>
      </c>
      <c r="D4" s="84"/>
      <c r="E4" s="88"/>
      <c r="F4" s="133">
        <f ca="1">_xlfn.IFNA(VLOOKUP(B4,Worksheet!$C$3:$G$12,5,FALSE),F4)</f>
        <v>0</v>
      </c>
      <c r="G4" s="64" t="s">
        <v>124</v>
      </c>
    </row>
    <row r="5" spans="1:7" ht="45" hidden="1" customHeight="1" x14ac:dyDescent="0.3">
      <c r="A5" s="123"/>
      <c r="B5" s="124" t="s">
        <v>3776</v>
      </c>
      <c r="C5" s="91" t="s">
        <v>3815</v>
      </c>
      <c r="D5" s="84"/>
      <c r="E5" s="88"/>
      <c r="F5" s="133">
        <f ca="1">_xlfn.IFNA(VLOOKUP(B5,Worksheet!$C$3:$G$12,5,FALSE),F5)</f>
        <v>0</v>
      </c>
      <c r="G5" s="64" t="s">
        <v>124</v>
      </c>
    </row>
    <row r="6" spans="1:7" ht="45" hidden="1" customHeight="1" x14ac:dyDescent="0.3">
      <c r="A6" s="123"/>
      <c r="B6" s="85" t="s">
        <v>3858</v>
      </c>
      <c r="C6" s="131" t="s">
        <v>3859</v>
      </c>
      <c r="D6" s="90" t="s">
        <v>3927</v>
      </c>
      <c r="E6" s="90" t="s">
        <v>3928</v>
      </c>
      <c r="F6" s="90" t="s">
        <v>3929</v>
      </c>
      <c r="G6" s="64" t="s">
        <v>124</v>
      </c>
    </row>
    <row r="7" spans="1:7" ht="45" hidden="1" customHeight="1" x14ac:dyDescent="0.3">
      <c r="A7" s="123"/>
      <c r="B7" s="85">
        <v>211</v>
      </c>
      <c r="C7" s="132" t="s">
        <v>3860</v>
      </c>
      <c r="D7" s="76">
        <f ca="1">_xlfn.IFNA(VLOOKUP(B7,Worksheet!$C$3:$G$12,3,FALSE),D7)</f>
        <v>0</v>
      </c>
      <c r="E7" s="133">
        <f ca="1">_xlfn.IFNA(VLOOKUP(B7,Worksheet!$C$3:$G$12,4,FALSE),E7)</f>
        <v>0</v>
      </c>
      <c r="F7" s="133">
        <f ca="1">_xlfn.IFNA(VLOOKUP(B7,Worksheet!$C$3:$G$12,5,FALSE),F7)</f>
        <v>0</v>
      </c>
      <c r="G7" s="64" t="s">
        <v>124</v>
      </c>
    </row>
    <row r="8" spans="1:7" ht="45" hidden="1" customHeight="1" x14ac:dyDescent="0.3">
      <c r="A8" s="123"/>
      <c r="B8" s="85">
        <v>212</v>
      </c>
      <c r="C8" s="132" t="s">
        <v>3861</v>
      </c>
      <c r="D8" s="76">
        <f ca="1">_xlfn.IFNA(VLOOKUP(B8,Worksheet!$C$3:$G$12,3,FALSE),D8)</f>
        <v>0</v>
      </c>
      <c r="E8" s="133">
        <f ca="1">_xlfn.IFNA(VLOOKUP(B8,Worksheet!$C$3:$G$12,4,FALSE),E8)</f>
        <v>0</v>
      </c>
      <c r="F8" s="133">
        <f ca="1">_xlfn.IFNA(VLOOKUP(B8,Worksheet!$C$3:$G$12,5,FALSE),F8)</f>
        <v>0</v>
      </c>
      <c r="G8" s="64" t="s">
        <v>124</v>
      </c>
    </row>
    <row r="9" spans="1:7" ht="45" hidden="1" customHeight="1" x14ac:dyDescent="0.3">
      <c r="A9" s="123"/>
      <c r="B9" s="85">
        <v>213</v>
      </c>
      <c r="C9" s="132" t="s">
        <v>3862</v>
      </c>
      <c r="D9" s="76">
        <f ca="1">_xlfn.IFNA(VLOOKUP(B9,Worksheet!$C$3:$G$12,3,FALSE),D9)</f>
        <v>0</v>
      </c>
      <c r="E9" s="133">
        <f ca="1">_xlfn.IFNA(VLOOKUP(B9,Worksheet!$C$3:$G$12,4,FALSE),E9)</f>
        <v>0</v>
      </c>
      <c r="F9" s="133">
        <f ca="1">_xlfn.IFNA(VLOOKUP(B9,Worksheet!$C$3:$G$12,5,FALSE),F9)</f>
        <v>0</v>
      </c>
      <c r="G9" s="64" t="s">
        <v>124</v>
      </c>
    </row>
    <row r="10" spans="1:7" ht="45" hidden="1" customHeight="1" x14ac:dyDescent="0.3">
      <c r="A10" s="123"/>
      <c r="B10" s="85">
        <v>214</v>
      </c>
      <c r="C10" s="132" t="s">
        <v>3863</v>
      </c>
      <c r="D10" s="76">
        <f ca="1">_xlfn.IFNA(VLOOKUP(B10,Worksheet!$C$3:$G$12,3,FALSE),D10)</f>
        <v>0</v>
      </c>
      <c r="E10" s="133">
        <f ca="1">_xlfn.IFNA(VLOOKUP(B10,Worksheet!$C$3:$G$12,4,FALSE),E10)</f>
        <v>0</v>
      </c>
      <c r="F10" s="133">
        <f ca="1">_xlfn.IFNA(VLOOKUP(B10,Worksheet!$C$3:$G$12,5,FALSE),F10)</f>
        <v>0</v>
      </c>
      <c r="G10" s="64" t="s">
        <v>124</v>
      </c>
    </row>
    <row r="11" spans="1:7" ht="45" hidden="1" customHeight="1" x14ac:dyDescent="0.3">
      <c r="A11" s="123"/>
      <c r="B11" s="70"/>
      <c r="C11" s="311"/>
      <c r="D11" s="312"/>
      <c r="E11" s="312"/>
      <c r="F11" s="313"/>
      <c r="G11" s="64"/>
    </row>
    <row r="12" spans="1:7" ht="45" hidden="1" customHeight="1" x14ac:dyDescent="0.3">
      <c r="A12" s="123"/>
      <c r="B12" s="125" t="s">
        <v>68</v>
      </c>
      <c r="C12" s="91" t="s">
        <v>3825</v>
      </c>
      <c r="D12" s="84"/>
      <c r="E12" s="88"/>
      <c r="F12" s="133">
        <f ca="1">_xlfn.IFNA(VLOOKUP(B12,Worksheet!$C$3:$G$12,5,FALSE),F12)</f>
        <v>0</v>
      </c>
      <c r="G12" s="64" t="s">
        <v>68</v>
      </c>
    </row>
    <row r="13" spans="1:7" ht="45" hidden="1" customHeight="1" x14ac:dyDescent="0.3">
      <c r="A13" s="123"/>
      <c r="B13" s="126" t="s">
        <v>3777</v>
      </c>
      <c r="C13" s="91" t="s">
        <v>3764</v>
      </c>
      <c r="D13" s="84"/>
      <c r="E13" s="88"/>
      <c r="F13" s="133">
        <f ca="1">_xlfn.IFNA(VLOOKUP(B13,Worksheet!$C$3:$G$12,5,FALSE),F13)</f>
        <v>0</v>
      </c>
      <c r="G13" s="64" t="s">
        <v>68</v>
      </c>
    </row>
    <row r="14" spans="1:7" ht="45" hidden="1" customHeight="1" x14ac:dyDescent="0.3">
      <c r="A14" s="123"/>
      <c r="B14" s="126" t="s">
        <v>3778</v>
      </c>
      <c r="C14" s="91" t="s">
        <v>3765</v>
      </c>
      <c r="D14" s="84"/>
      <c r="E14" s="88"/>
      <c r="F14" s="133">
        <f ca="1">_xlfn.IFNA(VLOOKUP(B14,Worksheet!$C$3:$G$12,5,FALSE),F14)</f>
        <v>0</v>
      </c>
      <c r="G14" s="64" t="s">
        <v>68</v>
      </c>
    </row>
    <row r="15" spans="1:7" ht="45" hidden="1" customHeight="1" x14ac:dyDescent="0.3">
      <c r="A15" s="123"/>
      <c r="B15" s="82" t="s">
        <v>3864</v>
      </c>
      <c r="C15" s="131" t="s">
        <v>3865</v>
      </c>
      <c r="D15" s="90" t="s">
        <v>3927</v>
      </c>
      <c r="E15" s="90" t="s">
        <v>3928</v>
      </c>
      <c r="F15" s="90" t="s">
        <v>3929</v>
      </c>
      <c r="G15" s="64" t="s">
        <v>68</v>
      </c>
    </row>
    <row r="16" spans="1:7" ht="45" hidden="1" customHeight="1" x14ac:dyDescent="0.3">
      <c r="A16" s="123"/>
      <c r="B16" s="85">
        <v>221</v>
      </c>
      <c r="C16" s="134" t="s">
        <v>3866</v>
      </c>
      <c r="D16" s="76">
        <f ca="1">_xlfn.IFNA(VLOOKUP(B16,Worksheet!$C$3:$G$12,3,FALSE),D16)</f>
        <v>0</v>
      </c>
      <c r="E16" s="133">
        <f ca="1">_xlfn.IFNA(VLOOKUP(B16,Worksheet!$C$3:$G$12,4,FALSE),E16)</f>
        <v>0</v>
      </c>
      <c r="F16" s="133">
        <f ca="1">_xlfn.IFNA(VLOOKUP(B16,Worksheet!$C$3:$G$12,5,FALSE),F16)</f>
        <v>0</v>
      </c>
      <c r="G16" s="64" t="s">
        <v>68</v>
      </c>
    </row>
    <row r="17" spans="1:7" s="69" customFormat="1" ht="45" hidden="1" customHeight="1" x14ac:dyDescent="0.3">
      <c r="A17" s="123"/>
      <c r="B17" s="85">
        <v>222</v>
      </c>
      <c r="C17" s="134" t="s">
        <v>3926</v>
      </c>
      <c r="D17" s="76">
        <f ca="1">_xlfn.IFNA(VLOOKUP(B17,Worksheet!$C$3:$G$12,3,FALSE),D17)</f>
        <v>0</v>
      </c>
      <c r="E17" s="133">
        <f ca="1">_xlfn.IFNA(VLOOKUP(B17,Worksheet!$C$3:$G$12,4,FALSE),E17)</f>
        <v>0</v>
      </c>
      <c r="F17" s="133">
        <f ca="1">_xlfn.IFNA(VLOOKUP(B17,Worksheet!$C$3:$G$12,5,FALSE),F17)</f>
        <v>0</v>
      </c>
      <c r="G17" s="64" t="s">
        <v>68</v>
      </c>
    </row>
    <row r="18" spans="1:7" s="69" customFormat="1" ht="45" hidden="1" customHeight="1" x14ac:dyDescent="0.3">
      <c r="A18" s="123"/>
      <c r="B18" s="85">
        <v>223</v>
      </c>
      <c r="C18" s="134" t="s">
        <v>3867</v>
      </c>
      <c r="D18" s="76">
        <f ca="1">_xlfn.IFNA(VLOOKUP(B18,Worksheet!$C$3:$G$12,3,FALSE),D18)</f>
        <v>0</v>
      </c>
      <c r="E18" s="133">
        <f ca="1">_xlfn.IFNA(VLOOKUP(B18,Worksheet!$C$3:$G$12,4,FALSE),E18)</f>
        <v>0</v>
      </c>
      <c r="F18" s="133">
        <f ca="1">_xlfn.IFNA(VLOOKUP(B18,Worksheet!$C$3:$G$12,5,FALSE),F18)</f>
        <v>0</v>
      </c>
      <c r="G18" s="64" t="s">
        <v>68</v>
      </c>
    </row>
    <row r="19" spans="1:7" s="69" customFormat="1" ht="45" hidden="1" customHeight="1" x14ac:dyDescent="0.3">
      <c r="A19" s="123"/>
      <c r="B19" s="85">
        <v>224</v>
      </c>
      <c r="C19" s="134" t="s">
        <v>3868</v>
      </c>
      <c r="D19" s="76">
        <f ca="1">_xlfn.IFNA(VLOOKUP(B19,Worksheet!$C$3:$G$12,3,FALSE),D19)</f>
        <v>0</v>
      </c>
      <c r="E19" s="133">
        <f ca="1">_xlfn.IFNA(VLOOKUP(B19,Worksheet!$C$3:$G$12,4,FALSE),E19)</f>
        <v>0</v>
      </c>
      <c r="F19" s="133">
        <f ca="1">_xlfn.IFNA(VLOOKUP(B19,Worksheet!$C$3:$G$12,5,FALSE),F19)</f>
        <v>0</v>
      </c>
      <c r="G19" s="64" t="s">
        <v>68</v>
      </c>
    </row>
    <row r="20" spans="1:7" ht="45" hidden="1" customHeight="1" x14ac:dyDescent="0.3">
      <c r="A20" s="123"/>
      <c r="B20" s="85">
        <v>225</v>
      </c>
      <c r="C20" s="86" t="s">
        <v>3869</v>
      </c>
      <c r="D20" s="76">
        <f ca="1">_xlfn.IFNA(VLOOKUP(B20,Worksheet!$C$3:$G$12,3,FALSE),D20)</f>
        <v>0</v>
      </c>
      <c r="E20" s="133">
        <f ca="1">_xlfn.IFNA(VLOOKUP(B20,Worksheet!$C$3:$G$12,4,FALSE),E20)</f>
        <v>0</v>
      </c>
      <c r="F20" s="133">
        <f ca="1">_xlfn.IFNA(VLOOKUP(B20,Worksheet!$C$3:$G$12,5,FALSE),F20)</f>
        <v>0</v>
      </c>
      <c r="G20" s="64" t="s">
        <v>68</v>
      </c>
    </row>
    <row r="21" spans="1:7" ht="45" hidden="1" customHeight="1" x14ac:dyDescent="0.3">
      <c r="A21" s="123"/>
      <c r="B21" s="85">
        <v>226</v>
      </c>
      <c r="C21" s="134" t="s">
        <v>3870</v>
      </c>
      <c r="D21" s="76">
        <f ca="1">_xlfn.IFNA(VLOOKUP(B21,Worksheet!$C$3:$G$12,3,FALSE),D21)</f>
        <v>0</v>
      </c>
      <c r="E21" s="133">
        <f ca="1">_xlfn.IFNA(VLOOKUP(B21,Worksheet!$C$3:$G$12,4,FALSE),E21)</f>
        <v>0</v>
      </c>
      <c r="F21" s="133">
        <f ca="1">_xlfn.IFNA(VLOOKUP(B21,Worksheet!$C$3:$G$12,5,FALSE),F21)</f>
        <v>0</v>
      </c>
      <c r="G21" s="64" t="s">
        <v>68</v>
      </c>
    </row>
    <row r="22" spans="1:7" ht="45" hidden="1" customHeight="1" x14ac:dyDescent="0.3">
      <c r="A22" s="123"/>
      <c r="B22" s="70"/>
      <c r="C22" s="311"/>
      <c r="D22" s="312"/>
      <c r="E22" s="312"/>
      <c r="F22" s="313"/>
      <c r="G22" s="72"/>
    </row>
    <row r="23" spans="1:7" ht="45" hidden="1" customHeight="1" x14ac:dyDescent="0.3">
      <c r="A23" s="123"/>
      <c r="B23" s="82" t="s">
        <v>127</v>
      </c>
      <c r="C23" s="91" t="s">
        <v>3826</v>
      </c>
      <c r="D23" s="83"/>
      <c r="E23" s="83"/>
      <c r="F23" s="133">
        <f ca="1">_xlfn.IFNA(VLOOKUP(B23,Worksheet!$C$3:$G$12,5,FALSE),F23)</f>
        <v>0</v>
      </c>
      <c r="G23" s="72" t="s">
        <v>127</v>
      </c>
    </row>
    <row r="24" spans="1:7" ht="45" hidden="1" customHeight="1" x14ac:dyDescent="0.3">
      <c r="A24" s="123"/>
      <c r="B24" s="82" t="s">
        <v>3858</v>
      </c>
      <c r="C24" s="131" t="s">
        <v>3871</v>
      </c>
      <c r="D24" s="90" t="s">
        <v>3927</v>
      </c>
      <c r="E24" s="90" t="s">
        <v>3928</v>
      </c>
      <c r="F24" s="90" t="s">
        <v>3929</v>
      </c>
      <c r="G24" s="72" t="s">
        <v>127</v>
      </c>
    </row>
    <row r="25" spans="1:7" ht="45" hidden="1" customHeight="1" x14ac:dyDescent="0.3">
      <c r="A25" s="123"/>
      <c r="B25" s="85">
        <v>231</v>
      </c>
      <c r="C25" s="134" t="s">
        <v>3824</v>
      </c>
      <c r="D25" s="76">
        <f ca="1">_xlfn.IFNA(VLOOKUP(B25,Worksheet!$C$3:$G$12,3,FALSE),D25)</f>
        <v>0</v>
      </c>
      <c r="E25" s="133">
        <f ca="1">_xlfn.IFNA(VLOOKUP(B25,Worksheet!$C$3:$G$12,4,FALSE),E25)</f>
        <v>0</v>
      </c>
      <c r="F25" s="133">
        <f ca="1">_xlfn.IFNA(VLOOKUP(B25,Worksheet!$C$3:$G$12,5,FALSE),F25)</f>
        <v>0</v>
      </c>
      <c r="G25" s="72" t="s">
        <v>127</v>
      </c>
    </row>
    <row r="26" spans="1:7" ht="45" hidden="1" customHeight="1" x14ac:dyDescent="0.3">
      <c r="A26" s="123"/>
      <c r="B26" s="85">
        <v>232</v>
      </c>
      <c r="C26" s="134" t="s">
        <v>3925</v>
      </c>
      <c r="D26" s="76">
        <f ca="1">_xlfn.IFNA(VLOOKUP(B26,Worksheet!$C$3:$G$12,3,FALSE),D26)</f>
        <v>0</v>
      </c>
      <c r="E26" s="133">
        <f ca="1">_xlfn.IFNA(VLOOKUP(B26,Worksheet!$C$3:$G$12,4,FALSE),E26)</f>
        <v>0</v>
      </c>
      <c r="F26" s="133">
        <f ca="1">_xlfn.IFNA(VLOOKUP(B26,Worksheet!$C$3:$G$12,5,FALSE),F26)</f>
        <v>0</v>
      </c>
      <c r="G26" s="72" t="s">
        <v>127</v>
      </c>
    </row>
    <row r="27" spans="1:7" ht="45" hidden="1" customHeight="1" x14ac:dyDescent="0.3">
      <c r="A27" s="135"/>
      <c r="B27" s="136"/>
      <c r="C27" s="311"/>
      <c r="D27" s="312"/>
      <c r="E27" s="312"/>
      <c r="F27" s="313"/>
      <c r="G27" s="137"/>
    </row>
    <row r="28" spans="1:7" ht="45" customHeight="1" x14ac:dyDescent="0.3">
      <c r="A28" s="123"/>
      <c r="B28" s="82" t="s">
        <v>69</v>
      </c>
      <c r="C28" s="91" t="s">
        <v>3827</v>
      </c>
      <c r="D28" s="84"/>
      <c r="E28" s="88"/>
      <c r="F28" s="133">
        <f ca="1">_xlfn.IFNA(VLOOKUP(B28,Worksheet!$C$3:$G$12,5,FALSE),F28)</f>
        <v>0</v>
      </c>
      <c r="G28" s="64" t="s">
        <v>69</v>
      </c>
    </row>
    <row r="29" spans="1:7" ht="45" customHeight="1" x14ac:dyDescent="0.3">
      <c r="A29" s="123"/>
      <c r="B29" s="92" t="s">
        <v>3872</v>
      </c>
      <c r="C29" s="131" t="s">
        <v>3873</v>
      </c>
      <c r="D29" s="90" t="s">
        <v>3927</v>
      </c>
      <c r="E29" s="90" t="s">
        <v>3928</v>
      </c>
      <c r="F29" s="90" t="s">
        <v>3929</v>
      </c>
      <c r="G29" s="64" t="s">
        <v>69</v>
      </c>
    </row>
    <row r="30" spans="1:7" ht="45" customHeight="1" x14ac:dyDescent="0.3">
      <c r="A30" s="123"/>
      <c r="B30" s="85">
        <v>241</v>
      </c>
      <c r="C30" s="134" t="s">
        <v>3874</v>
      </c>
      <c r="D30" s="76">
        <f ca="1">_xlfn.IFNA(VLOOKUP(B30,Worksheet!$C$3:$G$12,3,FALSE),D30)</f>
        <v>0</v>
      </c>
      <c r="E30" s="133">
        <f ca="1">_xlfn.IFNA(VLOOKUP(B30,Worksheet!$C$3:$G$12,4,FALSE),E30)</f>
        <v>0</v>
      </c>
      <c r="F30" s="133">
        <f ca="1">_xlfn.IFNA(VLOOKUP(B30,Worksheet!$C$3:$G$12,5,FALSE),F30)</f>
        <v>0</v>
      </c>
      <c r="G30" s="64" t="s">
        <v>69</v>
      </c>
    </row>
    <row r="31" spans="1:7" ht="45" customHeight="1" x14ac:dyDescent="0.3">
      <c r="A31" s="123"/>
      <c r="B31" s="85">
        <v>242</v>
      </c>
      <c r="C31" s="134" t="s">
        <v>3875</v>
      </c>
      <c r="D31" s="76">
        <f ca="1">_xlfn.IFNA(VLOOKUP(B31,Worksheet!$C$3:$G$12,3,FALSE),D31)</f>
        <v>0</v>
      </c>
      <c r="E31" s="133">
        <f ca="1">_xlfn.IFNA(VLOOKUP(B31,Worksheet!$C$3:$G$12,4,FALSE),E31)</f>
        <v>0</v>
      </c>
      <c r="F31" s="133">
        <f ca="1">_xlfn.IFNA(VLOOKUP(B31,Worksheet!$C$3:$G$12,5,FALSE),F31)</f>
        <v>0</v>
      </c>
      <c r="G31" s="64" t="s">
        <v>69</v>
      </c>
    </row>
    <row r="32" spans="1:7" ht="45" hidden="1" customHeight="1" x14ac:dyDescent="0.3">
      <c r="A32" s="135"/>
      <c r="B32" s="136"/>
      <c r="C32" s="311"/>
      <c r="D32" s="312"/>
      <c r="E32" s="312"/>
      <c r="F32" s="313"/>
      <c r="G32" s="138"/>
    </row>
    <row r="33" spans="1:7" s="73" customFormat="1" ht="45" hidden="1" customHeight="1" x14ac:dyDescent="0.3">
      <c r="A33" s="123"/>
      <c r="B33" s="93" t="s">
        <v>71</v>
      </c>
      <c r="C33" s="139" t="s">
        <v>3771</v>
      </c>
      <c r="D33" s="140"/>
      <c r="E33" s="141"/>
      <c r="F33" s="133">
        <f ca="1">_xlfn.IFNA(VLOOKUP(B33,Worksheet!$C$3:$G$12,5,FALSE),F33)</f>
        <v>0</v>
      </c>
      <c r="G33" s="64" t="s">
        <v>71</v>
      </c>
    </row>
    <row r="34" spans="1:7" s="73" customFormat="1" ht="45" hidden="1" customHeight="1" x14ac:dyDescent="0.3">
      <c r="A34" s="123"/>
      <c r="B34" s="142" t="s">
        <v>3864</v>
      </c>
      <c r="C34" s="143" t="s">
        <v>3876</v>
      </c>
      <c r="D34" s="90" t="s">
        <v>3927</v>
      </c>
      <c r="E34" s="90" t="s">
        <v>3928</v>
      </c>
      <c r="F34" s="90" t="s">
        <v>3929</v>
      </c>
      <c r="G34" s="64" t="s">
        <v>71</v>
      </c>
    </row>
    <row r="35" spans="1:7" s="73" customFormat="1" ht="45" hidden="1" customHeight="1" x14ac:dyDescent="0.3">
      <c r="A35" s="123"/>
      <c r="B35" s="85">
        <v>251</v>
      </c>
      <c r="C35" s="134" t="s">
        <v>3877</v>
      </c>
      <c r="D35" s="76">
        <f ca="1">_xlfn.IFNA(VLOOKUP(B35,Worksheet!$C$3:$G$12,3,FALSE),D35)</f>
        <v>0</v>
      </c>
      <c r="E35" s="133">
        <f ca="1">_xlfn.IFNA(VLOOKUP(B35,Worksheet!$C$3:$G$12,4,FALSE),E35)</f>
        <v>0</v>
      </c>
      <c r="F35" s="133">
        <f ca="1">_xlfn.IFNA(VLOOKUP(B35,Worksheet!$C$3:$G$12,5,FALSE),F35)</f>
        <v>0</v>
      </c>
      <c r="G35" s="64" t="s">
        <v>71</v>
      </c>
    </row>
    <row r="36" spans="1:7" s="73" customFormat="1" ht="45" hidden="1" customHeight="1" x14ac:dyDescent="0.3">
      <c r="A36" s="123"/>
      <c r="B36" s="85">
        <v>252</v>
      </c>
      <c r="C36" s="134" t="s">
        <v>3878</v>
      </c>
      <c r="D36" s="76">
        <f ca="1">_xlfn.IFNA(VLOOKUP(B36,Worksheet!$C$3:$G$12,3,FALSE),D36)</f>
        <v>0</v>
      </c>
      <c r="E36" s="133">
        <f ca="1">_xlfn.IFNA(VLOOKUP(B36,Worksheet!$C$3:$G$12,4,FALSE),E36)</f>
        <v>0</v>
      </c>
      <c r="F36" s="133">
        <f ca="1">_xlfn.IFNA(VLOOKUP(B36,Worksheet!$C$3:$G$12,5,FALSE),F36)</f>
        <v>0</v>
      </c>
      <c r="G36" s="64" t="s">
        <v>71</v>
      </c>
    </row>
    <row r="37" spans="1:7" s="73" customFormat="1" ht="45" hidden="1" customHeight="1" x14ac:dyDescent="0.3">
      <c r="A37" s="123"/>
      <c r="B37" s="70"/>
      <c r="C37" s="314"/>
      <c r="D37" s="315"/>
      <c r="E37" s="315"/>
      <c r="F37" s="316"/>
      <c r="G37" s="64"/>
    </row>
    <row r="38" spans="1:7" s="73" customFormat="1" ht="45" hidden="1" customHeight="1" x14ac:dyDescent="0.3">
      <c r="A38" s="123"/>
      <c r="B38" s="70"/>
      <c r="C38" s="304"/>
      <c r="D38" s="306"/>
      <c r="E38" s="306"/>
      <c r="F38" s="307"/>
      <c r="G38" s="64"/>
    </row>
    <row r="39" spans="1:7" s="73" customFormat="1" ht="45" hidden="1" customHeight="1" x14ac:dyDescent="0.3">
      <c r="A39" s="123"/>
      <c r="B39" s="82" t="s">
        <v>3816</v>
      </c>
      <c r="C39" s="208" t="s">
        <v>3828</v>
      </c>
      <c r="D39" s="206"/>
      <c r="E39" s="209"/>
      <c r="F39" s="210">
        <f ca="1">_xlfn.IFNA(VLOOKUP(B39,Worksheet!$C$3:$G$12,5,FALSE),F39)</f>
        <v>0</v>
      </c>
      <c r="G39" s="64" t="s">
        <v>3816</v>
      </c>
    </row>
    <row r="40" spans="1:7" s="73" customFormat="1" ht="45" hidden="1" customHeight="1" x14ac:dyDescent="0.3">
      <c r="A40" s="123"/>
      <c r="B40" s="82" t="s">
        <v>3872</v>
      </c>
      <c r="C40" s="143" t="s">
        <v>3879</v>
      </c>
      <c r="D40" s="207"/>
      <c r="E40" s="205"/>
      <c r="F40" s="211" t="s">
        <v>3930</v>
      </c>
      <c r="G40" s="64" t="s">
        <v>3816</v>
      </c>
    </row>
    <row r="41" spans="1:7" s="77" customFormat="1" ht="45" hidden="1" customHeight="1" x14ac:dyDescent="0.3">
      <c r="A41" s="123"/>
      <c r="B41" s="85">
        <v>261</v>
      </c>
      <c r="C41" s="134" t="s">
        <v>3880</v>
      </c>
      <c r="D41" s="207"/>
      <c r="E41" s="205"/>
      <c r="F41" s="133">
        <f ca="1">_xlfn.IFNA(VLOOKUP(B41,Worksheet!$C$3:$G$12,5,FALSE),F41)</f>
        <v>0</v>
      </c>
      <c r="G41" s="64" t="s">
        <v>3816</v>
      </c>
    </row>
    <row r="42" spans="1:7" s="73" customFormat="1" ht="45" hidden="1" customHeight="1" x14ac:dyDescent="0.3">
      <c r="A42" s="123"/>
      <c r="B42" s="85">
        <v>262</v>
      </c>
      <c r="C42" s="134" t="s">
        <v>3881</v>
      </c>
      <c r="D42" s="207"/>
      <c r="E42" s="205"/>
      <c r="F42" s="133">
        <f ca="1">_xlfn.IFNA(VLOOKUP(B42,Worksheet!$C$3:$G$12,5,FALSE),F42)</f>
        <v>0</v>
      </c>
      <c r="G42" s="64" t="s">
        <v>3816</v>
      </c>
    </row>
    <row r="43" spans="1:7" s="73" customFormat="1" ht="45" hidden="1" customHeight="1" x14ac:dyDescent="0.3">
      <c r="A43" s="123"/>
      <c r="B43" s="85">
        <v>263</v>
      </c>
      <c r="C43" s="134" t="s">
        <v>3882</v>
      </c>
      <c r="D43" s="207"/>
      <c r="E43" s="205"/>
      <c r="F43" s="133">
        <f ca="1">_xlfn.IFNA(VLOOKUP(B43,Worksheet!$C$3:$G$12,5,FALSE),F43)</f>
        <v>0</v>
      </c>
      <c r="G43" s="64" t="s">
        <v>3816</v>
      </c>
    </row>
    <row r="44" spans="1:7" s="73" customFormat="1" ht="45" hidden="1" customHeight="1" x14ac:dyDescent="0.3">
      <c r="A44" s="123"/>
      <c r="B44" s="70"/>
      <c r="C44" s="304"/>
      <c r="D44" s="305"/>
      <c r="E44" s="306"/>
      <c r="F44" s="307"/>
      <c r="G44" s="74"/>
    </row>
    <row r="45" spans="1:7" s="73" customFormat="1" ht="45" hidden="1" customHeight="1" x14ac:dyDescent="0.3">
      <c r="A45" s="123"/>
      <c r="B45" s="82" t="s">
        <v>3817</v>
      </c>
      <c r="C45" s="91" t="s">
        <v>3883</v>
      </c>
      <c r="D45" s="206"/>
      <c r="E45" s="209"/>
      <c r="F45" s="133">
        <f ca="1">_xlfn.IFNA(VLOOKUP(B45,Worksheet!$C$3:$G$12,5,FALSE),F45)</f>
        <v>0</v>
      </c>
      <c r="G45" s="74" t="s">
        <v>3819</v>
      </c>
    </row>
    <row r="46" spans="1:7" s="73" customFormat="1" ht="45" hidden="1" customHeight="1" x14ac:dyDescent="0.3">
      <c r="A46" s="123"/>
      <c r="B46" s="82" t="s">
        <v>3872</v>
      </c>
      <c r="C46" s="143" t="s">
        <v>3884</v>
      </c>
      <c r="D46" s="207"/>
      <c r="E46" s="205"/>
      <c r="F46" s="211" t="s">
        <v>3930</v>
      </c>
      <c r="G46" s="74" t="s">
        <v>3819</v>
      </c>
    </row>
    <row r="47" spans="1:7" s="73" customFormat="1" ht="45" hidden="1" customHeight="1" x14ac:dyDescent="0.3">
      <c r="A47" s="123"/>
      <c r="B47" s="85">
        <v>271</v>
      </c>
      <c r="C47" s="134" t="s">
        <v>3885</v>
      </c>
      <c r="D47" s="207"/>
      <c r="E47" s="205"/>
      <c r="F47" s="133">
        <f ca="1">_xlfn.IFNA(VLOOKUP(B47,Worksheet!$C$3:$G$12,5,FALSE),F47)</f>
        <v>0</v>
      </c>
      <c r="G47" s="74" t="s">
        <v>3819</v>
      </c>
    </row>
    <row r="48" spans="1:7" s="73" customFormat="1" ht="45" hidden="1" customHeight="1" x14ac:dyDescent="0.3">
      <c r="A48" s="123"/>
      <c r="B48" s="85">
        <v>272</v>
      </c>
      <c r="C48" s="134" t="s">
        <v>3881</v>
      </c>
      <c r="D48" s="207"/>
      <c r="E48" s="205"/>
      <c r="F48" s="133">
        <f ca="1">_xlfn.IFNA(VLOOKUP(B48,Worksheet!$C$3:$G$12,5,FALSE),F48)</f>
        <v>0</v>
      </c>
      <c r="G48" s="74" t="s">
        <v>3819</v>
      </c>
    </row>
    <row r="49" spans="1:7" s="73" customFormat="1" ht="45" hidden="1" customHeight="1" x14ac:dyDescent="0.3">
      <c r="A49" s="123"/>
      <c r="B49" s="70"/>
      <c r="C49" s="304"/>
      <c r="D49" s="306"/>
      <c r="E49" s="306"/>
      <c r="F49" s="307"/>
      <c r="G49" s="74"/>
    </row>
    <row r="50" spans="1:7" s="73" customFormat="1" ht="45" hidden="1" customHeight="1" x14ac:dyDescent="0.3">
      <c r="A50" s="123"/>
      <c r="B50" s="82" t="s">
        <v>3818</v>
      </c>
      <c r="C50" s="91" t="s">
        <v>3820</v>
      </c>
      <c r="D50" s="84"/>
      <c r="E50" s="88"/>
      <c r="F50" s="133">
        <f ca="1">_xlfn.IFNA(VLOOKUP(B50,Worksheet!$C$3:$G$12,5,FALSE),F50)</f>
        <v>0</v>
      </c>
      <c r="G50" s="74" t="s">
        <v>3818</v>
      </c>
    </row>
    <row r="51" spans="1:7" s="73" customFormat="1" ht="45" hidden="1" customHeight="1" x14ac:dyDescent="0.3">
      <c r="A51" s="123"/>
      <c r="B51" s="82" t="s">
        <v>3872</v>
      </c>
      <c r="C51" s="143" t="s">
        <v>3886</v>
      </c>
      <c r="D51" s="207"/>
      <c r="E51" s="205"/>
      <c r="F51" s="211" t="s">
        <v>3930</v>
      </c>
      <c r="G51" s="74" t="s">
        <v>3818</v>
      </c>
    </row>
    <row r="52" spans="1:7" s="73" customFormat="1" ht="45" hidden="1" customHeight="1" x14ac:dyDescent="0.3">
      <c r="A52" s="123"/>
      <c r="B52" s="85">
        <v>281</v>
      </c>
      <c r="C52" s="134" t="s">
        <v>3887</v>
      </c>
      <c r="D52" s="207"/>
      <c r="E52" s="205"/>
      <c r="F52" s="133">
        <f ca="1">_xlfn.IFNA(VLOOKUP(B52,Worksheet!$C$3:$G$12,5,FALSE),F52)</f>
        <v>0</v>
      </c>
      <c r="G52" s="74" t="s">
        <v>3818</v>
      </c>
    </row>
    <row r="53" spans="1:7" s="73" customFormat="1" ht="45" hidden="1" customHeight="1" x14ac:dyDescent="0.3">
      <c r="A53" s="123"/>
      <c r="B53" s="85">
        <v>282</v>
      </c>
      <c r="C53" s="134" t="s">
        <v>3888</v>
      </c>
      <c r="D53" s="207"/>
      <c r="E53" s="205"/>
      <c r="F53" s="133">
        <f ca="1">_xlfn.IFNA(VLOOKUP(B53,Worksheet!$C$3:$G$12,5,FALSE),F53)</f>
        <v>0</v>
      </c>
      <c r="G53" s="74" t="s">
        <v>3818</v>
      </c>
    </row>
    <row r="54" spans="1:7" s="73" customFormat="1" ht="51" hidden="1" customHeight="1" x14ac:dyDescent="0.3">
      <c r="A54" s="123"/>
      <c r="B54" s="308"/>
      <c r="C54" s="309"/>
      <c r="D54" s="309"/>
      <c r="E54" s="309"/>
      <c r="F54" s="310"/>
      <c r="G54" s="74"/>
    </row>
    <row r="55" spans="1:7" s="73" customFormat="1" ht="45" hidden="1" customHeight="1" x14ac:dyDescent="0.3">
      <c r="A55" s="123"/>
      <c r="B55" s="82" t="s">
        <v>3821</v>
      </c>
      <c r="C55" s="91" t="s">
        <v>3823</v>
      </c>
      <c r="D55" s="84"/>
      <c r="E55" s="88"/>
      <c r="F55" s="133">
        <f ca="1">_xlfn.IFNA(VLOOKUP(B55,Worksheet!$C$3:$G$12,5,FALSE),F55)</f>
        <v>0</v>
      </c>
      <c r="G55" s="144" t="s">
        <v>3821</v>
      </c>
    </row>
    <row r="56" spans="1:7" ht="45" hidden="1" customHeight="1" x14ac:dyDescent="0.3">
      <c r="A56" s="123"/>
      <c r="B56" s="82" t="s">
        <v>3872</v>
      </c>
      <c r="C56" s="143" t="s">
        <v>3889</v>
      </c>
      <c r="D56" s="90" t="s">
        <v>3916</v>
      </c>
      <c r="E56" s="90" t="s">
        <v>3917</v>
      </c>
      <c r="F56" s="90" t="s">
        <v>3918</v>
      </c>
      <c r="G56" s="144" t="s">
        <v>3821</v>
      </c>
    </row>
    <row r="57" spans="1:7" ht="45" hidden="1" customHeight="1" x14ac:dyDescent="0.3">
      <c r="A57" s="123"/>
      <c r="B57" s="85">
        <v>291</v>
      </c>
      <c r="C57" s="134" t="s">
        <v>3822</v>
      </c>
      <c r="D57" s="76">
        <f ca="1">_xlfn.IFNA(VLOOKUP(B57,Worksheet!$C$3:$G$12,3,FALSE),D57)</f>
        <v>0</v>
      </c>
      <c r="E57" s="133">
        <f ca="1">_xlfn.IFNA(VLOOKUP(B57,Worksheet!$C$3:$G$12,4,FALSE),E57)</f>
        <v>0</v>
      </c>
      <c r="F57" s="133">
        <f ca="1">_xlfn.IFNA(VLOOKUP(B57,Worksheet!$C$3:$G$12,5,FALSE),F57)</f>
        <v>0</v>
      </c>
      <c r="G57" s="144" t="s">
        <v>3821</v>
      </c>
    </row>
    <row r="58" spans="1:7" ht="45" hidden="1" customHeight="1" x14ac:dyDescent="0.3">
      <c r="B58" s="85">
        <v>292</v>
      </c>
      <c r="C58" s="134" t="s">
        <v>3890</v>
      </c>
      <c r="D58" s="76">
        <f ca="1">_xlfn.IFNA(VLOOKUP(B58,Worksheet!$C$3:$G$12,3,FALSE),D58)</f>
        <v>0</v>
      </c>
      <c r="E58" s="133">
        <f ca="1">_xlfn.IFNA(VLOOKUP(B58,Worksheet!$C$3:$G$12,4,FALSE),E58)</f>
        <v>0</v>
      </c>
      <c r="F58" s="133">
        <f ca="1">_xlfn.IFNA(VLOOKUP(B58,Worksheet!$C$3:$G$12,5,FALSE),F58)</f>
        <v>0</v>
      </c>
      <c r="G58" s="144" t="s">
        <v>3821</v>
      </c>
    </row>
    <row r="59" spans="1:7" ht="45" hidden="1" customHeight="1" x14ac:dyDescent="0.3">
      <c r="A59" s="123"/>
      <c r="B59" s="136"/>
      <c r="C59" s="154"/>
      <c r="D59" s="151"/>
      <c r="E59" s="151"/>
      <c r="F59" s="151"/>
      <c r="G59" s="138"/>
    </row>
    <row r="60" spans="1:7" ht="45" hidden="1" customHeight="1" x14ac:dyDescent="0.3">
      <c r="A60" s="123"/>
      <c r="B60" s="82" t="s">
        <v>3931</v>
      </c>
      <c r="C60" s="91" t="s">
        <v>3932</v>
      </c>
      <c r="D60" s="207"/>
      <c r="E60" s="205"/>
      <c r="F60" s="151">
        <v>0</v>
      </c>
      <c r="G60" s="138" t="s">
        <v>3931</v>
      </c>
    </row>
    <row r="61" spans="1:7" ht="45" hidden="1" customHeight="1" x14ac:dyDescent="0.3">
      <c r="A61" s="123"/>
      <c r="B61" s="82" t="s">
        <v>3872</v>
      </c>
      <c r="C61" s="143" t="s">
        <v>3933</v>
      </c>
      <c r="D61" s="207"/>
      <c r="E61" s="205"/>
      <c r="F61" s="211" t="s">
        <v>3942</v>
      </c>
      <c r="G61" s="138" t="s">
        <v>3931</v>
      </c>
    </row>
    <row r="62" spans="1:7" ht="45" hidden="1" customHeight="1" x14ac:dyDescent="0.3">
      <c r="A62" s="123"/>
      <c r="B62" s="85">
        <v>4101</v>
      </c>
      <c r="C62" s="134" t="s">
        <v>3934</v>
      </c>
      <c r="D62" s="207"/>
      <c r="E62" s="205"/>
      <c r="F62" s="151">
        <v>0</v>
      </c>
      <c r="G62" s="138" t="s">
        <v>3931</v>
      </c>
    </row>
    <row r="63" spans="1:7" ht="45" hidden="1" customHeight="1" x14ac:dyDescent="0.3">
      <c r="A63" s="123"/>
      <c r="B63" s="85">
        <v>4102</v>
      </c>
      <c r="C63" s="134" t="s">
        <v>3935</v>
      </c>
      <c r="D63" s="207"/>
      <c r="E63" s="205"/>
      <c r="F63" s="151">
        <v>0</v>
      </c>
      <c r="G63" s="138" t="s">
        <v>3931</v>
      </c>
    </row>
    <row r="64" spans="1:7" ht="45" hidden="1" customHeight="1" x14ac:dyDescent="0.3">
      <c r="A64" s="123"/>
      <c r="B64" s="85">
        <v>4103</v>
      </c>
      <c r="C64" s="134" t="s">
        <v>3936</v>
      </c>
      <c r="D64" s="207"/>
      <c r="E64" s="205"/>
      <c r="F64" s="151">
        <v>0</v>
      </c>
      <c r="G64" s="138" t="s">
        <v>3931</v>
      </c>
    </row>
    <row r="65" spans="1:7" ht="45" hidden="1" customHeight="1" x14ac:dyDescent="0.3">
      <c r="A65" s="123"/>
      <c r="B65" s="136"/>
      <c r="C65" s="71"/>
      <c r="D65" s="151"/>
      <c r="E65" s="151"/>
      <c r="F65" s="151"/>
      <c r="G65" s="138"/>
    </row>
    <row r="66" spans="1:7" ht="45" hidden="1" customHeight="1" x14ac:dyDescent="0.3">
      <c r="A66" s="123"/>
      <c r="B66" s="136"/>
      <c r="C66" s="71"/>
      <c r="D66" s="151"/>
      <c r="E66" s="151"/>
      <c r="F66" s="151"/>
      <c r="G66" s="138"/>
    </row>
    <row r="67" spans="1:7" ht="45" hidden="1" customHeight="1" x14ac:dyDescent="0.3">
      <c r="A67" s="123"/>
      <c r="B67" s="136"/>
      <c r="C67" s="71"/>
      <c r="D67" s="151"/>
      <c r="E67" s="151"/>
      <c r="F67" s="151"/>
      <c r="G67" s="138"/>
    </row>
    <row r="68" spans="1:7" ht="45" hidden="1" customHeight="1" x14ac:dyDescent="0.3">
      <c r="A68" s="123"/>
      <c r="B68" s="136"/>
      <c r="C68" s="146"/>
      <c r="D68" s="110"/>
      <c r="E68" s="110"/>
      <c r="F68" s="110"/>
      <c r="G68" s="138"/>
    </row>
    <row r="69" spans="1:7" ht="45" hidden="1" customHeight="1" x14ac:dyDescent="0.3">
      <c r="A69" s="123"/>
      <c r="B69" s="147"/>
      <c r="C69" s="148"/>
      <c r="D69" s="149"/>
      <c r="E69" s="150"/>
      <c r="F69" s="151"/>
      <c r="G69" s="138"/>
    </row>
    <row r="70" spans="1:7" ht="45" hidden="1" customHeight="1" x14ac:dyDescent="0.3">
      <c r="A70" s="123"/>
      <c r="B70" s="147"/>
      <c r="C70" s="152"/>
      <c r="D70" s="153"/>
      <c r="E70" s="153"/>
      <c r="F70" s="153"/>
      <c r="G70" s="138"/>
    </row>
    <row r="71" spans="1:7" ht="45" hidden="1" customHeight="1" x14ac:dyDescent="0.3">
      <c r="A71" s="123"/>
      <c r="B71" s="136"/>
      <c r="C71" s="71"/>
      <c r="D71" s="151"/>
      <c r="E71" s="151"/>
      <c r="F71" s="151"/>
      <c r="G71" s="138"/>
    </row>
    <row r="72" spans="1:7" ht="45" hidden="1" customHeight="1" x14ac:dyDescent="0.3">
      <c r="A72" s="123"/>
      <c r="B72" s="136"/>
      <c r="C72" s="71"/>
      <c r="D72" s="151"/>
      <c r="E72" s="151"/>
      <c r="F72" s="151"/>
      <c r="G72" s="138"/>
    </row>
    <row r="73" spans="1:7" ht="45" hidden="1" customHeight="1" x14ac:dyDescent="0.3">
      <c r="A73" s="123"/>
      <c r="B73" s="136"/>
      <c r="C73" s="71"/>
      <c r="D73" s="151"/>
      <c r="E73" s="151"/>
      <c r="F73" s="151"/>
      <c r="G73" s="138"/>
    </row>
    <row r="74" spans="1:7" ht="45" hidden="1" customHeight="1" x14ac:dyDescent="0.3">
      <c r="A74" s="123"/>
      <c r="B74" s="136"/>
      <c r="C74" s="71"/>
      <c r="D74" s="151"/>
      <c r="E74" s="151"/>
      <c r="F74" s="151"/>
      <c r="G74" s="138"/>
    </row>
    <row r="75" spans="1:7" ht="45" hidden="1" customHeight="1" x14ac:dyDescent="0.3">
      <c r="A75" s="123"/>
      <c r="B75" s="136"/>
      <c r="C75" s="71"/>
      <c r="D75" s="151"/>
      <c r="E75" s="151"/>
      <c r="F75" s="151"/>
      <c r="G75" s="138"/>
    </row>
    <row r="76" spans="1:7" ht="45" hidden="1" customHeight="1" x14ac:dyDescent="0.3">
      <c r="A76" s="123"/>
      <c r="B76" s="136"/>
      <c r="C76" s="71"/>
      <c r="D76" s="151"/>
      <c r="E76" s="151"/>
      <c r="F76" s="151"/>
      <c r="G76" s="138"/>
    </row>
    <row r="77" spans="1:7" ht="45" hidden="1" customHeight="1" x14ac:dyDescent="0.3">
      <c r="A77" s="123"/>
      <c r="B77" s="136"/>
      <c r="C77" s="71"/>
      <c r="D77" s="151"/>
      <c r="E77" s="151"/>
      <c r="F77" s="151"/>
      <c r="G77" s="138"/>
    </row>
    <row r="78" spans="1:7" ht="45" hidden="1" customHeight="1" x14ac:dyDescent="0.3">
      <c r="A78" s="123"/>
      <c r="B78" s="136"/>
      <c r="C78" s="154"/>
      <c r="D78" s="151"/>
      <c r="E78" s="151"/>
      <c r="F78" s="151"/>
      <c r="G78" s="138"/>
    </row>
    <row r="79" spans="1:7" ht="45" hidden="1" customHeight="1" x14ac:dyDescent="0.3">
      <c r="A79" s="123"/>
      <c r="B79" s="136"/>
      <c r="C79" s="71"/>
      <c r="D79" s="151"/>
      <c r="E79" s="151"/>
      <c r="F79" s="151"/>
      <c r="G79" s="138"/>
    </row>
    <row r="80" spans="1:7" ht="45" hidden="1" customHeight="1" x14ac:dyDescent="0.3">
      <c r="A80" s="123"/>
      <c r="B80" s="136"/>
      <c r="C80" s="71"/>
      <c r="D80" s="151"/>
      <c r="E80" s="151"/>
      <c r="F80" s="151"/>
      <c r="G80" s="138"/>
    </row>
    <row r="81" spans="1:7" ht="45" hidden="1" customHeight="1" x14ac:dyDescent="0.3">
      <c r="A81" s="123"/>
      <c r="B81" s="136"/>
      <c r="C81" s="71"/>
      <c r="D81" s="151"/>
      <c r="E81" s="151"/>
      <c r="F81" s="151"/>
      <c r="G81" s="138"/>
    </row>
    <row r="82" spans="1:7" ht="45" hidden="1" customHeight="1" x14ac:dyDescent="0.3">
      <c r="A82" s="123"/>
      <c r="B82" s="136"/>
      <c r="C82" s="71"/>
      <c r="D82" s="151"/>
      <c r="E82" s="151"/>
      <c r="F82" s="151"/>
      <c r="G82" s="138"/>
    </row>
    <row r="83" spans="1:7" ht="45" hidden="1" customHeight="1" x14ac:dyDescent="0.3">
      <c r="A83" s="123"/>
      <c r="B83" s="136"/>
      <c r="C83" s="71"/>
      <c r="D83" s="151"/>
      <c r="E83" s="151"/>
      <c r="F83" s="151"/>
      <c r="G83" s="138"/>
    </row>
    <row r="84" spans="1:7" ht="45" hidden="1" customHeight="1" x14ac:dyDescent="0.3">
      <c r="A84" s="123"/>
      <c r="B84" s="136"/>
      <c r="C84" s="71"/>
      <c r="D84" s="110"/>
      <c r="E84" s="110"/>
      <c r="F84" s="110"/>
      <c r="G84" s="138"/>
    </row>
    <row r="85" spans="1:7" ht="45" hidden="1" customHeight="1" x14ac:dyDescent="0.3">
      <c r="A85" s="123"/>
      <c r="B85" s="145"/>
      <c r="C85" s="148"/>
      <c r="D85" s="149"/>
      <c r="E85" s="150"/>
      <c r="F85" s="110"/>
      <c r="G85" s="138"/>
    </row>
    <row r="86" spans="1:7" ht="45" hidden="1" customHeight="1" x14ac:dyDescent="0.3">
      <c r="A86" s="123"/>
      <c r="B86" s="145"/>
      <c r="C86" s="155"/>
      <c r="D86" s="156"/>
      <c r="E86" s="156"/>
      <c r="F86" s="156"/>
      <c r="G86" s="138"/>
    </row>
    <row r="87" spans="1:7" ht="45" hidden="1" customHeight="1" x14ac:dyDescent="0.3">
      <c r="A87" s="123"/>
      <c r="B87" s="136"/>
      <c r="C87" s="157"/>
      <c r="D87" s="110"/>
      <c r="E87" s="110"/>
      <c r="F87" s="110"/>
      <c r="G87" s="138"/>
    </row>
    <row r="88" spans="1:7" ht="45" hidden="1" customHeight="1" x14ac:dyDescent="0.3">
      <c r="A88" s="123"/>
      <c r="B88" s="136"/>
      <c r="C88" s="71"/>
      <c r="D88" s="110"/>
      <c r="E88" s="110"/>
      <c r="F88" s="110"/>
      <c r="G88" s="138"/>
    </row>
    <row r="89" spans="1:7" ht="45" hidden="1" customHeight="1" x14ac:dyDescent="0.3">
      <c r="A89" s="123"/>
      <c r="B89" s="136"/>
      <c r="C89" s="71"/>
      <c r="D89" s="110"/>
      <c r="E89" s="110"/>
      <c r="F89" s="110"/>
      <c r="G89" s="138"/>
    </row>
    <row r="90" spans="1:7" ht="45" hidden="1" customHeight="1" x14ac:dyDescent="0.3">
      <c r="A90" s="123"/>
      <c r="B90" s="136"/>
      <c r="C90" s="71"/>
      <c r="D90" s="110"/>
      <c r="E90" s="110"/>
      <c r="F90" s="110"/>
      <c r="G90" s="138"/>
    </row>
    <row r="91" spans="1:7" ht="45" hidden="1" customHeight="1" x14ac:dyDescent="0.3">
      <c r="A91" s="123"/>
      <c r="B91" s="136"/>
      <c r="C91" s="71"/>
      <c r="D91" s="110"/>
      <c r="E91" s="110"/>
      <c r="F91" s="110"/>
      <c r="G91" s="138"/>
    </row>
    <row r="92" spans="1:7" ht="45" hidden="1" customHeight="1" x14ac:dyDescent="0.3">
      <c r="A92" s="123"/>
      <c r="B92" s="136"/>
      <c r="C92" s="71"/>
      <c r="D92" s="110"/>
      <c r="E92" s="110"/>
      <c r="F92" s="110"/>
      <c r="G92" s="138"/>
    </row>
    <row r="93" spans="1:7" ht="45" hidden="1" customHeight="1" x14ac:dyDescent="0.3">
      <c r="A93" s="123"/>
      <c r="B93" s="136"/>
      <c r="C93" s="71"/>
      <c r="D93" s="110"/>
      <c r="E93" s="110"/>
      <c r="F93" s="110"/>
      <c r="G93" s="138"/>
    </row>
    <row r="94" spans="1:7" ht="45" hidden="1" customHeight="1" x14ac:dyDescent="0.3">
      <c r="A94" s="123"/>
      <c r="B94" s="136"/>
      <c r="C94" s="71"/>
      <c r="D94" s="110"/>
      <c r="E94" s="110"/>
      <c r="F94" s="110"/>
      <c r="G94" s="138"/>
    </row>
    <row r="95" spans="1:7" ht="45" hidden="1" customHeight="1" x14ac:dyDescent="0.3">
      <c r="A95" s="123"/>
      <c r="B95" s="136"/>
      <c r="C95" s="71"/>
      <c r="D95" s="110"/>
      <c r="E95" s="110"/>
      <c r="F95" s="110"/>
      <c r="G95" s="138"/>
    </row>
    <row r="96" spans="1:7" ht="45" hidden="1" customHeight="1" x14ac:dyDescent="0.3">
      <c r="A96" s="123"/>
      <c r="B96" s="136"/>
      <c r="C96" s="71"/>
      <c r="D96" s="110"/>
      <c r="E96" s="110"/>
      <c r="F96" s="110"/>
      <c r="G96" s="158"/>
    </row>
    <row r="97" spans="1:7" ht="45" hidden="1" customHeight="1" x14ac:dyDescent="0.3">
      <c r="A97" s="123"/>
      <c r="B97" s="145"/>
      <c r="C97" s="148"/>
      <c r="D97" s="149"/>
      <c r="E97" s="150"/>
      <c r="F97" s="110"/>
      <c r="G97" s="158"/>
    </row>
    <row r="98" spans="1:7" ht="45" hidden="1" customHeight="1" x14ac:dyDescent="0.3">
      <c r="A98" s="123"/>
      <c r="B98" s="145"/>
      <c r="C98" s="155"/>
      <c r="D98" s="156"/>
      <c r="E98" s="156"/>
      <c r="F98" s="156"/>
      <c r="G98" s="158"/>
    </row>
    <row r="99" spans="1:7" ht="45" hidden="1" customHeight="1" x14ac:dyDescent="0.3">
      <c r="A99" s="123"/>
      <c r="B99" s="136"/>
      <c r="C99" s="157"/>
      <c r="D99" s="110"/>
      <c r="E99" s="110"/>
      <c r="F99" s="110"/>
      <c r="G99" s="158"/>
    </row>
    <row r="100" spans="1:7" ht="45" hidden="1" customHeight="1" x14ac:dyDescent="0.3">
      <c r="A100" s="123"/>
      <c r="B100" s="136"/>
      <c r="C100" s="71"/>
      <c r="D100" s="110"/>
      <c r="E100" s="110"/>
      <c r="F100" s="110"/>
      <c r="G100" s="158"/>
    </row>
    <row r="101" spans="1:7" ht="45" hidden="1" customHeight="1" x14ac:dyDescent="0.3">
      <c r="A101" s="123"/>
      <c r="B101" s="136"/>
      <c r="C101" s="71"/>
      <c r="D101" s="110"/>
      <c r="E101" s="110"/>
      <c r="F101" s="110"/>
      <c r="G101" s="158"/>
    </row>
    <row r="102" spans="1:7" ht="45" hidden="1" customHeight="1" x14ac:dyDescent="0.3">
      <c r="A102" s="123"/>
      <c r="B102" s="136"/>
      <c r="C102" s="71"/>
      <c r="D102" s="110"/>
      <c r="E102" s="110"/>
      <c r="F102" s="110"/>
      <c r="G102" s="158"/>
    </row>
    <row r="103" spans="1:7" ht="45" hidden="1" customHeight="1" x14ac:dyDescent="0.3">
      <c r="A103" s="123"/>
      <c r="B103" s="136"/>
      <c r="C103" s="71"/>
      <c r="D103" s="110"/>
      <c r="E103" s="110"/>
      <c r="F103" s="110"/>
      <c r="G103" s="158"/>
    </row>
    <row r="104" spans="1:7" ht="45" hidden="1" customHeight="1" x14ac:dyDescent="0.3">
      <c r="A104" s="123"/>
      <c r="B104" s="136"/>
      <c r="C104" s="71"/>
      <c r="D104" s="110"/>
      <c r="E104" s="110"/>
      <c r="F104" s="110"/>
      <c r="G104" s="158"/>
    </row>
    <row r="105" spans="1:7" ht="45" hidden="1" customHeight="1" x14ac:dyDescent="0.3">
      <c r="A105" s="123"/>
      <c r="B105" s="136"/>
      <c r="C105" s="71"/>
      <c r="D105" s="110"/>
      <c r="E105" s="110"/>
      <c r="F105" s="110"/>
      <c r="G105" s="158"/>
    </row>
    <row r="106" spans="1:7" ht="45" hidden="1" customHeight="1" x14ac:dyDescent="0.3">
      <c r="A106" s="123"/>
      <c r="B106" s="136"/>
      <c r="C106" s="71"/>
      <c r="D106" s="110"/>
      <c r="E106" s="110"/>
      <c r="F106" s="110"/>
      <c r="G106" s="158"/>
    </row>
    <row r="107" spans="1:7" ht="45" hidden="1" customHeight="1" x14ac:dyDescent="0.3">
      <c r="A107" s="123"/>
      <c r="B107" s="136"/>
      <c r="C107" s="71"/>
      <c r="D107" s="110"/>
      <c r="E107" s="110"/>
      <c r="F107" s="110"/>
      <c r="G107" s="158"/>
    </row>
    <row r="108" spans="1:7" ht="45" hidden="1" customHeight="1" x14ac:dyDescent="0.3">
      <c r="A108" s="123"/>
      <c r="B108" s="136"/>
      <c r="C108" s="71"/>
      <c r="D108" s="110"/>
      <c r="E108" s="110"/>
      <c r="F108" s="110"/>
      <c r="G108" s="158"/>
    </row>
    <row r="109" spans="1:7" ht="45" hidden="1" customHeight="1" x14ac:dyDescent="0.3">
      <c r="A109" s="123"/>
      <c r="B109" s="145"/>
      <c r="C109" s="148"/>
      <c r="D109" s="149"/>
      <c r="E109" s="150"/>
      <c r="F109" s="110"/>
      <c r="G109" s="158"/>
    </row>
    <row r="110" spans="1:7" ht="45" hidden="1" customHeight="1" x14ac:dyDescent="0.3">
      <c r="A110" s="123"/>
      <c r="B110" s="145"/>
      <c r="C110" s="155"/>
      <c r="D110" s="156"/>
      <c r="E110" s="156"/>
      <c r="F110" s="156"/>
      <c r="G110" s="158"/>
    </row>
    <row r="111" spans="1:7" ht="45" hidden="1" customHeight="1" x14ac:dyDescent="0.3">
      <c r="A111" s="123"/>
      <c r="B111" s="136"/>
      <c r="C111" s="71"/>
      <c r="D111" s="110"/>
      <c r="E111" s="110"/>
      <c r="F111" s="110"/>
      <c r="G111" s="158"/>
    </row>
    <row r="112" spans="1:7" ht="45" hidden="1" customHeight="1" x14ac:dyDescent="0.3">
      <c r="A112" s="123"/>
      <c r="B112" s="136"/>
      <c r="C112" s="71"/>
      <c r="D112" s="110"/>
      <c r="E112" s="110"/>
      <c r="F112" s="110"/>
      <c r="G112" s="158"/>
    </row>
    <row r="113" spans="1:7" ht="45" hidden="1" customHeight="1" x14ac:dyDescent="0.3">
      <c r="A113" s="123"/>
      <c r="B113" s="136"/>
      <c r="C113" s="71"/>
      <c r="D113" s="110"/>
      <c r="E113" s="110"/>
      <c r="F113" s="110"/>
      <c r="G113" s="158"/>
    </row>
    <row r="114" spans="1:7" ht="45" hidden="1" customHeight="1" x14ac:dyDescent="0.3">
      <c r="A114" s="123"/>
      <c r="B114" s="136"/>
      <c r="C114" s="71"/>
      <c r="D114" s="110"/>
      <c r="E114" s="110"/>
      <c r="F114" s="110"/>
      <c r="G114" s="158"/>
    </row>
    <row r="115" spans="1:7" ht="45" hidden="1" customHeight="1" x14ac:dyDescent="0.3">
      <c r="A115" s="123"/>
      <c r="B115" s="136"/>
      <c r="C115" s="71"/>
      <c r="D115" s="110"/>
      <c r="E115" s="110"/>
      <c r="F115" s="110"/>
      <c r="G115" s="158"/>
    </row>
    <row r="116" spans="1:7" ht="45" hidden="1" customHeight="1" x14ac:dyDescent="0.3">
      <c r="A116" s="123"/>
      <c r="B116" s="136"/>
      <c r="C116" s="71"/>
      <c r="D116" s="110"/>
      <c r="E116" s="110"/>
      <c r="F116" s="110"/>
      <c r="G116" s="158"/>
    </row>
    <row r="117" spans="1:7" ht="45" hidden="1" customHeight="1" x14ac:dyDescent="0.3">
      <c r="A117" s="123"/>
      <c r="B117" s="136"/>
      <c r="C117" s="71"/>
      <c r="D117" s="110"/>
      <c r="E117" s="110"/>
      <c r="F117" s="110"/>
      <c r="G117" s="158"/>
    </row>
    <row r="118" spans="1:7" ht="45" hidden="1" customHeight="1" x14ac:dyDescent="0.3">
      <c r="A118" s="123"/>
      <c r="B118" s="136"/>
      <c r="C118" s="71"/>
      <c r="D118" s="110"/>
      <c r="E118" s="110"/>
      <c r="F118" s="110"/>
      <c r="G118" s="158"/>
    </row>
    <row r="119" spans="1:7" ht="45" hidden="1" customHeight="1" x14ac:dyDescent="0.3">
      <c r="A119" s="123"/>
      <c r="B119" s="136"/>
      <c r="C119" s="71"/>
      <c r="D119" s="110"/>
      <c r="E119" s="110"/>
      <c r="F119" s="110"/>
      <c r="G119" s="158"/>
    </row>
    <row r="120" spans="1:7" ht="45" hidden="1" customHeight="1" x14ac:dyDescent="0.3">
      <c r="A120" s="123"/>
      <c r="B120" s="136"/>
      <c r="C120" s="71"/>
      <c r="D120" s="110"/>
      <c r="E120" s="110"/>
      <c r="F120" s="110"/>
      <c r="G120" s="158"/>
    </row>
    <row r="121" spans="1:7" ht="45" hidden="1" customHeight="1" x14ac:dyDescent="0.3">
      <c r="A121" s="123"/>
      <c r="B121" s="136"/>
      <c r="C121" s="71"/>
      <c r="D121" s="110"/>
      <c r="E121" s="110"/>
      <c r="F121" s="110"/>
      <c r="G121" s="158"/>
    </row>
    <row r="122" spans="1:7" ht="45" hidden="1" customHeight="1" x14ac:dyDescent="0.3">
      <c r="A122" s="123"/>
      <c r="B122" s="136"/>
      <c r="C122" s="71"/>
      <c r="D122" s="110"/>
      <c r="E122" s="110"/>
      <c r="F122" s="110"/>
      <c r="G122" s="158"/>
    </row>
    <row r="123" spans="1:7" ht="45" hidden="1" customHeight="1" x14ac:dyDescent="0.3">
      <c r="A123" s="123"/>
      <c r="B123" s="145"/>
      <c r="C123" s="148"/>
      <c r="D123" s="149"/>
      <c r="E123" s="150"/>
      <c r="F123" s="110"/>
      <c r="G123" s="75"/>
    </row>
    <row r="124" spans="1:7" ht="45" hidden="1" customHeight="1" x14ac:dyDescent="0.3">
      <c r="A124" s="123"/>
      <c r="B124" s="136"/>
      <c r="C124" s="155"/>
      <c r="D124" s="156"/>
      <c r="E124" s="156"/>
      <c r="F124" s="156"/>
      <c r="G124" s="75"/>
    </row>
    <row r="125" spans="1:7" ht="45" hidden="1" customHeight="1" x14ac:dyDescent="0.3">
      <c r="A125" s="123"/>
      <c r="B125" s="136"/>
      <c r="C125" s="71"/>
      <c r="D125" s="110"/>
      <c r="E125" s="110"/>
      <c r="F125" s="110"/>
      <c r="G125" s="75"/>
    </row>
    <row r="126" spans="1:7" ht="45" hidden="1" customHeight="1" x14ac:dyDescent="0.3">
      <c r="A126" s="123"/>
      <c r="B126" s="136"/>
      <c r="C126" s="71"/>
      <c r="D126" s="110"/>
      <c r="E126" s="110"/>
      <c r="F126" s="110"/>
      <c r="G126" s="75"/>
    </row>
    <row r="127" spans="1:7" ht="45" hidden="1" customHeight="1" x14ac:dyDescent="0.3">
      <c r="A127" s="123"/>
      <c r="B127" s="136"/>
      <c r="C127" s="71"/>
      <c r="D127" s="110"/>
      <c r="E127" s="110"/>
      <c r="F127" s="110"/>
      <c r="G127" s="75"/>
    </row>
    <row r="128" spans="1:7" ht="45" hidden="1" customHeight="1" x14ac:dyDescent="0.3">
      <c r="A128" s="123"/>
      <c r="B128" s="136"/>
      <c r="C128" s="71"/>
      <c r="D128" s="110"/>
      <c r="E128" s="110"/>
      <c r="F128" s="110"/>
      <c r="G128" s="75"/>
    </row>
    <row r="129" spans="1:7" ht="45" hidden="1" customHeight="1" x14ac:dyDescent="0.3">
      <c r="A129" s="123"/>
      <c r="B129" s="136"/>
      <c r="C129" s="71"/>
      <c r="D129" s="110"/>
      <c r="E129" s="110"/>
      <c r="F129" s="110"/>
      <c r="G129" s="75"/>
    </row>
    <row r="130" spans="1:7" ht="45" hidden="1" customHeight="1" x14ac:dyDescent="0.3">
      <c r="A130" s="123"/>
      <c r="B130" s="136"/>
      <c r="C130" s="71"/>
      <c r="D130" s="110"/>
      <c r="E130" s="110"/>
      <c r="F130" s="110"/>
      <c r="G130" s="75"/>
    </row>
    <row r="131" spans="1:7" ht="45" hidden="1" customHeight="1" x14ac:dyDescent="0.3">
      <c r="A131" s="123"/>
      <c r="B131" s="136"/>
      <c r="C131" s="71"/>
      <c r="D131" s="110"/>
      <c r="E131" s="110"/>
      <c r="F131" s="110"/>
      <c r="G131" s="75"/>
    </row>
    <row r="132" spans="1:7" ht="45" hidden="1" customHeight="1" x14ac:dyDescent="0.3">
      <c r="A132" s="123"/>
      <c r="B132" s="136"/>
      <c r="C132" s="71"/>
      <c r="D132" s="110"/>
      <c r="E132" s="110"/>
      <c r="F132" s="110"/>
      <c r="G132" s="75"/>
    </row>
    <row r="133" spans="1:7" ht="45" hidden="1" customHeight="1" x14ac:dyDescent="0.3">
      <c r="A133" s="123"/>
      <c r="B133" s="136"/>
      <c r="C133" s="71"/>
      <c r="D133" s="110"/>
      <c r="E133" s="110"/>
      <c r="F133" s="110"/>
      <c r="G133" s="75"/>
    </row>
    <row r="134" spans="1:7" ht="45" hidden="1" customHeight="1" x14ac:dyDescent="0.3">
      <c r="A134" s="123"/>
      <c r="B134" s="136"/>
      <c r="C134" s="71"/>
      <c r="D134" s="110"/>
      <c r="E134" s="110"/>
      <c r="F134" s="110"/>
      <c r="G134" s="75"/>
    </row>
  </sheetData>
  <sheetProtection algorithmName="SHA-512" hashValue="7a6hCU/YjIKPj5RX8z+j7CpW+owAxE91mRla4eLmr+/gsPSioEc0WrQoPiS8hd+AgujZbmmYZRADhvZdbGa0Qg==" saltValue="Q5kiLIEIBBSLUNeZ9usnAQ==" spinCount="100000" sheet="1" objects="1" scenarios="1" selectLockedCells="1"/>
  <autoFilter ref="A1:G134" xr:uid="{00000000-0009-0000-0000-000002000000}">
    <filterColumn colId="6">
      <filters>
        <filter val="PMTCT_EID"/>
      </filters>
    </filterColumn>
  </autoFilter>
  <mergeCells count="9">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104" sqref="Z104"/>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style="204" customWidth="1"/>
    <col min="9" max="9" width="8.88671875" style="81" hidden="1" customWidth="1"/>
    <col min="10" max="10" width="18.44140625" customWidth="1"/>
    <col min="11" max="11" width="20.77734375" customWidth="1"/>
    <col min="12" max="12" width="8.88671875" hidden="1" customWidth="1"/>
    <col min="13" max="13" width="17.6640625" customWidth="1"/>
    <col min="14" max="14" width="17.88671875" customWidth="1"/>
    <col min="15" max="15" width="17.77734375" customWidth="1"/>
    <col min="16" max="16" width="8.88671875" hidden="1" customWidth="1"/>
    <col min="17" max="17" width="17.5546875" customWidth="1"/>
    <col min="18" max="18" width="17.77734375" customWidth="1"/>
    <col min="19" max="19" width="17.88671875" customWidth="1"/>
    <col min="20" max="20" width="8.88671875" hidden="1"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width="14" hidden="1" customWidth="1"/>
    <col min="28" max="28" width="8.6640625" hidden="1" customWidth="1"/>
    <col min="29" max="33" width="8.88671875" hidden="1" customWidth="1"/>
  </cols>
  <sheetData>
    <row r="1" spans="1:33" ht="28.8" x14ac:dyDescent="0.3">
      <c r="A1" s="212" t="s">
        <v>3836</v>
      </c>
      <c r="B1" s="212" t="s">
        <v>3837</v>
      </c>
      <c r="C1" s="212" t="s">
        <v>3838</v>
      </c>
      <c r="D1" s="212" t="s">
        <v>3839</v>
      </c>
      <c r="E1" s="212" t="s">
        <v>3840</v>
      </c>
      <c r="F1" s="213" t="s">
        <v>3841</v>
      </c>
      <c r="G1" s="213" t="s">
        <v>3842</v>
      </c>
      <c r="H1" s="213" t="s">
        <v>3853</v>
      </c>
      <c r="I1" s="213"/>
      <c r="J1" s="212" t="s">
        <v>3843</v>
      </c>
      <c r="K1" s="212" t="s">
        <v>3854</v>
      </c>
      <c r="L1" s="212"/>
      <c r="M1" s="212" t="s">
        <v>3844</v>
      </c>
      <c r="N1" s="212" t="s">
        <v>3845</v>
      </c>
      <c r="O1" s="212" t="s">
        <v>3855</v>
      </c>
      <c r="P1" s="212"/>
      <c r="Q1" s="212" t="s">
        <v>3846</v>
      </c>
      <c r="R1" s="212" t="s">
        <v>3847</v>
      </c>
      <c r="S1" s="212" t="s">
        <v>3856</v>
      </c>
      <c r="T1" s="212"/>
      <c r="U1" s="212" t="s">
        <v>3848</v>
      </c>
      <c r="V1" s="212" t="s">
        <v>3849</v>
      </c>
      <c r="W1" s="212" t="s">
        <v>3850</v>
      </c>
      <c r="X1" s="212" t="s">
        <v>3851</v>
      </c>
      <c r="Y1" s="212" t="s">
        <v>3852</v>
      </c>
      <c r="Z1" s="212" t="s">
        <v>3857</v>
      </c>
      <c r="AA1" s="128"/>
      <c r="AC1" s="203"/>
      <c r="AD1" s="203"/>
      <c r="AE1" s="203"/>
      <c r="AF1" s="203"/>
      <c r="AG1" s="203"/>
    </row>
    <row r="2" spans="1:33" x14ac:dyDescent="0.3">
      <c r="A2" s="214"/>
      <c r="B2" s="214"/>
      <c r="C2" s="214"/>
      <c r="D2" s="214"/>
      <c r="E2" s="214"/>
      <c r="F2" s="214"/>
      <c r="G2" s="214"/>
      <c r="H2" s="216"/>
      <c r="I2" s="215" t="str">
        <f>IF(H2&lt;&gt;"",G2=H2,"")</f>
        <v/>
      </c>
      <c r="J2" s="214"/>
      <c r="K2" s="217"/>
      <c r="L2" s="215" t="str">
        <f>IF(K2&lt;&gt;"",J2=K2,"")</f>
        <v/>
      </c>
      <c r="M2" s="214"/>
      <c r="N2" s="214"/>
      <c r="O2" s="217"/>
      <c r="P2" s="215" t="str">
        <f>IF(O2&lt;&gt;"",N2=O2,"")</f>
        <v/>
      </c>
      <c r="Q2" s="214"/>
      <c r="R2" s="214"/>
      <c r="S2" s="217"/>
      <c r="T2" s="215" t="str">
        <f>IF(S2&lt;&gt;"",R2=S2,"")</f>
        <v/>
      </c>
      <c r="U2" s="214"/>
      <c r="V2" s="214"/>
      <c r="W2" s="214"/>
      <c r="X2" s="214"/>
      <c r="Y2" s="214"/>
      <c r="Z2" s="217"/>
      <c r="AA2" s="128" t="str">
        <f>IF(Z2&lt;&gt;"",Y2=Z2,"")</f>
        <v/>
      </c>
      <c r="AB2" t="str">
        <f t="array" ref="AB2">IF(AND(AA2 &lt;&gt;"", I2&lt;&gt;"",L2&lt;&gt;"",P2&lt;&gt;"",T2&lt;&gt;""), AND(EXACT(AC2:AG2,AC2)),"")</f>
        <v/>
      </c>
      <c r="AC2" s="203" t="str">
        <f>I2</f>
        <v/>
      </c>
      <c r="AD2" s="203" t="str">
        <f>L2</f>
        <v/>
      </c>
      <c r="AE2" s="203" t="str">
        <f>P2</f>
        <v/>
      </c>
      <c r="AF2" s="203" t="str">
        <f>T2</f>
        <v/>
      </c>
      <c r="AG2" s="203" t="str">
        <f>AA2</f>
        <v/>
      </c>
    </row>
    <row r="3" spans="1:33" x14ac:dyDescent="0.3">
      <c r="A3" s="214"/>
      <c r="B3" s="214"/>
      <c r="C3" s="214"/>
      <c r="D3" s="214"/>
      <c r="E3" s="214"/>
      <c r="F3" s="214"/>
      <c r="G3" s="214"/>
      <c r="H3" s="216"/>
      <c r="I3" s="215" t="str">
        <f t="shared" ref="I3:I66" si="0">IF(H3&lt;&gt;"",G3=H3,"")</f>
        <v/>
      </c>
      <c r="J3" s="214"/>
      <c r="K3" s="217"/>
      <c r="L3" s="215" t="str">
        <f t="shared" ref="L3:L66" si="1">IF(K3&lt;&gt;"",J3=K3,"")</f>
        <v/>
      </c>
      <c r="M3" s="214"/>
      <c r="N3" s="214"/>
      <c r="O3" s="217"/>
      <c r="P3" s="215" t="str">
        <f t="shared" ref="P3:P66" si="2">IF(O3&lt;&gt;"",N3=O3,"")</f>
        <v/>
      </c>
      <c r="Q3" s="214"/>
      <c r="R3" s="214"/>
      <c r="S3" s="217"/>
      <c r="T3" s="215" t="str">
        <f t="shared" ref="T3:T66" si="3">IF(S3&lt;&gt;"",R3=S3,"")</f>
        <v/>
      </c>
      <c r="U3" s="214"/>
      <c r="V3" s="214"/>
      <c r="W3" s="214"/>
      <c r="X3" s="214"/>
      <c r="Y3" s="214"/>
      <c r="Z3" s="217"/>
      <c r="AA3" s="128" t="str">
        <f t="shared" ref="AA3:AA66" si="4">IF(Z3&lt;&gt;"",Y3=Z3,"")</f>
        <v/>
      </c>
      <c r="AB3" t="str">
        <f t="array" ref="AB3">IF(OR(AA3 &lt;&gt;"", I3&lt;&gt;"",L3&lt;&gt;"",P3&lt;&gt;"",T3&lt;&gt;""), AND(EXACT(AC3:AG3,AC3)),"")</f>
        <v/>
      </c>
      <c r="AC3" s="203" t="str">
        <f t="shared" ref="AC3" si="5">I3</f>
        <v/>
      </c>
      <c r="AD3" s="203" t="str">
        <f t="shared" ref="AD3" si="6">L3</f>
        <v/>
      </c>
      <c r="AE3" s="203" t="str">
        <f t="shared" ref="AE3" si="7">P3</f>
        <v/>
      </c>
      <c r="AF3" s="203" t="str">
        <f t="shared" ref="AF3" si="8">T3</f>
        <v/>
      </c>
      <c r="AG3" s="203" t="str">
        <f t="shared" ref="AG3" si="9">AA3</f>
        <v/>
      </c>
    </row>
    <row r="4" spans="1:33" x14ac:dyDescent="0.3">
      <c r="A4" s="214"/>
      <c r="B4" s="214"/>
      <c r="C4" s="214"/>
      <c r="D4" s="214"/>
      <c r="E4" s="214"/>
      <c r="F4" s="214"/>
      <c r="G4" s="214"/>
      <c r="H4" s="216"/>
      <c r="I4" s="215" t="str">
        <f t="shared" si="0"/>
        <v/>
      </c>
      <c r="J4" s="214"/>
      <c r="K4" s="217"/>
      <c r="L4" s="215" t="str">
        <f t="shared" si="1"/>
        <v/>
      </c>
      <c r="M4" s="214"/>
      <c r="N4" s="214"/>
      <c r="O4" s="217"/>
      <c r="P4" s="215" t="str">
        <f t="shared" si="2"/>
        <v/>
      </c>
      <c r="Q4" s="214"/>
      <c r="R4" s="214"/>
      <c r="S4" s="217"/>
      <c r="T4" s="215" t="str">
        <f t="shared" si="3"/>
        <v/>
      </c>
      <c r="U4" s="214"/>
      <c r="V4" s="214"/>
      <c r="W4" s="214"/>
      <c r="X4" s="214"/>
      <c r="Y4" s="214"/>
      <c r="Z4" s="217"/>
      <c r="AA4" s="128" t="str">
        <f t="shared" si="4"/>
        <v/>
      </c>
      <c r="AB4" t="str">
        <f t="array" ref="AB4">IF(OR(AA4 &lt;&gt;"", I4&lt;&gt;"",L4&lt;&gt;"",P4&lt;&gt;"",T4&lt;&gt;""), AND(EXACT(AC4:AG4,AC4)),"")</f>
        <v/>
      </c>
      <c r="AC4" s="203" t="str">
        <f t="shared" ref="AC4:AC67" si="10">I4</f>
        <v/>
      </c>
      <c r="AD4" s="203" t="str">
        <f t="shared" ref="AD4:AD67" si="11">L4</f>
        <v/>
      </c>
      <c r="AE4" s="203" t="str">
        <f t="shared" ref="AE4:AE67" si="12">P4</f>
        <v/>
      </c>
      <c r="AF4" s="203" t="str">
        <f t="shared" ref="AF4:AF67" si="13">T4</f>
        <v/>
      </c>
      <c r="AG4" s="203" t="str">
        <f t="shared" ref="AG4:AG67" si="14">AA4</f>
        <v/>
      </c>
    </row>
    <row r="5" spans="1:33" x14ac:dyDescent="0.3">
      <c r="A5" s="214"/>
      <c r="B5" s="214"/>
      <c r="C5" s="214"/>
      <c r="D5" s="214"/>
      <c r="E5" s="214"/>
      <c r="F5" s="214"/>
      <c r="G5" s="214"/>
      <c r="H5" s="216"/>
      <c r="I5" s="215" t="str">
        <f t="shared" si="0"/>
        <v/>
      </c>
      <c r="J5" s="214"/>
      <c r="K5" s="217"/>
      <c r="L5" s="215" t="str">
        <f t="shared" si="1"/>
        <v/>
      </c>
      <c r="M5" s="214"/>
      <c r="N5" s="214"/>
      <c r="O5" s="217"/>
      <c r="P5" s="215" t="str">
        <f t="shared" si="2"/>
        <v/>
      </c>
      <c r="Q5" s="214"/>
      <c r="R5" s="214"/>
      <c r="S5" s="217"/>
      <c r="T5" s="215" t="str">
        <f t="shared" si="3"/>
        <v/>
      </c>
      <c r="U5" s="214"/>
      <c r="V5" s="214"/>
      <c r="W5" s="214"/>
      <c r="X5" s="214"/>
      <c r="Y5" s="214"/>
      <c r="Z5" s="217"/>
      <c r="AA5" s="128" t="str">
        <f t="shared" si="4"/>
        <v/>
      </c>
      <c r="AB5" t="str">
        <f t="array" ref="AB5">IF(OR(AA5 &lt;&gt;"", I5&lt;&gt;"",L5&lt;&gt;"",P5&lt;&gt;"",T5&lt;&gt;""), AND(EXACT(AC5:AG5,AC5)),"")</f>
        <v/>
      </c>
      <c r="AC5" s="203" t="str">
        <f t="shared" si="10"/>
        <v/>
      </c>
      <c r="AD5" s="203" t="str">
        <f t="shared" si="11"/>
        <v/>
      </c>
      <c r="AE5" s="203" t="str">
        <f t="shared" si="12"/>
        <v/>
      </c>
      <c r="AF5" s="203" t="str">
        <f t="shared" si="13"/>
        <v/>
      </c>
      <c r="AG5" s="203" t="str">
        <f t="shared" si="14"/>
        <v/>
      </c>
    </row>
    <row r="6" spans="1:33" x14ac:dyDescent="0.3">
      <c r="A6" s="214"/>
      <c r="B6" s="214"/>
      <c r="C6" s="214"/>
      <c r="D6" s="214"/>
      <c r="E6" s="214"/>
      <c r="F6" s="214"/>
      <c r="G6" s="214"/>
      <c r="H6" s="216"/>
      <c r="I6" s="215" t="str">
        <f t="shared" si="0"/>
        <v/>
      </c>
      <c r="J6" s="214"/>
      <c r="K6" s="217"/>
      <c r="L6" s="215" t="str">
        <f t="shared" si="1"/>
        <v/>
      </c>
      <c r="M6" s="214"/>
      <c r="N6" s="214"/>
      <c r="O6" s="217"/>
      <c r="P6" s="215" t="str">
        <f t="shared" si="2"/>
        <v/>
      </c>
      <c r="Q6" s="214"/>
      <c r="R6" s="214"/>
      <c r="S6" s="217"/>
      <c r="T6" s="215" t="str">
        <f t="shared" si="3"/>
        <v/>
      </c>
      <c r="U6" s="214"/>
      <c r="V6" s="214"/>
      <c r="W6" s="214"/>
      <c r="X6" s="214"/>
      <c r="Y6" s="214"/>
      <c r="Z6" s="217"/>
      <c r="AA6" s="128" t="str">
        <f t="shared" si="4"/>
        <v/>
      </c>
      <c r="AB6" t="str">
        <f t="array" ref="AB6">IF(OR(AA6 &lt;&gt;"", I6&lt;&gt;"",L6&lt;&gt;"",P6&lt;&gt;"",T6&lt;&gt;""), AND(EXACT(AC6:AG6,AC6)),"")</f>
        <v/>
      </c>
      <c r="AC6" s="203" t="str">
        <f t="shared" si="10"/>
        <v/>
      </c>
      <c r="AD6" s="203" t="str">
        <f t="shared" si="11"/>
        <v/>
      </c>
      <c r="AE6" s="203" t="str">
        <f t="shared" si="12"/>
        <v/>
      </c>
      <c r="AF6" s="203" t="str">
        <f t="shared" si="13"/>
        <v/>
      </c>
      <c r="AG6" s="203" t="str">
        <f t="shared" si="14"/>
        <v/>
      </c>
    </row>
    <row r="7" spans="1:33" x14ac:dyDescent="0.3">
      <c r="A7" s="214"/>
      <c r="B7" s="214"/>
      <c r="C7" s="214"/>
      <c r="D7" s="214"/>
      <c r="E7" s="214"/>
      <c r="F7" s="214"/>
      <c r="G7" s="214"/>
      <c r="H7" s="216"/>
      <c r="I7" s="215" t="str">
        <f t="shared" si="0"/>
        <v/>
      </c>
      <c r="J7" s="214"/>
      <c r="K7" s="217"/>
      <c r="L7" s="215" t="str">
        <f t="shared" si="1"/>
        <v/>
      </c>
      <c r="M7" s="214"/>
      <c r="N7" s="214"/>
      <c r="O7" s="217"/>
      <c r="P7" s="215" t="str">
        <f t="shared" si="2"/>
        <v/>
      </c>
      <c r="Q7" s="214"/>
      <c r="R7" s="214"/>
      <c r="S7" s="217"/>
      <c r="T7" s="215" t="str">
        <f t="shared" si="3"/>
        <v/>
      </c>
      <c r="U7" s="214"/>
      <c r="V7" s="214"/>
      <c r="W7" s="214"/>
      <c r="X7" s="214"/>
      <c r="Y7" s="214"/>
      <c r="Z7" s="217"/>
      <c r="AA7" s="128" t="str">
        <f t="shared" si="4"/>
        <v/>
      </c>
      <c r="AB7" t="str">
        <f t="array" ref="AB7">IF(OR(AA7 &lt;&gt;"", I7&lt;&gt;"",L7&lt;&gt;"",P7&lt;&gt;"",T7&lt;&gt;""), AND(EXACT(AC7:AG7,AC7)),"")</f>
        <v/>
      </c>
      <c r="AC7" s="203" t="str">
        <f t="shared" si="10"/>
        <v/>
      </c>
      <c r="AD7" s="203" t="str">
        <f t="shared" si="11"/>
        <v/>
      </c>
      <c r="AE7" s="203" t="str">
        <f t="shared" si="12"/>
        <v/>
      </c>
      <c r="AF7" s="203" t="str">
        <f t="shared" si="13"/>
        <v/>
      </c>
      <c r="AG7" s="203" t="str">
        <f t="shared" si="14"/>
        <v/>
      </c>
    </row>
    <row r="8" spans="1:33" x14ac:dyDescent="0.3">
      <c r="A8" s="214"/>
      <c r="B8" s="214"/>
      <c r="C8" s="214"/>
      <c r="D8" s="214"/>
      <c r="E8" s="214"/>
      <c r="F8" s="214"/>
      <c r="G8" s="214"/>
      <c r="H8" s="216"/>
      <c r="I8" s="215" t="str">
        <f t="shared" si="0"/>
        <v/>
      </c>
      <c r="J8" s="214"/>
      <c r="K8" s="217"/>
      <c r="L8" s="215" t="str">
        <f t="shared" si="1"/>
        <v/>
      </c>
      <c r="M8" s="214"/>
      <c r="N8" s="214"/>
      <c r="O8" s="217"/>
      <c r="P8" s="215" t="str">
        <f t="shared" si="2"/>
        <v/>
      </c>
      <c r="Q8" s="214"/>
      <c r="R8" s="214"/>
      <c r="S8" s="217"/>
      <c r="T8" s="215" t="str">
        <f t="shared" si="3"/>
        <v/>
      </c>
      <c r="U8" s="214"/>
      <c r="V8" s="214"/>
      <c r="W8" s="214"/>
      <c r="X8" s="214"/>
      <c r="Y8" s="214"/>
      <c r="Z8" s="217"/>
      <c r="AA8" s="128" t="str">
        <f t="shared" si="4"/>
        <v/>
      </c>
      <c r="AB8" t="str">
        <f t="array" ref="AB8">IF(OR(AA8 &lt;&gt;"", I8&lt;&gt;"",L8&lt;&gt;"",P8&lt;&gt;"",T8&lt;&gt;""), AND(EXACT(AC8:AG8,AC8)),"")</f>
        <v/>
      </c>
      <c r="AC8" s="203" t="str">
        <f t="shared" si="10"/>
        <v/>
      </c>
      <c r="AD8" s="203" t="str">
        <f t="shared" si="11"/>
        <v/>
      </c>
      <c r="AE8" s="203" t="str">
        <f t="shared" si="12"/>
        <v/>
      </c>
      <c r="AF8" s="203" t="str">
        <f t="shared" si="13"/>
        <v/>
      </c>
      <c r="AG8" s="203" t="str">
        <f t="shared" si="14"/>
        <v/>
      </c>
    </row>
    <row r="9" spans="1:33" x14ac:dyDescent="0.3">
      <c r="A9" s="214"/>
      <c r="B9" s="214"/>
      <c r="C9" s="214"/>
      <c r="D9" s="214"/>
      <c r="E9" s="214"/>
      <c r="F9" s="214"/>
      <c r="G9" s="214"/>
      <c r="H9" s="216"/>
      <c r="I9" s="215" t="str">
        <f t="shared" si="0"/>
        <v/>
      </c>
      <c r="J9" s="214"/>
      <c r="K9" s="217"/>
      <c r="L9" s="215" t="str">
        <f t="shared" si="1"/>
        <v/>
      </c>
      <c r="M9" s="214"/>
      <c r="N9" s="214"/>
      <c r="O9" s="217"/>
      <c r="P9" s="215" t="str">
        <f t="shared" si="2"/>
        <v/>
      </c>
      <c r="Q9" s="214"/>
      <c r="R9" s="214"/>
      <c r="S9" s="217"/>
      <c r="T9" s="215" t="str">
        <f t="shared" si="3"/>
        <v/>
      </c>
      <c r="U9" s="214"/>
      <c r="V9" s="214"/>
      <c r="W9" s="214"/>
      <c r="X9" s="214"/>
      <c r="Y9" s="214"/>
      <c r="Z9" s="217"/>
      <c r="AA9" s="128" t="str">
        <f t="shared" si="4"/>
        <v/>
      </c>
      <c r="AB9" t="str">
        <f t="array" ref="AB9">IF(OR(AA9 &lt;&gt;"", I9&lt;&gt;"",L9&lt;&gt;"",P9&lt;&gt;"",T9&lt;&gt;""), AND(EXACT(AC9:AG9,AC9)),"")</f>
        <v/>
      </c>
      <c r="AC9" s="203" t="str">
        <f t="shared" si="10"/>
        <v/>
      </c>
      <c r="AD9" s="203" t="str">
        <f t="shared" si="11"/>
        <v/>
      </c>
      <c r="AE9" s="203" t="str">
        <f t="shared" si="12"/>
        <v/>
      </c>
      <c r="AF9" s="203" t="str">
        <f t="shared" si="13"/>
        <v/>
      </c>
      <c r="AG9" s="203" t="str">
        <f t="shared" si="14"/>
        <v/>
      </c>
    </row>
    <row r="10" spans="1:33" x14ac:dyDescent="0.3">
      <c r="A10" s="214"/>
      <c r="B10" s="214"/>
      <c r="C10" s="214"/>
      <c r="D10" s="214"/>
      <c r="E10" s="214"/>
      <c r="F10" s="214"/>
      <c r="G10" s="214"/>
      <c r="H10" s="216"/>
      <c r="I10" s="215" t="str">
        <f t="shared" si="0"/>
        <v/>
      </c>
      <c r="J10" s="214"/>
      <c r="K10" s="217"/>
      <c r="L10" s="215" t="str">
        <f t="shared" si="1"/>
        <v/>
      </c>
      <c r="M10" s="214"/>
      <c r="N10" s="214"/>
      <c r="O10" s="217"/>
      <c r="P10" s="215" t="str">
        <f t="shared" si="2"/>
        <v/>
      </c>
      <c r="Q10" s="214"/>
      <c r="R10" s="214"/>
      <c r="S10" s="217"/>
      <c r="T10" s="215" t="str">
        <f t="shared" si="3"/>
        <v/>
      </c>
      <c r="U10" s="214"/>
      <c r="V10" s="214"/>
      <c r="W10" s="214"/>
      <c r="X10" s="214"/>
      <c r="Y10" s="214"/>
      <c r="Z10" s="217"/>
      <c r="AA10" s="128" t="str">
        <f t="shared" si="4"/>
        <v/>
      </c>
      <c r="AB10" t="str">
        <f t="array" ref="AB10">IF(OR(AA10 &lt;&gt;"", I10&lt;&gt;"",L10&lt;&gt;"",P10&lt;&gt;"",T10&lt;&gt;""), AND(EXACT(AC10:AG10,AC10)),"")</f>
        <v/>
      </c>
      <c r="AC10" s="203" t="str">
        <f t="shared" si="10"/>
        <v/>
      </c>
      <c r="AD10" s="203" t="str">
        <f t="shared" si="11"/>
        <v/>
      </c>
      <c r="AE10" s="203" t="str">
        <f t="shared" si="12"/>
        <v/>
      </c>
      <c r="AF10" s="203" t="str">
        <f t="shared" si="13"/>
        <v/>
      </c>
      <c r="AG10" s="203" t="str">
        <f t="shared" si="14"/>
        <v/>
      </c>
    </row>
    <row r="11" spans="1:33" x14ac:dyDescent="0.3">
      <c r="A11" s="214"/>
      <c r="B11" s="214"/>
      <c r="C11" s="214"/>
      <c r="D11" s="214"/>
      <c r="E11" s="214"/>
      <c r="F11" s="214"/>
      <c r="G11" s="214"/>
      <c r="H11" s="216"/>
      <c r="I11" s="215" t="str">
        <f t="shared" si="0"/>
        <v/>
      </c>
      <c r="J11" s="214"/>
      <c r="K11" s="217"/>
      <c r="L11" s="215" t="str">
        <f t="shared" si="1"/>
        <v/>
      </c>
      <c r="M11" s="214"/>
      <c r="N11" s="214"/>
      <c r="O11" s="217"/>
      <c r="P11" s="215" t="str">
        <f t="shared" si="2"/>
        <v/>
      </c>
      <c r="Q11" s="214"/>
      <c r="R11" s="214"/>
      <c r="S11" s="217"/>
      <c r="T11" s="215" t="str">
        <f t="shared" si="3"/>
        <v/>
      </c>
      <c r="U11" s="214"/>
      <c r="V11" s="214"/>
      <c r="W11" s="214"/>
      <c r="X11" s="214"/>
      <c r="Y11" s="214"/>
      <c r="Z11" s="217"/>
      <c r="AA11" s="128" t="str">
        <f t="shared" si="4"/>
        <v/>
      </c>
      <c r="AB11" t="str">
        <f t="array" ref="AB11">IF(OR(AA11 &lt;&gt;"", I11&lt;&gt;"",L11&lt;&gt;"",P11&lt;&gt;"",T11&lt;&gt;""), AND(EXACT(AC11:AG11,AC11)),"")</f>
        <v/>
      </c>
      <c r="AC11" s="203" t="str">
        <f t="shared" si="10"/>
        <v/>
      </c>
      <c r="AD11" s="203" t="str">
        <f t="shared" si="11"/>
        <v/>
      </c>
      <c r="AE11" s="203" t="str">
        <f t="shared" si="12"/>
        <v/>
      </c>
      <c r="AF11" s="203" t="str">
        <f t="shared" si="13"/>
        <v/>
      </c>
      <c r="AG11" s="203" t="str">
        <f t="shared" si="14"/>
        <v/>
      </c>
    </row>
    <row r="12" spans="1:33" x14ac:dyDescent="0.3">
      <c r="A12" s="214"/>
      <c r="B12" s="214"/>
      <c r="C12" s="214"/>
      <c r="D12" s="214"/>
      <c r="E12" s="214"/>
      <c r="F12" s="214"/>
      <c r="G12" s="214"/>
      <c r="H12" s="216"/>
      <c r="I12" s="215" t="str">
        <f t="shared" si="0"/>
        <v/>
      </c>
      <c r="J12" s="214"/>
      <c r="K12" s="217"/>
      <c r="L12" s="215" t="str">
        <f t="shared" si="1"/>
        <v/>
      </c>
      <c r="M12" s="214"/>
      <c r="N12" s="214"/>
      <c r="O12" s="217"/>
      <c r="P12" s="215" t="str">
        <f t="shared" si="2"/>
        <v/>
      </c>
      <c r="Q12" s="214"/>
      <c r="R12" s="214"/>
      <c r="S12" s="217"/>
      <c r="T12" s="215" t="str">
        <f t="shared" si="3"/>
        <v/>
      </c>
      <c r="U12" s="214"/>
      <c r="V12" s="214"/>
      <c r="W12" s="214"/>
      <c r="X12" s="214"/>
      <c r="Y12" s="214"/>
      <c r="Z12" s="217"/>
      <c r="AA12" s="128" t="str">
        <f t="shared" si="4"/>
        <v/>
      </c>
      <c r="AB12" t="str">
        <f t="array" ref="AB12">IF(OR(AA12 &lt;&gt;"", I12&lt;&gt;"",L12&lt;&gt;"",P12&lt;&gt;"",T12&lt;&gt;""), AND(EXACT(AC12:AG12,AC12)),"")</f>
        <v/>
      </c>
      <c r="AC12" s="203" t="str">
        <f t="shared" si="10"/>
        <v/>
      </c>
      <c r="AD12" s="203" t="str">
        <f t="shared" si="11"/>
        <v/>
      </c>
      <c r="AE12" s="203" t="str">
        <f t="shared" si="12"/>
        <v/>
      </c>
      <c r="AF12" s="203" t="str">
        <f t="shared" si="13"/>
        <v/>
      </c>
      <c r="AG12" s="203" t="str">
        <f t="shared" si="14"/>
        <v/>
      </c>
    </row>
    <row r="13" spans="1:33" x14ac:dyDescent="0.3">
      <c r="A13" s="214"/>
      <c r="B13" s="214"/>
      <c r="C13" s="214"/>
      <c r="D13" s="214"/>
      <c r="E13" s="214"/>
      <c r="F13" s="214"/>
      <c r="G13" s="214"/>
      <c r="H13" s="216"/>
      <c r="I13" s="215" t="str">
        <f t="shared" si="0"/>
        <v/>
      </c>
      <c r="J13" s="214"/>
      <c r="K13" s="217"/>
      <c r="L13" s="215" t="str">
        <f t="shared" si="1"/>
        <v/>
      </c>
      <c r="M13" s="214"/>
      <c r="N13" s="214"/>
      <c r="O13" s="217"/>
      <c r="P13" s="215" t="str">
        <f t="shared" si="2"/>
        <v/>
      </c>
      <c r="Q13" s="214"/>
      <c r="R13" s="214"/>
      <c r="S13" s="217"/>
      <c r="T13" s="215" t="str">
        <f t="shared" si="3"/>
        <v/>
      </c>
      <c r="U13" s="214"/>
      <c r="V13" s="214"/>
      <c r="W13" s="214"/>
      <c r="X13" s="214"/>
      <c r="Y13" s="214"/>
      <c r="Z13" s="217"/>
      <c r="AA13" s="128" t="str">
        <f t="shared" si="4"/>
        <v/>
      </c>
      <c r="AB13" t="str">
        <f t="array" ref="AB13">IF(OR(AA13 &lt;&gt;"", I13&lt;&gt;"",L13&lt;&gt;"",P13&lt;&gt;"",T13&lt;&gt;""), AND(EXACT(AC13:AG13,AC13)),"")</f>
        <v/>
      </c>
      <c r="AC13" s="203" t="str">
        <f t="shared" si="10"/>
        <v/>
      </c>
      <c r="AD13" s="203" t="str">
        <f t="shared" si="11"/>
        <v/>
      </c>
      <c r="AE13" s="203" t="str">
        <f t="shared" si="12"/>
        <v/>
      </c>
      <c r="AF13" s="203" t="str">
        <f t="shared" si="13"/>
        <v/>
      </c>
      <c r="AG13" s="203" t="str">
        <f t="shared" si="14"/>
        <v/>
      </c>
    </row>
    <row r="14" spans="1:33" x14ac:dyDescent="0.3">
      <c r="A14" s="214"/>
      <c r="B14" s="214"/>
      <c r="C14" s="214"/>
      <c r="D14" s="214"/>
      <c r="E14" s="214"/>
      <c r="F14" s="214"/>
      <c r="G14" s="214"/>
      <c r="H14" s="216"/>
      <c r="I14" s="215" t="str">
        <f t="shared" si="0"/>
        <v/>
      </c>
      <c r="J14" s="214"/>
      <c r="K14" s="217"/>
      <c r="L14" s="215" t="str">
        <f t="shared" si="1"/>
        <v/>
      </c>
      <c r="M14" s="214"/>
      <c r="N14" s="214"/>
      <c r="O14" s="217"/>
      <c r="P14" s="215" t="str">
        <f t="shared" si="2"/>
        <v/>
      </c>
      <c r="Q14" s="214"/>
      <c r="R14" s="214"/>
      <c r="S14" s="217"/>
      <c r="T14" s="215" t="str">
        <f t="shared" si="3"/>
        <v/>
      </c>
      <c r="U14" s="214"/>
      <c r="V14" s="214"/>
      <c r="W14" s="214"/>
      <c r="X14" s="214"/>
      <c r="Y14" s="214"/>
      <c r="Z14" s="217"/>
      <c r="AA14" s="128" t="str">
        <f t="shared" si="4"/>
        <v/>
      </c>
      <c r="AB14" t="str">
        <f t="array" ref="AB14">IF(OR(AA14 &lt;&gt;"", I14&lt;&gt;"",L14&lt;&gt;"",P14&lt;&gt;"",T14&lt;&gt;""), AND(EXACT(AC14:AG14,AC14)),"")</f>
        <v/>
      </c>
      <c r="AC14" s="203" t="str">
        <f t="shared" si="10"/>
        <v/>
      </c>
      <c r="AD14" s="203" t="str">
        <f t="shared" si="11"/>
        <v/>
      </c>
      <c r="AE14" s="203" t="str">
        <f t="shared" si="12"/>
        <v/>
      </c>
      <c r="AF14" s="203" t="str">
        <f t="shared" si="13"/>
        <v/>
      </c>
      <c r="AG14" s="203" t="str">
        <f t="shared" si="14"/>
        <v/>
      </c>
    </row>
    <row r="15" spans="1:33" x14ac:dyDescent="0.3">
      <c r="A15" s="214"/>
      <c r="B15" s="214"/>
      <c r="C15" s="214"/>
      <c r="D15" s="214"/>
      <c r="E15" s="214"/>
      <c r="F15" s="214"/>
      <c r="G15" s="214"/>
      <c r="H15" s="216"/>
      <c r="I15" s="215" t="str">
        <f t="shared" si="0"/>
        <v/>
      </c>
      <c r="J15" s="214"/>
      <c r="K15" s="217"/>
      <c r="L15" s="215" t="str">
        <f t="shared" si="1"/>
        <v/>
      </c>
      <c r="M15" s="214"/>
      <c r="N15" s="214"/>
      <c r="O15" s="217"/>
      <c r="P15" s="215" t="str">
        <f t="shared" si="2"/>
        <v/>
      </c>
      <c r="Q15" s="214"/>
      <c r="R15" s="214"/>
      <c r="S15" s="217"/>
      <c r="T15" s="215" t="str">
        <f t="shared" si="3"/>
        <v/>
      </c>
      <c r="U15" s="214"/>
      <c r="V15" s="214"/>
      <c r="W15" s="214"/>
      <c r="X15" s="214"/>
      <c r="Y15" s="214"/>
      <c r="Z15" s="217"/>
      <c r="AA15" s="128" t="str">
        <f t="shared" si="4"/>
        <v/>
      </c>
      <c r="AB15" t="str">
        <f t="array" ref="AB15">IF(OR(AA15 &lt;&gt;"", I15&lt;&gt;"",L15&lt;&gt;"",P15&lt;&gt;"",T15&lt;&gt;""), AND(EXACT(AC15:AG15,AC15)),"")</f>
        <v/>
      </c>
      <c r="AC15" s="203" t="str">
        <f t="shared" si="10"/>
        <v/>
      </c>
      <c r="AD15" s="203" t="str">
        <f t="shared" si="11"/>
        <v/>
      </c>
      <c r="AE15" s="203" t="str">
        <f t="shared" si="12"/>
        <v/>
      </c>
      <c r="AF15" s="203" t="str">
        <f t="shared" si="13"/>
        <v/>
      </c>
      <c r="AG15" s="203" t="str">
        <f t="shared" si="14"/>
        <v/>
      </c>
    </row>
    <row r="16" spans="1:33" x14ac:dyDescent="0.3">
      <c r="A16" s="214"/>
      <c r="B16" s="214"/>
      <c r="C16" s="214"/>
      <c r="D16" s="214"/>
      <c r="E16" s="214"/>
      <c r="F16" s="214"/>
      <c r="G16" s="214"/>
      <c r="H16" s="216"/>
      <c r="I16" s="215" t="str">
        <f t="shared" si="0"/>
        <v/>
      </c>
      <c r="J16" s="214"/>
      <c r="K16" s="217"/>
      <c r="L16" s="215" t="str">
        <f t="shared" si="1"/>
        <v/>
      </c>
      <c r="M16" s="214"/>
      <c r="N16" s="214"/>
      <c r="O16" s="217"/>
      <c r="P16" s="215" t="str">
        <f t="shared" si="2"/>
        <v/>
      </c>
      <c r="Q16" s="214"/>
      <c r="R16" s="214"/>
      <c r="S16" s="217"/>
      <c r="T16" s="215" t="str">
        <f t="shared" si="3"/>
        <v/>
      </c>
      <c r="U16" s="214"/>
      <c r="V16" s="214"/>
      <c r="W16" s="214"/>
      <c r="X16" s="214"/>
      <c r="Y16" s="214"/>
      <c r="Z16" s="217"/>
      <c r="AA16" s="128" t="str">
        <f t="shared" si="4"/>
        <v/>
      </c>
      <c r="AB16" t="str">
        <f t="array" ref="AB16">IF(OR(AA16 &lt;&gt;"", I16&lt;&gt;"",L16&lt;&gt;"",P16&lt;&gt;"",T16&lt;&gt;""), AND(EXACT(AC16:AG16,AC16)),"")</f>
        <v/>
      </c>
      <c r="AC16" s="203" t="str">
        <f t="shared" si="10"/>
        <v/>
      </c>
      <c r="AD16" s="203" t="str">
        <f t="shared" si="11"/>
        <v/>
      </c>
      <c r="AE16" s="203" t="str">
        <f t="shared" si="12"/>
        <v/>
      </c>
      <c r="AF16" s="203" t="str">
        <f t="shared" si="13"/>
        <v/>
      </c>
      <c r="AG16" s="203" t="str">
        <f t="shared" si="14"/>
        <v/>
      </c>
    </row>
    <row r="17" spans="1:33" x14ac:dyDescent="0.3">
      <c r="A17" s="214"/>
      <c r="B17" s="214"/>
      <c r="C17" s="214"/>
      <c r="D17" s="214"/>
      <c r="E17" s="214"/>
      <c r="F17" s="214"/>
      <c r="G17" s="214"/>
      <c r="H17" s="216"/>
      <c r="I17" s="215" t="str">
        <f t="shared" si="0"/>
        <v/>
      </c>
      <c r="J17" s="214"/>
      <c r="K17" s="217"/>
      <c r="L17" s="215" t="str">
        <f t="shared" si="1"/>
        <v/>
      </c>
      <c r="M17" s="214"/>
      <c r="N17" s="214"/>
      <c r="O17" s="217"/>
      <c r="P17" s="215" t="str">
        <f t="shared" si="2"/>
        <v/>
      </c>
      <c r="Q17" s="214"/>
      <c r="R17" s="214"/>
      <c r="S17" s="217"/>
      <c r="T17" s="215" t="str">
        <f t="shared" si="3"/>
        <v/>
      </c>
      <c r="U17" s="214"/>
      <c r="V17" s="214"/>
      <c r="W17" s="214"/>
      <c r="X17" s="214"/>
      <c r="Y17" s="214"/>
      <c r="Z17" s="217"/>
      <c r="AA17" s="128" t="str">
        <f t="shared" si="4"/>
        <v/>
      </c>
      <c r="AB17" t="str">
        <f t="array" ref="AB17">IF(OR(AA17 &lt;&gt;"", I17&lt;&gt;"",L17&lt;&gt;"",P17&lt;&gt;"",T17&lt;&gt;""), AND(EXACT(AC17:AG17,AC17)),"")</f>
        <v/>
      </c>
      <c r="AC17" s="203" t="str">
        <f t="shared" si="10"/>
        <v/>
      </c>
      <c r="AD17" s="203" t="str">
        <f t="shared" si="11"/>
        <v/>
      </c>
      <c r="AE17" s="203" t="str">
        <f t="shared" si="12"/>
        <v/>
      </c>
      <c r="AF17" s="203" t="str">
        <f t="shared" si="13"/>
        <v/>
      </c>
      <c r="AG17" s="203" t="str">
        <f t="shared" si="14"/>
        <v/>
      </c>
    </row>
    <row r="18" spans="1:33" x14ac:dyDescent="0.3">
      <c r="A18" s="214"/>
      <c r="B18" s="214"/>
      <c r="C18" s="214"/>
      <c r="D18" s="214"/>
      <c r="E18" s="214"/>
      <c r="F18" s="214"/>
      <c r="G18" s="214"/>
      <c r="H18" s="216"/>
      <c r="I18" s="215" t="str">
        <f t="shared" si="0"/>
        <v/>
      </c>
      <c r="J18" s="214"/>
      <c r="K18" s="217"/>
      <c r="L18" s="215" t="str">
        <f t="shared" si="1"/>
        <v/>
      </c>
      <c r="M18" s="214"/>
      <c r="N18" s="214"/>
      <c r="O18" s="217"/>
      <c r="P18" s="215" t="str">
        <f t="shared" si="2"/>
        <v/>
      </c>
      <c r="Q18" s="214"/>
      <c r="R18" s="214"/>
      <c r="S18" s="217"/>
      <c r="T18" s="215" t="str">
        <f t="shared" si="3"/>
        <v/>
      </c>
      <c r="U18" s="214"/>
      <c r="V18" s="214"/>
      <c r="W18" s="214"/>
      <c r="X18" s="214"/>
      <c r="Y18" s="214"/>
      <c r="Z18" s="217"/>
      <c r="AA18" s="128" t="str">
        <f t="shared" si="4"/>
        <v/>
      </c>
      <c r="AB18" t="str">
        <f t="array" ref="AB18">IF(OR(AA18 &lt;&gt;"", I18&lt;&gt;"",L18&lt;&gt;"",P18&lt;&gt;"",T18&lt;&gt;""), AND(EXACT(AC18:AG18,AC18)),"")</f>
        <v/>
      </c>
      <c r="AC18" s="203" t="str">
        <f t="shared" si="10"/>
        <v/>
      </c>
      <c r="AD18" s="203" t="str">
        <f t="shared" si="11"/>
        <v/>
      </c>
      <c r="AE18" s="203" t="str">
        <f t="shared" si="12"/>
        <v/>
      </c>
      <c r="AF18" s="203" t="str">
        <f t="shared" si="13"/>
        <v/>
      </c>
      <c r="AG18" s="203" t="str">
        <f t="shared" si="14"/>
        <v/>
      </c>
    </row>
    <row r="19" spans="1:33" x14ac:dyDescent="0.3">
      <c r="A19" s="214"/>
      <c r="B19" s="214"/>
      <c r="C19" s="214"/>
      <c r="D19" s="214"/>
      <c r="E19" s="214"/>
      <c r="F19" s="214"/>
      <c r="G19" s="214"/>
      <c r="H19" s="216"/>
      <c r="I19" s="215" t="str">
        <f t="shared" si="0"/>
        <v/>
      </c>
      <c r="J19" s="214"/>
      <c r="K19" s="217"/>
      <c r="L19" s="215" t="str">
        <f t="shared" si="1"/>
        <v/>
      </c>
      <c r="M19" s="214"/>
      <c r="N19" s="214"/>
      <c r="O19" s="217"/>
      <c r="P19" s="215" t="str">
        <f t="shared" si="2"/>
        <v/>
      </c>
      <c r="Q19" s="214"/>
      <c r="R19" s="214"/>
      <c r="S19" s="217"/>
      <c r="T19" s="215" t="str">
        <f t="shared" si="3"/>
        <v/>
      </c>
      <c r="U19" s="214"/>
      <c r="V19" s="214"/>
      <c r="W19" s="214"/>
      <c r="X19" s="214"/>
      <c r="Y19" s="214"/>
      <c r="Z19" s="217"/>
      <c r="AA19" s="128" t="str">
        <f t="shared" si="4"/>
        <v/>
      </c>
      <c r="AB19" t="str">
        <f t="array" ref="AB19">IF(OR(AA19 &lt;&gt;"", I19&lt;&gt;"",L19&lt;&gt;"",P19&lt;&gt;"",T19&lt;&gt;""), AND(EXACT(AC19:AG19,AC19)),"")</f>
        <v/>
      </c>
      <c r="AC19" s="203" t="str">
        <f t="shared" si="10"/>
        <v/>
      </c>
      <c r="AD19" s="203" t="str">
        <f t="shared" si="11"/>
        <v/>
      </c>
      <c r="AE19" s="203" t="str">
        <f t="shared" si="12"/>
        <v/>
      </c>
      <c r="AF19" s="203" t="str">
        <f t="shared" si="13"/>
        <v/>
      </c>
      <c r="AG19" s="203" t="str">
        <f t="shared" si="14"/>
        <v/>
      </c>
    </row>
    <row r="20" spans="1:33" x14ac:dyDescent="0.3">
      <c r="A20" s="214"/>
      <c r="B20" s="214"/>
      <c r="C20" s="214"/>
      <c r="D20" s="214"/>
      <c r="E20" s="214"/>
      <c r="F20" s="214"/>
      <c r="G20" s="214"/>
      <c r="H20" s="216"/>
      <c r="I20" s="215" t="str">
        <f t="shared" si="0"/>
        <v/>
      </c>
      <c r="J20" s="214"/>
      <c r="K20" s="217"/>
      <c r="L20" s="215" t="str">
        <f t="shared" si="1"/>
        <v/>
      </c>
      <c r="M20" s="214"/>
      <c r="N20" s="214"/>
      <c r="O20" s="217"/>
      <c r="P20" s="215" t="str">
        <f t="shared" si="2"/>
        <v/>
      </c>
      <c r="Q20" s="214"/>
      <c r="R20" s="214"/>
      <c r="S20" s="217"/>
      <c r="T20" s="215" t="str">
        <f t="shared" si="3"/>
        <v/>
      </c>
      <c r="U20" s="214"/>
      <c r="V20" s="214"/>
      <c r="W20" s="214"/>
      <c r="X20" s="214"/>
      <c r="Y20" s="214"/>
      <c r="Z20" s="217"/>
      <c r="AA20" s="128" t="str">
        <f t="shared" si="4"/>
        <v/>
      </c>
      <c r="AB20" t="str">
        <f t="array" ref="AB20">IF(OR(AA20 &lt;&gt;"", I20&lt;&gt;"",L20&lt;&gt;"",P20&lt;&gt;"",T20&lt;&gt;""), AND(EXACT(AC20:AG20,AC20)),"")</f>
        <v/>
      </c>
      <c r="AC20" s="203" t="str">
        <f t="shared" si="10"/>
        <v/>
      </c>
      <c r="AD20" s="203" t="str">
        <f t="shared" si="11"/>
        <v/>
      </c>
      <c r="AE20" s="203" t="str">
        <f t="shared" si="12"/>
        <v/>
      </c>
      <c r="AF20" s="203" t="str">
        <f t="shared" si="13"/>
        <v/>
      </c>
      <c r="AG20" s="203" t="str">
        <f t="shared" si="14"/>
        <v/>
      </c>
    </row>
    <row r="21" spans="1:33" x14ac:dyDescent="0.3">
      <c r="A21" s="214"/>
      <c r="B21" s="214"/>
      <c r="C21" s="214"/>
      <c r="D21" s="214"/>
      <c r="E21" s="214"/>
      <c r="F21" s="214"/>
      <c r="G21" s="214"/>
      <c r="H21" s="216"/>
      <c r="I21" s="215" t="str">
        <f t="shared" si="0"/>
        <v/>
      </c>
      <c r="J21" s="214"/>
      <c r="K21" s="217"/>
      <c r="L21" s="215" t="str">
        <f t="shared" si="1"/>
        <v/>
      </c>
      <c r="M21" s="214"/>
      <c r="N21" s="214"/>
      <c r="O21" s="217"/>
      <c r="P21" s="215" t="str">
        <f t="shared" si="2"/>
        <v/>
      </c>
      <c r="Q21" s="214"/>
      <c r="R21" s="214"/>
      <c r="S21" s="217"/>
      <c r="T21" s="215" t="str">
        <f t="shared" si="3"/>
        <v/>
      </c>
      <c r="U21" s="214"/>
      <c r="V21" s="214"/>
      <c r="W21" s="214"/>
      <c r="X21" s="214"/>
      <c r="Y21" s="214"/>
      <c r="Z21" s="217"/>
      <c r="AA21" s="128" t="str">
        <f t="shared" si="4"/>
        <v/>
      </c>
      <c r="AB21" t="str">
        <f t="array" ref="AB21">IF(OR(AA21 &lt;&gt;"", I21&lt;&gt;"",L21&lt;&gt;"",P21&lt;&gt;"",T21&lt;&gt;""), AND(EXACT(AC21:AG21,AC21)),"")</f>
        <v/>
      </c>
      <c r="AC21" s="203" t="str">
        <f t="shared" si="10"/>
        <v/>
      </c>
      <c r="AD21" s="203" t="str">
        <f t="shared" si="11"/>
        <v/>
      </c>
      <c r="AE21" s="203" t="str">
        <f t="shared" si="12"/>
        <v/>
      </c>
      <c r="AF21" s="203" t="str">
        <f t="shared" si="13"/>
        <v/>
      </c>
      <c r="AG21" s="203" t="str">
        <f t="shared" si="14"/>
        <v/>
      </c>
    </row>
    <row r="22" spans="1:33" x14ac:dyDescent="0.3">
      <c r="A22" s="214"/>
      <c r="B22" s="214"/>
      <c r="C22" s="214"/>
      <c r="D22" s="214"/>
      <c r="E22" s="214"/>
      <c r="F22" s="214"/>
      <c r="G22" s="214"/>
      <c r="H22" s="216"/>
      <c r="I22" s="215" t="str">
        <f t="shared" si="0"/>
        <v/>
      </c>
      <c r="J22" s="214"/>
      <c r="K22" s="217"/>
      <c r="L22" s="215" t="str">
        <f t="shared" si="1"/>
        <v/>
      </c>
      <c r="M22" s="214"/>
      <c r="N22" s="214"/>
      <c r="O22" s="217"/>
      <c r="P22" s="215" t="str">
        <f t="shared" si="2"/>
        <v/>
      </c>
      <c r="Q22" s="214"/>
      <c r="R22" s="214"/>
      <c r="S22" s="217"/>
      <c r="T22" s="215" t="str">
        <f t="shared" si="3"/>
        <v/>
      </c>
      <c r="U22" s="214"/>
      <c r="V22" s="214"/>
      <c r="W22" s="214"/>
      <c r="X22" s="214"/>
      <c r="Y22" s="214"/>
      <c r="Z22" s="217"/>
      <c r="AA22" s="128" t="str">
        <f t="shared" si="4"/>
        <v/>
      </c>
      <c r="AB22" t="str">
        <f t="array" ref="AB22">IF(OR(AA22 &lt;&gt;"", I22&lt;&gt;"",L22&lt;&gt;"",P22&lt;&gt;"",T22&lt;&gt;""), AND(EXACT(AC22:AG22,AC22)),"")</f>
        <v/>
      </c>
      <c r="AC22" s="203" t="str">
        <f t="shared" si="10"/>
        <v/>
      </c>
      <c r="AD22" s="203" t="str">
        <f t="shared" si="11"/>
        <v/>
      </c>
      <c r="AE22" s="203" t="str">
        <f t="shared" si="12"/>
        <v/>
      </c>
      <c r="AF22" s="203" t="str">
        <f t="shared" si="13"/>
        <v/>
      </c>
      <c r="AG22" s="203" t="str">
        <f t="shared" si="14"/>
        <v/>
      </c>
    </row>
    <row r="23" spans="1:33" x14ac:dyDescent="0.3">
      <c r="A23" s="214"/>
      <c r="B23" s="214"/>
      <c r="C23" s="214"/>
      <c r="D23" s="214"/>
      <c r="E23" s="214"/>
      <c r="F23" s="214"/>
      <c r="G23" s="214"/>
      <c r="H23" s="216"/>
      <c r="I23" s="215" t="str">
        <f t="shared" si="0"/>
        <v/>
      </c>
      <c r="J23" s="214"/>
      <c r="K23" s="217"/>
      <c r="L23" s="215" t="str">
        <f t="shared" si="1"/>
        <v/>
      </c>
      <c r="M23" s="214"/>
      <c r="N23" s="214"/>
      <c r="O23" s="217"/>
      <c r="P23" s="215" t="str">
        <f t="shared" si="2"/>
        <v/>
      </c>
      <c r="Q23" s="214"/>
      <c r="R23" s="214"/>
      <c r="S23" s="217"/>
      <c r="T23" s="215" t="str">
        <f t="shared" si="3"/>
        <v/>
      </c>
      <c r="U23" s="214"/>
      <c r="V23" s="214"/>
      <c r="W23" s="214"/>
      <c r="X23" s="214"/>
      <c r="Y23" s="214"/>
      <c r="Z23" s="217"/>
      <c r="AA23" s="128" t="str">
        <f t="shared" si="4"/>
        <v/>
      </c>
      <c r="AB23" t="str">
        <f t="array" ref="AB23">IF(OR(AA23 &lt;&gt;"", I23&lt;&gt;"",L23&lt;&gt;"",P23&lt;&gt;"",T23&lt;&gt;""), AND(EXACT(AC23:AG23,AC23)),"")</f>
        <v/>
      </c>
      <c r="AC23" s="203" t="str">
        <f t="shared" si="10"/>
        <v/>
      </c>
      <c r="AD23" s="203" t="str">
        <f t="shared" si="11"/>
        <v/>
      </c>
      <c r="AE23" s="203" t="str">
        <f t="shared" si="12"/>
        <v/>
      </c>
      <c r="AF23" s="203" t="str">
        <f t="shared" si="13"/>
        <v/>
      </c>
      <c r="AG23" s="203" t="str">
        <f t="shared" si="14"/>
        <v/>
      </c>
    </row>
    <row r="24" spans="1:33" x14ac:dyDescent="0.3">
      <c r="A24" s="214"/>
      <c r="B24" s="214"/>
      <c r="C24" s="214"/>
      <c r="D24" s="214"/>
      <c r="E24" s="214"/>
      <c r="F24" s="214"/>
      <c r="G24" s="214"/>
      <c r="H24" s="216"/>
      <c r="I24" s="215" t="str">
        <f t="shared" si="0"/>
        <v/>
      </c>
      <c r="J24" s="214"/>
      <c r="K24" s="217"/>
      <c r="L24" s="215" t="str">
        <f t="shared" si="1"/>
        <v/>
      </c>
      <c r="M24" s="214"/>
      <c r="N24" s="214"/>
      <c r="O24" s="217"/>
      <c r="P24" s="215" t="str">
        <f t="shared" si="2"/>
        <v/>
      </c>
      <c r="Q24" s="214"/>
      <c r="R24" s="214"/>
      <c r="S24" s="217"/>
      <c r="T24" s="215" t="str">
        <f t="shared" si="3"/>
        <v/>
      </c>
      <c r="U24" s="214"/>
      <c r="V24" s="214"/>
      <c r="W24" s="214"/>
      <c r="X24" s="214"/>
      <c r="Y24" s="214"/>
      <c r="Z24" s="217"/>
      <c r="AA24" s="128" t="str">
        <f t="shared" si="4"/>
        <v/>
      </c>
      <c r="AB24" t="str">
        <f t="array" ref="AB24">IF(OR(AA24 &lt;&gt;"", I24&lt;&gt;"",L24&lt;&gt;"",P24&lt;&gt;"",T24&lt;&gt;""), AND(EXACT(AC24:AG24,AC24)),"")</f>
        <v/>
      </c>
      <c r="AC24" s="203" t="str">
        <f t="shared" si="10"/>
        <v/>
      </c>
      <c r="AD24" s="203" t="str">
        <f t="shared" si="11"/>
        <v/>
      </c>
      <c r="AE24" s="203" t="str">
        <f t="shared" si="12"/>
        <v/>
      </c>
      <c r="AF24" s="203" t="str">
        <f t="shared" si="13"/>
        <v/>
      </c>
      <c r="AG24" s="203" t="str">
        <f t="shared" si="14"/>
        <v/>
      </c>
    </row>
    <row r="25" spans="1:33" x14ac:dyDescent="0.3">
      <c r="A25" s="214"/>
      <c r="B25" s="214"/>
      <c r="C25" s="214"/>
      <c r="D25" s="214"/>
      <c r="E25" s="214"/>
      <c r="F25" s="214"/>
      <c r="G25" s="214"/>
      <c r="H25" s="216"/>
      <c r="I25" s="215" t="str">
        <f t="shared" si="0"/>
        <v/>
      </c>
      <c r="J25" s="214"/>
      <c r="K25" s="217"/>
      <c r="L25" s="215" t="str">
        <f t="shared" si="1"/>
        <v/>
      </c>
      <c r="M25" s="214"/>
      <c r="N25" s="214"/>
      <c r="O25" s="217"/>
      <c r="P25" s="215" t="str">
        <f t="shared" si="2"/>
        <v/>
      </c>
      <c r="Q25" s="214"/>
      <c r="R25" s="214"/>
      <c r="S25" s="217"/>
      <c r="T25" s="215" t="str">
        <f t="shared" si="3"/>
        <v/>
      </c>
      <c r="U25" s="214"/>
      <c r="V25" s="214"/>
      <c r="W25" s="214"/>
      <c r="X25" s="214"/>
      <c r="Y25" s="214"/>
      <c r="Z25" s="217"/>
      <c r="AA25" s="128" t="str">
        <f t="shared" si="4"/>
        <v/>
      </c>
      <c r="AB25" t="str">
        <f t="array" ref="AB25">IF(OR(AA25 &lt;&gt;"", I25&lt;&gt;"",L25&lt;&gt;"",P25&lt;&gt;"",T25&lt;&gt;""), AND(EXACT(AC25:AG25,AC25)),"")</f>
        <v/>
      </c>
      <c r="AC25" s="203" t="str">
        <f t="shared" si="10"/>
        <v/>
      </c>
      <c r="AD25" s="203" t="str">
        <f t="shared" si="11"/>
        <v/>
      </c>
      <c r="AE25" s="203" t="str">
        <f t="shared" si="12"/>
        <v/>
      </c>
      <c r="AF25" s="203" t="str">
        <f t="shared" si="13"/>
        <v/>
      </c>
      <c r="AG25" s="203" t="str">
        <f t="shared" si="14"/>
        <v/>
      </c>
    </row>
    <row r="26" spans="1:33" x14ac:dyDescent="0.3">
      <c r="A26" s="214"/>
      <c r="B26" s="214"/>
      <c r="C26" s="214"/>
      <c r="D26" s="214"/>
      <c r="E26" s="214"/>
      <c r="F26" s="214"/>
      <c r="G26" s="214"/>
      <c r="H26" s="216"/>
      <c r="I26" s="215" t="str">
        <f t="shared" si="0"/>
        <v/>
      </c>
      <c r="J26" s="214"/>
      <c r="K26" s="217"/>
      <c r="L26" s="215" t="str">
        <f t="shared" si="1"/>
        <v/>
      </c>
      <c r="M26" s="214"/>
      <c r="N26" s="214"/>
      <c r="O26" s="217"/>
      <c r="P26" s="215" t="str">
        <f t="shared" si="2"/>
        <v/>
      </c>
      <c r="Q26" s="214"/>
      <c r="R26" s="214"/>
      <c r="S26" s="217"/>
      <c r="T26" s="215" t="str">
        <f t="shared" si="3"/>
        <v/>
      </c>
      <c r="U26" s="214"/>
      <c r="V26" s="214"/>
      <c r="W26" s="214"/>
      <c r="X26" s="214"/>
      <c r="Y26" s="214"/>
      <c r="Z26" s="217"/>
      <c r="AA26" s="128" t="str">
        <f t="shared" si="4"/>
        <v/>
      </c>
      <c r="AB26" t="str">
        <f t="array" ref="AB26">IF(OR(AA26 &lt;&gt;"", I26&lt;&gt;"",L26&lt;&gt;"",P26&lt;&gt;"",T26&lt;&gt;""), AND(EXACT(AC26:AG26,AC26)),"")</f>
        <v/>
      </c>
      <c r="AC26" s="203" t="str">
        <f t="shared" si="10"/>
        <v/>
      </c>
      <c r="AD26" s="203" t="str">
        <f t="shared" si="11"/>
        <v/>
      </c>
      <c r="AE26" s="203" t="str">
        <f t="shared" si="12"/>
        <v/>
      </c>
      <c r="AF26" s="203" t="str">
        <f t="shared" si="13"/>
        <v/>
      </c>
      <c r="AG26" s="203" t="str">
        <f t="shared" si="14"/>
        <v/>
      </c>
    </row>
    <row r="27" spans="1:33" x14ac:dyDescent="0.3">
      <c r="A27" s="214"/>
      <c r="B27" s="214"/>
      <c r="C27" s="214"/>
      <c r="D27" s="214"/>
      <c r="E27" s="214"/>
      <c r="F27" s="214"/>
      <c r="G27" s="214"/>
      <c r="H27" s="216"/>
      <c r="I27" s="215" t="str">
        <f t="shared" si="0"/>
        <v/>
      </c>
      <c r="J27" s="214"/>
      <c r="K27" s="217"/>
      <c r="L27" s="215" t="str">
        <f t="shared" si="1"/>
        <v/>
      </c>
      <c r="M27" s="214"/>
      <c r="N27" s="214"/>
      <c r="O27" s="217"/>
      <c r="P27" s="215" t="str">
        <f t="shared" si="2"/>
        <v/>
      </c>
      <c r="Q27" s="214"/>
      <c r="R27" s="214"/>
      <c r="S27" s="217"/>
      <c r="T27" s="215" t="str">
        <f t="shared" si="3"/>
        <v/>
      </c>
      <c r="U27" s="214"/>
      <c r="V27" s="214"/>
      <c r="W27" s="214"/>
      <c r="X27" s="214"/>
      <c r="Y27" s="214"/>
      <c r="Z27" s="217"/>
      <c r="AA27" s="128" t="str">
        <f t="shared" si="4"/>
        <v/>
      </c>
      <c r="AB27" t="str">
        <f t="array" ref="AB27">IF(OR(AA27 &lt;&gt;"", I27&lt;&gt;"",L27&lt;&gt;"",P27&lt;&gt;"",T27&lt;&gt;""), AND(EXACT(AC27:AG27,AC27)),"")</f>
        <v/>
      </c>
      <c r="AC27" s="203" t="str">
        <f t="shared" si="10"/>
        <v/>
      </c>
      <c r="AD27" s="203" t="str">
        <f t="shared" si="11"/>
        <v/>
      </c>
      <c r="AE27" s="203" t="str">
        <f t="shared" si="12"/>
        <v/>
      </c>
      <c r="AF27" s="203" t="str">
        <f t="shared" si="13"/>
        <v/>
      </c>
      <c r="AG27" s="203" t="str">
        <f t="shared" si="14"/>
        <v/>
      </c>
    </row>
    <row r="28" spans="1:33" x14ac:dyDescent="0.3">
      <c r="A28" s="214"/>
      <c r="B28" s="214"/>
      <c r="C28" s="214"/>
      <c r="D28" s="214"/>
      <c r="E28" s="214"/>
      <c r="F28" s="214"/>
      <c r="G28" s="214"/>
      <c r="H28" s="216"/>
      <c r="I28" s="215" t="str">
        <f t="shared" si="0"/>
        <v/>
      </c>
      <c r="J28" s="214"/>
      <c r="K28" s="217"/>
      <c r="L28" s="215" t="str">
        <f t="shared" si="1"/>
        <v/>
      </c>
      <c r="M28" s="214"/>
      <c r="N28" s="214"/>
      <c r="O28" s="217"/>
      <c r="P28" s="215" t="str">
        <f t="shared" si="2"/>
        <v/>
      </c>
      <c r="Q28" s="214"/>
      <c r="R28" s="214"/>
      <c r="S28" s="217"/>
      <c r="T28" s="215" t="str">
        <f t="shared" si="3"/>
        <v/>
      </c>
      <c r="U28" s="214"/>
      <c r="V28" s="214"/>
      <c r="W28" s="214"/>
      <c r="X28" s="214"/>
      <c r="Y28" s="214"/>
      <c r="Z28" s="217"/>
      <c r="AA28" s="128" t="str">
        <f t="shared" si="4"/>
        <v/>
      </c>
      <c r="AB28" t="str">
        <f t="array" ref="AB28">IF(OR(AA28 &lt;&gt;"", I28&lt;&gt;"",L28&lt;&gt;"",P28&lt;&gt;"",T28&lt;&gt;""), AND(EXACT(AC28:AG28,AC28)),"")</f>
        <v/>
      </c>
      <c r="AC28" s="203" t="str">
        <f t="shared" si="10"/>
        <v/>
      </c>
      <c r="AD28" s="203" t="str">
        <f t="shared" si="11"/>
        <v/>
      </c>
      <c r="AE28" s="203" t="str">
        <f t="shared" si="12"/>
        <v/>
      </c>
      <c r="AF28" s="203" t="str">
        <f t="shared" si="13"/>
        <v/>
      </c>
      <c r="AG28" s="203" t="str">
        <f t="shared" si="14"/>
        <v/>
      </c>
    </row>
    <row r="29" spans="1:33" x14ac:dyDescent="0.3">
      <c r="A29" s="214"/>
      <c r="B29" s="214"/>
      <c r="C29" s="214"/>
      <c r="D29" s="214"/>
      <c r="E29" s="214"/>
      <c r="F29" s="214"/>
      <c r="G29" s="214"/>
      <c r="H29" s="216"/>
      <c r="I29" s="215" t="str">
        <f t="shared" si="0"/>
        <v/>
      </c>
      <c r="J29" s="214"/>
      <c r="K29" s="217"/>
      <c r="L29" s="215" t="str">
        <f t="shared" si="1"/>
        <v/>
      </c>
      <c r="M29" s="214"/>
      <c r="N29" s="214"/>
      <c r="O29" s="217"/>
      <c r="P29" s="215" t="str">
        <f t="shared" si="2"/>
        <v/>
      </c>
      <c r="Q29" s="214"/>
      <c r="R29" s="214"/>
      <c r="S29" s="217"/>
      <c r="T29" s="215" t="str">
        <f t="shared" si="3"/>
        <v/>
      </c>
      <c r="U29" s="214"/>
      <c r="V29" s="214"/>
      <c r="W29" s="214"/>
      <c r="X29" s="214"/>
      <c r="Y29" s="214"/>
      <c r="Z29" s="217"/>
      <c r="AA29" s="128" t="str">
        <f t="shared" si="4"/>
        <v/>
      </c>
      <c r="AB29" t="str">
        <f t="array" ref="AB29">IF(OR(AA29 &lt;&gt;"", I29&lt;&gt;"",L29&lt;&gt;"",P29&lt;&gt;"",T29&lt;&gt;""), AND(EXACT(AC29:AG29,AC29)),"")</f>
        <v/>
      </c>
      <c r="AC29" s="203" t="str">
        <f t="shared" si="10"/>
        <v/>
      </c>
      <c r="AD29" s="203" t="str">
        <f t="shared" si="11"/>
        <v/>
      </c>
      <c r="AE29" s="203" t="str">
        <f t="shared" si="12"/>
        <v/>
      </c>
      <c r="AF29" s="203" t="str">
        <f t="shared" si="13"/>
        <v/>
      </c>
      <c r="AG29" s="203" t="str">
        <f t="shared" si="14"/>
        <v/>
      </c>
    </row>
    <row r="30" spans="1:33" x14ac:dyDescent="0.3">
      <c r="A30" s="214"/>
      <c r="B30" s="214"/>
      <c r="C30" s="214"/>
      <c r="D30" s="214"/>
      <c r="E30" s="214"/>
      <c r="F30" s="214"/>
      <c r="G30" s="214"/>
      <c r="H30" s="216"/>
      <c r="I30" s="215" t="str">
        <f t="shared" si="0"/>
        <v/>
      </c>
      <c r="J30" s="214"/>
      <c r="K30" s="217"/>
      <c r="L30" s="215" t="str">
        <f t="shared" si="1"/>
        <v/>
      </c>
      <c r="M30" s="214"/>
      <c r="N30" s="214"/>
      <c r="O30" s="217"/>
      <c r="P30" s="215" t="str">
        <f t="shared" si="2"/>
        <v/>
      </c>
      <c r="Q30" s="214"/>
      <c r="R30" s="214"/>
      <c r="S30" s="217"/>
      <c r="T30" s="215" t="str">
        <f t="shared" si="3"/>
        <v/>
      </c>
      <c r="U30" s="214"/>
      <c r="V30" s="214"/>
      <c r="W30" s="214"/>
      <c r="X30" s="214"/>
      <c r="Y30" s="214"/>
      <c r="Z30" s="217"/>
      <c r="AA30" s="128" t="str">
        <f t="shared" si="4"/>
        <v/>
      </c>
      <c r="AB30" t="str">
        <f t="array" ref="AB30">IF(OR(AA30 &lt;&gt;"", I30&lt;&gt;"",L30&lt;&gt;"",P30&lt;&gt;"",T30&lt;&gt;""), AND(EXACT(AC30:AG30,AC30)),"")</f>
        <v/>
      </c>
      <c r="AC30" s="203" t="str">
        <f t="shared" si="10"/>
        <v/>
      </c>
      <c r="AD30" s="203" t="str">
        <f t="shared" si="11"/>
        <v/>
      </c>
      <c r="AE30" s="203" t="str">
        <f t="shared" si="12"/>
        <v/>
      </c>
      <c r="AF30" s="203" t="str">
        <f t="shared" si="13"/>
        <v/>
      </c>
      <c r="AG30" s="203" t="str">
        <f t="shared" si="14"/>
        <v/>
      </c>
    </row>
    <row r="31" spans="1:33" x14ac:dyDescent="0.3">
      <c r="A31" s="214"/>
      <c r="B31" s="214"/>
      <c r="C31" s="214"/>
      <c r="D31" s="214"/>
      <c r="E31" s="214"/>
      <c r="F31" s="214"/>
      <c r="G31" s="214"/>
      <c r="H31" s="216"/>
      <c r="I31" s="215" t="str">
        <f t="shared" si="0"/>
        <v/>
      </c>
      <c r="J31" s="214"/>
      <c r="K31" s="217"/>
      <c r="L31" s="215" t="str">
        <f t="shared" si="1"/>
        <v/>
      </c>
      <c r="M31" s="214"/>
      <c r="N31" s="214"/>
      <c r="O31" s="217"/>
      <c r="P31" s="215" t="str">
        <f t="shared" si="2"/>
        <v/>
      </c>
      <c r="Q31" s="214"/>
      <c r="R31" s="214"/>
      <c r="S31" s="217"/>
      <c r="T31" s="215" t="str">
        <f t="shared" si="3"/>
        <v/>
      </c>
      <c r="U31" s="214"/>
      <c r="V31" s="214"/>
      <c r="W31" s="214"/>
      <c r="X31" s="214"/>
      <c r="Y31" s="214"/>
      <c r="Z31" s="217"/>
      <c r="AA31" s="128" t="str">
        <f t="shared" si="4"/>
        <v/>
      </c>
      <c r="AB31" t="str">
        <f t="array" ref="AB31">IF(OR(AA31 &lt;&gt;"", I31&lt;&gt;"",L31&lt;&gt;"",P31&lt;&gt;"",T31&lt;&gt;""), AND(EXACT(AC31:AG31,AC31)),"")</f>
        <v/>
      </c>
      <c r="AC31" s="203" t="str">
        <f t="shared" si="10"/>
        <v/>
      </c>
      <c r="AD31" s="203" t="str">
        <f t="shared" si="11"/>
        <v/>
      </c>
      <c r="AE31" s="203" t="str">
        <f t="shared" si="12"/>
        <v/>
      </c>
      <c r="AF31" s="203" t="str">
        <f t="shared" si="13"/>
        <v/>
      </c>
      <c r="AG31" s="203" t="str">
        <f t="shared" si="14"/>
        <v/>
      </c>
    </row>
    <row r="32" spans="1:33" x14ac:dyDescent="0.3">
      <c r="A32" s="214"/>
      <c r="B32" s="214"/>
      <c r="C32" s="214"/>
      <c r="D32" s="214"/>
      <c r="E32" s="214"/>
      <c r="F32" s="214"/>
      <c r="G32" s="214"/>
      <c r="H32" s="216"/>
      <c r="I32" s="215" t="str">
        <f t="shared" si="0"/>
        <v/>
      </c>
      <c r="J32" s="214"/>
      <c r="K32" s="217"/>
      <c r="L32" s="215" t="str">
        <f t="shared" si="1"/>
        <v/>
      </c>
      <c r="M32" s="214"/>
      <c r="N32" s="214"/>
      <c r="O32" s="217"/>
      <c r="P32" s="215" t="str">
        <f t="shared" si="2"/>
        <v/>
      </c>
      <c r="Q32" s="214"/>
      <c r="R32" s="214"/>
      <c r="S32" s="217"/>
      <c r="T32" s="215" t="str">
        <f t="shared" si="3"/>
        <v/>
      </c>
      <c r="U32" s="214"/>
      <c r="V32" s="214"/>
      <c r="W32" s="214"/>
      <c r="X32" s="214"/>
      <c r="Y32" s="214"/>
      <c r="Z32" s="217"/>
      <c r="AA32" s="128" t="str">
        <f t="shared" si="4"/>
        <v/>
      </c>
      <c r="AB32" t="str">
        <f t="array" ref="AB32">IF(OR(AA32 &lt;&gt;"", I32&lt;&gt;"",L32&lt;&gt;"",P32&lt;&gt;"",T32&lt;&gt;""), AND(EXACT(AC32:AG32,AC32)),"")</f>
        <v/>
      </c>
      <c r="AC32" s="203" t="str">
        <f t="shared" si="10"/>
        <v/>
      </c>
      <c r="AD32" s="203" t="str">
        <f t="shared" si="11"/>
        <v/>
      </c>
      <c r="AE32" s="203" t="str">
        <f t="shared" si="12"/>
        <v/>
      </c>
      <c r="AF32" s="203" t="str">
        <f t="shared" si="13"/>
        <v/>
      </c>
      <c r="AG32" s="203" t="str">
        <f t="shared" si="14"/>
        <v/>
      </c>
    </row>
    <row r="33" spans="1:33" x14ac:dyDescent="0.3">
      <c r="A33" s="214"/>
      <c r="B33" s="214"/>
      <c r="C33" s="214"/>
      <c r="D33" s="214"/>
      <c r="E33" s="214"/>
      <c r="F33" s="214"/>
      <c r="G33" s="214"/>
      <c r="H33" s="216"/>
      <c r="I33" s="215" t="str">
        <f t="shared" si="0"/>
        <v/>
      </c>
      <c r="J33" s="214"/>
      <c r="K33" s="217"/>
      <c r="L33" s="215" t="str">
        <f t="shared" si="1"/>
        <v/>
      </c>
      <c r="M33" s="214"/>
      <c r="N33" s="214"/>
      <c r="O33" s="217"/>
      <c r="P33" s="215" t="str">
        <f t="shared" si="2"/>
        <v/>
      </c>
      <c r="Q33" s="214"/>
      <c r="R33" s="214"/>
      <c r="S33" s="217"/>
      <c r="T33" s="215" t="str">
        <f t="shared" si="3"/>
        <v/>
      </c>
      <c r="U33" s="214"/>
      <c r="V33" s="214"/>
      <c r="W33" s="214"/>
      <c r="X33" s="214"/>
      <c r="Y33" s="214"/>
      <c r="Z33" s="217"/>
      <c r="AA33" s="128" t="str">
        <f t="shared" si="4"/>
        <v/>
      </c>
      <c r="AB33" t="str">
        <f t="array" ref="AB33">IF(OR(AA33 &lt;&gt;"", I33&lt;&gt;"",L33&lt;&gt;"",P33&lt;&gt;"",T33&lt;&gt;""), AND(EXACT(AC33:AG33,AC33)),"")</f>
        <v/>
      </c>
      <c r="AC33" s="203" t="str">
        <f t="shared" si="10"/>
        <v/>
      </c>
      <c r="AD33" s="203" t="str">
        <f t="shared" si="11"/>
        <v/>
      </c>
      <c r="AE33" s="203" t="str">
        <f t="shared" si="12"/>
        <v/>
      </c>
      <c r="AF33" s="203" t="str">
        <f t="shared" si="13"/>
        <v/>
      </c>
      <c r="AG33" s="203" t="str">
        <f t="shared" si="14"/>
        <v/>
      </c>
    </row>
    <row r="34" spans="1:33" x14ac:dyDescent="0.3">
      <c r="A34" s="214"/>
      <c r="B34" s="214"/>
      <c r="C34" s="214"/>
      <c r="D34" s="214"/>
      <c r="E34" s="214"/>
      <c r="F34" s="214"/>
      <c r="G34" s="214"/>
      <c r="H34" s="216"/>
      <c r="I34" s="215" t="str">
        <f t="shared" si="0"/>
        <v/>
      </c>
      <c r="J34" s="214"/>
      <c r="K34" s="217"/>
      <c r="L34" s="215" t="str">
        <f t="shared" si="1"/>
        <v/>
      </c>
      <c r="M34" s="214"/>
      <c r="N34" s="214"/>
      <c r="O34" s="217"/>
      <c r="P34" s="215" t="str">
        <f t="shared" si="2"/>
        <v/>
      </c>
      <c r="Q34" s="214"/>
      <c r="R34" s="214"/>
      <c r="S34" s="217"/>
      <c r="T34" s="215" t="str">
        <f t="shared" si="3"/>
        <v/>
      </c>
      <c r="U34" s="214"/>
      <c r="V34" s="214"/>
      <c r="W34" s="214"/>
      <c r="X34" s="214"/>
      <c r="Y34" s="214"/>
      <c r="Z34" s="217"/>
      <c r="AA34" s="128" t="str">
        <f t="shared" si="4"/>
        <v/>
      </c>
      <c r="AB34" t="str">
        <f t="array" ref="AB34">IF(OR(AA34 &lt;&gt;"", I34&lt;&gt;"",L34&lt;&gt;"",P34&lt;&gt;"",T34&lt;&gt;""), AND(EXACT(AC34:AG34,AC34)),"")</f>
        <v/>
      </c>
      <c r="AC34" s="203" t="str">
        <f t="shared" si="10"/>
        <v/>
      </c>
      <c r="AD34" s="203" t="str">
        <f t="shared" si="11"/>
        <v/>
      </c>
      <c r="AE34" s="203" t="str">
        <f t="shared" si="12"/>
        <v/>
      </c>
      <c r="AF34" s="203" t="str">
        <f t="shared" si="13"/>
        <v/>
      </c>
      <c r="AG34" s="203" t="str">
        <f t="shared" si="14"/>
        <v/>
      </c>
    </row>
    <row r="35" spans="1:33" x14ac:dyDescent="0.3">
      <c r="A35" s="214"/>
      <c r="B35" s="214"/>
      <c r="C35" s="214"/>
      <c r="D35" s="214"/>
      <c r="E35" s="214"/>
      <c r="F35" s="214"/>
      <c r="G35" s="214"/>
      <c r="H35" s="216"/>
      <c r="I35" s="215" t="str">
        <f t="shared" si="0"/>
        <v/>
      </c>
      <c r="J35" s="214"/>
      <c r="K35" s="217"/>
      <c r="L35" s="215" t="str">
        <f t="shared" si="1"/>
        <v/>
      </c>
      <c r="M35" s="214"/>
      <c r="N35" s="214"/>
      <c r="O35" s="217"/>
      <c r="P35" s="215" t="str">
        <f t="shared" si="2"/>
        <v/>
      </c>
      <c r="Q35" s="214"/>
      <c r="R35" s="214"/>
      <c r="S35" s="217"/>
      <c r="T35" s="215" t="str">
        <f t="shared" si="3"/>
        <v/>
      </c>
      <c r="U35" s="214"/>
      <c r="V35" s="214"/>
      <c r="W35" s="214"/>
      <c r="X35" s="214"/>
      <c r="Y35" s="214"/>
      <c r="Z35" s="217"/>
      <c r="AA35" s="128" t="str">
        <f t="shared" si="4"/>
        <v/>
      </c>
      <c r="AB35" t="str">
        <f t="array" ref="AB35">IF(OR(AA35 &lt;&gt;"", I35&lt;&gt;"",L35&lt;&gt;"",P35&lt;&gt;"",T35&lt;&gt;""), AND(EXACT(AC35:AG35,AC35)),"")</f>
        <v/>
      </c>
      <c r="AC35" s="203" t="str">
        <f t="shared" si="10"/>
        <v/>
      </c>
      <c r="AD35" s="203" t="str">
        <f t="shared" si="11"/>
        <v/>
      </c>
      <c r="AE35" s="203" t="str">
        <f t="shared" si="12"/>
        <v/>
      </c>
      <c r="AF35" s="203" t="str">
        <f t="shared" si="13"/>
        <v/>
      </c>
      <c r="AG35" s="203" t="str">
        <f t="shared" si="14"/>
        <v/>
      </c>
    </row>
    <row r="36" spans="1:33" x14ac:dyDescent="0.3">
      <c r="A36" s="214"/>
      <c r="B36" s="214"/>
      <c r="C36" s="214"/>
      <c r="D36" s="214"/>
      <c r="E36" s="214"/>
      <c r="F36" s="214"/>
      <c r="G36" s="214"/>
      <c r="H36" s="216"/>
      <c r="I36" s="215" t="str">
        <f t="shared" si="0"/>
        <v/>
      </c>
      <c r="J36" s="214"/>
      <c r="K36" s="217"/>
      <c r="L36" s="215" t="str">
        <f t="shared" si="1"/>
        <v/>
      </c>
      <c r="M36" s="214"/>
      <c r="N36" s="214"/>
      <c r="O36" s="217"/>
      <c r="P36" s="215" t="str">
        <f t="shared" si="2"/>
        <v/>
      </c>
      <c r="Q36" s="214"/>
      <c r="R36" s="214"/>
      <c r="S36" s="217"/>
      <c r="T36" s="215" t="str">
        <f t="shared" si="3"/>
        <v/>
      </c>
      <c r="U36" s="214"/>
      <c r="V36" s="214"/>
      <c r="W36" s="214"/>
      <c r="X36" s="214"/>
      <c r="Y36" s="214"/>
      <c r="Z36" s="217"/>
      <c r="AA36" s="128" t="str">
        <f t="shared" si="4"/>
        <v/>
      </c>
      <c r="AB36" t="str">
        <f t="array" ref="AB36">IF(OR(AA36 &lt;&gt;"", I36&lt;&gt;"",L36&lt;&gt;"",P36&lt;&gt;"",T36&lt;&gt;""), AND(EXACT(AC36:AG36,AC36)),"")</f>
        <v/>
      </c>
      <c r="AC36" s="203" t="str">
        <f t="shared" si="10"/>
        <v/>
      </c>
      <c r="AD36" s="203" t="str">
        <f t="shared" si="11"/>
        <v/>
      </c>
      <c r="AE36" s="203" t="str">
        <f t="shared" si="12"/>
        <v/>
      </c>
      <c r="AF36" s="203" t="str">
        <f t="shared" si="13"/>
        <v/>
      </c>
      <c r="AG36" s="203" t="str">
        <f t="shared" si="14"/>
        <v/>
      </c>
    </row>
    <row r="37" spans="1:33" x14ac:dyDescent="0.3">
      <c r="A37" s="214"/>
      <c r="B37" s="214"/>
      <c r="C37" s="214"/>
      <c r="D37" s="214"/>
      <c r="E37" s="214"/>
      <c r="F37" s="214"/>
      <c r="G37" s="214"/>
      <c r="H37" s="216"/>
      <c r="I37" s="215" t="str">
        <f t="shared" si="0"/>
        <v/>
      </c>
      <c r="J37" s="214"/>
      <c r="K37" s="217"/>
      <c r="L37" s="215" t="str">
        <f t="shared" si="1"/>
        <v/>
      </c>
      <c r="M37" s="214"/>
      <c r="N37" s="214"/>
      <c r="O37" s="217"/>
      <c r="P37" s="215" t="str">
        <f t="shared" si="2"/>
        <v/>
      </c>
      <c r="Q37" s="214"/>
      <c r="R37" s="214"/>
      <c r="S37" s="217"/>
      <c r="T37" s="215" t="str">
        <f t="shared" si="3"/>
        <v/>
      </c>
      <c r="U37" s="214"/>
      <c r="V37" s="214"/>
      <c r="W37" s="214"/>
      <c r="X37" s="214"/>
      <c r="Y37" s="214"/>
      <c r="Z37" s="217"/>
      <c r="AA37" s="128" t="str">
        <f t="shared" si="4"/>
        <v/>
      </c>
      <c r="AB37" t="str">
        <f t="array" ref="AB37">IF(OR(AA37 &lt;&gt;"", I37&lt;&gt;"",L37&lt;&gt;"",P37&lt;&gt;"",T37&lt;&gt;""), AND(EXACT(AC37:AG37,AC37)),"")</f>
        <v/>
      </c>
      <c r="AC37" s="203" t="str">
        <f t="shared" si="10"/>
        <v/>
      </c>
      <c r="AD37" s="203" t="str">
        <f t="shared" si="11"/>
        <v/>
      </c>
      <c r="AE37" s="203" t="str">
        <f t="shared" si="12"/>
        <v/>
      </c>
      <c r="AF37" s="203" t="str">
        <f t="shared" si="13"/>
        <v/>
      </c>
      <c r="AG37" s="203" t="str">
        <f t="shared" si="14"/>
        <v/>
      </c>
    </row>
    <row r="38" spans="1:33" x14ac:dyDescent="0.3">
      <c r="A38" s="214"/>
      <c r="B38" s="214"/>
      <c r="C38" s="214"/>
      <c r="D38" s="214"/>
      <c r="E38" s="214"/>
      <c r="F38" s="214"/>
      <c r="G38" s="214"/>
      <c r="H38" s="216"/>
      <c r="I38" s="215" t="str">
        <f t="shared" si="0"/>
        <v/>
      </c>
      <c r="J38" s="214"/>
      <c r="K38" s="217"/>
      <c r="L38" s="215" t="str">
        <f t="shared" si="1"/>
        <v/>
      </c>
      <c r="M38" s="214"/>
      <c r="N38" s="214"/>
      <c r="O38" s="217"/>
      <c r="P38" s="215" t="str">
        <f t="shared" si="2"/>
        <v/>
      </c>
      <c r="Q38" s="214"/>
      <c r="R38" s="214"/>
      <c r="S38" s="217"/>
      <c r="T38" s="215" t="str">
        <f t="shared" si="3"/>
        <v/>
      </c>
      <c r="U38" s="214"/>
      <c r="V38" s="214"/>
      <c r="W38" s="214"/>
      <c r="X38" s="214"/>
      <c r="Y38" s="214"/>
      <c r="Z38" s="217"/>
      <c r="AA38" s="128" t="str">
        <f t="shared" si="4"/>
        <v/>
      </c>
      <c r="AB38" t="str">
        <f t="array" ref="AB38">IF(OR(AA38 &lt;&gt;"", I38&lt;&gt;"",L38&lt;&gt;"",P38&lt;&gt;"",T38&lt;&gt;""), AND(EXACT(AC38:AG38,AC38)),"")</f>
        <v/>
      </c>
      <c r="AC38" s="203" t="str">
        <f t="shared" si="10"/>
        <v/>
      </c>
      <c r="AD38" s="203" t="str">
        <f t="shared" si="11"/>
        <v/>
      </c>
      <c r="AE38" s="203" t="str">
        <f t="shared" si="12"/>
        <v/>
      </c>
      <c r="AF38" s="203" t="str">
        <f t="shared" si="13"/>
        <v/>
      </c>
      <c r="AG38" s="203" t="str">
        <f t="shared" si="14"/>
        <v/>
      </c>
    </row>
    <row r="39" spans="1:33" x14ac:dyDescent="0.3">
      <c r="A39" s="214"/>
      <c r="B39" s="214"/>
      <c r="C39" s="214"/>
      <c r="D39" s="214"/>
      <c r="E39" s="214"/>
      <c r="F39" s="214"/>
      <c r="G39" s="214"/>
      <c r="H39" s="216"/>
      <c r="I39" s="215" t="str">
        <f t="shared" si="0"/>
        <v/>
      </c>
      <c r="J39" s="214"/>
      <c r="K39" s="217"/>
      <c r="L39" s="215" t="str">
        <f t="shared" si="1"/>
        <v/>
      </c>
      <c r="M39" s="214"/>
      <c r="N39" s="214"/>
      <c r="O39" s="217"/>
      <c r="P39" s="215" t="str">
        <f t="shared" si="2"/>
        <v/>
      </c>
      <c r="Q39" s="214"/>
      <c r="R39" s="214"/>
      <c r="S39" s="217"/>
      <c r="T39" s="215" t="str">
        <f t="shared" si="3"/>
        <v/>
      </c>
      <c r="U39" s="214"/>
      <c r="V39" s="214"/>
      <c r="W39" s="214"/>
      <c r="X39" s="214"/>
      <c r="Y39" s="214"/>
      <c r="Z39" s="217"/>
      <c r="AA39" s="128" t="str">
        <f t="shared" si="4"/>
        <v/>
      </c>
      <c r="AB39" t="str">
        <f t="array" ref="AB39">IF(OR(AA39 &lt;&gt;"", I39&lt;&gt;"",L39&lt;&gt;"",P39&lt;&gt;"",T39&lt;&gt;""), AND(EXACT(AC39:AG39,AC39)),"")</f>
        <v/>
      </c>
      <c r="AC39" s="203" t="str">
        <f t="shared" si="10"/>
        <v/>
      </c>
      <c r="AD39" s="203" t="str">
        <f t="shared" si="11"/>
        <v/>
      </c>
      <c r="AE39" s="203" t="str">
        <f t="shared" si="12"/>
        <v/>
      </c>
      <c r="AF39" s="203" t="str">
        <f t="shared" si="13"/>
        <v/>
      </c>
      <c r="AG39" s="203" t="str">
        <f t="shared" si="14"/>
        <v/>
      </c>
    </row>
    <row r="40" spans="1:33" x14ac:dyDescent="0.3">
      <c r="A40" s="214"/>
      <c r="B40" s="214"/>
      <c r="C40" s="214"/>
      <c r="D40" s="214"/>
      <c r="E40" s="214"/>
      <c r="F40" s="214"/>
      <c r="G40" s="214"/>
      <c r="H40" s="216"/>
      <c r="I40" s="215" t="str">
        <f t="shared" si="0"/>
        <v/>
      </c>
      <c r="J40" s="214"/>
      <c r="K40" s="217"/>
      <c r="L40" s="215" t="str">
        <f t="shared" si="1"/>
        <v/>
      </c>
      <c r="M40" s="214"/>
      <c r="N40" s="214"/>
      <c r="O40" s="217"/>
      <c r="P40" s="215" t="str">
        <f t="shared" si="2"/>
        <v/>
      </c>
      <c r="Q40" s="214"/>
      <c r="R40" s="214"/>
      <c r="S40" s="217"/>
      <c r="T40" s="215" t="str">
        <f t="shared" si="3"/>
        <v/>
      </c>
      <c r="U40" s="214"/>
      <c r="V40" s="214"/>
      <c r="W40" s="214"/>
      <c r="X40" s="214"/>
      <c r="Y40" s="214"/>
      <c r="Z40" s="217"/>
      <c r="AA40" s="128" t="str">
        <f t="shared" si="4"/>
        <v/>
      </c>
      <c r="AB40" t="str">
        <f t="array" ref="AB40">IF(OR(AA40 &lt;&gt;"", I40&lt;&gt;"",L40&lt;&gt;"",P40&lt;&gt;"",T40&lt;&gt;""), AND(EXACT(AC40:AG40,AC40)),"")</f>
        <v/>
      </c>
      <c r="AC40" s="203" t="str">
        <f t="shared" si="10"/>
        <v/>
      </c>
      <c r="AD40" s="203" t="str">
        <f t="shared" si="11"/>
        <v/>
      </c>
      <c r="AE40" s="203" t="str">
        <f t="shared" si="12"/>
        <v/>
      </c>
      <c r="AF40" s="203" t="str">
        <f t="shared" si="13"/>
        <v/>
      </c>
      <c r="AG40" s="203" t="str">
        <f t="shared" si="14"/>
        <v/>
      </c>
    </row>
    <row r="41" spans="1:33" x14ac:dyDescent="0.3">
      <c r="A41" s="214"/>
      <c r="B41" s="214"/>
      <c r="C41" s="214"/>
      <c r="D41" s="214"/>
      <c r="E41" s="214"/>
      <c r="F41" s="214"/>
      <c r="G41" s="214"/>
      <c r="H41" s="216"/>
      <c r="I41" s="215" t="str">
        <f t="shared" si="0"/>
        <v/>
      </c>
      <c r="J41" s="214"/>
      <c r="K41" s="217"/>
      <c r="L41" s="215" t="str">
        <f t="shared" si="1"/>
        <v/>
      </c>
      <c r="M41" s="214"/>
      <c r="N41" s="214"/>
      <c r="O41" s="217"/>
      <c r="P41" s="215" t="str">
        <f t="shared" si="2"/>
        <v/>
      </c>
      <c r="Q41" s="214"/>
      <c r="R41" s="214"/>
      <c r="S41" s="217"/>
      <c r="T41" s="215" t="str">
        <f t="shared" si="3"/>
        <v/>
      </c>
      <c r="U41" s="214"/>
      <c r="V41" s="214"/>
      <c r="W41" s="214"/>
      <c r="X41" s="214"/>
      <c r="Y41" s="214"/>
      <c r="Z41" s="217"/>
      <c r="AA41" s="128" t="str">
        <f t="shared" si="4"/>
        <v/>
      </c>
      <c r="AB41" t="str">
        <f t="array" ref="AB41">IF(OR(AA41 &lt;&gt;"", I41&lt;&gt;"",L41&lt;&gt;"",P41&lt;&gt;"",T41&lt;&gt;""), AND(EXACT(AC41:AG41,AC41)),"")</f>
        <v/>
      </c>
      <c r="AC41" s="203" t="str">
        <f t="shared" si="10"/>
        <v/>
      </c>
      <c r="AD41" s="203" t="str">
        <f t="shared" si="11"/>
        <v/>
      </c>
      <c r="AE41" s="203" t="str">
        <f t="shared" si="12"/>
        <v/>
      </c>
      <c r="AF41" s="203" t="str">
        <f t="shared" si="13"/>
        <v/>
      </c>
      <c r="AG41" s="203" t="str">
        <f t="shared" si="14"/>
        <v/>
      </c>
    </row>
    <row r="42" spans="1:33" x14ac:dyDescent="0.3">
      <c r="A42" s="214"/>
      <c r="B42" s="214"/>
      <c r="C42" s="214"/>
      <c r="D42" s="214"/>
      <c r="E42" s="214"/>
      <c r="F42" s="214"/>
      <c r="G42" s="214"/>
      <c r="H42" s="216"/>
      <c r="I42" s="215" t="str">
        <f t="shared" si="0"/>
        <v/>
      </c>
      <c r="J42" s="214"/>
      <c r="K42" s="217"/>
      <c r="L42" s="215" t="str">
        <f t="shared" si="1"/>
        <v/>
      </c>
      <c r="M42" s="214"/>
      <c r="N42" s="214"/>
      <c r="O42" s="217"/>
      <c r="P42" s="215" t="str">
        <f t="shared" si="2"/>
        <v/>
      </c>
      <c r="Q42" s="214"/>
      <c r="R42" s="214"/>
      <c r="S42" s="217"/>
      <c r="T42" s="215" t="str">
        <f t="shared" si="3"/>
        <v/>
      </c>
      <c r="U42" s="214"/>
      <c r="V42" s="214"/>
      <c r="W42" s="214"/>
      <c r="X42" s="214"/>
      <c r="Y42" s="214"/>
      <c r="Z42" s="217"/>
      <c r="AA42" s="128" t="str">
        <f t="shared" si="4"/>
        <v/>
      </c>
      <c r="AB42" t="str">
        <f t="array" ref="AB42">IF(OR(AA42 &lt;&gt;"", I42&lt;&gt;"",L42&lt;&gt;"",P42&lt;&gt;"",T42&lt;&gt;""), AND(EXACT(AC42:AG42,AC42)),"")</f>
        <v/>
      </c>
      <c r="AC42" s="203" t="str">
        <f t="shared" si="10"/>
        <v/>
      </c>
      <c r="AD42" s="203" t="str">
        <f t="shared" si="11"/>
        <v/>
      </c>
      <c r="AE42" s="203" t="str">
        <f t="shared" si="12"/>
        <v/>
      </c>
      <c r="AF42" s="203" t="str">
        <f t="shared" si="13"/>
        <v/>
      </c>
      <c r="AG42" s="203" t="str">
        <f t="shared" si="14"/>
        <v/>
      </c>
    </row>
    <row r="43" spans="1:33" x14ac:dyDescent="0.3">
      <c r="A43" s="214"/>
      <c r="B43" s="214"/>
      <c r="C43" s="214"/>
      <c r="D43" s="214"/>
      <c r="E43" s="214"/>
      <c r="F43" s="214"/>
      <c r="G43" s="214"/>
      <c r="H43" s="216"/>
      <c r="I43" s="215" t="str">
        <f t="shared" si="0"/>
        <v/>
      </c>
      <c r="J43" s="214"/>
      <c r="K43" s="217"/>
      <c r="L43" s="215" t="str">
        <f t="shared" si="1"/>
        <v/>
      </c>
      <c r="M43" s="214"/>
      <c r="N43" s="214"/>
      <c r="O43" s="217"/>
      <c r="P43" s="215" t="str">
        <f t="shared" si="2"/>
        <v/>
      </c>
      <c r="Q43" s="214"/>
      <c r="R43" s="214"/>
      <c r="S43" s="217"/>
      <c r="T43" s="215" t="str">
        <f t="shared" si="3"/>
        <v/>
      </c>
      <c r="U43" s="214"/>
      <c r="V43" s="214"/>
      <c r="W43" s="214"/>
      <c r="X43" s="214"/>
      <c r="Y43" s="214"/>
      <c r="Z43" s="217"/>
      <c r="AA43" s="128" t="str">
        <f t="shared" si="4"/>
        <v/>
      </c>
      <c r="AB43" t="str">
        <f t="array" ref="AB43">IF(OR(AA43 &lt;&gt;"", I43&lt;&gt;"",L43&lt;&gt;"",P43&lt;&gt;"",T43&lt;&gt;""), AND(EXACT(AC43:AG43,AC43)),"")</f>
        <v/>
      </c>
      <c r="AC43" s="203" t="str">
        <f t="shared" si="10"/>
        <v/>
      </c>
      <c r="AD43" s="203" t="str">
        <f t="shared" si="11"/>
        <v/>
      </c>
      <c r="AE43" s="203" t="str">
        <f t="shared" si="12"/>
        <v/>
      </c>
      <c r="AF43" s="203" t="str">
        <f t="shared" si="13"/>
        <v/>
      </c>
      <c r="AG43" s="203" t="str">
        <f t="shared" si="14"/>
        <v/>
      </c>
    </row>
    <row r="44" spans="1:33" x14ac:dyDescent="0.3">
      <c r="A44" s="214"/>
      <c r="B44" s="214"/>
      <c r="C44" s="214"/>
      <c r="D44" s="214"/>
      <c r="E44" s="214"/>
      <c r="F44" s="214"/>
      <c r="G44" s="214"/>
      <c r="H44" s="216"/>
      <c r="I44" s="215" t="str">
        <f t="shared" si="0"/>
        <v/>
      </c>
      <c r="J44" s="214"/>
      <c r="K44" s="217"/>
      <c r="L44" s="215" t="str">
        <f t="shared" si="1"/>
        <v/>
      </c>
      <c r="M44" s="214"/>
      <c r="N44" s="214"/>
      <c r="O44" s="217"/>
      <c r="P44" s="215" t="str">
        <f t="shared" si="2"/>
        <v/>
      </c>
      <c r="Q44" s="214"/>
      <c r="R44" s="214"/>
      <c r="S44" s="217"/>
      <c r="T44" s="215" t="str">
        <f t="shared" si="3"/>
        <v/>
      </c>
      <c r="U44" s="214"/>
      <c r="V44" s="214"/>
      <c r="W44" s="214"/>
      <c r="X44" s="214"/>
      <c r="Y44" s="214"/>
      <c r="Z44" s="217"/>
      <c r="AA44" s="128" t="str">
        <f t="shared" si="4"/>
        <v/>
      </c>
      <c r="AB44" t="str">
        <f t="array" ref="AB44">IF(OR(AA44 &lt;&gt;"", I44&lt;&gt;"",L44&lt;&gt;"",P44&lt;&gt;"",T44&lt;&gt;""), AND(EXACT(AC44:AG44,AC44)),"")</f>
        <v/>
      </c>
      <c r="AC44" s="203" t="str">
        <f t="shared" si="10"/>
        <v/>
      </c>
      <c r="AD44" s="203" t="str">
        <f t="shared" si="11"/>
        <v/>
      </c>
      <c r="AE44" s="203" t="str">
        <f t="shared" si="12"/>
        <v/>
      </c>
      <c r="AF44" s="203" t="str">
        <f t="shared" si="13"/>
        <v/>
      </c>
      <c r="AG44" s="203" t="str">
        <f t="shared" si="14"/>
        <v/>
      </c>
    </row>
    <row r="45" spans="1:33" x14ac:dyDescent="0.3">
      <c r="A45" s="214"/>
      <c r="B45" s="214"/>
      <c r="C45" s="214"/>
      <c r="D45" s="214"/>
      <c r="E45" s="214"/>
      <c r="F45" s="214"/>
      <c r="G45" s="214"/>
      <c r="H45" s="216"/>
      <c r="I45" s="215" t="str">
        <f t="shared" si="0"/>
        <v/>
      </c>
      <c r="J45" s="214"/>
      <c r="K45" s="217"/>
      <c r="L45" s="215" t="str">
        <f t="shared" si="1"/>
        <v/>
      </c>
      <c r="M45" s="214"/>
      <c r="N45" s="214"/>
      <c r="O45" s="217"/>
      <c r="P45" s="215" t="str">
        <f t="shared" si="2"/>
        <v/>
      </c>
      <c r="Q45" s="214"/>
      <c r="R45" s="214"/>
      <c r="S45" s="217"/>
      <c r="T45" s="215" t="str">
        <f t="shared" si="3"/>
        <v/>
      </c>
      <c r="U45" s="214"/>
      <c r="V45" s="214"/>
      <c r="W45" s="214"/>
      <c r="X45" s="214"/>
      <c r="Y45" s="214"/>
      <c r="Z45" s="217"/>
      <c r="AA45" s="128" t="str">
        <f t="shared" si="4"/>
        <v/>
      </c>
      <c r="AB45" t="str">
        <f t="array" ref="AB45">IF(OR(AA45 &lt;&gt;"", I45&lt;&gt;"",L45&lt;&gt;"",P45&lt;&gt;"",T45&lt;&gt;""), AND(EXACT(AC45:AG45,AC45)),"")</f>
        <v/>
      </c>
      <c r="AC45" s="203" t="str">
        <f t="shared" si="10"/>
        <v/>
      </c>
      <c r="AD45" s="203" t="str">
        <f t="shared" si="11"/>
        <v/>
      </c>
      <c r="AE45" s="203" t="str">
        <f t="shared" si="12"/>
        <v/>
      </c>
      <c r="AF45" s="203" t="str">
        <f t="shared" si="13"/>
        <v/>
      </c>
      <c r="AG45" s="203" t="str">
        <f t="shared" si="14"/>
        <v/>
      </c>
    </row>
    <row r="46" spans="1:33" x14ac:dyDescent="0.3">
      <c r="A46" s="214"/>
      <c r="B46" s="214"/>
      <c r="C46" s="214"/>
      <c r="D46" s="214"/>
      <c r="E46" s="214"/>
      <c r="F46" s="214"/>
      <c r="G46" s="214"/>
      <c r="H46" s="216"/>
      <c r="I46" s="215" t="str">
        <f t="shared" si="0"/>
        <v/>
      </c>
      <c r="J46" s="214"/>
      <c r="K46" s="217"/>
      <c r="L46" s="215" t="str">
        <f t="shared" si="1"/>
        <v/>
      </c>
      <c r="M46" s="214"/>
      <c r="N46" s="214"/>
      <c r="O46" s="217"/>
      <c r="P46" s="215" t="str">
        <f t="shared" si="2"/>
        <v/>
      </c>
      <c r="Q46" s="214"/>
      <c r="R46" s="214"/>
      <c r="S46" s="217"/>
      <c r="T46" s="215" t="str">
        <f t="shared" si="3"/>
        <v/>
      </c>
      <c r="U46" s="214"/>
      <c r="V46" s="214"/>
      <c r="W46" s="214"/>
      <c r="X46" s="214"/>
      <c r="Y46" s="214"/>
      <c r="Z46" s="217"/>
      <c r="AA46" s="128" t="str">
        <f t="shared" si="4"/>
        <v/>
      </c>
      <c r="AB46" t="str">
        <f t="array" ref="AB46">IF(OR(AA46 &lt;&gt;"", I46&lt;&gt;"",L46&lt;&gt;"",P46&lt;&gt;"",T46&lt;&gt;""), AND(EXACT(AC46:AG46,AC46)),"")</f>
        <v/>
      </c>
      <c r="AC46" s="203" t="str">
        <f t="shared" si="10"/>
        <v/>
      </c>
      <c r="AD46" s="203" t="str">
        <f t="shared" si="11"/>
        <v/>
      </c>
      <c r="AE46" s="203" t="str">
        <f t="shared" si="12"/>
        <v/>
      </c>
      <c r="AF46" s="203" t="str">
        <f t="shared" si="13"/>
        <v/>
      </c>
      <c r="AG46" s="203" t="str">
        <f t="shared" si="14"/>
        <v/>
      </c>
    </row>
    <row r="47" spans="1:33" x14ac:dyDescent="0.3">
      <c r="A47" s="214"/>
      <c r="B47" s="214"/>
      <c r="C47" s="214"/>
      <c r="D47" s="214"/>
      <c r="E47" s="214"/>
      <c r="F47" s="214"/>
      <c r="G47" s="214"/>
      <c r="H47" s="216"/>
      <c r="I47" s="215" t="str">
        <f t="shared" si="0"/>
        <v/>
      </c>
      <c r="J47" s="214"/>
      <c r="K47" s="217"/>
      <c r="L47" s="215" t="str">
        <f t="shared" si="1"/>
        <v/>
      </c>
      <c r="M47" s="214"/>
      <c r="N47" s="214"/>
      <c r="O47" s="217"/>
      <c r="P47" s="215" t="str">
        <f t="shared" si="2"/>
        <v/>
      </c>
      <c r="Q47" s="214"/>
      <c r="R47" s="214"/>
      <c r="S47" s="217"/>
      <c r="T47" s="215" t="str">
        <f t="shared" si="3"/>
        <v/>
      </c>
      <c r="U47" s="214"/>
      <c r="V47" s="214"/>
      <c r="W47" s="214"/>
      <c r="X47" s="214"/>
      <c r="Y47" s="214"/>
      <c r="Z47" s="217"/>
      <c r="AA47" s="128" t="str">
        <f t="shared" si="4"/>
        <v/>
      </c>
      <c r="AB47" t="str">
        <f t="array" ref="AB47">IF(OR(AA47 &lt;&gt;"", I47&lt;&gt;"",L47&lt;&gt;"",P47&lt;&gt;"",T47&lt;&gt;""), AND(EXACT(AC47:AG47,AC47)),"")</f>
        <v/>
      </c>
      <c r="AC47" s="203" t="str">
        <f t="shared" si="10"/>
        <v/>
      </c>
      <c r="AD47" s="203" t="str">
        <f t="shared" si="11"/>
        <v/>
      </c>
      <c r="AE47" s="203" t="str">
        <f t="shared" si="12"/>
        <v/>
      </c>
      <c r="AF47" s="203" t="str">
        <f t="shared" si="13"/>
        <v/>
      </c>
      <c r="AG47" s="203" t="str">
        <f t="shared" si="14"/>
        <v/>
      </c>
    </row>
    <row r="48" spans="1:33" x14ac:dyDescent="0.3">
      <c r="A48" s="214"/>
      <c r="B48" s="214"/>
      <c r="C48" s="214"/>
      <c r="D48" s="214"/>
      <c r="E48" s="214"/>
      <c r="F48" s="214"/>
      <c r="G48" s="214"/>
      <c r="H48" s="216"/>
      <c r="I48" s="215" t="str">
        <f t="shared" si="0"/>
        <v/>
      </c>
      <c r="J48" s="214"/>
      <c r="K48" s="217"/>
      <c r="L48" s="215" t="str">
        <f t="shared" si="1"/>
        <v/>
      </c>
      <c r="M48" s="214"/>
      <c r="N48" s="214"/>
      <c r="O48" s="217"/>
      <c r="P48" s="215" t="str">
        <f t="shared" si="2"/>
        <v/>
      </c>
      <c r="Q48" s="214"/>
      <c r="R48" s="214"/>
      <c r="S48" s="217"/>
      <c r="T48" s="215" t="str">
        <f t="shared" si="3"/>
        <v/>
      </c>
      <c r="U48" s="214"/>
      <c r="V48" s="214"/>
      <c r="W48" s="214"/>
      <c r="X48" s="214"/>
      <c r="Y48" s="214"/>
      <c r="Z48" s="217"/>
      <c r="AA48" s="128" t="str">
        <f t="shared" si="4"/>
        <v/>
      </c>
      <c r="AB48" t="str">
        <f t="array" ref="AB48">IF(OR(AA48 &lt;&gt;"", I48&lt;&gt;"",L48&lt;&gt;"",P48&lt;&gt;"",T48&lt;&gt;""), AND(EXACT(AC48:AG48,AC48)),"")</f>
        <v/>
      </c>
      <c r="AC48" s="203" t="str">
        <f t="shared" si="10"/>
        <v/>
      </c>
      <c r="AD48" s="203" t="str">
        <f t="shared" si="11"/>
        <v/>
      </c>
      <c r="AE48" s="203" t="str">
        <f t="shared" si="12"/>
        <v/>
      </c>
      <c r="AF48" s="203" t="str">
        <f t="shared" si="13"/>
        <v/>
      </c>
      <c r="AG48" s="203" t="str">
        <f t="shared" si="14"/>
        <v/>
      </c>
    </row>
    <row r="49" spans="1:33" x14ac:dyDescent="0.3">
      <c r="A49" s="214"/>
      <c r="B49" s="214"/>
      <c r="C49" s="214"/>
      <c r="D49" s="214"/>
      <c r="E49" s="214"/>
      <c r="F49" s="214"/>
      <c r="G49" s="214"/>
      <c r="H49" s="216"/>
      <c r="I49" s="215" t="str">
        <f t="shared" si="0"/>
        <v/>
      </c>
      <c r="J49" s="214"/>
      <c r="K49" s="217"/>
      <c r="L49" s="215" t="str">
        <f t="shared" si="1"/>
        <v/>
      </c>
      <c r="M49" s="214"/>
      <c r="N49" s="214"/>
      <c r="O49" s="217"/>
      <c r="P49" s="215" t="str">
        <f t="shared" si="2"/>
        <v/>
      </c>
      <c r="Q49" s="214"/>
      <c r="R49" s="214"/>
      <c r="S49" s="217"/>
      <c r="T49" s="215" t="str">
        <f t="shared" si="3"/>
        <v/>
      </c>
      <c r="U49" s="214"/>
      <c r="V49" s="214"/>
      <c r="W49" s="214"/>
      <c r="X49" s="214"/>
      <c r="Y49" s="214"/>
      <c r="Z49" s="217"/>
      <c r="AA49" s="128" t="str">
        <f t="shared" si="4"/>
        <v/>
      </c>
      <c r="AB49" t="str">
        <f t="array" ref="AB49">IF(OR(AA49 &lt;&gt;"", I49&lt;&gt;"",L49&lt;&gt;"",P49&lt;&gt;"",T49&lt;&gt;""), AND(EXACT(AC49:AG49,AC49)),"")</f>
        <v/>
      </c>
      <c r="AC49" s="203" t="str">
        <f t="shared" si="10"/>
        <v/>
      </c>
      <c r="AD49" s="203" t="str">
        <f t="shared" si="11"/>
        <v/>
      </c>
      <c r="AE49" s="203" t="str">
        <f t="shared" si="12"/>
        <v/>
      </c>
      <c r="AF49" s="203" t="str">
        <f t="shared" si="13"/>
        <v/>
      </c>
      <c r="AG49" s="203" t="str">
        <f t="shared" si="14"/>
        <v/>
      </c>
    </row>
    <row r="50" spans="1:33" x14ac:dyDescent="0.3">
      <c r="A50" s="214"/>
      <c r="B50" s="214"/>
      <c r="C50" s="214"/>
      <c r="D50" s="214"/>
      <c r="E50" s="214"/>
      <c r="F50" s="214"/>
      <c r="G50" s="214"/>
      <c r="H50" s="216"/>
      <c r="I50" s="215" t="str">
        <f t="shared" si="0"/>
        <v/>
      </c>
      <c r="J50" s="214"/>
      <c r="K50" s="217"/>
      <c r="L50" s="215" t="str">
        <f t="shared" si="1"/>
        <v/>
      </c>
      <c r="M50" s="214"/>
      <c r="N50" s="214"/>
      <c r="O50" s="217"/>
      <c r="P50" s="215" t="str">
        <f t="shared" si="2"/>
        <v/>
      </c>
      <c r="Q50" s="214"/>
      <c r="R50" s="214"/>
      <c r="S50" s="217"/>
      <c r="T50" s="215" t="str">
        <f t="shared" si="3"/>
        <v/>
      </c>
      <c r="U50" s="214"/>
      <c r="V50" s="214"/>
      <c r="W50" s="214"/>
      <c r="X50" s="214"/>
      <c r="Y50" s="214"/>
      <c r="Z50" s="217"/>
      <c r="AA50" s="128" t="str">
        <f t="shared" si="4"/>
        <v/>
      </c>
      <c r="AB50" t="str">
        <f t="array" ref="AB50">IF(OR(AA50 &lt;&gt;"", I50&lt;&gt;"",L50&lt;&gt;"",P50&lt;&gt;"",T50&lt;&gt;""), AND(EXACT(AC50:AG50,AC50)),"")</f>
        <v/>
      </c>
      <c r="AC50" s="203" t="str">
        <f t="shared" si="10"/>
        <v/>
      </c>
      <c r="AD50" s="203" t="str">
        <f t="shared" si="11"/>
        <v/>
      </c>
      <c r="AE50" s="203" t="str">
        <f t="shared" si="12"/>
        <v/>
      </c>
      <c r="AF50" s="203" t="str">
        <f t="shared" si="13"/>
        <v/>
      </c>
      <c r="AG50" s="203" t="str">
        <f t="shared" si="14"/>
        <v/>
      </c>
    </row>
    <row r="51" spans="1:33" x14ac:dyDescent="0.3">
      <c r="A51" s="214"/>
      <c r="B51" s="214"/>
      <c r="C51" s="214"/>
      <c r="D51" s="214"/>
      <c r="E51" s="214"/>
      <c r="F51" s="214"/>
      <c r="G51" s="214"/>
      <c r="H51" s="216"/>
      <c r="I51" s="215" t="str">
        <f t="shared" si="0"/>
        <v/>
      </c>
      <c r="J51" s="214"/>
      <c r="K51" s="217"/>
      <c r="L51" s="215" t="str">
        <f t="shared" si="1"/>
        <v/>
      </c>
      <c r="M51" s="214"/>
      <c r="N51" s="214"/>
      <c r="O51" s="217"/>
      <c r="P51" s="215" t="str">
        <f t="shared" si="2"/>
        <v/>
      </c>
      <c r="Q51" s="214"/>
      <c r="R51" s="214"/>
      <c r="S51" s="217"/>
      <c r="T51" s="215" t="str">
        <f t="shared" si="3"/>
        <v/>
      </c>
      <c r="U51" s="214"/>
      <c r="V51" s="214"/>
      <c r="W51" s="214"/>
      <c r="X51" s="214"/>
      <c r="Y51" s="214"/>
      <c r="Z51" s="217"/>
      <c r="AA51" s="128" t="str">
        <f t="shared" si="4"/>
        <v/>
      </c>
      <c r="AB51" t="str">
        <f t="array" ref="AB51">IF(OR(AA51 &lt;&gt;"", I51&lt;&gt;"",L51&lt;&gt;"",P51&lt;&gt;"",T51&lt;&gt;""), AND(EXACT(AC51:AG51,AC51)),"")</f>
        <v/>
      </c>
      <c r="AC51" s="203" t="str">
        <f t="shared" si="10"/>
        <v/>
      </c>
      <c r="AD51" s="203" t="str">
        <f t="shared" si="11"/>
        <v/>
      </c>
      <c r="AE51" s="203" t="str">
        <f t="shared" si="12"/>
        <v/>
      </c>
      <c r="AF51" s="203" t="str">
        <f t="shared" si="13"/>
        <v/>
      </c>
      <c r="AG51" s="203" t="str">
        <f t="shared" si="14"/>
        <v/>
      </c>
    </row>
    <row r="52" spans="1:33" x14ac:dyDescent="0.3">
      <c r="A52" s="214"/>
      <c r="B52" s="214"/>
      <c r="C52" s="214"/>
      <c r="D52" s="214"/>
      <c r="E52" s="214"/>
      <c r="F52" s="214"/>
      <c r="G52" s="214"/>
      <c r="H52" s="216"/>
      <c r="I52" s="215" t="str">
        <f t="shared" si="0"/>
        <v/>
      </c>
      <c r="J52" s="214"/>
      <c r="K52" s="217"/>
      <c r="L52" s="215" t="str">
        <f t="shared" si="1"/>
        <v/>
      </c>
      <c r="M52" s="214"/>
      <c r="N52" s="214"/>
      <c r="O52" s="217"/>
      <c r="P52" s="215" t="str">
        <f t="shared" si="2"/>
        <v/>
      </c>
      <c r="Q52" s="214"/>
      <c r="R52" s="214"/>
      <c r="S52" s="217"/>
      <c r="T52" s="215" t="str">
        <f t="shared" si="3"/>
        <v/>
      </c>
      <c r="U52" s="214"/>
      <c r="V52" s="214"/>
      <c r="W52" s="214"/>
      <c r="X52" s="214"/>
      <c r="Y52" s="214"/>
      <c r="Z52" s="217"/>
      <c r="AA52" s="128" t="str">
        <f t="shared" si="4"/>
        <v/>
      </c>
      <c r="AB52" t="str">
        <f t="array" ref="AB52">IF(OR(AA52 &lt;&gt;"", I52&lt;&gt;"",L52&lt;&gt;"",P52&lt;&gt;"",T52&lt;&gt;""), AND(EXACT(AC52:AG52,AC52)),"")</f>
        <v/>
      </c>
      <c r="AC52" s="203" t="str">
        <f t="shared" si="10"/>
        <v/>
      </c>
      <c r="AD52" s="203" t="str">
        <f t="shared" si="11"/>
        <v/>
      </c>
      <c r="AE52" s="203" t="str">
        <f t="shared" si="12"/>
        <v/>
      </c>
      <c r="AF52" s="203" t="str">
        <f t="shared" si="13"/>
        <v/>
      </c>
      <c r="AG52" s="203" t="str">
        <f t="shared" si="14"/>
        <v/>
      </c>
    </row>
    <row r="53" spans="1:33" x14ac:dyDescent="0.3">
      <c r="A53" s="214"/>
      <c r="B53" s="214"/>
      <c r="C53" s="214"/>
      <c r="D53" s="214"/>
      <c r="E53" s="214"/>
      <c r="F53" s="214"/>
      <c r="G53" s="214"/>
      <c r="H53" s="216"/>
      <c r="I53" s="215" t="str">
        <f t="shared" si="0"/>
        <v/>
      </c>
      <c r="J53" s="214"/>
      <c r="K53" s="217"/>
      <c r="L53" s="215" t="str">
        <f t="shared" si="1"/>
        <v/>
      </c>
      <c r="M53" s="214"/>
      <c r="N53" s="214"/>
      <c r="O53" s="217"/>
      <c r="P53" s="215" t="str">
        <f t="shared" si="2"/>
        <v/>
      </c>
      <c r="Q53" s="214"/>
      <c r="R53" s="214"/>
      <c r="S53" s="217"/>
      <c r="T53" s="215" t="str">
        <f t="shared" si="3"/>
        <v/>
      </c>
      <c r="U53" s="214"/>
      <c r="V53" s="214"/>
      <c r="W53" s="214"/>
      <c r="X53" s="214"/>
      <c r="Y53" s="214"/>
      <c r="Z53" s="217"/>
      <c r="AA53" s="128" t="str">
        <f t="shared" si="4"/>
        <v/>
      </c>
      <c r="AB53" t="str">
        <f t="array" ref="AB53">IF(OR(AA53 &lt;&gt;"", I53&lt;&gt;"",L53&lt;&gt;"",P53&lt;&gt;"",T53&lt;&gt;""), AND(EXACT(AC53:AG53,AC53)),"")</f>
        <v/>
      </c>
      <c r="AC53" s="203" t="str">
        <f t="shared" si="10"/>
        <v/>
      </c>
      <c r="AD53" s="203" t="str">
        <f t="shared" si="11"/>
        <v/>
      </c>
      <c r="AE53" s="203" t="str">
        <f t="shared" si="12"/>
        <v/>
      </c>
      <c r="AF53" s="203" t="str">
        <f t="shared" si="13"/>
        <v/>
      </c>
      <c r="AG53" s="203" t="str">
        <f t="shared" si="14"/>
        <v/>
      </c>
    </row>
    <row r="54" spans="1:33" x14ac:dyDescent="0.3">
      <c r="A54" s="214"/>
      <c r="B54" s="214"/>
      <c r="C54" s="214"/>
      <c r="D54" s="214"/>
      <c r="E54" s="214"/>
      <c r="F54" s="214"/>
      <c r="G54" s="214"/>
      <c r="H54" s="216"/>
      <c r="I54" s="215" t="str">
        <f t="shared" si="0"/>
        <v/>
      </c>
      <c r="J54" s="214"/>
      <c r="K54" s="217"/>
      <c r="L54" s="215" t="str">
        <f t="shared" si="1"/>
        <v/>
      </c>
      <c r="M54" s="214"/>
      <c r="N54" s="214"/>
      <c r="O54" s="217"/>
      <c r="P54" s="215" t="str">
        <f t="shared" si="2"/>
        <v/>
      </c>
      <c r="Q54" s="214"/>
      <c r="R54" s="214"/>
      <c r="S54" s="217"/>
      <c r="T54" s="215" t="str">
        <f t="shared" si="3"/>
        <v/>
      </c>
      <c r="U54" s="214"/>
      <c r="V54" s="214"/>
      <c r="W54" s="214"/>
      <c r="X54" s="214"/>
      <c r="Y54" s="214"/>
      <c r="Z54" s="217"/>
      <c r="AA54" s="128" t="str">
        <f t="shared" si="4"/>
        <v/>
      </c>
      <c r="AB54" t="str">
        <f t="array" ref="AB54">IF(OR(AA54 &lt;&gt;"", I54&lt;&gt;"",L54&lt;&gt;"",P54&lt;&gt;"",T54&lt;&gt;""), AND(EXACT(AC54:AG54,AC54)),"")</f>
        <v/>
      </c>
      <c r="AC54" s="203" t="str">
        <f t="shared" si="10"/>
        <v/>
      </c>
      <c r="AD54" s="203" t="str">
        <f t="shared" si="11"/>
        <v/>
      </c>
      <c r="AE54" s="203" t="str">
        <f t="shared" si="12"/>
        <v/>
      </c>
      <c r="AF54" s="203" t="str">
        <f t="shared" si="13"/>
        <v/>
      </c>
      <c r="AG54" s="203" t="str">
        <f t="shared" si="14"/>
        <v/>
      </c>
    </row>
    <row r="55" spans="1:33" x14ac:dyDescent="0.3">
      <c r="A55" s="214"/>
      <c r="B55" s="214"/>
      <c r="C55" s="214"/>
      <c r="D55" s="214"/>
      <c r="E55" s="214"/>
      <c r="F55" s="214"/>
      <c r="G55" s="214"/>
      <c r="H55" s="216"/>
      <c r="I55" s="215" t="str">
        <f t="shared" si="0"/>
        <v/>
      </c>
      <c r="J55" s="214"/>
      <c r="K55" s="217"/>
      <c r="L55" s="215" t="str">
        <f t="shared" si="1"/>
        <v/>
      </c>
      <c r="M55" s="214"/>
      <c r="N55" s="214"/>
      <c r="O55" s="217"/>
      <c r="P55" s="215" t="str">
        <f t="shared" si="2"/>
        <v/>
      </c>
      <c r="Q55" s="214"/>
      <c r="R55" s="214"/>
      <c r="S55" s="217"/>
      <c r="T55" s="215" t="str">
        <f t="shared" si="3"/>
        <v/>
      </c>
      <c r="U55" s="214"/>
      <c r="V55" s="214"/>
      <c r="W55" s="214"/>
      <c r="X55" s="214"/>
      <c r="Y55" s="214"/>
      <c r="Z55" s="217"/>
      <c r="AA55" s="128" t="str">
        <f t="shared" si="4"/>
        <v/>
      </c>
      <c r="AB55" t="str">
        <f t="array" ref="AB55">IF(OR(AA55 &lt;&gt;"", I55&lt;&gt;"",L55&lt;&gt;"",P55&lt;&gt;"",T55&lt;&gt;""), AND(EXACT(AC55:AG55,AC55)),"")</f>
        <v/>
      </c>
      <c r="AC55" s="203" t="str">
        <f t="shared" si="10"/>
        <v/>
      </c>
      <c r="AD55" s="203" t="str">
        <f t="shared" si="11"/>
        <v/>
      </c>
      <c r="AE55" s="203" t="str">
        <f t="shared" si="12"/>
        <v/>
      </c>
      <c r="AF55" s="203" t="str">
        <f t="shared" si="13"/>
        <v/>
      </c>
      <c r="AG55" s="203" t="str">
        <f t="shared" si="14"/>
        <v/>
      </c>
    </row>
    <row r="56" spans="1:33" x14ac:dyDescent="0.3">
      <c r="A56" s="214"/>
      <c r="B56" s="214"/>
      <c r="C56" s="214"/>
      <c r="D56" s="214"/>
      <c r="E56" s="214"/>
      <c r="F56" s="214"/>
      <c r="G56" s="214"/>
      <c r="H56" s="216"/>
      <c r="I56" s="215" t="str">
        <f t="shared" si="0"/>
        <v/>
      </c>
      <c r="J56" s="214"/>
      <c r="K56" s="217"/>
      <c r="L56" s="215" t="str">
        <f t="shared" si="1"/>
        <v/>
      </c>
      <c r="M56" s="214"/>
      <c r="N56" s="214"/>
      <c r="O56" s="217"/>
      <c r="P56" s="215" t="str">
        <f t="shared" si="2"/>
        <v/>
      </c>
      <c r="Q56" s="214"/>
      <c r="R56" s="214"/>
      <c r="S56" s="217"/>
      <c r="T56" s="215" t="str">
        <f t="shared" si="3"/>
        <v/>
      </c>
      <c r="U56" s="214"/>
      <c r="V56" s="214"/>
      <c r="W56" s="214"/>
      <c r="X56" s="214"/>
      <c r="Y56" s="214"/>
      <c r="Z56" s="217"/>
      <c r="AA56" s="128" t="str">
        <f t="shared" si="4"/>
        <v/>
      </c>
      <c r="AB56" t="str">
        <f t="array" ref="AB56">IF(OR(AA56 &lt;&gt;"", I56&lt;&gt;"",L56&lt;&gt;"",P56&lt;&gt;"",T56&lt;&gt;""), AND(EXACT(AC56:AG56,AC56)),"")</f>
        <v/>
      </c>
      <c r="AC56" s="203" t="str">
        <f t="shared" si="10"/>
        <v/>
      </c>
      <c r="AD56" s="203" t="str">
        <f t="shared" si="11"/>
        <v/>
      </c>
      <c r="AE56" s="203" t="str">
        <f t="shared" si="12"/>
        <v/>
      </c>
      <c r="AF56" s="203" t="str">
        <f t="shared" si="13"/>
        <v/>
      </c>
      <c r="AG56" s="203" t="str">
        <f t="shared" si="14"/>
        <v/>
      </c>
    </row>
    <row r="57" spans="1:33" x14ac:dyDescent="0.3">
      <c r="A57" s="214"/>
      <c r="B57" s="214"/>
      <c r="C57" s="214"/>
      <c r="D57" s="214"/>
      <c r="E57" s="214"/>
      <c r="F57" s="214"/>
      <c r="G57" s="214"/>
      <c r="H57" s="216"/>
      <c r="I57" s="215" t="str">
        <f t="shared" si="0"/>
        <v/>
      </c>
      <c r="J57" s="214"/>
      <c r="K57" s="217"/>
      <c r="L57" s="215" t="str">
        <f t="shared" si="1"/>
        <v/>
      </c>
      <c r="M57" s="214"/>
      <c r="N57" s="214"/>
      <c r="O57" s="217"/>
      <c r="P57" s="215" t="str">
        <f t="shared" si="2"/>
        <v/>
      </c>
      <c r="Q57" s="214"/>
      <c r="R57" s="214"/>
      <c r="S57" s="217"/>
      <c r="T57" s="215" t="str">
        <f t="shared" si="3"/>
        <v/>
      </c>
      <c r="U57" s="214"/>
      <c r="V57" s="214"/>
      <c r="W57" s="214"/>
      <c r="X57" s="214"/>
      <c r="Y57" s="214"/>
      <c r="Z57" s="217"/>
      <c r="AA57" s="128" t="str">
        <f t="shared" si="4"/>
        <v/>
      </c>
      <c r="AB57" t="str">
        <f t="array" ref="AB57">IF(OR(AA57 &lt;&gt;"", I57&lt;&gt;"",L57&lt;&gt;"",P57&lt;&gt;"",T57&lt;&gt;""), AND(EXACT(AC57:AG57,AC57)),"")</f>
        <v/>
      </c>
      <c r="AC57" s="203" t="str">
        <f t="shared" si="10"/>
        <v/>
      </c>
      <c r="AD57" s="203" t="str">
        <f t="shared" si="11"/>
        <v/>
      </c>
      <c r="AE57" s="203" t="str">
        <f t="shared" si="12"/>
        <v/>
      </c>
      <c r="AF57" s="203" t="str">
        <f t="shared" si="13"/>
        <v/>
      </c>
      <c r="AG57" s="203" t="str">
        <f t="shared" si="14"/>
        <v/>
      </c>
    </row>
    <row r="58" spans="1:33" x14ac:dyDescent="0.3">
      <c r="A58" s="214"/>
      <c r="B58" s="214"/>
      <c r="C58" s="214"/>
      <c r="D58" s="214"/>
      <c r="E58" s="214"/>
      <c r="F58" s="214"/>
      <c r="G58" s="214"/>
      <c r="H58" s="216"/>
      <c r="I58" s="215" t="str">
        <f t="shared" si="0"/>
        <v/>
      </c>
      <c r="J58" s="214"/>
      <c r="K58" s="217"/>
      <c r="L58" s="215" t="str">
        <f t="shared" si="1"/>
        <v/>
      </c>
      <c r="M58" s="214"/>
      <c r="N58" s="214"/>
      <c r="O58" s="217"/>
      <c r="P58" s="215" t="str">
        <f t="shared" si="2"/>
        <v/>
      </c>
      <c r="Q58" s="214"/>
      <c r="R58" s="214"/>
      <c r="S58" s="217"/>
      <c r="T58" s="215" t="str">
        <f t="shared" si="3"/>
        <v/>
      </c>
      <c r="U58" s="214"/>
      <c r="V58" s="214"/>
      <c r="W58" s="214"/>
      <c r="X58" s="214"/>
      <c r="Y58" s="214"/>
      <c r="Z58" s="217"/>
      <c r="AA58" s="128" t="str">
        <f t="shared" si="4"/>
        <v/>
      </c>
      <c r="AB58" t="str">
        <f t="array" ref="AB58">IF(OR(AA58 &lt;&gt;"", I58&lt;&gt;"",L58&lt;&gt;"",P58&lt;&gt;"",T58&lt;&gt;""), AND(EXACT(AC58:AG58,AC58)),"")</f>
        <v/>
      </c>
      <c r="AC58" s="203" t="str">
        <f t="shared" si="10"/>
        <v/>
      </c>
      <c r="AD58" s="203" t="str">
        <f t="shared" si="11"/>
        <v/>
      </c>
      <c r="AE58" s="203" t="str">
        <f t="shared" si="12"/>
        <v/>
      </c>
      <c r="AF58" s="203" t="str">
        <f t="shared" si="13"/>
        <v/>
      </c>
      <c r="AG58" s="203" t="str">
        <f t="shared" si="14"/>
        <v/>
      </c>
    </row>
    <row r="59" spans="1:33" x14ac:dyDescent="0.3">
      <c r="A59" s="214"/>
      <c r="B59" s="214"/>
      <c r="C59" s="214"/>
      <c r="D59" s="214"/>
      <c r="E59" s="214"/>
      <c r="F59" s="214"/>
      <c r="G59" s="214"/>
      <c r="H59" s="216"/>
      <c r="I59" s="215" t="str">
        <f t="shared" si="0"/>
        <v/>
      </c>
      <c r="J59" s="214"/>
      <c r="K59" s="217"/>
      <c r="L59" s="215" t="str">
        <f t="shared" si="1"/>
        <v/>
      </c>
      <c r="M59" s="214"/>
      <c r="N59" s="214"/>
      <c r="O59" s="217"/>
      <c r="P59" s="215" t="str">
        <f t="shared" si="2"/>
        <v/>
      </c>
      <c r="Q59" s="214"/>
      <c r="R59" s="214"/>
      <c r="S59" s="217"/>
      <c r="T59" s="215" t="str">
        <f t="shared" si="3"/>
        <v/>
      </c>
      <c r="U59" s="214"/>
      <c r="V59" s="214"/>
      <c r="W59" s="214"/>
      <c r="X59" s="214"/>
      <c r="Y59" s="214"/>
      <c r="Z59" s="217"/>
      <c r="AA59" s="128" t="str">
        <f t="shared" si="4"/>
        <v/>
      </c>
      <c r="AB59" t="str">
        <f t="array" ref="AB59">IF(OR(AA59 &lt;&gt;"", I59&lt;&gt;"",L59&lt;&gt;"",P59&lt;&gt;"",T59&lt;&gt;""), AND(EXACT(AC59:AG59,AC59)),"")</f>
        <v/>
      </c>
      <c r="AC59" s="203" t="str">
        <f t="shared" si="10"/>
        <v/>
      </c>
      <c r="AD59" s="203" t="str">
        <f t="shared" si="11"/>
        <v/>
      </c>
      <c r="AE59" s="203" t="str">
        <f t="shared" si="12"/>
        <v/>
      </c>
      <c r="AF59" s="203" t="str">
        <f t="shared" si="13"/>
        <v/>
      </c>
      <c r="AG59" s="203" t="str">
        <f t="shared" si="14"/>
        <v/>
      </c>
    </row>
    <row r="60" spans="1:33" x14ac:dyDescent="0.3">
      <c r="A60" s="214"/>
      <c r="B60" s="214"/>
      <c r="C60" s="214"/>
      <c r="D60" s="214"/>
      <c r="E60" s="214"/>
      <c r="F60" s="214"/>
      <c r="G60" s="214"/>
      <c r="H60" s="216"/>
      <c r="I60" s="215" t="str">
        <f t="shared" si="0"/>
        <v/>
      </c>
      <c r="J60" s="214"/>
      <c r="K60" s="217"/>
      <c r="L60" s="215" t="str">
        <f t="shared" si="1"/>
        <v/>
      </c>
      <c r="M60" s="214"/>
      <c r="N60" s="214"/>
      <c r="O60" s="217"/>
      <c r="P60" s="215" t="str">
        <f t="shared" si="2"/>
        <v/>
      </c>
      <c r="Q60" s="214"/>
      <c r="R60" s="214"/>
      <c r="S60" s="217"/>
      <c r="T60" s="215" t="str">
        <f t="shared" si="3"/>
        <v/>
      </c>
      <c r="U60" s="214"/>
      <c r="V60" s="214"/>
      <c r="W60" s="214"/>
      <c r="X60" s="214"/>
      <c r="Y60" s="214"/>
      <c r="Z60" s="217"/>
      <c r="AA60" s="128" t="str">
        <f t="shared" si="4"/>
        <v/>
      </c>
      <c r="AB60" t="str">
        <f t="array" ref="AB60">IF(OR(AA60 &lt;&gt;"", I60&lt;&gt;"",L60&lt;&gt;"",P60&lt;&gt;"",T60&lt;&gt;""), AND(EXACT(AC60:AG60,AC60)),"")</f>
        <v/>
      </c>
      <c r="AC60" s="203" t="str">
        <f t="shared" si="10"/>
        <v/>
      </c>
      <c r="AD60" s="203" t="str">
        <f t="shared" si="11"/>
        <v/>
      </c>
      <c r="AE60" s="203" t="str">
        <f t="shared" si="12"/>
        <v/>
      </c>
      <c r="AF60" s="203" t="str">
        <f t="shared" si="13"/>
        <v/>
      </c>
      <c r="AG60" s="203" t="str">
        <f t="shared" si="14"/>
        <v/>
      </c>
    </row>
    <row r="61" spans="1:33" x14ac:dyDescent="0.3">
      <c r="A61" s="214"/>
      <c r="B61" s="214"/>
      <c r="C61" s="214"/>
      <c r="D61" s="214"/>
      <c r="E61" s="214"/>
      <c r="F61" s="214"/>
      <c r="G61" s="214"/>
      <c r="H61" s="216"/>
      <c r="I61" s="215" t="str">
        <f t="shared" si="0"/>
        <v/>
      </c>
      <c r="J61" s="214"/>
      <c r="K61" s="217"/>
      <c r="L61" s="215" t="str">
        <f t="shared" si="1"/>
        <v/>
      </c>
      <c r="M61" s="214"/>
      <c r="N61" s="214"/>
      <c r="O61" s="217"/>
      <c r="P61" s="215" t="str">
        <f t="shared" si="2"/>
        <v/>
      </c>
      <c r="Q61" s="214"/>
      <c r="R61" s="214"/>
      <c r="S61" s="217"/>
      <c r="T61" s="215" t="str">
        <f t="shared" si="3"/>
        <v/>
      </c>
      <c r="U61" s="214"/>
      <c r="V61" s="214"/>
      <c r="W61" s="214"/>
      <c r="X61" s="214"/>
      <c r="Y61" s="214"/>
      <c r="Z61" s="217"/>
      <c r="AA61" s="128" t="str">
        <f t="shared" si="4"/>
        <v/>
      </c>
      <c r="AB61" t="str">
        <f t="array" ref="AB61">IF(OR(AA61 &lt;&gt;"", I61&lt;&gt;"",L61&lt;&gt;"",P61&lt;&gt;"",T61&lt;&gt;""), AND(EXACT(AC61:AG61,AC61)),"")</f>
        <v/>
      </c>
      <c r="AC61" s="203" t="str">
        <f t="shared" si="10"/>
        <v/>
      </c>
      <c r="AD61" s="203" t="str">
        <f t="shared" si="11"/>
        <v/>
      </c>
      <c r="AE61" s="203" t="str">
        <f t="shared" si="12"/>
        <v/>
      </c>
      <c r="AF61" s="203" t="str">
        <f t="shared" si="13"/>
        <v/>
      </c>
      <c r="AG61" s="203" t="str">
        <f t="shared" si="14"/>
        <v/>
      </c>
    </row>
    <row r="62" spans="1:33" x14ac:dyDescent="0.3">
      <c r="A62" s="214"/>
      <c r="B62" s="214"/>
      <c r="C62" s="214"/>
      <c r="D62" s="214"/>
      <c r="E62" s="214"/>
      <c r="F62" s="214"/>
      <c r="G62" s="214"/>
      <c r="H62" s="216"/>
      <c r="I62" s="215" t="str">
        <f t="shared" si="0"/>
        <v/>
      </c>
      <c r="J62" s="214"/>
      <c r="K62" s="217"/>
      <c r="L62" s="215" t="str">
        <f t="shared" si="1"/>
        <v/>
      </c>
      <c r="M62" s="214"/>
      <c r="N62" s="214"/>
      <c r="O62" s="217"/>
      <c r="P62" s="215" t="str">
        <f t="shared" si="2"/>
        <v/>
      </c>
      <c r="Q62" s="214"/>
      <c r="R62" s="214"/>
      <c r="S62" s="217"/>
      <c r="T62" s="215" t="str">
        <f t="shared" si="3"/>
        <v/>
      </c>
      <c r="U62" s="214"/>
      <c r="V62" s="214"/>
      <c r="W62" s="214"/>
      <c r="X62" s="214"/>
      <c r="Y62" s="214"/>
      <c r="Z62" s="217"/>
      <c r="AA62" s="128" t="str">
        <f t="shared" si="4"/>
        <v/>
      </c>
      <c r="AB62" t="str">
        <f t="array" ref="AB62">IF(OR(AA62 &lt;&gt;"", I62&lt;&gt;"",L62&lt;&gt;"",P62&lt;&gt;"",T62&lt;&gt;""), AND(EXACT(AC62:AG62,AC62)),"")</f>
        <v/>
      </c>
      <c r="AC62" s="203" t="str">
        <f t="shared" si="10"/>
        <v/>
      </c>
      <c r="AD62" s="203" t="str">
        <f t="shared" si="11"/>
        <v/>
      </c>
      <c r="AE62" s="203" t="str">
        <f t="shared" si="12"/>
        <v/>
      </c>
      <c r="AF62" s="203" t="str">
        <f t="shared" si="13"/>
        <v/>
      </c>
      <c r="AG62" s="203" t="str">
        <f t="shared" si="14"/>
        <v/>
      </c>
    </row>
    <row r="63" spans="1:33" x14ac:dyDescent="0.3">
      <c r="A63" s="214"/>
      <c r="B63" s="214"/>
      <c r="C63" s="214"/>
      <c r="D63" s="214"/>
      <c r="E63" s="214"/>
      <c r="F63" s="214"/>
      <c r="G63" s="214"/>
      <c r="H63" s="216"/>
      <c r="I63" s="215" t="str">
        <f t="shared" si="0"/>
        <v/>
      </c>
      <c r="J63" s="214"/>
      <c r="K63" s="217"/>
      <c r="L63" s="215" t="str">
        <f t="shared" si="1"/>
        <v/>
      </c>
      <c r="M63" s="214"/>
      <c r="N63" s="214"/>
      <c r="O63" s="217"/>
      <c r="P63" s="215" t="str">
        <f t="shared" si="2"/>
        <v/>
      </c>
      <c r="Q63" s="214"/>
      <c r="R63" s="214"/>
      <c r="S63" s="217"/>
      <c r="T63" s="215" t="str">
        <f t="shared" si="3"/>
        <v/>
      </c>
      <c r="U63" s="214"/>
      <c r="V63" s="214"/>
      <c r="W63" s="214"/>
      <c r="X63" s="214"/>
      <c r="Y63" s="214"/>
      <c r="Z63" s="217"/>
      <c r="AA63" s="128" t="str">
        <f t="shared" si="4"/>
        <v/>
      </c>
      <c r="AB63" t="str">
        <f t="array" ref="AB63">IF(OR(AA63 &lt;&gt;"", I63&lt;&gt;"",L63&lt;&gt;"",P63&lt;&gt;"",T63&lt;&gt;""), AND(EXACT(AC63:AG63,AC63)),"")</f>
        <v/>
      </c>
      <c r="AC63" s="203" t="str">
        <f t="shared" si="10"/>
        <v/>
      </c>
      <c r="AD63" s="203" t="str">
        <f t="shared" si="11"/>
        <v/>
      </c>
      <c r="AE63" s="203" t="str">
        <f t="shared" si="12"/>
        <v/>
      </c>
      <c r="AF63" s="203" t="str">
        <f t="shared" si="13"/>
        <v/>
      </c>
      <c r="AG63" s="203" t="str">
        <f t="shared" si="14"/>
        <v/>
      </c>
    </row>
    <row r="64" spans="1:33" x14ac:dyDescent="0.3">
      <c r="A64" s="214"/>
      <c r="B64" s="214"/>
      <c r="C64" s="214"/>
      <c r="D64" s="214"/>
      <c r="E64" s="214"/>
      <c r="F64" s="214"/>
      <c r="G64" s="214"/>
      <c r="H64" s="216"/>
      <c r="I64" s="215" t="str">
        <f t="shared" si="0"/>
        <v/>
      </c>
      <c r="J64" s="214"/>
      <c r="K64" s="217"/>
      <c r="L64" s="215" t="str">
        <f t="shared" si="1"/>
        <v/>
      </c>
      <c r="M64" s="214"/>
      <c r="N64" s="214"/>
      <c r="O64" s="217"/>
      <c r="P64" s="215" t="str">
        <f t="shared" si="2"/>
        <v/>
      </c>
      <c r="Q64" s="214"/>
      <c r="R64" s="214"/>
      <c r="S64" s="217"/>
      <c r="T64" s="215" t="str">
        <f t="shared" si="3"/>
        <v/>
      </c>
      <c r="U64" s="214"/>
      <c r="V64" s="214"/>
      <c r="W64" s="214"/>
      <c r="X64" s="214"/>
      <c r="Y64" s="214"/>
      <c r="Z64" s="217"/>
      <c r="AA64" s="128" t="str">
        <f t="shared" si="4"/>
        <v/>
      </c>
      <c r="AB64" t="str">
        <f t="array" ref="AB64">IF(OR(AA64 &lt;&gt;"", I64&lt;&gt;"",L64&lt;&gt;"",P64&lt;&gt;"",T64&lt;&gt;""), AND(EXACT(AC64:AG64,AC64)),"")</f>
        <v/>
      </c>
      <c r="AC64" s="203" t="str">
        <f t="shared" si="10"/>
        <v/>
      </c>
      <c r="AD64" s="203" t="str">
        <f t="shared" si="11"/>
        <v/>
      </c>
      <c r="AE64" s="203" t="str">
        <f t="shared" si="12"/>
        <v/>
      </c>
      <c r="AF64" s="203" t="str">
        <f t="shared" si="13"/>
        <v/>
      </c>
      <c r="AG64" s="203" t="str">
        <f t="shared" si="14"/>
        <v/>
      </c>
    </row>
    <row r="65" spans="1:33" x14ac:dyDescent="0.3">
      <c r="A65" s="214"/>
      <c r="B65" s="214"/>
      <c r="C65" s="214"/>
      <c r="D65" s="214"/>
      <c r="E65" s="214"/>
      <c r="F65" s="214"/>
      <c r="G65" s="214"/>
      <c r="H65" s="216"/>
      <c r="I65" s="215" t="str">
        <f t="shared" si="0"/>
        <v/>
      </c>
      <c r="J65" s="214"/>
      <c r="K65" s="217"/>
      <c r="L65" s="215" t="str">
        <f t="shared" si="1"/>
        <v/>
      </c>
      <c r="M65" s="214"/>
      <c r="N65" s="214"/>
      <c r="O65" s="217"/>
      <c r="P65" s="215" t="str">
        <f t="shared" si="2"/>
        <v/>
      </c>
      <c r="Q65" s="214"/>
      <c r="R65" s="214"/>
      <c r="S65" s="217"/>
      <c r="T65" s="215" t="str">
        <f t="shared" si="3"/>
        <v/>
      </c>
      <c r="U65" s="214"/>
      <c r="V65" s="214"/>
      <c r="W65" s="214"/>
      <c r="X65" s="214"/>
      <c r="Y65" s="214"/>
      <c r="Z65" s="217"/>
      <c r="AA65" s="128" t="str">
        <f t="shared" si="4"/>
        <v/>
      </c>
      <c r="AB65" t="str">
        <f t="array" ref="AB65">IF(OR(AA65 &lt;&gt;"", I65&lt;&gt;"",L65&lt;&gt;"",P65&lt;&gt;"",T65&lt;&gt;""), AND(EXACT(AC65:AG65,AC65)),"")</f>
        <v/>
      </c>
      <c r="AC65" s="203" t="str">
        <f t="shared" si="10"/>
        <v/>
      </c>
      <c r="AD65" s="203" t="str">
        <f t="shared" si="11"/>
        <v/>
      </c>
      <c r="AE65" s="203" t="str">
        <f t="shared" si="12"/>
        <v/>
      </c>
      <c r="AF65" s="203" t="str">
        <f t="shared" si="13"/>
        <v/>
      </c>
      <c r="AG65" s="203" t="str">
        <f t="shared" si="14"/>
        <v/>
      </c>
    </row>
    <row r="66" spans="1:33" x14ac:dyDescent="0.3">
      <c r="A66" s="214"/>
      <c r="B66" s="214"/>
      <c r="C66" s="214"/>
      <c r="D66" s="214"/>
      <c r="E66" s="214"/>
      <c r="F66" s="214"/>
      <c r="G66" s="214"/>
      <c r="H66" s="216"/>
      <c r="I66" s="215" t="str">
        <f t="shared" si="0"/>
        <v/>
      </c>
      <c r="J66" s="214"/>
      <c r="K66" s="217"/>
      <c r="L66" s="215" t="str">
        <f t="shared" si="1"/>
        <v/>
      </c>
      <c r="M66" s="214"/>
      <c r="N66" s="214"/>
      <c r="O66" s="217"/>
      <c r="P66" s="215" t="str">
        <f t="shared" si="2"/>
        <v/>
      </c>
      <c r="Q66" s="214"/>
      <c r="R66" s="214"/>
      <c r="S66" s="217"/>
      <c r="T66" s="215" t="str">
        <f t="shared" si="3"/>
        <v/>
      </c>
      <c r="U66" s="214"/>
      <c r="V66" s="214"/>
      <c r="W66" s="214"/>
      <c r="X66" s="214"/>
      <c r="Y66" s="214"/>
      <c r="Z66" s="217"/>
      <c r="AA66" s="128" t="str">
        <f t="shared" si="4"/>
        <v/>
      </c>
      <c r="AB66" t="str">
        <f t="array" ref="AB66">IF(OR(AA66 &lt;&gt;"", I66&lt;&gt;"",L66&lt;&gt;"",P66&lt;&gt;"",T66&lt;&gt;""), AND(EXACT(AC66:AG66,AC66)),"")</f>
        <v/>
      </c>
      <c r="AC66" s="203" t="str">
        <f t="shared" si="10"/>
        <v/>
      </c>
      <c r="AD66" s="203" t="str">
        <f t="shared" si="11"/>
        <v/>
      </c>
      <c r="AE66" s="203" t="str">
        <f t="shared" si="12"/>
        <v/>
      </c>
      <c r="AF66" s="203" t="str">
        <f t="shared" si="13"/>
        <v/>
      </c>
      <c r="AG66" s="203" t="str">
        <f t="shared" si="14"/>
        <v/>
      </c>
    </row>
    <row r="67" spans="1:33" x14ac:dyDescent="0.3">
      <c r="A67" s="214"/>
      <c r="B67" s="214"/>
      <c r="C67" s="214"/>
      <c r="D67" s="214"/>
      <c r="E67" s="214"/>
      <c r="F67" s="214"/>
      <c r="G67" s="214"/>
      <c r="H67" s="216"/>
      <c r="I67" s="215" t="str">
        <f t="shared" ref="I67:I107" si="15">IF(H67&lt;&gt;"",G67=H67,"")</f>
        <v/>
      </c>
      <c r="J67" s="214"/>
      <c r="K67" s="217"/>
      <c r="L67" s="215" t="str">
        <f t="shared" ref="L67:L107" si="16">IF(K67&lt;&gt;"",J67=K67,"")</f>
        <v/>
      </c>
      <c r="M67" s="214"/>
      <c r="N67" s="214"/>
      <c r="O67" s="217"/>
      <c r="P67" s="215" t="str">
        <f t="shared" ref="P67:P107" si="17">IF(O67&lt;&gt;"",N67=O67,"")</f>
        <v/>
      </c>
      <c r="Q67" s="214"/>
      <c r="R67" s="214"/>
      <c r="S67" s="217"/>
      <c r="T67" s="215" t="str">
        <f t="shared" ref="T67:T107" si="18">IF(S67&lt;&gt;"",R67=S67,"")</f>
        <v/>
      </c>
      <c r="U67" s="214"/>
      <c r="V67" s="214"/>
      <c r="W67" s="214"/>
      <c r="X67" s="214"/>
      <c r="Y67" s="214"/>
      <c r="Z67" s="217"/>
      <c r="AA67" s="128" t="str">
        <f t="shared" ref="AA67:AA107" si="19">IF(Z67&lt;&gt;"",Y67=Z67,"")</f>
        <v/>
      </c>
      <c r="AB67" t="str">
        <f t="array" ref="AB67">IF(OR(AA67 &lt;&gt;"", I67&lt;&gt;"",L67&lt;&gt;"",P67&lt;&gt;"",T67&lt;&gt;""), AND(EXACT(AC67:AG67,AC67)),"")</f>
        <v/>
      </c>
      <c r="AC67" s="203" t="str">
        <f t="shared" si="10"/>
        <v/>
      </c>
      <c r="AD67" s="203" t="str">
        <f t="shared" si="11"/>
        <v/>
      </c>
      <c r="AE67" s="203" t="str">
        <f t="shared" si="12"/>
        <v/>
      </c>
      <c r="AF67" s="203" t="str">
        <f t="shared" si="13"/>
        <v/>
      </c>
      <c r="AG67" s="203" t="str">
        <f t="shared" si="14"/>
        <v/>
      </c>
    </row>
    <row r="68" spans="1:33" x14ac:dyDescent="0.3">
      <c r="A68" s="214"/>
      <c r="B68" s="214"/>
      <c r="C68" s="214"/>
      <c r="D68" s="214"/>
      <c r="E68" s="214"/>
      <c r="F68" s="214"/>
      <c r="G68" s="214"/>
      <c r="H68" s="216"/>
      <c r="I68" s="215" t="str">
        <f t="shared" si="15"/>
        <v/>
      </c>
      <c r="J68" s="214"/>
      <c r="K68" s="217"/>
      <c r="L68" s="215" t="str">
        <f t="shared" si="16"/>
        <v/>
      </c>
      <c r="M68" s="214"/>
      <c r="N68" s="214"/>
      <c r="O68" s="217"/>
      <c r="P68" s="215" t="str">
        <f t="shared" si="17"/>
        <v/>
      </c>
      <c r="Q68" s="214"/>
      <c r="R68" s="214"/>
      <c r="S68" s="217"/>
      <c r="T68" s="215" t="str">
        <f t="shared" si="18"/>
        <v/>
      </c>
      <c r="U68" s="214"/>
      <c r="V68" s="214"/>
      <c r="W68" s="214"/>
      <c r="X68" s="214"/>
      <c r="Y68" s="214"/>
      <c r="Z68" s="217"/>
      <c r="AA68" s="128" t="str">
        <f t="shared" si="19"/>
        <v/>
      </c>
      <c r="AB68" t="str">
        <f t="array" ref="AB68">IF(OR(AA68 &lt;&gt;"", I68&lt;&gt;"",L68&lt;&gt;"",P68&lt;&gt;"",T68&lt;&gt;""), AND(EXACT(AC68:AG68,AC68)),"")</f>
        <v/>
      </c>
      <c r="AC68" s="203" t="str">
        <f t="shared" ref="AC68:AC107" si="20">I68</f>
        <v/>
      </c>
      <c r="AD68" s="203" t="str">
        <f t="shared" ref="AD68:AD107" si="21">L68</f>
        <v/>
      </c>
      <c r="AE68" s="203" t="str">
        <f t="shared" ref="AE68:AE107" si="22">P68</f>
        <v/>
      </c>
      <c r="AF68" s="203" t="str">
        <f t="shared" ref="AF68:AF107" si="23">T68</f>
        <v/>
      </c>
      <c r="AG68" s="203" t="str">
        <f t="shared" ref="AG68:AG107" si="24">AA68</f>
        <v/>
      </c>
    </row>
    <row r="69" spans="1:33" x14ac:dyDescent="0.3">
      <c r="A69" s="214"/>
      <c r="B69" s="214"/>
      <c r="C69" s="214"/>
      <c r="D69" s="214"/>
      <c r="E69" s="214"/>
      <c r="F69" s="214"/>
      <c r="G69" s="214"/>
      <c r="H69" s="216"/>
      <c r="I69" s="215" t="str">
        <f t="shared" si="15"/>
        <v/>
      </c>
      <c r="J69" s="214"/>
      <c r="K69" s="217"/>
      <c r="L69" s="215" t="str">
        <f t="shared" si="16"/>
        <v/>
      </c>
      <c r="M69" s="214"/>
      <c r="N69" s="214"/>
      <c r="O69" s="217"/>
      <c r="P69" s="215" t="str">
        <f t="shared" si="17"/>
        <v/>
      </c>
      <c r="Q69" s="214"/>
      <c r="R69" s="214"/>
      <c r="S69" s="217"/>
      <c r="T69" s="215" t="str">
        <f t="shared" si="18"/>
        <v/>
      </c>
      <c r="U69" s="214"/>
      <c r="V69" s="214"/>
      <c r="W69" s="214"/>
      <c r="X69" s="214"/>
      <c r="Y69" s="214"/>
      <c r="Z69" s="217"/>
      <c r="AA69" s="128" t="str">
        <f t="shared" si="19"/>
        <v/>
      </c>
      <c r="AB69" t="str">
        <f t="array" ref="AB69">IF(OR(AA69 &lt;&gt;"", I69&lt;&gt;"",L69&lt;&gt;"",P69&lt;&gt;"",T69&lt;&gt;""), AND(EXACT(AC69:AG69,AC69)),"")</f>
        <v/>
      </c>
      <c r="AC69" s="203" t="str">
        <f t="shared" si="20"/>
        <v/>
      </c>
      <c r="AD69" s="203" t="str">
        <f t="shared" si="21"/>
        <v/>
      </c>
      <c r="AE69" s="203" t="str">
        <f t="shared" si="22"/>
        <v/>
      </c>
      <c r="AF69" s="203" t="str">
        <f t="shared" si="23"/>
        <v/>
      </c>
      <c r="AG69" s="203" t="str">
        <f t="shared" si="24"/>
        <v/>
      </c>
    </row>
    <row r="70" spans="1:33" x14ac:dyDescent="0.3">
      <c r="A70" s="214"/>
      <c r="B70" s="214"/>
      <c r="C70" s="214"/>
      <c r="D70" s="214"/>
      <c r="E70" s="214"/>
      <c r="F70" s="214"/>
      <c r="G70" s="214"/>
      <c r="H70" s="216"/>
      <c r="I70" s="215" t="str">
        <f t="shared" si="15"/>
        <v/>
      </c>
      <c r="J70" s="214"/>
      <c r="K70" s="217"/>
      <c r="L70" s="215" t="str">
        <f t="shared" si="16"/>
        <v/>
      </c>
      <c r="M70" s="214"/>
      <c r="N70" s="214"/>
      <c r="O70" s="217"/>
      <c r="P70" s="215" t="str">
        <f t="shared" si="17"/>
        <v/>
      </c>
      <c r="Q70" s="214"/>
      <c r="R70" s="214"/>
      <c r="S70" s="217"/>
      <c r="T70" s="215" t="str">
        <f t="shared" si="18"/>
        <v/>
      </c>
      <c r="U70" s="214"/>
      <c r="V70" s="214"/>
      <c r="W70" s="214"/>
      <c r="X70" s="214"/>
      <c r="Y70" s="214"/>
      <c r="Z70" s="217"/>
      <c r="AA70" s="128" t="str">
        <f t="shared" si="19"/>
        <v/>
      </c>
      <c r="AB70" t="str">
        <f t="array" ref="AB70">IF(OR(AA70 &lt;&gt;"", I70&lt;&gt;"",L70&lt;&gt;"",P70&lt;&gt;"",T70&lt;&gt;""), AND(EXACT(AC70:AG70,AC70)),"")</f>
        <v/>
      </c>
      <c r="AC70" s="203" t="str">
        <f t="shared" si="20"/>
        <v/>
      </c>
      <c r="AD70" s="203" t="str">
        <f t="shared" si="21"/>
        <v/>
      </c>
      <c r="AE70" s="203" t="str">
        <f t="shared" si="22"/>
        <v/>
      </c>
      <c r="AF70" s="203" t="str">
        <f t="shared" si="23"/>
        <v/>
      </c>
      <c r="AG70" s="203" t="str">
        <f t="shared" si="24"/>
        <v/>
      </c>
    </row>
    <row r="71" spans="1:33" x14ac:dyDescent="0.3">
      <c r="A71" s="214"/>
      <c r="B71" s="214"/>
      <c r="C71" s="214"/>
      <c r="D71" s="214"/>
      <c r="E71" s="214"/>
      <c r="F71" s="214"/>
      <c r="G71" s="214"/>
      <c r="H71" s="216"/>
      <c r="I71" s="215" t="str">
        <f t="shared" si="15"/>
        <v/>
      </c>
      <c r="J71" s="214"/>
      <c r="K71" s="217"/>
      <c r="L71" s="215" t="str">
        <f t="shared" si="16"/>
        <v/>
      </c>
      <c r="M71" s="214"/>
      <c r="N71" s="214"/>
      <c r="O71" s="217"/>
      <c r="P71" s="215" t="str">
        <f t="shared" si="17"/>
        <v/>
      </c>
      <c r="Q71" s="214"/>
      <c r="R71" s="214"/>
      <c r="S71" s="217"/>
      <c r="T71" s="215" t="str">
        <f t="shared" si="18"/>
        <v/>
      </c>
      <c r="U71" s="214"/>
      <c r="V71" s="214"/>
      <c r="W71" s="214"/>
      <c r="X71" s="214"/>
      <c r="Y71" s="214"/>
      <c r="Z71" s="217"/>
      <c r="AA71" s="128" t="str">
        <f t="shared" si="19"/>
        <v/>
      </c>
      <c r="AB71" t="str">
        <f t="array" ref="AB71">IF(OR(AA71 &lt;&gt;"", I71&lt;&gt;"",L71&lt;&gt;"",P71&lt;&gt;"",T71&lt;&gt;""), AND(EXACT(AC71:AG71,AC71)),"")</f>
        <v/>
      </c>
      <c r="AC71" s="203" t="str">
        <f t="shared" si="20"/>
        <v/>
      </c>
      <c r="AD71" s="203" t="str">
        <f t="shared" si="21"/>
        <v/>
      </c>
      <c r="AE71" s="203" t="str">
        <f t="shared" si="22"/>
        <v/>
      </c>
      <c r="AF71" s="203" t="str">
        <f t="shared" si="23"/>
        <v/>
      </c>
      <c r="AG71" s="203" t="str">
        <f t="shared" si="24"/>
        <v/>
      </c>
    </row>
    <row r="72" spans="1:33" x14ac:dyDescent="0.3">
      <c r="A72" s="214"/>
      <c r="B72" s="214"/>
      <c r="C72" s="214"/>
      <c r="D72" s="214"/>
      <c r="E72" s="214"/>
      <c r="F72" s="214"/>
      <c r="G72" s="214"/>
      <c r="H72" s="216"/>
      <c r="I72" s="215" t="str">
        <f t="shared" si="15"/>
        <v/>
      </c>
      <c r="J72" s="214"/>
      <c r="K72" s="217"/>
      <c r="L72" s="215" t="str">
        <f t="shared" si="16"/>
        <v/>
      </c>
      <c r="M72" s="214"/>
      <c r="N72" s="214"/>
      <c r="O72" s="217"/>
      <c r="P72" s="215" t="str">
        <f t="shared" si="17"/>
        <v/>
      </c>
      <c r="Q72" s="214"/>
      <c r="R72" s="214"/>
      <c r="S72" s="217"/>
      <c r="T72" s="215" t="str">
        <f t="shared" si="18"/>
        <v/>
      </c>
      <c r="U72" s="214"/>
      <c r="V72" s="214"/>
      <c r="W72" s="214"/>
      <c r="X72" s="214"/>
      <c r="Y72" s="214"/>
      <c r="Z72" s="217"/>
      <c r="AA72" s="128" t="str">
        <f t="shared" si="19"/>
        <v/>
      </c>
      <c r="AB72" t="str">
        <f t="array" ref="AB72">IF(OR(AA72 &lt;&gt;"", I72&lt;&gt;"",L72&lt;&gt;"",P72&lt;&gt;"",T72&lt;&gt;""), AND(EXACT(AC72:AG72,AC72)),"")</f>
        <v/>
      </c>
      <c r="AC72" s="203" t="str">
        <f t="shared" si="20"/>
        <v/>
      </c>
      <c r="AD72" s="203" t="str">
        <f t="shared" si="21"/>
        <v/>
      </c>
      <c r="AE72" s="203" t="str">
        <f t="shared" si="22"/>
        <v/>
      </c>
      <c r="AF72" s="203" t="str">
        <f t="shared" si="23"/>
        <v/>
      </c>
      <c r="AG72" s="203" t="str">
        <f t="shared" si="24"/>
        <v/>
      </c>
    </row>
    <row r="73" spans="1:33" x14ac:dyDescent="0.3">
      <c r="A73" s="214"/>
      <c r="B73" s="214"/>
      <c r="C73" s="214"/>
      <c r="D73" s="214"/>
      <c r="E73" s="214"/>
      <c r="F73" s="214"/>
      <c r="G73" s="214"/>
      <c r="H73" s="216"/>
      <c r="I73" s="215" t="str">
        <f t="shared" si="15"/>
        <v/>
      </c>
      <c r="J73" s="214"/>
      <c r="K73" s="217"/>
      <c r="L73" s="215" t="str">
        <f t="shared" si="16"/>
        <v/>
      </c>
      <c r="M73" s="214"/>
      <c r="N73" s="214"/>
      <c r="O73" s="217"/>
      <c r="P73" s="215" t="str">
        <f t="shared" si="17"/>
        <v/>
      </c>
      <c r="Q73" s="214"/>
      <c r="R73" s="214"/>
      <c r="S73" s="217"/>
      <c r="T73" s="215" t="str">
        <f t="shared" si="18"/>
        <v/>
      </c>
      <c r="U73" s="214"/>
      <c r="V73" s="214"/>
      <c r="W73" s="214"/>
      <c r="X73" s="214"/>
      <c r="Y73" s="214"/>
      <c r="Z73" s="217"/>
      <c r="AA73" s="128" t="str">
        <f t="shared" si="19"/>
        <v/>
      </c>
      <c r="AB73" t="str">
        <f t="array" ref="AB73">IF(OR(AA73 &lt;&gt;"", I73&lt;&gt;"",L73&lt;&gt;"",P73&lt;&gt;"",T73&lt;&gt;""), AND(EXACT(AC73:AG73,AC73)),"")</f>
        <v/>
      </c>
      <c r="AC73" s="203" t="str">
        <f t="shared" si="20"/>
        <v/>
      </c>
      <c r="AD73" s="203" t="str">
        <f t="shared" si="21"/>
        <v/>
      </c>
      <c r="AE73" s="203" t="str">
        <f t="shared" si="22"/>
        <v/>
      </c>
      <c r="AF73" s="203" t="str">
        <f t="shared" si="23"/>
        <v/>
      </c>
      <c r="AG73" s="203" t="str">
        <f t="shared" si="24"/>
        <v/>
      </c>
    </row>
    <row r="74" spans="1:33" x14ac:dyDescent="0.3">
      <c r="A74" s="214"/>
      <c r="B74" s="214"/>
      <c r="C74" s="214"/>
      <c r="D74" s="214"/>
      <c r="E74" s="214"/>
      <c r="F74" s="214"/>
      <c r="G74" s="214"/>
      <c r="H74" s="216"/>
      <c r="I74" s="215" t="str">
        <f t="shared" si="15"/>
        <v/>
      </c>
      <c r="J74" s="214"/>
      <c r="K74" s="217"/>
      <c r="L74" s="215" t="str">
        <f t="shared" si="16"/>
        <v/>
      </c>
      <c r="M74" s="214"/>
      <c r="N74" s="214"/>
      <c r="O74" s="217"/>
      <c r="P74" s="215" t="str">
        <f t="shared" si="17"/>
        <v/>
      </c>
      <c r="Q74" s="214"/>
      <c r="R74" s="214"/>
      <c r="S74" s="217"/>
      <c r="T74" s="215" t="str">
        <f t="shared" si="18"/>
        <v/>
      </c>
      <c r="U74" s="214"/>
      <c r="V74" s="214"/>
      <c r="W74" s="214"/>
      <c r="X74" s="214"/>
      <c r="Y74" s="214"/>
      <c r="Z74" s="217"/>
      <c r="AA74" s="128" t="str">
        <f t="shared" si="19"/>
        <v/>
      </c>
      <c r="AB74" t="str">
        <f t="array" ref="AB74">IF(OR(AA74 &lt;&gt;"", I74&lt;&gt;"",L74&lt;&gt;"",P74&lt;&gt;"",T74&lt;&gt;""), AND(EXACT(AC74:AG74,AC74)),"")</f>
        <v/>
      </c>
      <c r="AC74" s="203" t="str">
        <f t="shared" si="20"/>
        <v/>
      </c>
      <c r="AD74" s="203" t="str">
        <f t="shared" si="21"/>
        <v/>
      </c>
      <c r="AE74" s="203" t="str">
        <f t="shared" si="22"/>
        <v/>
      </c>
      <c r="AF74" s="203" t="str">
        <f t="shared" si="23"/>
        <v/>
      </c>
      <c r="AG74" s="203" t="str">
        <f t="shared" si="24"/>
        <v/>
      </c>
    </row>
    <row r="75" spans="1:33" x14ac:dyDescent="0.3">
      <c r="A75" s="214"/>
      <c r="B75" s="214"/>
      <c r="C75" s="214"/>
      <c r="D75" s="214"/>
      <c r="E75" s="214"/>
      <c r="F75" s="214"/>
      <c r="G75" s="214"/>
      <c r="H75" s="216"/>
      <c r="I75" s="215" t="str">
        <f t="shared" si="15"/>
        <v/>
      </c>
      <c r="J75" s="214"/>
      <c r="K75" s="217"/>
      <c r="L75" s="215" t="str">
        <f t="shared" si="16"/>
        <v/>
      </c>
      <c r="M75" s="214"/>
      <c r="N75" s="214"/>
      <c r="O75" s="217"/>
      <c r="P75" s="215" t="str">
        <f t="shared" si="17"/>
        <v/>
      </c>
      <c r="Q75" s="214"/>
      <c r="R75" s="214"/>
      <c r="S75" s="217"/>
      <c r="T75" s="215" t="str">
        <f t="shared" si="18"/>
        <v/>
      </c>
      <c r="U75" s="214"/>
      <c r="V75" s="214"/>
      <c r="W75" s="214"/>
      <c r="X75" s="214"/>
      <c r="Y75" s="214"/>
      <c r="Z75" s="217"/>
      <c r="AA75" s="128" t="str">
        <f t="shared" si="19"/>
        <v/>
      </c>
      <c r="AB75" t="str">
        <f t="array" ref="AB75">IF(OR(AA75 &lt;&gt;"", I75&lt;&gt;"",L75&lt;&gt;"",P75&lt;&gt;"",T75&lt;&gt;""), AND(EXACT(AC75:AG75,AC75)),"")</f>
        <v/>
      </c>
      <c r="AC75" s="203" t="str">
        <f t="shared" si="20"/>
        <v/>
      </c>
      <c r="AD75" s="203" t="str">
        <f t="shared" si="21"/>
        <v/>
      </c>
      <c r="AE75" s="203" t="str">
        <f t="shared" si="22"/>
        <v/>
      </c>
      <c r="AF75" s="203" t="str">
        <f t="shared" si="23"/>
        <v/>
      </c>
      <c r="AG75" s="203" t="str">
        <f t="shared" si="24"/>
        <v/>
      </c>
    </row>
    <row r="76" spans="1:33" x14ac:dyDescent="0.3">
      <c r="A76" s="214"/>
      <c r="B76" s="214"/>
      <c r="C76" s="214"/>
      <c r="D76" s="214"/>
      <c r="E76" s="214"/>
      <c r="F76" s="214"/>
      <c r="G76" s="214"/>
      <c r="H76" s="216"/>
      <c r="I76" s="215" t="str">
        <f t="shared" si="15"/>
        <v/>
      </c>
      <c r="J76" s="214"/>
      <c r="K76" s="217"/>
      <c r="L76" s="215" t="str">
        <f t="shared" si="16"/>
        <v/>
      </c>
      <c r="M76" s="214"/>
      <c r="N76" s="214"/>
      <c r="O76" s="217"/>
      <c r="P76" s="215" t="str">
        <f t="shared" si="17"/>
        <v/>
      </c>
      <c r="Q76" s="214"/>
      <c r="R76" s="214"/>
      <c r="S76" s="217"/>
      <c r="T76" s="215" t="str">
        <f t="shared" si="18"/>
        <v/>
      </c>
      <c r="U76" s="214"/>
      <c r="V76" s="214"/>
      <c r="W76" s="214"/>
      <c r="X76" s="214"/>
      <c r="Y76" s="214"/>
      <c r="Z76" s="217"/>
      <c r="AA76" s="128" t="str">
        <f t="shared" si="19"/>
        <v/>
      </c>
      <c r="AB76" t="str">
        <f t="array" ref="AB76">IF(OR(AA76 &lt;&gt;"", I76&lt;&gt;"",L76&lt;&gt;"",P76&lt;&gt;"",T76&lt;&gt;""), AND(EXACT(AC76:AG76,AC76)),"")</f>
        <v/>
      </c>
      <c r="AC76" s="203" t="str">
        <f t="shared" si="20"/>
        <v/>
      </c>
      <c r="AD76" s="203" t="str">
        <f t="shared" si="21"/>
        <v/>
      </c>
      <c r="AE76" s="203" t="str">
        <f t="shared" si="22"/>
        <v/>
      </c>
      <c r="AF76" s="203" t="str">
        <f t="shared" si="23"/>
        <v/>
      </c>
      <c r="AG76" s="203" t="str">
        <f t="shared" si="24"/>
        <v/>
      </c>
    </row>
    <row r="77" spans="1:33" x14ac:dyDescent="0.3">
      <c r="A77" s="214"/>
      <c r="B77" s="214"/>
      <c r="C77" s="214"/>
      <c r="D77" s="214"/>
      <c r="E77" s="214"/>
      <c r="F77" s="214"/>
      <c r="G77" s="214"/>
      <c r="H77" s="216"/>
      <c r="I77" s="215" t="str">
        <f t="shared" si="15"/>
        <v/>
      </c>
      <c r="J77" s="214"/>
      <c r="K77" s="217"/>
      <c r="L77" s="215" t="str">
        <f t="shared" si="16"/>
        <v/>
      </c>
      <c r="M77" s="214"/>
      <c r="N77" s="214"/>
      <c r="O77" s="217"/>
      <c r="P77" s="215" t="str">
        <f t="shared" si="17"/>
        <v/>
      </c>
      <c r="Q77" s="214"/>
      <c r="R77" s="214"/>
      <c r="S77" s="217"/>
      <c r="T77" s="215" t="str">
        <f t="shared" si="18"/>
        <v/>
      </c>
      <c r="U77" s="214"/>
      <c r="V77" s="214"/>
      <c r="W77" s="214"/>
      <c r="X77" s="214"/>
      <c r="Y77" s="214"/>
      <c r="Z77" s="217"/>
      <c r="AA77" s="128" t="str">
        <f t="shared" si="19"/>
        <v/>
      </c>
      <c r="AB77" t="str">
        <f t="array" ref="AB77">IF(OR(AA77 &lt;&gt;"", I77&lt;&gt;"",L77&lt;&gt;"",P77&lt;&gt;"",T77&lt;&gt;""), AND(EXACT(AC77:AG77,AC77)),"")</f>
        <v/>
      </c>
      <c r="AC77" s="203" t="str">
        <f t="shared" si="20"/>
        <v/>
      </c>
      <c r="AD77" s="203" t="str">
        <f t="shared" si="21"/>
        <v/>
      </c>
      <c r="AE77" s="203" t="str">
        <f t="shared" si="22"/>
        <v/>
      </c>
      <c r="AF77" s="203" t="str">
        <f t="shared" si="23"/>
        <v/>
      </c>
      <c r="AG77" s="203" t="str">
        <f t="shared" si="24"/>
        <v/>
      </c>
    </row>
    <row r="78" spans="1:33" x14ac:dyDescent="0.3">
      <c r="A78" s="214"/>
      <c r="B78" s="214"/>
      <c r="C78" s="214"/>
      <c r="D78" s="214"/>
      <c r="E78" s="214"/>
      <c r="F78" s="214"/>
      <c r="G78" s="214"/>
      <c r="H78" s="216"/>
      <c r="I78" s="215" t="str">
        <f t="shared" si="15"/>
        <v/>
      </c>
      <c r="J78" s="214"/>
      <c r="K78" s="217"/>
      <c r="L78" s="215" t="str">
        <f t="shared" si="16"/>
        <v/>
      </c>
      <c r="M78" s="214"/>
      <c r="N78" s="214"/>
      <c r="O78" s="217"/>
      <c r="P78" s="215" t="str">
        <f t="shared" si="17"/>
        <v/>
      </c>
      <c r="Q78" s="214"/>
      <c r="R78" s="214"/>
      <c r="S78" s="217"/>
      <c r="T78" s="215" t="str">
        <f t="shared" si="18"/>
        <v/>
      </c>
      <c r="U78" s="214"/>
      <c r="V78" s="214"/>
      <c r="W78" s="214"/>
      <c r="X78" s="214"/>
      <c r="Y78" s="214"/>
      <c r="Z78" s="217"/>
      <c r="AA78" s="128" t="str">
        <f t="shared" si="19"/>
        <v/>
      </c>
      <c r="AB78" t="str">
        <f t="array" ref="AB78">IF(OR(AA78 &lt;&gt;"", I78&lt;&gt;"",L78&lt;&gt;"",P78&lt;&gt;"",T78&lt;&gt;""), AND(EXACT(AC78:AG78,AC78)),"")</f>
        <v/>
      </c>
      <c r="AC78" s="203" t="str">
        <f t="shared" si="20"/>
        <v/>
      </c>
      <c r="AD78" s="203" t="str">
        <f t="shared" si="21"/>
        <v/>
      </c>
      <c r="AE78" s="203" t="str">
        <f t="shared" si="22"/>
        <v/>
      </c>
      <c r="AF78" s="203" t="str">
        <f t="shared" si="23"/>
        <v/>
      </c>
      <c r="AG78" s="203" t="str">
        <f t="shared" si="24"/>
        <v/>
      </c>
    </row>
    <row r="79" spans="1:33" x14ac:dyDescent="0.3">
      <c r="A79" s="214"/>
      <c r="B79" s="214"/>
      <c r="C79" s="214"/>
      <c r="D79" s="214"/>
      <c r="E79" s="214"/>
      <c r="F79" s="214"/>
      <c r="G79" s="214"/>
      <c r="H79" s="216"/>
      <c r="I79" s="215" t="str">
        <f t="shared" si="15"/>
        <v/>
      </c>
      <c r="J79" s="214"/>
      <c r="K79" s="217"/>
      <c r="L79" s="215" t="str">
        <f t="shared" si="16"/>
        <v/>
      </c>
      <c r="M79" s="214"/>
      <c r="N79" s="214"/>
      <c r="O79" s="217"/>
      <c r="P79" s="215" t="str">
        <f t="shared" si="17"/>
        <v/>
      </c>
      <c r="Q79" s="214"/>
      <c r="R79" s="214"/>
      <c r="S79" s="217"/>
      <c r="T79" s="215" t="str">
        <f t="shared" si="18"/>
        <v/>
      </c>
      <c r="U79" s="214"/>
      <c r="V79" s="214"/>
      <c r="W79" s="214"/>
      <c r="X79" s="214"/>
      <c r="Y79" s="214"/>
      <c r="Z79" s="217"/>
      <c r="AA79" s="128" t="str">
        <f t="shared" si="19"/>
        <v/>
      </c>
      <c r="AB79" t="str">
        <f t="array" ref="AB79">IF(OR(AA79 &lt;&gt;"", I79&lt;&gt;"",L79&lt;&gt;"",P79&lt;&gt;"",T79&lt;&gt;""), AND(EXACT(AC79:AG79,AC79)),"")</f>
        <v/>
      </c>
      <c r="AC79" s="203" t="str">
        <f t="shared" si="20"/>
        <v/>
      </c>
      <c r="AD79" s="203" t="str">
        <f t="shared" si="21"/>
        <v/>
      </c>
      <c r="AE79" s="203" t="str">
        <f t="shared" si="22"/>
        <v/>
      </c>
      <c r="AF79" s="203" t="str">
        <f t="shared" si="23"/>
        <v/>
      </c>
      <c r="AG79" s="203" t="str">
        <f t="shared" si="24"/>
        <v/>
      </c>
    </row>
    <row r="80" spans="1:33" x14ac:dyDescent="0.3">
      <c r="A80" s="214"/>
      <c r="B80" s="214"/>
      <c r="C80" s="214"/>
      <c r="D80" s="214"/>
      <c r="E80" s="214"/>
      <c r="F80" s="214"/>
      <c r="G80" s="214"/>
      <c r="H80" s="216"/>
      <c r="I80" s="215" t="str">
        <f t="shared" si="15"/>
        <v/>
      </c>
      <c r="J80" s="214"/>
      <c r="K80" s="217"/>
      <c r="L80" s="215" t="str">
        <f t="shared" si="16"/>
        <v/>
      </c>
      <c r="M80" s="214"/>
      <c r="N80" s="214"/>
      <c r="O80" s="217"/>
      <c r="P80" s="215" t="str">
        <f t="shared" si="17"/>
        <v/>
      </c>
      <c r="Q80" s="214"/>
      <c r="R80" s="214"/>
      <c r="S80" s="217"/>
      <c r="T80" s="215" t="str">
        <f t="shared" si="18"/>
        <v/>
      </c>
      <c r="U80" s="214"/>
      <c r="V80" s="214"/>
      <c r="W80" s="214"/>
      <c r="X80" s="214"/>
      <c r="Y80" s="214"/>
      <c r="Z80" s="217"/>
      <c r="AA80" s="128" t="str">
        <f t="shared" si="19"/>
        <v/>
      </c>
      <c r="AB80" t="str">
        <f t="array" ref="AB80">IF(OR(AA80 &lt;&gt;"", I80&lt;&gt;"",L80&lt;&gt;"",P80&lt;&gt;"",T80&lt;&gt;""), AND(EXACT(AC80:AG80,AC80)),"")</f>
        <v/>
      </c>
      <c r="AC80" s="203" t="str">
        <f t="shared" si="20"/>
        <v/>
      </c>
      <c r="AD80" s="203" t="str">
        <f t="shared" si="21"/>
        <v/>
      </c>
      <c r="AE80" s="203" t="str">
        <f t="shared" si="22"/>
        <v/>
      </c>
      <c r="AF80" s="203" t="str">
        <f t="shared" si="23"/>
        <v/>
      </c>
      <c r="AG80" s="203" t="str">
        <f t="shared" si="24"/>
        <v/>
      </c>
    </row>
    <row r="81" spans="1:33" x14ac:dyDescent="0.3">
      <c r="A81" s="214"/>
      <c r="B81" s="214"/>
      <c r="C81" s="214"/>
      <c r="D81" s="214"/>
      <c r="E81" s="214"/>
      <c r="F81" s="214"/>
      <c r="G81" s="214"/>
      <c r="H81" s="216"/>
      <c r="I81" s="215" t="str">
        <f t="shared" si="15"/>
        <v/>
      </c>
      <c r="J81" s="214"/>
      <c r="K81" s="217"/>
      <c r="L81" s="215" t="str">
        <f t="shared" si="16"/>
        <v/>
      </c>
      <c r="M81" s="214"/>
      <c r="N81" s="214"/>
      <c r="O81" s="217"/>
      <c r="P81" s="215" t="str">
        <f t="shared" si="17"/>
        <v/>
      </c>
      <c r="Q81" s="214"/>
      <c r="R81" s="214"/>
      <c r="S81" s="217"/>
      <c r="T81" s="215" t="str">
        <f t="shared" si="18"/>
        <v/>
      </c>
      <c r="U81" s="214"/>
      <c r="V81" s="214"/>
      <c r="W81" s="214"/>
      <c r="X81" s="214"/>
      <c r="Y81" s="214"/>
      <c r="Z81" s="217"/>
      <c r="AA81" s="128" t="str">
        <f t="shared" si="19"/>
        <v/>
      </c>
      <c r="AB81" t="str">
        <f t="array" ref="AB81">IF(OR(AA81 &lt;&gt;"", I81&lt;&gt;"",L81&lt;&gt;"",P81&lt;&gt;"",T81&lt;&gt;""), AND(EXACT(AC81:AG81,AC81)),"")</f>
        <v/>
      </c>
      <c r="AC81" s="203" t="str">
        <f t="shared" si="20"/>
        <v/>
      </c>
      <c r="AD81" s="203" t="str">
        <f t="shared" si="21"/>
        <v/>
      </c>
      <c r="AE81" s="203" t="str">
        <f t="shared" si="22"/>
        <v/>
      </c>
      <c r="AF81" s="203" t="str">
        <f t="shared" si="23"/>
        <v/>
      </c>
      <c r="AG81" s="203" t="str">
        <f t="shared" si="24"/>
        <v/>
      </c>
    </row>
    <row r="82" spans="1:33" x14ac:dyDescent="0.3">
      <c r="A82" s="214"/>
      <c r="B82" s="214"/>
      <c r="C82" s="214"/>
      <c r="D82" s="214"/>
      <c r="E82" s="214"/>
      <c r="F82" s="214"/>
      <c r="G82" s="214"/>
      <c r="H82" s="216"/>
      <c r="I82" s="215" t="str">
        <f t="shared" si="15"/>
        <v/>
      </c>
      <c r="J82" s="214"/>
      <c r="K82" s="217"/>
      <c r="L82" s="215" t="str">
        <f t="shared" si="16"/>
        <v/>
      </c>
      <c r="M82" s="214"/>
      <c r="N82" s="214"/>
      <c r="O82" s="217"/>
      <c r="P82" s="215" t="str">
        <f t="shared" si="17"/>
        <v/>
      </c>
      <c r="Q82" s="214"/>
      <c r="R82" s="214"/>
      <c r="S82" s="217"/>
      <c r="T82" s="215" t="str">
        <f t="shared" si="18"/>
        <v/>
      </c>
      <c r="U82" s="214"/>
      <c r="V82" s="214"/>
      <c r="W82" s="214"/>
      <c r="X82" s="214"/>
      <c r="Y82" s="214"/>
      <c r="Z82" s="217"/>
      <c r="AA82" s="128" t="str">
        <f t="shared" si="19"/>
        <v/>
      </c>
      <c r="AB82" t="str">
        <f t="array" ref="AB82">IF(OR(AA82 &lt;&gt;"", I82&lt;&gt;"",L82&lt;&gt;"",P82&lt;&gt;"",T82&lt;&gt;""), AND(EXACT(AC82:AG82,AC82)),"")</f>
        <v/>
      </c>
      <c r="AC82" s="203" t="str">
        <f t="shared" si="20"/>
        <v/>
      </c>
      <c r="AD82" s="203" t="str">
        <f t="shared" si="21"/>
        <v/>
      </c>
      <c r="AE82" s="203" t="str">
        <f t="shared" si="22"/>
        <v/>
      </c>
      <c r="AF82" s="203" t="str">
        <f t="shared" si="23"/>
        <v/>
      </c>
      <c r="AG82" s="203" t="str">
        <f t="shared" si="24"/>
        <v/>
      </c>
    </row>
    <row r="83" spans="1:33" x14ac:dyDescent="0.3">
      <c r="A83" s="214"/>
      <c r="B83" s="214"/>
      <c r="C83" s="214"/>
      <c r="D83" s="214"/>
      <c r="E83" s="214"/>
      <c r="F83" s="214"/>
      <c r="G83" s="214"/>
      <c r="H83" s="216"/>
      <c r="I83" s="215" t="str">
        <f t="shared" si="15"/>
        <v/>
      </c>
      <c r="J83" s="214"/>
      <c r="K83" s="217"/>
      <c r="L83" s="215" t="str">
        <f t="shared" si="16"/>
        <v/>
      </c>
      <c r="M83" s="214"/>
      <c r="N83" s="214"/>
      <c r="O83" s="217"/>
      <c r="P83" s="215" t="str">
        <f t="shared" si="17"/>
        <v/>
      </c>
      <c r="Q83" s="214"/>
      <c r="R83" s="214"/>
      <c r="S83" s="217"/>
      <c r="T83" s="215" t="str">
        <f t="shared" si="18"/>
        <v/>
      </c>
      <c r="U83" s="214"/>
      <c r="V83" s="214"/>
      <c r="W83" s="214"/>
      <c r="X83" s="214"/>
      <c r="Y83" s="214"/>
      <c r="Z83" s="217"/>
      <c r="AA83" s="128" t="str">
        <f t="shared" si="19"/>
        <v/>
      </c>
      <c r="AB83" t="str">
        <f t="array" ref="AB83">IF(OR(AA83 &lt;&gt;"", I83&lt;&gt;"",L83&lt;&gt;"",P83&lt;&gt;"",T83&lt;&gt;""), AND(EXACT(AC83:AG83,AC83)),"")</f>
        <v/>
      </c>
      <c r="AC83" s="203" t="str">
        <f t="shared" si="20"/>
        <v/>
      </c>
      <c r="AD83" s="203" t="str">
        <f t="shared" si="21"/>
        <v/>
      </c>
      <c r="AE83" s="203" t="str">
        <f t="shared" si="22"/>
        <v/>
      </c>
      <c r="AF83" s="203" t="str">
        <f t="shared" si="23"/>
        <v/>
      </c>
      <c r="AG83" s="203" t="str">
        <f t="shared" si="24"/>
        <v/>
      </c>
    </row>
    <row r="84" spans="1:33" x14ac:dyDescent="0.3">
      <c r="A84" s="214"/>
      <c r="B84" s="214"/>
      <c r="C84" s="214"/>
      <c r="D84" s="214"/>
      <c r="E84" s="214"/>
      <c r="F84" s="214"/>
      <c r="G84" s="214"/>
      <c r="H84" s="216"/>
      <c r="I84" s="215" t="str">
        <f t="shared" si="15"/>
        <v/>
      </c>
      <c r="J84" s="214"/>
      <c r="K84" s="217"/>
      <c r="L84" s="215" t="str">
        <f t="shared" si="16"/>
        <v/>
      </c>
      <c r="M84" s="214"/>
      <c r="N84" s="214"/>
      <c r="O84" s="217"/>
      <c r="P84" s="215" t="str">
        <f t="shared" si="17"/>
        <v/>
      </c>
      <c r="Q84" s="214"/>
      <c r="R84" s="214"/>
      <c r="S84" s="217"/>
      <c r="T84" s="215" t="str">
        <f t="shared" si="18"/>
        <v/>
      </c>
      <c r="U84" s="214"/>
      <c r="V84" s="214"/>
      <c r="W84" s="214"/>
      <c r="X84" s="214"/>
      <c r="Y84" s="214"/>
      <c r="Z84" s="217"/>
      <c r="AA84" s="128" t="str">
        <f t="shared" si="19"/>
        <v/>
      </c>
      <c r="AB84" t="str">
        <f t="array" ref="AB84">IF(OR(AA84 &lt;&gt;"", I84&lt;&gt;"",L84&lt;&gt;"",P84&lt;&gt;"",T84&lt;&gt;""), AND(EXACT(AC84:AG84,AC84)),"")</f>
        <v/>
      </c>
      <c r="AC84" s="203" t="str">
        <f t="shared" si="20"/>
        <v/>
      </c>
      <c r="AD84" s="203" t="str">
        <f t="shared" si="21"/>
        <v/>
      </c>
      <c r="AE84" s="203" t="str">
        <f t="shared" si="22"/>
        <v/>
      </c>
      <c r="AF84" s="203" t="str">
        <f t="shared" si="23"/>
        <v/>
      </c>
      <c r="AG84" s="203" t="str">
        <f t="shared" si="24"/>
        <v/>
      </c>
    </row>
    <row r="85" spans="1:33" x14ac:dyDescent="0.3">
      <c r="A85" s="214"/>
      <c r="B85" s="214"/>
      <c r="C85" s="214"/>
      <c r="D85" s="214"/>
      <c r="E85" s="214"/>
      <c r="F85" s="214"/>
      <c r="G85" s="214"/>
      <c r="H85" s="216"/>
      <c r="I85" s="215" t="str">
        <f t="shared" si="15"/>
        <v/>
      </c>
      <c r="J85" s="214"/>
      <c r="K85" s="217"/>
      <c r="L85" s="215" t="str">
        <f t="shared" si="16"/>
        <v/>
      </c>
      <c r="M85" s="214"/>
      <c r="N85" s="214"/>
      <c r="O85" s="217"/>
      <c r="P85" s="215" t="str">
        <f t="shared" si="17"/>
        <v/>
      </c>
      <c r="Q85" s="214"/>
      <c r="R85" s="214"/>
      <c r="S85" s="217"/>
      <c r="T85" s="215" t="str">
        <f t="shared" si="18"/>
        <v/>
      </c>
      <c r="U85" s="214"/>
      <c r="V85" s="214"/>
      <c r="W85" s="214"/>
      <c r="X85" s="214"/>
      <c r="Y85" s="214"/>
      <c r="Z85" s="217"/>
      <c r="AA85" s="128" t="str">
        <f t="shared" si="19"/>
        <v/>
      </c>
      <c r="AB85" t="str">
        <f t="array" ref="AB85">IF(OR(AA85 &lt;&gt;"", I85&lt;&gt;"",L85&lt;&gt;"",P85&lt;&gt;"",T85&lt;&gt;""), AND(EXACT(AC85:AG85,AC85)),"")</f>
        <v/>
      </c>
      <c r="AC85" s="203" t="str">
        <f t="shared" si="20"/>
        <v/>
      </c>
      <c r="AD85" s="203" t="str">
        <f t="shared" si="21"/>
        <v/>
      </c>
      <c r="AE85" s="203" t="str">
        <f t="shared" si="22"/>
        <v/>
      </c>
      <c r="AF85" s="203" t="str">
        <f t="shared" si="23"/>
        <v/>
      </c>
      <c r="AG85" s="203" t="str">
        <f t="shared" si="24"/>
        <v/>
      </c>
    </row>
    <row r="86" spans="1:33" x14ac:dyDescent="0.3">
      <c r="A86" s="214"/>
      <c r="B86" s="214"/>
      <c r="C86" s="214"/>
      <c r="D86" s="214"/>
      <c r="E86" s="214"/>
      <c r="F86" s="214"/>
      <c r="G86" s="214"/>
      <c r="H86" s="216"/>
      <c r="I86" s="215" t="str">
        <f t="shared" si="15"/>
        <v/>
      </c>
      <c r="J86" s="214"/>
      <c r="K86" s="217"/>
      <c r="L86" s="215" t="str">
        <f t="shared" si="16"/>
        <v/>
      </c>
      <c r="M86" s="214"/>
      <c r="N86" s="214"/>
      <c r="O86" s="217"/>
      <c r="P86" s="215" t="str">
        <f t="shared" si="17"/>
        <v/>
      </c>
      <c r="Q86" s="214"/>
      <c r="R86" s="214"/>
      <c r="S86" s="217"/>
      <c r="T86" s="215" t="str">
        <f t="shared" si="18"/>
        <v/>
      </c>
      <c r="U86" s="214"/>
      <c r="V86" s="214"/>
      <c r="W86" s="214"/>
      <c r="X86" s="214"/>
      <c r="Y86" s="214"/>
      <c r="Z86" s="217"/>
      <c r="AA86" s="128" t="str">
        <f t="shared" si="19"/>
        <v/>
      </c>
      <c r="AB86" t="str">
        <f t="array" ref="AB86">IF(OR(AA86 &lt;&gt;"", I86&lt;&gt;"",L86&lt;&gt;"",P86&lt;&gt;"",T86&lt;&gt;""), AND(EXACT(AC86:AG86,AC86)),"")</f>
        <v/>
      </c>
      <c r="AC86" s="203" t="str">
        <f t="shared" si="20"/>
        <v/>
      </c>
      <c r="AD86" s="203" t="str">
        <f t="shared" si="21"/>
        <v/>
      </c>
      <c r="AE86" s="203" t="str">
        <f t="shared" si="22"/>
        <v/>
      </c>
      <c r="AF86" s="203" t="str">
        <f t="shared" si="23"/>
        <v/>
      </c>
      <c r="AG86" s="203" t="str">
        <f t="shared" si="24"/>
        <v/>
      </c>
    </row>
    <row r="87" spans="1:33" x14ac:dyDescent="0.3">
      <c r="A87" s="214"/>
      <c r="B87" s="214"/>
      <c r="C87" s="214"/>
      <c r="D87" s="214"/>
      <c r="E87" s="214"/>
      <c r="F87" s="214"/>
      <c r="G87" s="214"/>
      <c r="H87" s="216"/>
      <c r="I87" s="215" t="str">
        <f t="shared" si="15"/>
        <v/>
      </c>
      <c r="J87" s="214"/>
      <c r="K87" s="217"/>
      <c r="L87" s="215" t="str">
        <f t="shared" si="16"/>
        <v/>
      </c>
      <c r="M87" s="214"/>
      <c r="N87" s="214"/>
      <c r="O87" s="217"/>
      <c r="P87" s="215" t="str">
        <f t="shared" si="17"/>
        <v/>
      </c>
      <c r="Q87" s="214"/>
      <c r="R87" s="214"/>
      <c r="S87" s="217"/>
      <c r="T87" s="215" t="str">
        <f t="shared" si="18"/>
        <v/>
      </c>
      <c r="U87" s="214"/>
      <c r="V87" s="214"/>
      <c r="W87" s="214"/>
      <c r="X87" s="214"/>
      <c r="Y87" s="214"/>
      <c r="Z87" s="217"/>
      <c r="AA87" s="128" t="str">
        <f t="shared" si="19"/>
        <v/>
      </c>
      <c r="AB87" t="str">
        <f t="array" ref="AB87">IF(OR(AA87 &lt;&gt;"", I87&lt;&gt;"",L87&lt;&gt;"",P87&lt;&gt;"",T87&lt;&gt;""), AND(EXACT(AC87:AG87,AC87)),"")</f>
        <v/>
      </c>
      <c r="AC87" s="203" t="str">
        <f t="shared" si="20"/>
        <v/>
      </c>
      <c r="AD87" s="203" t="str">
        <f t="shared" si="21"/>
        <v/>
      </c>
      <c r="AE87" s="203" t="str">
        <f t="shared" si="22"/>
        <v/>
      </c>
      <c r="AF87" s="203" t="str">
        <f t="shared" si="23"/>
        <v/>
      </c>
      <c r="AG87" s="203" t="str">
        <f t="shared" si="24"/>
        <v/>
      </c>
    </row>
    <row r="88" spans="1:33" x14ac:dyDescent="0.3">
      <c r="A88" s="214"/>
      <c r="B88" s="214"/>
      <c r="C88" s="214"/>
      <c r="D88" s="214"/>
      <c r="E88" s="214"/>
      <c r="F88" s="214"/>
      <c r="G88" s="214"/>
      <c r="H88" s="216"/>
      <c r="I88" s="215" t="str">
        <f t="shared" si="15"/>
        <v/>
      </c>
      <c r="J88" s="214"/>
      <c r="K88" s="217"/>
      <c r="L88" s="215" t="str">
        <f t="shared" si="16"/>
        <v/>
      </c>
      <c r="M88" s="214"/>
      <c r="N88" s="214"/>
      <c r="O88" s="217"/>
      <c r="P88" s="215" t="str">
        <f t="shared" si="17"/>
        <v/>
      </c>
      <c r="Q88" s="214"/>
      <c r="R88" s="214"/>
      <c r="S88" s="217"/>
      <c r="T88" s="215" t="str">
        <f t="shared" si="18"/>
        <v/>
      </c>
      <c r="U88" s="214"/>
      <c r="V88" s="214"/>
      <c r="W88" s="214"/>
      <c r="X88" s="214"/>
      <c r="Y88" s="214"/>
      <c r="Z88" s="217"/>
      <c r="AA88" s="128" t="str">
        <f t="shared" si="19"/>
        <v/>
      </c>
      <c r="AB88" t="str">
        <f t="array" ref="AB88">IF(OR(AA88 &lt;&gt;"", I88&lt;&gt;"",L88&lt;&gt;"",P88&lt;&gt;"",T88&lt;&gt;""), AND(EXACT(AC88:AG88,AC88)),"")</f>
        <v/>
      </c>
      <c r="AC88" s="203" t="str">
        <f t="shared" si="20"/>
        <v/>
      </c>
      <c r="AD88" s="203" t="str">
        <f t="shared" si="21"/>
        <v/>
      </c>
      <c r="AE88" s="203" t="str">
        <f t="shared" si="22"/>
        <v/>
      </c>
      <c r="AF88" s="203" t="str">
        <f t="shared" si="23"/>
        <v/>
      </c>
      <c r="AG88" s="203" t="str">
        <f t="shared" si="24"/>
        <v/>
      </c>
    </row>
    <row r="89" spans="1:33" x14ac:dyDescent="0.3">
      <c r="A89" s="214"/>
      <c r="B89" s="214"/>
      <c r="C89" s="214"/>
      <c r="D89" s="214"/>
      <c r="E89" s="214"/>
      <c r="F89" s="214"/>
      <c r="G89" s="214"/>
      <c r="H89" s="216"/>
      <c r="I89" s="215" t="str">
        <f t="shared" si="15"/>
        <v/>
      </c>
      <c r="J89" s="214"/>
      <c r="K89" s="217"/>
      <c r="L89" s="215" t="str">
        <f t="shared" si="16"/>
        <v/>
      </c>
      <c r="M89" s="214"/>
      <c r="N89" s="214"/>
      <c r="O89" s="217"/>
      <c r="P89" s="215" t="str">
        <f t="shared" si="17"/>
        <v/>
      </c>
      <c r="Q89" s="214"/>
      <c r="R89" s="214"/>
      <c r="S89" s="217"/>
      <c r="T89" s="215" t="str">
        <f t="shared" si="18"/>
        <v/>
      </c>
      <c r="U89" s="214"/>
      <c r="V89" s="214"/>
      <c r="W89" s="214"/>
      <c r="X89" s="214"/>
      <c r="Y89" s="214"/>
      <c r="Z89" s="217"/>
      <c r="AA89" s="128" t="str">
        <f t="shared" si="19"/>
        <v/>
      </c>
      <c r="AB89" t="str">
        <f t="array" ref="AB89">IF(OR(AA89 &lt;&gt;"", I89&lt;&gt;"",L89&lt;&gt;"",P89&lt;&gt;"",T89&lt;&gt;""), AND(EXACT(AC89:AG89,AC89)),"")</f>
        <v/>
      </c>
      <c r="AC89" s="203" t="str">
        <f t="shared" si="20"/>
        <v/>
      </c>
      <c r="AD89" s="203" t="str">
        <f t="shared" si="21"/>
        <v/>
      </c>
      <c r="AE89" s="203" t="str">
        <f t="shared" si="22"/>
        <v/>
      </c>
      <c r="AF89" s="203" t="str">
        <f t="shared" si="23"/>
        <v/>
      </c>
      <c r="AG89" s="203" t="str">
        <f t="shared" si="24"/>
        <v/>
      </c>
    </row>
    <row r="90" spans="1:33" x14ac:dyDescent="0.3">
      <c r="A90" s="214"/>
      <c r="B90" s="214"/>
      <c r="C90" s="214"/>
      <c r="D90" s="214"/>
      <c r="E90" s="214"/>
      <c r="F90" s="214"/>
      <c r="G90" s="214"/>
      <c r="H90" s="216"/>
      <c r="I90" s="215" t="str">
        <f t="shared" si="15"/>
        <v/>
      </c>
      <c r="J90" s="214"/>
      <c r="K90" s="217"/>
      <c r="L90" s="215" t="str">
        <f t="shared" si="16"/>
        <v/>
      </c>
      <c r="M90" s="214"/>
      <c r="N90" s="214"/>
      <c r="O90" s="217"/>
      <c r="P90" s="215" t="str">
        <f t="shared" si="17"/>
        <v/>
      </c>
      <c r="Q90" s="214"/>
      <c r="R90" s="214"/>
      <c r="S90" s="217"/>
      <c r="T90" s="215" t="str">
        <f t="shared" si="18"/>
        <v/>
      </c>
      <c r="U90" s="214"/>
      <c r="V90" s="214"/>
      <c r="W90" s="214"/>
      <c r="X90" s="214"/>
      <c r="Y90" s="214"/>
      <c r="Z90" s="217"/>
      <c r="AA90" s="128" t="str">
        <f t="shared" si="19"/>
        <v/>
      </c>
      <c r="AB90" t="str">
        <f t="array" ref="AB90">IF(OR(AA90 &lt;&gt;"", I90&lt;&gt;"",L90&lt;&gt;"",P90&lt;&gt;"",T90&lt;&gt;""), AND(EXACT(AC90:AG90,AC90)),"")</f>
        <v/>
      </c>
      <c r="AC90" s="203" t="str">
        <f t="shared" si="20"/>
        <v/>
      </c>
      <c r="AD90" s="203" t="str">
        <f t="shared" si="21"/>
        <v/>
      </c>
      <c r="AE90" s="203" t="str">
        <f t="shared" si="22"/>
        <v/>
      </c>
      <c r="AF90" s="203" t="str">
        <f t="shared" si="23"/>
        <v/>
      </c>
      <c r="AG90" s="203" t="str">
        <f t="shared" si="24"/>
        <v/>
      </c>
    </row>
    <row r="91" spans="1:33" x14ac:dyDescent="0.3">
      <c r="A91" s="214"/>
      <c r="B91" s="214"/>
      <c r="C91" s="214"/>
      <c r="D91" s="214"/>
      <c r="E91" s="214"/>
      <c r="F91" s="214"/>
      <c r="G91" s="214"/>
      <c r="H91" s="216"/>
      <c r="I91" s="215" t="str">
        <f t="shared" si="15"/>
        <v/>
      </c>
      <c r="J91" s="214"/>
      <c r="K91" s="217"/>
      <c r="L91" s="215" t="str">
        <f t="shared" si="16"/>
        <v/>
      </c>
      <c r="M91" s="214"/>
      <c r="N91" s="214"/>
      <c r="O91" s="217"/>
      <c r="P91" s="215" t="str">
        <f t="shared" si="17"/>
        <v/>
      </c>
      <c r="Q91" s="214"/>
      <c r="R91" s="214"/>
      <c r="S91" s="217"/>
      <c r="T91" s="215" t="str">
        <f t="shared" si="18"/>
        <v/>
      </c>
      <c r="U91" s="214"/>
      <c r="V91" s="214"/>
      <c r="W91" s="214"/>
      <c r="X91" s="214"/>
      <c r="Y91" s="214"/>
      <c r="Z91" s="217"/>
      <c r="AA91" s="128" t="str">
        <f t="shared" si="19"/>
        <v/>
      </c>
      <c r="AB91" t="str">
        <f t="array" ref="AB91">IF(OR(AA91 &lt;&gt;"", I91&lt;&gt;"",L91&lt;&gt;"",P91&lt;&gt;"",T91&lt;&gt;""), AND(EXACT(AC91:AG91,AC91)),"")</f>
        <v/>
      </c>
      <c r="AC91" s="203" t="str">
        <f t="shared" si="20"/>
        <v/>
      </c>
      <c r="AD91" s="203" t="str">
        <f t="shared" si="21"/>
        <v/>
      </c>
      <c r="AE91" s="203" t="str">
        <f t="shared" si="22"/>
        <v/>
      </c>
      <c r="AF91" s="203" t="str">
        <f t="shared" si="23"/>
        <v/>
      </c>
      <c r="AG91" s="203" t="str">
        <f t="shared" si="24"/>
        <v/>
      </c>
    </row>
    <row r="92" spans="1:33" x14ac:dyDescent="0.3">
      <c r="A92" s="214"/>
      <c r="B92" s="214"/>
      <c r="C92" s="214"/>
      <c r="D92" s="214"/>
      <c r="E92" s="214"/>
      <c r="F92" s="214"/>
      <c r="G92" s="214"/>
      <c r="H92" s="216"/>
      <c r="I92" s="215" t="str">
        <f t="shared" si="15"/>
        <v/>
      </c>
      <c r="J92" s="214"/>
      <c r="K92" s="217"/>
      <c r="L92" s="215" t="str">
        <f t="shared" si="16"/>
        <v/>
      </c>
      <c r="M92" s="214"/>
      <c r="N92" s="214"/>
      <c r="O92" s="217"/>
      <c r="P92" s="215" t="str">
        <f t="shared" si="17"/>
        <v/>
      </c>
      <c r="Q92" s="214"/>
      <c r="R92" s="214"/>
      <c r="S92" s="217"/>
      <c r="T92" s="215" t="str">
        <f t="shared" si="18"/>
        <v/>
      </c>
      <c r="U92" s="214"/>
      <c r="V92" s="214"/>
      <c r="W92" s="214"/>
      <c r="X92" s="214"/>
      <c r="Y92" s="214"/>
      <c r="Z92" s="217"/>
      <c r="AA92" s="128" t="str">
        <f t="shared" si="19"/>
        <v/>
      </c>
      <c r="AB92" t="str">
        <f t="array" ref="AB92">IF(OR(AA92 &lt;&gt;"", I92&lt;&gt;"",L92&lt;&gt;"",P92&lt;&gt;"",T92&lt;&gt;""), AND(EXACT(AC92:AG92,AC92)),"")</f>
        <v/>
      </c>
      <c r="AC92" s="203" t="str">
        <f t="shared" si="20"/>
        <v/>
      </c>
      <c r="AD92" s="203" t="str">
        <f t="shared" si="21"/>
        <v/>
      </c>
      <c r="AE92" s="203" t="str">
        <f t="shared" si="22"/>
        <v/>
      </c>
      <c r="AF92" s="203" t="str">
        <f t="shared" si="23"/>
        <v/>
      </c>
      <c r="AG92" s="203" t="str">
        <f t="shared" si="24"/>
        <v/>
      </c>
    </row>
    <row r="93" spans="1:33" x14ac:dyDescent="0.3">
      <c r="A93" s="214"/>
      <c r="B93" s="214"/>
      <c r="C93" s="214"/>
      <c r="D93" s="214"/>
      <c r="E93" s="214"/>
      <c r="F93" s="214"/>
      <c r="G93" s="214"/>
      <c r="H93" s="216"/>
      <c r="I93" s="215" t="str">
        <f t="shared" si="15"/>
        <v/>
      </c>
      <c r="J93" s="214"/>
      <c r="K93" s="217"/>
      <c r="L93" s="215" t="str">
        <f t="shared" si="16"/>
        <v/>
      </c>
      <c r="M93" s="214"/>
      <c r="N93" s="214"/>
      <c r="O93" s="217"/>
      <c r="P93" s="215" t="str">
        <f t="shared" si="17"/>
        <v/>
      </c>
      <c r="Q93" s="214"/>
      <c r="R93" s="214"/>
      <c r="S93" s="217"/>
      <c r="T93" s="215" t="str">
        <f t="shared" si="18"/>
        <v/>
      </c>
      <c r="U93" s="214"/>
      <c r="V93" s="214"/>
      <c r="W93" s="214"/>
      <c r="X93" s="214"/>
      <c r="Y93" s="214"/>
      <c r="Z93" s="217"/>
      <c r="AA93" s="128" t="str">
        <f t="shared" si="19"/>
        <v/>
      </c>
      <c r="AB93" t="str">
        <f t="array" ref="AB93">IF(OR(AA93 &lt;&gt;"", I93&lt;&gt;"",L93&lt;&gt;"",P93&lt;&gt;"",T93&lt;&gt;""), AND(EXACT(AC93:AG93,AC93)),"")</f>
        <v/>
      </c>
      <c r="AC93" s="203" t="str">
        <f t="shared" si="20"/>
        <v/>
      </c>
      <c r="AD93" s="203" t="str">
        <f t="shared" si="21"/>
        <v/>
      </c>
      <c r="AE93" s="203" t="str">
        <f t="shared" si="22"/>
        <v/>
      </c>
      <c r="AF93" s="203" t="str">
        <f t="shared" si="23"/>
        <v/>
      </c>
      <c r="AG93" s="203" t="str">
        <f t="shared" si="24"/>
        <v/>
      </c>
    </row>
    <row r="94" spans="1:33" x14ac:dyDescent="0.3">
      <c r="A94" s="214"/>
      <c r="B94" s="214"/>
      <c r="C94" s="214"/>
      <c r="D94" s="214"/>
      <c r="E94" s="214"/>
      <c r="F94" s="214"/>
      <c r="G94" s="214"/>
      <c r="H94" s="216"/>
      <c r="I94" s="215" t="str">
        <f t="shared" si="15"/>
        <v/>
      </c>
      <c r="J94" s="214"/>
      <c r="K94" s="217"/>
      <c r="L94" s="215" t="str">
        <f t="shared" si="16"/>
        <v/>
      </c>
      <c r="M94" s="214"/>
      <c r="N94" s="214"/>
      <c r="O94" s="217"/>
      <c r="P94" s="215" t="str">
        <f t="shared" si="17"/>
        <v/>
      </c>
      <c r="Q94" s="214"/>
      <c r="R94" s="214"/>
      <c r="S94" s="217"/>
      <c r="T94" s="215" t="str">
        <f t="shared" si="18"/>
        <v/>
      </c>
      <c r="U94" s="214"/>
      <c r="V94" s="214"/>
      <c r="W94" s="214"/>
      <c r="X94" s="214"/>
      <c r="Y94" s="214"/>
      <c r="Z94" s="217"/>
      <c r="AA94" s="128" t="str">
        <f t="shared" si="19"/>
        <v/>
      </c>
      <c r="AB94" t="str">
        <f t="array" ref="AB94">IF(OR(AA94 &lt;&gt;"", I94&lt;&gt;"",L94&lt;&gt;"",P94&lt;&gt;"",T94&lt;&gt;""), AND(EXACT(AC94:AG94,AC94)),"")</f>
        <v/>
      </c>
      <c r="AC94" s="203" t="str">
        <f t="shared" si="20"/>
        <v/>
      </c>
      <c r="AD94" s="203" t="str">
        <f t="shared" si="21"/>
        <v/>
      </c>
      <c r="AE94" s="203" t="str">
        <f t="shared" si="22"/>
        <v/>
      </c>
      <c r="AF94" s="203" t="str">
        <f t="shared" si="23"/>
        <v/>
      </c>
      <c r="AG94" s="203" t="str">
        <f t="shared" si="24"/>
        <v/>
      </c>
    </row>
    <row r="95" spans="1:33" x14ac:dyDescent="0.3">
      <c r="A95" s="214"/>
      <c r="B95" s="214"/>
      <c r="C95" s="214"/>
      <c r="D95" s="214"/>
      <c r="E95" s="214"/>
      <c r="F95" s="214"/>
      <c r="G95" s="214"/>
      <c r="H95" s="216"/>
      <c r="I95" s="215" t="str">
        <f t="shared" si="15"/>
        <v/>
      </c>
      <c r="J95" s="214"/>
      <c r="K95" s="217"/>
      <c r="L95" s="215" t="str">
        <f t="shared" si="16"/>
        <v/>
      </c>
      <c r="M95" s="214"/>
      <c r="N95" s="214"/>
      <c r="O95" s="217"/>
      <c r="P95" s="215" t="str">
        <f t="shared" si="17"/>
        <v/>
      </c>
      <c r="Q95" s="214"/>
      <c r="R95" s="214"/>
      <c r="S95" s="217"/>
      <c r="T95" s="215" t="str">
        <f t="shared" si="18"/>
        <v/>
      </c>
      <c r="U95" s="214"/>
      <c r="V95" s="214"/>
      <c r="W95" s="214"/>
      <c r="X95" s="214"/>
      <c r="Y95" s="214"/>
      <c r="Z95" s="217"/>
      <c r="AA95" s="128" t="str">
        <f t="shared" si="19"/>
        <v/>
      </c>
      <c r="AB95" t="str">
        <f t="array" ref="AB95">IF(OR(AA95 &lt;&gt;"", I95&lt;&gt;"",L95&lt;&gt;"",P95&lt;&gt;"",T95&lt;&gt;""), AND(EXACT(AC95:AG95,AC95)),"")</f>
        <v/>
      </c>
      <c r="AC95" s="203" t="str">
        <f t="shared" si="20"/>
        <v/>
      </c>
      <c r="AD95" s="203" t="str">
        <f t="shared" si="21"/>
        <v/>
      </c>
      <c r="AE95" s="203" t="str">
        <f t="shared" si="22"/>
        <v/>
      </c>
      <c r="AF95" s="203" t="str">
        <f t="shared" si="23"/>
        <v/>
      </c>
      <c r="AG95" s="203" t="str">
        <f t="shared" si="24"/>
        <v/>
      </c>
    </row>
    <row r="96" spans="1:33" x14ac:dyDescent="0.3">
      <c r="A96" s="214"/>
      <c r="B96" s="214"/>
      <c r="C96" s="214"/>
      <c r="D96" s="214"/>
      <c r="E96" s="214"/>
      <c r="F96" s="214"/>
      <c r="G96" s="214"/>
      <c r="H96" s="216"/>
      <c r="I96" s="215" t="str">
        <f t="shared" si="15"/>
        <v/>
      </c>
      <c r="J96" s="214"/>
      <c r="K96" s="217"/>
      <c r="L96" s="215" t="str">
        <f t="shared" si="16"/>
        <v/>
      </c>
      <c r="M96" s="214"/>
      <c r="N96" s="214"/>
      <c r="O96" s="217"/>
      <c r="P96" s="215" t="str">
        <f t="shared" si="17"/>
        <v/>
      </c>
      <c r="Q96" s="214"/>
      <c r="R96" s="214"/>
      <c r="S96" s="217"/>
      <c r="T96" s="215" t="str">
        <f t="shared" si="18"/>
        <v/>
      </c>
      <c r="U96" s="214"/>
      <c r="V96" s="214"/>
      <c r="W96" s="214"/>
      <c r="X96" s="214"/>
      <c r="Y96" s="214"/>
      <c r="Z96" s="217"/>
      <c r="AA96" s="128" t="str">
        <f t="shared" si="19"/>
        <v/>
      </c>
      <c r="AB96" t="str">
        <f t="array" ref="AB96">IF(OR(AA96 &lt;&gt;"", I96&lt;&gt;"",L96&lt;&gt;"",P96&lt;&gt;"",T96&lt;&gt;""), AND(EXACT(AC96:AG96,AC96)),"")</f>
        <v/>
      </c>
      <c r="AC96" s="203" t="str">
        <f t="shared" si="20"/>
        <v/>
      </c>
      <c r="AD96" s="203" t="str">
        <f t="shared" si="21"/>
        <v/>
      </c>
      <c r="AE96" s="203" t="str">
        <f t="shared" si="22"/>
        <v/>
      </c>
      <c r="AF96" s="203" t="str">
        <f t="shared" si="23"/>
        <v/>
      </c>
      <c r="AG96" s="203" t="str">
        <f t="shared" si="24"/>
        <v/>
      </c>
    </row>
    <row r="97" spans="1:33" x14ac:dyDescent="0.3">
      <c r="A97" s="214"/>
      <c r="B97" s="214"/>
      <c r="C97" s="214"/>
      <c r="D97" s="214"/>
      <c r="E97" s="214"/>
      <c r="F97" s="214"/>
      <c r="G97" s="214"/>
      <c r="H97" s="216"/>
      <c r="I97" s="215" t="str">
        <f t="shared" si="15"/>
        <v/>
      </c>
      <c r="J97" s="214"/>
      <c r="K97" s="217"/>
      <c r="L97" s="215" t="str">
        <f t="shared" si="16"/>
        <v/>
      </c>
      <c r="M97" s="214"/>
      <c r="N97" s="214"/>
      <c r="O97" s="217"/>
      <c r="P97" s="215" t="str">
        <f t="shared" si="17"/>
        <v/>
      </c>
      <c r="Q97" s="214"/>
      <c r="R97" s="214"/>
      <c r="S97" s="217"/>
      <c r="T97" s="215" t="str">
        <f t="shared" si="18"/>
        <v/>
      </c>
      <c r="U97" s="214"/>
      <c r="V97" s="214"/>
      <c r="W97" s="214"/>
      <c r="X97" s="214"/>
      <c r="Y97" s="214"/>
      <c r="Z97" s="217"/>
      <c r="AA97" s="128" t="str">
        <f t="shared" si="19"/>
        <v/>
      </c>
      <c r="AB97" t="str">
        <f t="array" ref="AB97">IF(OR(AA97 &lt;&gt;"", I97&lt;&gt;"",L97&lt;&gt;"",P97&lt;&gt;"",T97&lt;&gt;""), AND(EXACT(AC97:AG97,AC97)),"")</f>
        <v/>
      </c>
      <c r="AC97" s="203" t="str">
        <f t="shared" si="20"/>
        <v/>
      </c>
      <c r="AD97" s="203" t="str">
        <f t="shared" si="21"/>
        <v/>
      </c>
      <c r="AE97" s="203" t="str">
        <f t="shared" si="22"/>
        <v/>
      </c>
      <c r="AF97" s="203" t="str">
        <f t="shared" si="23"/>
        <v/>
      </c>
      <c r="AG97" s="203" t="str">
        <f t="shared" si="24"/>
        <v/>
      </c>
    </row>
    <row r="98" spans="1:33" x14ac:dyDescent="0.3">
      <c r="A98" s="214"/>
      <c r="B98" s="214"/>
      <c r="C98" s="214"/>
      <c r="D98" s="214"/>
      <c r="E98" s="214"/>
      <c r="F98" s="214"/>
      <c r="G98" s="214"/>
      <c r="H98" s="216"/>
      <c r="I98" s="215" t="str">
        <f t="shared" si="15"/>
        <v/>
      </c>
      <c r="J98" s="214"/>
      <c r="K98" s="217"/>
      <c r="L98" s="215" t="str">
        <f t="shared" si="16"/>
        <v/>
      </c>
      <c r="M98" s="214"/>
      <c r="N98" s="214"/>
      <c r="O98" s="217"/>
      <c r="P98" s="215" t="str">
        <f t="shared" si="17"/>
        <v/>
      </c>
      <c r="Q98" s="214"/>
      <c r="R98" s="214"/>
      <c r="S98" s="217"/>
      <c r="T98" s="215" t="str">
        <f t="shared" si="18"/>
        <v/>
      </c>
      <c r="U98" s="214"/>
      <c r="V98" s="214"/>
      <c r="W98" s="214"/>
      <c r="X98" s="214"/>
      <c r="Y98" s="214"/>
      <c r="Z98" s="217"/>
      <c r="AA98" s="128" t="str">
        <f t="shared" si="19"/>
        <v/>
      </c>
      <c r="AB98" t="str">
        <f t="array" ref="AB98">IF(OR(AA98 &lt;&gt;"", I98&lt;&gt;"",L98&lt;&gt;"",P98&lt;&gt;"",T98&lt;&gt;""), AND(EXACT(AC98:AG98,AC98)),"")</f>
        <v/>
      </c>
      <c r="AC98" s="203" t="str">
        <f t="shared" si="20"/>
        <v/>
      </c>
      <c r="AD98" s="203" t="str">
        <f t="shared" si="21"/>
        <v/>
      </c>
      <c r="AE98" s="203" t="str">
        <f t="shared" si="22"/>
        <v/>
      </c>
      <c r="AF98" s="203" t="str">
        <f t="shared" si="23"/>
        <v/>
      </c>
      <c r="AG98" s="203" t="str">
        <f t="shared" si="24"/>
        <v/>
      </c>
    </row>
    <row r="99" spans="1:33" x14ac:dyDescent="0.3">
      <c r="A99" s="214"/>
      <c r="B99" s="214"/>
      <c r="C99" s="214"/>
      <c r="D99" s="214"/>
      <c r="E99" s="214"/>
      <c r="F99" s="214"/>
      <c r="G99" s="214"/>
      <c r="H99" s="216"/>
      <c r="I99" s="215" t="str">
        <f t="shared" si="15"/>
        <v/>
      </c>
      <c r="J99" s="214"/>
      <c r="K99" s="217"/>
      <c r="L99" s="215" t="str">
        <f t="shared" si="16"/>
        <v/>
      </c>
      <c r="M99" s="214"/>
      <c r="N99" s="214"/>
      <c r="O99" s="217"/>
      <c r="P99" s="215" t="str">
        <f t="shared" si="17"/>
        <v/>
      </c>
      <c r="Q99" s="214"/>
      <c r="R99" s="214"/>
      <c r="S99" s="217"/>
      <c r="T99" s="215" t="str">
        <f t="shared" si="18"/>
        <v/>
      </c>
      <c r="U99" s="214"/>
      <c r="V99" s="214"/>
      <c r="W99" s="214"/>
      <c r="X99" s="214"/>
      <c r="Y99" s="214"/>
      <c r="Z99" s="217"/>
      <c r="AA99" s="128" t="str">
        <f t="shared" si="19"/>
        <v/>
      </c>
      <c r="AB99" t="str">
        <f t="array" ref="AB99">IF(OR(AA99 &lt;&gt;"", I99&lt;&gt;"",L99&lt;&gt;"",P99&lt;&gt;"",T99&lt;&gt;""), AND(EXACT(AC99:AG99,AC99)),"")</f>
        <v/>
      </c>
      <c r="AC99" s="203" t="str">
        <f t="shared" si="20"/>
        <v/>
      </c>
      <c r="AD99" s="203" t="str">
        <f t="shared" si="21"/>
        <v/>
      </c>
      <c r="AE99" s="203" t="str">
        <f t="shared" si="22"/>
        <v/>
      </c>
      <c r="AF99" s="203" t="str">
        <f t="shared" si="23"/>
        <v/>
      </c>
      <c r="AG99" s="203" t="str">
        <f t="shared" si="24"/>
        <v/>
      </c>
    </row>
    <row r="100" spans="1:33" x14ac:dyDescent="0.3">
      <c r="A100" s="214"/>
      <c r="B100" s="214"/>
      <c r="C100" s="214"/>
      <c r="D100" s="214"/>
      <c r="E100" s="214"/>
      <c r="F100" s="214"/>
      <c r="G100" s="214"/>
      <c r="H100" s="216"/>
      <c r="I100" s="215" t="str">
        <f t="shared" si="15"/>
        <v/>
      </c>
      <c r="J100" s="214"/>
      <c r="K100" s="217"/>
      <c r="L100" s="215" t="str">
        <f t="shared" si="16"/>
        <v/>
      </c>
      <c r="M100" s="214"/>
      <c r="N100" s="214"/>
      <c r="O100" s="217"/>
      <c r="P100" s="215" t="str">
        <f t="shared" si="17"/>
        <v/>
      </c>
      <c r="Q100" s="214"/>
      <c r="R100" s="214"/>
      <c r="S100" s="217"/>
      <c r="T100" s="215" t="str">
        <f t="shared" si="18"/>
        <v/>
      </c>
      <c r="U100" s="214"/>
      <c r="V100" s="214"/>
      <c r="W100" s="214"/>
      <c r="X100" s="214"/>
      <c r="Y100" s="214"/>
      <c r="Z100" s="217"/>
      <c r="AA100" s="128" t="str">
        <f t="shared" si="19"/>
        <v/>
      </c>
      <c r="AB100" t="str">
        <f t="array" ref="AB100">IF(OR(AA100 &lt;&gt;"", I100&lt;&gt;"",L100&lt;&gt;"",P100&lt;&gt;"",T100&lt;&gt;""), AND(EXACT(AC100:AG100,AC100)),"")</f>
        <v/>
      </c>
      <c r="AC100" s="203" t="str">
        <f t="shared" si="20"/>
        <v/>
      </c>
      <c r="AD100" s="203" t="str">
        <f t="shared" si="21"/>
        <v/>
      </c>
      <c r="AE100" s="203" t="str">
        <f t="shared" si="22"/>
        <v/>
      </c>
      <c r="AF100" s="203" t="str">
        <f t="shared" si="23"/>
        <v/>
      </c>
      <c r="AG100" s="203" t="str">
        <f t="shared" si="24"/>
        <v/>
      </c>
    </row>
    <row r="101" spans="1:33" x14ac:dyDescent="0.3">
      <c r="A101" s="214"/>
      <c r="B101" s="214"/>
      <c r="C101" s="214"/>
      <c r="D101" s="214"/>
      <c r="E101" s="214"/>
      <c r="F101" s="214"/>
      <c r="G101" s="214"/>
      <c r="H101" s="216"/>
      <c r="I101" s="215" t="str">
        <f t="shared" si="15"/>
        <v/>
      </c>
      <c r="J101" s="214"/>
      <c r="K101" s="217"/>
      <c r="L101" s="215" t="str">
        <f t="shared" si="16"/>
        <v/>
      </c>
      <c r="M101" s="214"/>
      <c r="N101" s="214"/>
      <c r="O101" s="217"/>
      <c r="P101" s="215" t="str">
        <f t="shared" si="17"/>
        <v/>
      </c>
      <c r="Q101" s="214"/>
      <c r="R101" s="214"/>
      <c r="S101" s="217"/>
      <c r="T101" s="215" t="str">
        <f t="shared" si="18"/>
        <v/>
      </c>
      <c r="U101" s="214"/>
      <c r="V101" s="214"/>
      <c r="W101" s="214"/>
      <c r="X101" s="214"/>
      <c r="Y101" s="214"/>
      <c r="Z101" s="217"/>
      <c r="AA101" s="128" t="str">
        <f t="shared" si="19"/>
        <v/>
      </c>
      <c r="AB101" t="str">
        <f t="array" ref="AB101">IF(OR(AA101 &lt;&gt;"", I101&lt;&gt;"",L101&lt;&gt;"",P101&lt;&gt;"",T101&lt;&gt;""), AND(EXACT(AC101:AG101,AC101)),"")</f>
        <v/>
      </c>
      <c r="AC101" s="203" t="str">
        <f t="shared" si="20"/>
        <v/>
      </c>
      <c r="AD101" s="203" t="str">
        <f t="shared" si="21"/>
        <v/>
      </c>
      <c r="AE101" s="203" t="str">
        <f t="shared" si="22"/>
        <v/>
      </c>
      <c r="AF101" s="203" t="str">
        <f t="shared" si="23"/>
        <v/>
      </c>
      <c r="AG101" s="203" t="str">
        <f t="shared" si="24"/>
        <v/>
      </c>
    </row>
    <row r="102" spans="1:33" x14ac:dyDescent="0.3">
      <c r="A102" s="214"/>
      <c r="B102" s="214"/>
      <c r="C102" s="214"/>
      <c r="D102" s="214"/>
      <c r="E102" s="214"/>
      <c r="F102" s="214"/>
      <c r="G102" s="214"/>
      <c r="H102" s="216"/>
      <c r="I102" s="215" t="str">
        <f t="shared" si="15"/>
        <v/>
      </c>
      <c r="J102" s="214"/>
      <c r="K102" s="217"/>
      <c r="L102" s="215" t="str">
        <f t="shared" si="16"/>
        <v/>
      </c>
      <c r="M102" s="214"/>
      <c r="N102" s="214"/>
      <c r="O102" s="217"/>
      <c r="P102" s="215" t="str">
        <f t="shared" si="17"/>
        <v/>
      </c>
      <c r="Q102" s="214"/>
      <c r="R102" s="214"/>
      <c r="S102" s="217"/>
      <c r="T102" s="215" t="str">
        <f t="shared" si="18"/>
        <v/>
      </c>
      <c r="U102" s="214"/>
      <c r="V102" s="214"/>
      <c r="W102" s="214"/>
      <c r="X102" s="214"/>
      <c r="Y102" s="214"/>
      <c r="Z102" s="217"/>
      <c r="AA102" s="128" t="str">
        <f t="shared" si="19"/>
        <v/>
      </c>
      <c r="AB102" t="str">
        <f t="array" ref="AB102">IF(OR(AA102 &lt;&gt;"", I102&lt;&gt;"",L102&lt;&gt;"",P102&lt;&gt;"",T102&lt;&gt;""), AND(EXACT(AC102:AG102,AC102)),"")</f>
        <v/>
      </c>
      <c r="AC102" s="203" t="str">
        <f t="shared" si="20"/>
        <v/>
      </c>
      <c r="AD102" s="203" t="str">
        <f t="shared" si="21"/>
        <v/>
      </c>
      <c r="AE102" s="203" t="str">
        <f t="shared" si="22"/>
        <v/>
      </c>
      <c r="AF102" s="203" t="str">
        <f t="shared" si="23"/>
        <v/>
      </c>
      <c r="AG102" s="203" t="str">
        <f t="shared" si="24"/>
        <v/>
      </c>
    </row>
    <row r="103" spans="1:33" x14ac:dyDescent="0.3">
      <c r="A103" s="214"/>
      <c r="B103" s="214"/>
      <c r="C103" s="214"/>
      <c r="D103" s="214"/>
      <c r="E103" s="214"/>
      <c r="F103" s="214"/>
      <c r="G103" s="214"/>
      <c r="H103" s="216"/>
      <c r="I103" s="215" t="str">
        <f t="shared" si="15"/>
        <v/>
      </c>
      <c r="J103" s="214"/>
      <c r="K103" s="217"/>
      <c r="L103" s="215" t="str">
        <f t="shared" si="16"/>
        <v/>
      </c>
      <c r="M103" s="214"/>
      <c r="N103" s="214"/>
      <c r="O103" s="217"/>
      <c r="P103" s="215" t="str">
        <f t="shared" si="17"/>
        <v/>
      </c>
      <c r="Q103" s="214"/>
      <c r="R103" s="214"/>
      <c r="S103" s="217"/>
      <c r="T103" s="215" t="str">
        <f t="shared" si="18"/>
        <v/>
      </c>
      <c r="U103" s="214"/>
      <c r="V103" s="214"/>
      <c r="W103" s="214"/>
      <c r="X103" s="214"/>
      <c r="Y103" s="214"/>
      <c r="Z103" s="217"/>
      <c r="AA103" s="128" t="str">
        <f t="shared" si="19"/>
        <v/>
      </c>
      <c r="AB103" t="str">
        <f t="array" ref="AB103">IF(OR(AA103 &lt;&gt;"", I103&lt;&gt;"",L103&lt;&gt;"",P103&lt;&gt;"",T103&lt;&gt;""), AND(EXACT(AC103:AG103,AC103)),"")</f>
        <v/>
      </c>
      <c r="AC103" s="203" t="str">
        <f t="shared" si="20"/>
        <v/>
      </c>
      <c r="AD103" s="203" t="str">
        <f t="shared" si="21"/>
        <v/>
      </c>
      <c r="AE103" s="203" t="str">
        <f t="shared" si="22"/>
        <v/>
      </c>
      <c r="AF103" s="203" t="str">
        <f t="shared" si="23"/>
        <v/>
      </c>
      <c r="AG103" s="203" t="str">
        <f t="shared" si="24"/>
        <v/>
      </c>
    </row>
    <row r="104" spans="1:33" x14ac:dyDescent="0.3">
      <c r="A104" s="214"/>
      <c r="B104" s="214"/>
      <c r="C104" s="214"/>
      <c r="D104" s="214"/>
      <c r="E104" s="214"/>
      <c r="F104" s="214"/>
      <c r="G104" s="214"/>
      <c r="H104" s="216"/>
      <c r="I104" s="215" t="str">
        <f t="shared" si="15"/>
        <v/>
      </c>
      <c r="J104" s="214"/>
      <c r="K104" s="217"/>
      <c r="L104" s="215" t="str">
        <f t="shared" si="16"/>
        <v/>
      </c>
      <c r="M104" s="214"/>
      <c r="N104" s="214"/>
      <c r="O104" s="217"/>
      <c r="P104" s="215" t="str">
        <f t="shared" si="17"/>
        <v/>
      </c>
      <c r="Q104" s="214"/>
      <c r="R104" s="214"/>
      <c r="S104" s="217"/>
      <c r="T104" s="215" t="str">
        <f t="shared" si="18"/>
        <v/>
      </c>
      <c r="U104" s="214"/>
      <c r="V104" s="214"/>
      <c r="W104" s="214"/>
      <c r="X104" s="214"/>
      <c r="Y104" s="214"/>
      <c r="Z104" s="217"/>
      <c r="AA104" s="128" t="str">
        <f t="shared" si="19"/>
        <v/>
      </c>
      <c r="AB104" t="str">
        <f t="array" ref="AB104">IF(OR(AA104 &lt;&gt;"", I104&lt;&gt;"",L104&lt;&gt;"",P104&lt;&gt;"",T104&lt;&gt;""), AND(EXACT(AC104:AG104,AC104)),"")</f>
        <v/>
      </c>
      <c r="AC104" s="203" t="str">
        <f t="shared" si="20"/>
        <v/>
      </c>
      <c r="AD104" s="203" t="str">
        <f t="shared" si="21"/>
        <v/>
      </c>
      <c r="AE104" s="203" t="str">
        <f t="shared" si="22"/>
        <v/>
      </c>
      <c r="AF104" s="203" t="str">
        <f t="shared" si="23"/>
        <v/>
      </c>
      <c r="AG104" s="203" t="str">
        <f t="shared" si="24"/>
        <v/>
      </c>
    </row>
    <row r="105" spans="1:33" x14ac:dyDescent="0.3">
      <c r="A105" s="214"/>
      <c r="B105" s="214"/>
      <c r="C105" s="214"/>
      <c r="D105" s="214"/>
      <c r="E105" s="214"/>
      <c r="F105" s="214"/>
      <c r="G105" s="214"/>
      <c r="H105" s="216"/>
      <c r="I105" s="215" t="str">
        <f t="shared" si="15"/>
        <v/>
      </c>
      <c r="J105" s="214"/>
      <c r="K105" s="217"/>
      <c r="L105" s="215" t="str">
        <f t="shared" si="16"/>
        <v/>
      </c>
      <c r="M105" s="214"/>
      <c r="N105" s="214"/>
      <c r="O105" s="217"/>
      <c r="P105" s="215" t="str">
        <f t="shared" si="17"/>
        <v/>
      </c>
      <c r="Q105" s="214"/>
      <c r="R105" s="214"/>
      <c r="S105" s="217"/>
      <c r="T105" s="215" t="str">
        <f t="shared" si="18"/>
        <v/>
      </c>
      <c r="U105" s="214"/>
      <c r="V105" s="214"/>
      <c r="W105" s="214"/>
      <c r="X105" s="214"/>
      <c r="Y105" s="214"/>
      <c r="Z105" s="217"/>
      <c r="AA105" s="128" t="str">
        <f t="shared" si="19"/>
        <v/>
      </c>
      <c r="AB105" t="str">
        <f t="array" ref="AB105">IF(OR(AA105 &lt;&gt;"", I105&lt;&gt;"",L105&lt;&gt;"",P105&lt;&gt;"",T105&lt;&gt;""), AND(EXACT(AC105:AG105,AC105)),"")</f>
        <v/>
      </c>
      <c r="AC105" s="203" t="str">
        <f t="shared" si="20"/>
        <v/>
      </c>
      <c r="AD105" s="203" t="str">
        <f t="shared" si="21"/>
        <v/>
      </c>
      <c r="AE105" s="203" t="str">
        <f t="shared" si="22"/>
        <v/>
      </c>
      <c r="AF105" s="203" t="str">
        <f t="shared" si="23"/>
        <v/>
      </c>
      <c r="AG105" s="203" t="str">
        <f t="shared" si="24"/>
        <v/>
      </c>
    </row>
    <row r="106" spans="1:33" x14ac:dyDescent="0.3">
      <c r="A106" s="214"/>
      <c r="B106" s="214"/>
      <c r="C106" s="214"/>
      <c r="D106" s="214"/>
      <c r="E106" s="214"/>
      <c r="F106" s="214"/>
      <c r="G106" s="214"/>
      <c r="H106" s="216"/>
      <c r="I106" s="215" t="str">
        <f t="shared" si="15"/>
        <v/>
      </c>
      <c r="J106" s="214"/>
      <c r="K106" s="217"/>
      <c r="L106" s="215" t="str">
        <f t="shared" si="16"/>
        <v/>
      </c>
      <c r="M106" s="214"/>
      <c r="N106" s="214"/>
      <c r="O106" s="217"/>
      <c r="P106" s="215" t="str">
        <f t="shared" si="17"/>
        <v/>
      </c>
      <c r="Q106" s="214"/>
      <c r="R106" s="214"/>
      <c r="S106" s="217"/>
      <c r="T106" s="215" t="str">
        <f t="shared" si="18"/>
        <v/>
      </c>
      <c r="U106" s="214"/>
      <c r="V106" s="214"/>
      <c r="W106" s="214"/>
      <c r="X106" s="214"/>
      <c r="Y106" s="214"/>
      <c r="Z106" s="217"/>
      <c r="AA106" s="128" t="str">
        <f t="shared" si="19"/>
        <v/>
      </c>
      <c r="AB106" t="str">
        <f t="array" ref="AB106">IF(OR(AA106 &lt;&gt;"", I106&lt;&gt;"",L106&lt;&gt;"",P106&lt;&gt;"",T106&lt;&gt;""), AND(EXACT(AC106:AG106,AC106)),"")</f>
        <v/>
      </c>
      <c r="AC106" s="203" t="str">
        <f t="shared" si="20"/>
        <v/>
      </c>
      <c r="AD106" s="203" t="str">
        <f t="shared" si="21"/>
        <v/>
      </c>
      <c r="AE106" s="203" t="str">
        <f t="shared" si="22"/>
        <v/>
      </c>
      <c r="AF106" s="203" t="str">
        <f t="shared" si="23"/>
        <v/>
      </c>
      <c r="AG106" s="203" t="str">
        <f t="shared" si="24"/>
        <v/>
      </c>
    </row>
    <row r="107" spans="1:33" x14ac:dyDescent="0.3">
      <c r="A107" s="214"/>
      <c r="B107" s="214"/>
      <c r="C107" s="214"/>
      <c r="D107" s="214"/>
      <c r="E107" s="214"/>
      <c r="F107" s="214"/>
      <c r="G107" s="214"/>
      <c r="H107" s="216"/>
      <c r="I107" s="215" t="str">
        <f t="shared" si="15"/>
        <v/>
      </c>
      <c r="J107" s="214"/>
      <c r="K107" s="217"/>
      <c r="L107" s="215" t="str">
        <f t="shared" si="16"/>
        <v/>
      </c>
      <c r="M107" s="214"/>
      <c r="N107" s="214"/>
      <c r="O107" s="217"/>
      <c r="P107" s="215" t="str">
        <f t="shared" si="17"/>
        <v/>
      </c>
      <c r="Q107" s="214"/>
      <c r="R107" s="214"/>
      <c r="S107" s="217"/>
      <c r="T107" s="215" t="str">
        <f t="shared" si="18"/>
        <v/>
      </c>
      <c r="U107" s="214"/>
      <c r="V107" s="214"/>
      <c r="W107" s="214"/>
      <c r="X107" s="214"/>
      <c r="Y107" s="214"/>
      <c r="Z107" s="217"/>
      <c r="AA107" s="128" t="str">
        <f t="shared" si="19"/>
        <v/>
      </c>
      <c r="AB107" t="str">
        <f t="array" ref="AB107">IF(OR(AA107 &lt;&gt;"", I107&lt;&gt;"",L107&lt;&gt;"",P107&lt;&gt;"",T107&lt;&gt;""), AND(EXACT(AC107:AG107,AC107)),"")</f>
        <v/>
      </c>
      <c r="AC107" s="203" t="str">
        <f t="shared" si="20"/>
        <v/>
      </c>
      <c r="AD107" s="203" t="str">
        <f t="shared" si="21"/>
        <v/>
      </c>
      <c r="AE107" s="203" t="str">
        <f t="shared" si="22"/>
        <v/>
      </c>
      <c r="AF107" s="203" t="str">
        <f t="shared" si="23"/>
        <v/>
      </c>
      <c r="AG107" s="203" t="str">
        <f t="shared" si="24"/>
        <v/>
      </c>
    </row>
    <row r="108" spans="1:33" x14ac:dyDescent="0.3">
      <c r="I108" s="165"/>
      <c r="J108" s="81"/>
      <c r="K108" s="81"/>
      <c r="L108" s="165"/>
      <c r="M108" s="81"/>
      <c r="N108" s="81"/>
      <c r="O108" s="81"/>
      <c r="P108" s="165"/>
      <c r="Q108" s="81"/>
      <c r="R108" s="81"/>
      <c r="S108" s="81"/>
      <c r="T108" s="165"/>
      <c r="U108" s="81"/>
      <c r="V108" s="81"/>
      <c r="W108" s="81"/>
      <c r="X108" s="81"/>
      <c r="Y108" s="81"/>
      <c r="Z108" s="81"/>
      <c r="AA108" s="165" t="s">
        <v>3906</v>
      </c>
      <c r="AB108" s="129">
        <f>COUNTIF(AB2:AB107,TRUE)</f>
        <v>0</v>
      </c>
    </row>
    <row r="109" spans="1:33" x14ac:dyDescent="0.3">
      <c r="I109" s="165"/>
      <c r="J109" s="81"/>
      <c r="K109" s="81"/>
      <c r="L109" s="165"/>
      <c r="M109" s="81"/>
      <c r="N109" s="81"/>
      <c r="O109" s="81"/>
      <c r="P109" s="165"/>
      <c r="Q109" s="81"/>
      <c r="R109" s="81"/>
      <c r="S109" s="81"/>
      <c r="T109" s="165"/>
      <c r="U109" s="81"/>
      <c r="V109" s="81"/>
      <c r="W109" s="81"/>
      <c r="X109" s="81"/>
      <c r="Y109" s="81"/>
      <c r="Z109" s="81"/>
      <c r="AA109" s="165" t="s">
        <v>3907</v>
      </c>
      <c r="AB109" s="129">
        <f>COUNTIF(AB2:AB107,FALSE)</f>
        <v>0</v>
      </c>
    </row>
    <row r="110" spans="1:33" x14ac:dyDescent="0.3">
      <c r="I110" s="130"/>
      <c r="J110" s="81"/>
      <c r="K110" s="81"/>
      <c r="L110" s="130"/>
      <c r="M110" s="81"/>
      <c r="N110" s="81"/>
      <c r="O110" s="81"/>
      <c r="P110" s="130"/>
      <c r="Q110" s="81"/>
      <c r="R110" s="81"/>
      <c r="S110" s="81"/>
      <c r="T110" s="130"/>
      <c r="U110" s="81"/>
      <c r="V110" s="81"/>
      <c r="W110" s="81"/>
      <c r="X110" s="81"/>
      <c r="Y110" s="81"/>
      <c r="Z110" s="81"/>
      <c r="AA110" s="130" t="s">
        <v>3908</v>
      </c>
      <c r="AB110" s="188" t="e">
        <f>(AB108/(AB108+AB109))</f>
        <v>#DIV/0!</v>
      </c>
    </row>
    <row r="111" spans="1:33" x14ac:dyDescent="0.3">
      <c r="AA111" t="s">
        <v>3905</v>
      </c>
      <c r="AB111" s="189">
        <f>SUM(AB108:AB109)</f>
        <v>0</v>
      </c>
    </row>
  </sheetData>
  <sheetProtection algorithmName="SHA-512" hashValue="fh9dt7BlyefplRYUe2q/TdXmcE8WUNevvvtJY7dHTk/wN/RzwyEci6AyOeuAEchTcpXgb8Wf1WlbWm1Fa337Qg==" saltValue="2WFwfG70b5sVMcC2DQUkRA=="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F14" sqref="F14"/>
    </sheetView>
  </sheetViews>
  <sheetFormatPr defaultRowHeight="14.4" x14ac:dyDescent="0.3"/>
  <cols>
    <col min="1" max="1" width="13.77734375" customWidth="1"/>
    <col min="2" max="2" width="16.33203125" customWidth="1"/>
    <col min="3" max="3" width="18" customWidth="1"/>
    <col min="4" max="4" width="25.77734375" customWidth="1"/>
  </cols>
  <sheetData>
    <row r="1" spans="1:4" ht="37.200000000000003" customHeight="1" x14ac:dyDescent="0.3">
      <c r="A1" s="228" t="s">
        <v>3836</v>
      </c>
      <c r="B1" s="228" t="s">
        <v>3952</v>
      </c>
      <c r="C1" s="228" t="s">
        <v>3953</v>
      </c>
      <c r="D1" s="228" t="s">
        <v>3954</v>
      </c>
    </row>
    <row r="2" spans="1:4" x14ac:dyDescent="0.3">
      <c r="A2" s="227"/>
      <c r="B2" s="227"/>
      <c r="C2" s="227"/>
      <c r="D2" s="229"/>
    </row>
    <row r="3" spans="1:4" x14ac:dyDescent="0.3">
      <c r="A3" s="227"/>
      <c r="B3" s="227"/>
      <c r="C3" s="227"/>
      <c r="D3" s="229"/>
    </row>
    <row r="4" spans="1:4" x14ac:dyDescent="0.3">
      <c r="A4" s="227"/>
      <c r="B4" s="227"/>
      <c r="C4" s="227"/>
      <c r="D4" s="229"/>
    </row>
    <row r="5" spans="1:4" x14ac:dyDescent="0.3">
      <c r="A5" s="227"/>
      <c r="B5" s="227"/>
      <c r="C5" s="227"/>
      <c r="D5" s="229"/>
    </row>
    <row r="6" spans="1:4" x14ac:dyDescent="0.3">
      <c r="A6" s="227"/>
      <c r="B6" s="227"/>
      <c r="C6" s="227"/>
      <c r="D6" s="229"/>
    </row>
    <row r="7" spans="1:4" x14ac:dyDescent="0.3">
      <c r="A7" s="227"/>
      <c r="B7" s="227"/>
      <c r="C7" s="227"/>
      <c r="D7" s="229"/>
    </row>
    <row r="8" spans="1:4" x14ac:dyDescent="0.3">
      <c r="A8" s="227"/>
      <c r="B8" s="227"/>
      <c r="C8" s="227"/>
      <c r="D8" s="229"/>
    </row>
    <row r="9" spans="1:4" x14ac:dyDescent="0.3">
      <c r="A9" s="227"/>
      <c r="B9" s="227"/>
      <c r="C9" s="227"/>
      <c r="D9" s="229"/>
    </row>
    <row r="10" spans="1:4" x14ac:dyDescent="0.3">
      <c r="A10" s="227"/>
      <c r="B10" s="227"/>
      <c r="C10" s="227"/>
      <c r="D10" s="229"/>
    </row>
    <row r="11" spans="1:4" x14ac:dyDescent="0.3">
      <c r="A11" s="227"/>
      <c r="B11" s="227"/>
      <c r="C11" s="227"/>
      <c r="D11" s="229"/>
    </row>
    <row r="12" spans="1:4" x14ac:dyDescent="0.3">
      <c r="A12" s="227"/>
      <c r="B12" s="227"/>
      <c r="C12" s="227"/>
      <c r="D12" s="229"/>
    </row>
    <row r="13" spans="1:4" x14ac:dyDescent="0.3">
      <c r="A13" s="227"/>
      <c r="B13" s="227"/>
      <c r="C13" s="227"/>
      <c r="D13" s="229"/>
    </row>
    <row r="14" spans="1:4" x14ac:dyDescent="0.3">
      <c r="A14" s="227"/>
      <c r="B14" s="227"/>
      <c r="C14" s="227"/>
      <c r="D14" s="229"/>
    </row>
    <row r="15" spans="1:4" x14ac:dyDescent="0.3">
      <c r="A15" s="227"/>
      <c r="B15" s="227"/>
      <c r="C15" s="227"/>
      <c r="D15" s="229"/>
    </row>
    <row r="16" spans="1:4" x14ac:dyDescent="0.3">
      <c r="A16" s="227"/>
      <c r="B16" s="227"/>
      <c r="C16" s="227"/>
      <c r="D16" s="229"/>
    </row>
    <row r="17" spans="1:4" x14ac:dyDescent="0.3">
      <c r="A17" s="227"/>
      <c r="B17" s="227"/>
      <c r="C17" s="227"/>
      <c r="D17" s="229"/>
    </row>
    <row r="18" spans="1:4" x14ac:dyDescent="0.3">
      <c r="A18" s="227"/>
      <c r="B18" s="227"/>
      <c r="C18" s="227"/>
      <c r="D18" s="229"/>
    </row>
    <row r="19" spans="1:4" x14ac:dyDescent="0.3">
      <c r="A19" s="227"/>
      <c r="B19" s="227"/>
      <c r="C19" s="227"/>
      <c r="D19" s="229"/>
    </row>
    <row r="20" spans="1:4" x14ac:dyDescent="0.3">
      <c r="A20" s="227"/>
      <c r="B20" s="227"/>
      <c r="C20" s="227"/>
      <c r="D20" s="229"/>
    </row>
    <row r="21" spans="1:4" x14ac:dyDescent="0.3">
      <c r="A21" s="227"/>
      <c r="B21" s="227"/>
      <c r="C21" s="227"/>
      <c r="D21" s="229"/>
    </row>
    <row r="22" spans="1:4" x14ac:dyDescent="0.3">
      <c r="A22" s="227"/>
      <c r="B22" s="227"/>
      <c r="C22" s="227"/>
      <c r="D22" s="229"/>
    </row>
    <row r="23" spans="1:4" x14ac:dyDescent="0.3">
      <c r="A23" s="227"/>
      <c r="B23" s="227"/>
      <c r="C23" s="227"/>
      <c r="D23" s="229"/>
    </row>
    <row r="24" spans="1:4" x14ac:dyDescent="0.3">
      <c r="A24" s="227"/>
      <c r="B24" s="227"/>
      <c r="C24" s="227"/>
      <c r="D24" s="229"/>
    </row>
    <row r="25" spans="1:4" x14ac:dyDescent="0.3">
      <c r="A25" s="227"/>
      <c r="B25" s="227"/>
      <c r="C25" s="227"/>
      <c r="D25" s="229"/>
    </row>
    <row r="26" spans="1:4" x14ac:dyDescent="0.3">
      <c r="A26" s="227"/>
      <c r="B26" s="227"/>
      <c r="C26" s="227"/>
      <c r="D26" s="229"/>
    </row>
    <row r="27" spans="1:4" x14ac:dyDescent="0.3">
      <c r="A27" s="227"/>
      <c r="B27" s="227"/>
      <c r="C27" s="227"/>
      <c r="D27" s="229"/>
    </row>
    <row r="28" spans="1:4" x14ac:dyDescent="0.3">
      <c r="A28" s="227"/>
      <c r="B28" s="227"/>
      <c r="C28" s="227"/>
      <c r="D28" s="229"/>
    </row>
    <row r="29" spans="1:4" x14ac:dyDescent="0.3">
      <c r="A29" s="227"/>
      <c r="B29" s="227"/>
      <c r="C29" s="227"/>
      <c r="D29" s="229"/>
    </row>
    <row r="30" spans="1:4" x14ac:dyDescent="0.3">
      <c r="A30" s="227"/>
      <c r="B30" s="227"/>
      <c r="C30" s="227"/>
      <c r="D30" s="229"/>
    </row>
    <row r="31" spans="1:4" x14ac:dyDescent="0.3">
      <c r="A31" s="227"/>
      <c r="B31" s="227"/>
      <c r="C31" s="227"/>
      <c r="D31" s="229"/>
    </row>
    <row r="32" spans="1:4" x14ac:dyDescent="0.3">
      <c r="A32" s="227"/>
      <c r="B32" s="227"/>
      <c r="C32" s="227"/>
      <c r="D32" s="229"/>
    </row>
    <row r="33" spans="1:4" x14ac:dyDescent="0.3">
      <c r="A33" s="227"/>
      <c r="B33" s="227"/>
      <c r="C33" s="227"/>
      <c r="D33" s="229"/>
    </row>
    <row r="34" spans="1:4" x14ac:dyDescent="0.3">
      <c r="A34" s="227"/>
      <c r="B34" s="227"/>
      <c r="C34" s="227"/>
      <c r="D34" s="229"/>
    </row>
    <row r="35" spans="1:4" x14ac:dyDescent="0.3">
      <c r="A35" s="227"/>
      <c r="B35" s="227"/>
      <c r="C35" s="227"/>
      <c r="D35" s="229"/>
    </row>
    <row r="36" spans="1:4" x14ac:dyDescent="0.3">
      <c r="A36" s="227"/>
      <c r="B36" s="227"/>
      <c r="C36" s="227"/>
      <c r="D36" s="229"/>
    </row>
    <row r="37" spans="1:4" x14ac:dyDescent="0.3">
      <c r="A37" s="227"/>
      <c r="B37" s="227"/>
      <c r="C37" s="227"/>
      <c r="D37" s="229"/>
    </row>
    <row r="38" spans="1:4" x14ac:dyDescent="0.3">
      <c r="A38" s="227"/>
      <c r="B38" s="227"/>
      <c r="C38" s="227"/>
      <c r="D38" s="229"/>
    </row>
    <row r="39" spans="1:4" x14ac:dyDescent="0.3">
      <c r="A39" s="227"/>
      <c r="B39" s="227"/>
      <c r="C39" s="227"/>
      <c r="D39" s="229"/>
    </row>
    <row r="40" spans="1:4" x14ac:dyDescent="0.3">
      <c r="A40" s="227"/>
      <c r="B40" s="227"/>
      <c r="C40" s="227"/>
      <c r="D40" s="229"/>
    </row>
    <row r="41" spans="1:4" x14ac:dyDescent="0.3">
      <c r="A41" s="227"/>
      <c r="B41" s="227"/>
      <c r="C41" s="227"/>
      <c r="D41" s="229"/>
    </row>
    <row r="42" spans="1:4" x14ac:dyDescent="0.3">
      <c r="A42" s="227"/>
      <c r="B42" s="227"/>
      <c r="C42" s="227"/>
      <c r="D42" s="229"/>
    </row>
    <row r="43" spans="1:4" x14ac:dyDescent="0.3">
      <c r="A43" s="227"/>
      <c r="B43" s="227"/>
      <c r="C43" s="227"/>
      <c r="D43" s="229"/>
    </row>
    <row r="44" spans="1:4" x14ac:dyDescent="0.3">
      <c r="A44" s="227"/>
      <c r="B44" s="227"/>
      <c r="C44" s="227"/>
      <c r="D44" s="229"/>
    </row>
    <row r="45" spans="1:4" x14ac:dyDescent="0.3">
      <c r="A45" s="227"/>
      <c r="B45" s="227"/>
      <c r="C45" s="227"/>
      <c r="D45" s="229"/>
    </row>
    <row r="46" spans="1:4" x14ac:dyDescent="0.3">
      <c r="A46" s="227"/>
      <c r="B46" s="227"/>
      <c r="C46" s="227"/>
      <c r="D46" s="229"/>
    </row>
    <row r="47" spans="1:4" x14ac:dyDescent="0.3">
      <c r="A47" s="227"/>
      <c r="B47" s="227"/>
      <c r="C47" s="227"/>
      <c r="D47" s="229"/>
    </row>
    <row r="48" spans="1:4" x14ac:dyDescent="0.3">
      <c r="A48" s="227"/>
      <c r="B48" s="227"/>
      <c r="C48" s="227"/>
      <c r="D48" s="229"/>
    </row>
    <row r="49" spans="1:4" x14ac:dyDescent="0.3">
      <c r="A49" s="227"/>
      <c r="B49" s="227"/>
      <c r="C49" s="227"/>
      <c r="D49" s="229"/>
    </row>
    <row r="50" spans="1:4" x14ac:dyDescent="0.3">
      <c r="A50" s="227"/>
      <c r="B50" s="227"/>
      <c r="C50" s="227"/>
      <c r="D50" s="229"/>
    </row>
    <row r="51" spans="1:4" x14ac:dyDescent="0.3">
      <c r="A51" s="227"/>
      <c r="B51" s="227"/>
      <c r="C51" s="227"/>
      <c r="D51" s="229"/>
    </row>
    <row r="52" spans="1:4" x14ac:dyDescent="0.3">
      <c r="A52" s="227"/>
      <c r="B52" s="227"/>
      <c r="C52" s="227"/>
      <c r="D52" s="229"/>
    </row>
    <row r="53" spans="1:4" x14ac:dyDescent="0.3">
      <c r="A53" s="227"/>
      <c r="B53" s="227"/>
      <c r="C53" s="227"/>
      <c r="D53" s="229"/>
    </row>
    <row r="54" spans="1:4" x14ac:dyDescent="0.3">
      <c r="A54" s="227"/>
      <c r="B54" s="227"/>
      <c r="C54" s="227"/>
      <c r="D54" s="229"/>
    </row>
    <row r="55" spans="1:4" x14ac:dyDescent="0.3">
      <c r="A55" s="227"/>
      <c r="B55" s="227"/>
      <c r="C55" s="227"/>
      <c r="D55" s="229"/>
    </row>
    <row r="56" spans="1:4" x14ac:dyDescent="0.3">
      <c r="A56" s="227"/>
      <c r="B56" s="227"/>
      <c r="C56" s="227"/>
      <c r="D56" s="229"/>
    </row>
    <row r="57" spans="1:4" x14ac:dyDescent="0.3">
      <c r="A57" s="227"/>
      <c r="B57" s="227"/>
      <c r="C57" s="227"/>
      <c r="D57" s="229"/>
    </row>
    <row r="58" spans="1:4" x14ac:dyDescent="0.3">
      <c r="A58" s="227"/>
      <c r="B58" s="227"/>
      <c r="C58" s="227"/>
      <c r="D58" s="229"/>
    </row>
    <row r="59" spans="1:4" x14ac:dyDescent="0.3">
      <c r="A59" s="227"/>
      <c r="B59" s="227"/>
      <c r="C59" s="227"/>
      <c r="D59" s="229"/>
    </row>
    <row r="60" spans="1:4" x14ac:dyDescent="0.3">
      <c r="A60" s="227"/>
      <c r="B60" s="227"/>
      <c r="C60" s="227"/>
      <c r="D60" s="229"/>
    </row>
    <row r="61" spans="1:4" x14ac:dyDescent="0.3">
      <c r="A61" s="227"/>
      <c r="B61" s="227"/>
      <c r="C61" s="227"/>
      <c r="D61" s="229"/>
    </row>
    <row r="62" spans="1:4" x14ac:dyDescent="0.3">
      <c r="A62" s="227"/>
      <c r="B62" s="227"/>
      <c r="C62" s="227"/>
      <c r="D62" s="229"/>
    </row>
    <row r="63" spans="1:4" x14ac:dyDescent="0.3">
      <c r="A63" s="227"/>
      <c r="B63" s="227"/>
      <c r="C63" s="227"/>
      <c r="D63" s="229"/>
    </row>
    <row r="64" spans="1:4" x14ac:dyDescent="0.3">
      <c r="A64" s="227"/>
      <c r="B64" s="227"/>
      <c r="C64" s="227"/>
      <c r="D64" s="229"/>
    </row>
    <row r="65" spans="1:4" x14ac:dyDescent="0.3">
      <c r="A65" s="227"/>
      <c r="B65" s="227"/>
      <c r="C65" s="227"/>
      <c r="D65" s="229"/>
    </row>
    <row r="66" spans="1:4" x14ac:dyDescent="0.3">
      <c r="A66" s="227"/>
      <c r="B66" s="227"/>
      <c r="C66" s="227"/>
      <c r="D66" s="229"/>
    </row>
    <row r="67" spans="1:4" x14ac:dyDescent="0.3">
      <c r="A67" s="227"/>
      <c r="B67" s="227"/>
      <c r="C67" s="227"/>
      <c r="D67" s="229"/>
    </row>
    <row r="68" spans="1:4" x14ac:dyDescent="0.3">
      <c r="A68" s="227"/>
      <c r="B68" s="227"/>
      <c r="C68" s="227"/>
      <c r="D68" s="229"/>
    </row>
    <row r="69" spans="1:4" x14ac:dyDescent="0.3">
      <c r="A69" s="227"/>
      <c r="B69" s="227"/>
      <c r="C69" s="227"/>
      <c r="D69" s="229"/>
    </row>
    <row r="70" spans="1:4" x14ac:dyDescent="0.3">
      <c r="A70" s="227"/>
      <c r="B70" s="227"/>
      <c r="C70" s="227"/>
      <c r="D70" s="229"/>
    </row>
    <row r="71" spans="1:4" x14ac:dyDescent="0.3">
      <c r="A71" s="227"/>
      <c r="B71" s="227"/>
      <c r="C71" s="227"/>
      <c r="D71" s="229"/>
    </row>
    <row r="72" spans="1:4" x14ac:dyDescent="0.3">
      <c r="A72" s="227"/>
      <c r="B72" s="227"/>
      <c r="C72" s="227"/>
      <c r="D72" s="229"/>
    </row>
    <row r="73" spans="1:4" x14ac:dyDescent="0.3">
      <c r="A73" s="227"/>
      <c r="B73" s="227"/>
      <c r="C73" s="227"/>
      <c r="D73" s="229"/>
    </row>
    <row r="74" spans="1:4" x14ac:dyDescent="0.3">
      <c r="A74" s="227"/>
      <c r="B74" s="227"/>
      <c r="C74" s="227"/>
      <c r="D74" s="229"/>
    </row>
    <row r="75" spans="1:4" x14ac:dyDescent="0.3">
      <c r="A75" s="227"/>
      <c r="B75" s="227"/>
      <c r="C75" s="227"/>
      <c r="D75" s="229"/>
    </row>
    <row r="76" spans="1:4" x14ac:dyDescent="0.3">
      <c r="A76" s="227"/>
      <c r="B76" s="227"/>
      <c r="C76" s="227"/>
      <c r="D76" s="229"/>
    </row>
    <row r="77" spans="1:4" x14ac:dyDescent="0.3">
      <c r="A77" s="227"/>
      <c r="B77" s="227"/>
      <c r="C77" s="227"/>
      <c r="D77" s="229"/>
    </row>
    <row r="78" spans="1:4" x14ac:dyDescent="0.3">
      <c r="A78" s="227"/>
      <c r="B78" s="227"/>
      <c r="C78" s="227"/>
      <c r="D78" s="229"/>
    </row>
    <row r="79" spans="1:4" x14ac:dyDescent="0.3">
      <c r="A79" s="227"/>
      <c r="B79" s="227"/>
      <c r="C79" s="227"/>
      <c r="D79" s="229"/>
    </row>
    <row r="80" spans="1:4" x14ac:dyDescent="0.3">
      <c r="A80" s="227"/>
      <c r="B80" s="227"/>
      <c r="C80" s="227"/>
      <c r="D80" s="229"/>
    </row>
    <row r="81" spans="1:4" x14ac:dyDescent="0.3">
      <c r="A81" s="227"/>
      <c r="B81" s="227"/>
      <c r="C81" s="227"/>
      <c r="D81" s="229"/>
    </row>
    <row r="82" spans="1:4" x14ac:dyDescent="0.3">
      <c r="A82" s="227"/>
      <c r="B82" s="227"/>
      <c r="C82" s="227"/>
      <c r="D82" s="229"/>
    </row>
    <row r="83" spans="1:4" x14ac:dyDescent="0.3">
      <c r="A83" s="227"/>
      <c r="B83" s="227"/>
      <c r="C83" s="227"/>
      <c r="D83" s="229"/>
    </row>
    <row r="84" spans="1:4" x14ac:dyDescent="0.3">
      <c r="A84" s="227"/>
      <c r="B84" s="227"/>
      <c r="C84" s="227"/>
      <c r="D84" s="229"/>
    </row>
    <row r="85" spans="1:4" x14ac:dyDescent="0.3">
      <c r="A85" s="227"/>
      <c r="B85" s="227"/>
      <c r="C85" s="227"/>
      <c r="D85" s="229"/>
    </row>
    <row r="86" spans="1:4" x14ac:dyDescent="0.3">
      <c r="A86" s="227"/>
      <c r="B86" s="227"/>
      <c r="C86" s="227"/>
      <c r="D86" s="229"/>
    </row>
    <row r="87" spans="1:4" x14ac:dyDescent="0.3">
      <c r="A87" s="227"/>
      <c r="B87" s="227"/>
      <c r="C87" s="227"/>
      <c r="D87" s="229"/>
    </row>
    <row r="88" spans="1:4" x14ac:dyDescent="0.3">
      <c r="A88" s="227"/>
      <c r="B88" s="227"/>
      <c r="C88" s="227"/>
      <c r="D88" s="229"/>
    </row>
    <row r="89" spans="1:4" x14ac:dyDescent="0.3">
      <c r="A89" s="227"/>
      <c r="B89" s="227"/>
      <c r="C89" s="227"/>
      <c r="D89" s="229"/>
    </row>
    <row r="90" spans="1:4" x14ac:dyDescent="0.3">
      <c r="A90" s="227"/>
      <c r="B90" s="227"/>
      <c r="C90" s="227"/>
      <c r="D90" s="229"/>
    </row>
    <row r="91" spans="1:4" x14ac:dyDescent="0.3">
      <c r="A91" s="227"/>
      <c r="B91" s="227"/>
      <c r="C91" s="227"/>
      <c r="D91" s="229"/>
    </row>
    <row r="92" spans="1:4" x14ac:dyDescent="0.3">
      <c r="A92" s="227"/>
      <c r="B92" s="227"/>
      <c r="C92" s="227"/>
      <c r="D92" s="229"/>
    </row>
    <row r="93" spans="1:4" x14ac:dyDescent="0.3">
      <c r="A93" s="227"/>
      <c r="B93" s="227"/>
      <c r="C93" s="227"/>
      <c r="D93" s="229"/>
    </row>
    <row r="94" spans="1:4" x14ac:dyDescent="0.3">
      <c r="A94" s="227"/>
      <c r="B94" s="227"/>
      <c r="C94" s="227"/>
      <c r="D94" s="229"/>
    </row>
    <row r="95" spans="1:4" x14ac:dyDescent="0.3">
      <c r="A95" s="227"/>
      <c r="B95" s="227"/>
      <c r="C95" s="227"/>
      <c r="D95" s="229"/>
    </row>
    <row r="96" spans="1:4" x14ac:dyDescent="0.3">
      <c r="A96" s="227"/>
      <c r="B96" s="227"/>
      <c r="C96" s="227"/>
      <c r="D96" s="229"/>
    </row>
    <row r="97" spans="1:4" x14ac:dyDescent="0.3">
      <c r="A97" s="227"/>
      <c r="B97" s="227"/>
      <c r="C97" s="227"/>
      <c r="D97" s="229"/>
    </row>
    <row r="98" spans="1:4" x14ac:dyDescent="0.3">
      <c r="A98" s="227"/>
      <c r="B98" s="227"/>
      <c r="C98" s="227"/>
      <c r="D98" s="229"/>
    </row>
    <row r="99" spans="1:4" x14ac:dyDescent="0.3">
      <c r="A99" s="227"/>
      <c r="B99" s="227"/>
      <c r="C99" s="227"/>
      <c r="D99" s="229"/>
    </row>
    <row r="100" spans="1:4" x14ac:dyDescent="0.3">
      <c r="A100" s="227"/>
      <c r="B100" s="227"/>
      <c r="C100" s="227"/>
      <c r="D100" s="229"/>
    </row>
    <row r="101" spans="1:4" x14ac:dyDescent="0.3">
      <c r="A101" s="227"/>
      <c r="B101" s="227"/>
      <c r="C101" s="227"/>
      <c r="D101" s="229"/>
    </row>
    <row r="102" spans="1:4" x14ac:dyDescent="0.3">
      <c r="A102" s="227"/>
      <c r="B102" s="227"/>
      <c r="C102" s="227"/>
      <c r="D102" s="229"/>
    </row>
    <row r="103" spans="1:4" x14ac:dyDescent="0.3">
      <c r="A103" s="227"/>
      <c r="B103" s="227"/>
      <c r="C103" s="227"/>
      <c r="D103" s="229"/>
    </row>
    <row r="104" spans="1:4" x14ac:dyDescent="0.3">
      <c r="A104" s="227"/>
      <c r="B104" s="227"/>
      <c r="C104" s="227"/>
      <c r="D104" s="229"/>
    </row>
    <row r="105" spans="1:4" x14ac:dyDescent="0.3">
      <c r="A105" s="227"/>
      <c r="B105" s="227"/>
      <c r="C105" s="227"/>
      <c r="D105" s="229"/>
    </row>
    <row r="106" spans="1:4" x14ac:dyDescent="0.3">
      <c r="A106" s="227"/>
      <c r="B106" s="227"/>
      <c r="C106" s="227"/>
      <c r="D106" s="229"/>
    </row>
    <row r="107" spans="1:4" x14ac:dyDescent="0.3">
      <c r="A107" s="227"/>
      <c r="B107" s="227"/>
      <c r="C107" s="227"/>
      <c r="D107" s="229"/>
    </row>
    <row r="108" spans="1:4" x14ac:dyDescent="0.3">
      <c r="A108" s="227"/>
      <c r="B108" s="227"/>
      <c r="C108" s="227"/>
      <c r="D108" s="229"/>
    </row>
    <row r="109" spans="1:4" hidden="1" x14ac:dyDescent="0.3">
      <c r="C109" t="s">
        <v>3955</v>
      </c>
      <c r="D109">
        <f>COUNTIF(D2:D108, "Active")</f>
        <v>0</v>
      </c>
    </row>
    <row r="110" spans="1:4" hidden="1" x14ac:dyDescent="0.3">
      <c r="C110" t="s">
        <v>3905</v>
      </c>
      <c r="D11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r:id="rId1"/>
  <rowBreaks count="2" manualBreakCount="2">
    <brk id="45" max="3" man="1"/>
    <brk id="108" max="16383"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style="59" customWidth="1"/>
    <col min="2" max="2" width="17.44140625" style="66" customWidth="1"/>
    <col min="3" max="3" width="10.109375" style="67" customWidth="1"/>
    <col min="4" max="4" width="20.44140625" style="66" customWidth="1"/>
    <col min="5" max="5" width="17.88671875" style="66" customWidth="1"/>
    <col min="6" max="6" width="29.5546875" style="66" customWidth="1"/>
    <col min="7" max="7" width="14.33203125" style="59" customWidth="1"/>
    <col min="8" max="8" width="14" style="59" customWidth="1"/>
    <col min="9" max="9" width="16.6640625" style="59" customWidth="1"/>
    <col min="10" max="10" width="11.88671875" style="59" customWidth="1"/>
    <col min="11" max="11" width="23.44140625" style="59" customWidth="1"/>
    <col min="12" max="12" width="17.88671875" style="59" customWidth="1"/>
    <col min="13" max="13" width="16.6640625" style="59" customWidth="1"/>
    <col min="14" max="14" width="17.33203125" style="59" customWidth="1"/>
    <col min="15" max="16" width="16" style="59" customWidth="1"/>
    <col min="17" max="17" width="22.33203125" style="59" customWidth="1"/>
    <col min="18" max="23" width="16" style="59" customWidth="1"/>
    <col min="24" max="24" width="16.44140625" style="59" customWidth="1"/>
    <col min="25" max="16384" width="8.88671875" style="59"/>
  </cols>
  <sheetData>
    <row r="1" spans="1:26" ht="40.200000000000003" customHeight="1" x14ac:dyDescent="0.3">
      <c r="A1" s="95"/>
      <c r="B1" s="103"/>
      <c r="C1" s="102"/>
      <c r="D1" s="103"/>
      <c r="E1" s="103"/>
      <c r="F1" s="103"/>
      <c r="G1" s="95"/>
      <c r="H1" s="95"/>
      <c r="I1" s="95"/>
      <c r="J1" s="95"/>
      <c r="K1" s="95"/>
      <c r="L1" s="95"/>
      <c r="M1" s="193"/>
    </row>
    <row r="2" spans="1:26" ht="25.2" customHeight="1" x14ac:dyDescent="0.3">
      <c r="A2" s="95"/>
      <c r="B2" s="334" t="s">
        <v>130</v>
      </c>
      <c r="C2" s="335"/>
      <c r="D2" s="336" t="s">
        <v>2657</v>
      </c>
      <c r="E2" s="337"/>
      <c r="F2" s="337"/>
      <c r="G2" s="95"/>
      <c r="H2" s="95"/>
      <c r="I2" s="95"/>
      <c r="J2" s="95"/>
      <c r="K2" s="95"/>
      <c r="L2" s="95"/>
      <c r="M2" s="193"/>
    </row>
    <row r="3" spans="1:26" ht="24" customHeight="1" x14ac:dyDescent="0.3">
      <c r="A3" s="95"/>
      <c r="B3" s="338" t="s">
        <v>1</v>
      </c>
      <c r="C3" s="339"/>
      <c r="D3" s="332" t="s">
        <v>151</v>
      </c>
      <c r="E3" s="333"/>
      <c r="F3" s="333"/>
      <c r="G3" s="95"/>
      <c r="H3" s="95"/>
      <c r="I3" s="95"/>
      <c r="J3" s="95"/>
      <c r="K3" s="95"/>
      <c r="L3" s="95"/>
      <c r="M3" s="193"/>
    </row>
    <row r="4" spans="1:26" ht="23.4" customHeight="1" x14ac:dyDescent="0.3">
      <c r="A4" s="95"/>
      <c r="B4" s="338" t="s">
        <v>3</v>
      </c>
      <c r="C4" s="339"/>
      <c r="D4" s="332" t="s">
        <v>667</v>
      </c>
      <c r="E4" s="333"/>
      <c r="F4" s="333"/>
      <c r="G4" s="95"/>
      <c r="H4" s="95"/>
      <c r="I4" s="95"/>
      <c r="J4" s="95"/>
      <c r="K4" s="95"/>
      <c r="L4" s="95"/>
      <c r="M4" s="193"/>
    </row>
    <row r="5" spans="1:26" ht="22.2" customHeight="1" x14ac:dyDescent="0.3">
      <c r="A5" s="95"/>
      <c r="B5" s="330" t="s">
        <v>132</v>
      </c>
      <c r="C5" s="331"/>
      <c r="D5" s="332" t="s">
        <v>3922</v>
      </c>
      <c r="E5" s="333"/>
      <c r="F5" s="333"/>
      <c r="G5" s="95"/>
      <c r="H5" s="95"/>
      <c r="I5" s="95"/>
      <c r="J5" s="95"/>
      <c r="K5" s="95"/>
      <c r="L5" s="95"/>
      <c r="M5" s="193"/>
    </row>
    <row r="6" spans="1:26" ht="40.200000000000003" customHeight="1" x14ac:dyDescent="0.3">
      <c r="A6" s="95"/>
      <c r="B6" s="101" t="s">
        <v>3766</v>
      </c>
      <c r="C6" s="102"/>
      <c r="D6" s="103"/>
      <c r="E6" s="95"/>
      <c r="F6" s="95"/>
      <c r="G6" s="95"/>
      <c r="H6" s="95"/>
      <c r="I6" s="95"/>
      <c r="J6" s="95"/>
      <c r="K6" s="95"/>
      <c r="L6" s="95"/>
      <c r="M6" s="193"/>
      <c r="X6" s="95"/>
      <c r="Y6" s="95"/>
    </row>
    <row r="7" spans="1:26" ht="40.200000000000003" customHeight="1" x14ac:dyDescent="0.3">
      <c r="A7" s="95"/>
      <c r="B7" s="82" t="s">
        <v>3772</v>
      </c>
      <c r="C7" s="320" t="s">
        <v>3767</v>
      </c>
      <c r="D7" s="321"/>
      <c r="E7" s="321"/>
      <c r="F7" s="321"/>
      <c r="G7" s="321"/>
      <c r="H7" s="322"/>
      <c r="I7" s="83" t="s">
        <v>3773</v>
      </c>
      <c r="J7" s="95"/>
      <c r="K7" s="328" t="s">
        <v>3909</v>
      </c>
      <c r="L7" s="329"/>
      <c r="M7" s="193"/>
      <c r="N7" s="193"/>
      <c r="O7" s="193"/>
      <c r="P7" s="193"/>
      <c r="Q7" s="95"/>
      <c r="R7" s="95"/>
      <c r="S7" s="95"/>
      <c r="T7" s="95"/>
      <c r="U7" s="95"/>
    </row>
    <row r="8" spans="1:26" ht="40.200000000000003" customHeight="1" x14ac:dyDescent="0.3">
      <c r="A8" s="95"/>
      <c r="B8" s="194"/>
      <c r="C8" s="327" t="s">
        <v>3910</v>
      </c>
      <c r="D8" s="327"/>
      <c r="E8" s="327"/>
      <c r="F8" s="327"/>
      <c r="G8" s="327"/>
      <c r="H8" s="327"/>
      <c r="I8" s="202"/>
      <c r="J8" s="95"/>
      <c r="K8" s="164" t="s">
        <v>3938</v>
      </c>
      <c r="L8" s="200">
        <f>I8</f>
        <v>0</v>
      </c>
      <c r="M8" s="95"/>
      <c r="N8" s="95"/>
      <c r="O8" s="95"/>
      <c r="P8" s="95"/>
      <c r="Q8" s="95"/>
      <c r="R8" s="95"/>
      <c r="S8" s="95"/>
      <c r="T8" s="95"/>
      <c r="U8" s="95"/>
      <c r="V8" s="95"/>
    </row>
    <row r="9" spans="1:26" ht="30" customHeight="1" x14ac:dyDescent="0.3">
      <c r="A9" s="95"/>
      <c r="B9" s="194"/>
      <c r="C9" s="317" t="s">
        <v>3956</v>
      </c>
      <c r="D9" s="318"/>
      <c r="E9" s="318"/>
      <c r="F9" s="318"/>
      <c r="G9" s="318"/>
      <c r="H9" s="319"/>
      <c r="I9" s="211" t="s">
        <v>3937</v>
      </c>
      <c r="J9" s="95"/>
      <c r="K9" s="164" t="s">
        <v>3897</v>
      </c>
      <c r="L9" s="200">
        <f>SUM(G10:I12)</f>
        <v>0</v>
      </c>
      <c r="M9" s="95"/>
      <c r="N9" s="95"/>
      <c r="O9" s="95"/>
      <c r="P9" s="95"/>
      <c r="Q9" s="95"/>
      <c r="R9" s="95"/>
      <c r="S9" s="95"/>
      <c r="T9" s="95"/>
      <c r="U9" s="95"/>
      <c r="V9" s="95"/>
    </row>
    <row r="10" spans="1:26" ht="40.200000000000003" customHeight="1" x14ac:dyDescent="0.3">
      <c r="A10" s="95"/>
      <c r="B10" s="85">
        <v>221</v>
      </c>
      <c r="C10" s="324" t="s">
        <v>3911</v>
      </c>
      <c r="D10" s="325"/>
      <c r="E10" s="325"/>
      <c r="F10" s="325"/>
      <c r="G10" s="325"/>
      <c r="H10" s="326"/>
      <c r="I10" s="195"/>
      <c r="J10" s="95"/>
      <c r="K10" s="164" t="s">
        <v>3900</v>
      </c>
      <c r="L10" s="201">
        <f>IFERROR(L9/L8,0)</f>
        <v>0</v>
      </c>
      <c r="M10" s="95"/>
      <c r="N10" s="95"/>
      <c r="O10" s="95"/>
      <c r="P10" s="95"/>
      <c r="Q10" s="95"/>
      <c r="R10" s="95"/>
      <c r="S10" s="95"/>
      <c r="T10" s="95"/>
      <c r="U10" s="95"/>
      <c r="V10" s="95"/>
    </row>
    <row r="11" spans="1:26" ht="49.2" customHeight="1" x14ac:dyDescent="0.3">
      <c r="A11" s="95"/>
      <c r="B11" s="85">
        <v>222</v>
      </c>
      <c r="C11" s="324" t="s">
        <v>3912</v>
      </c>
      <c r="D11" s="325"/>
      <c r="E11" s="325"/>
      <c r="F11" s="325"/>
      <c r="G11" s="325"/>
      <c r="H11" s="326"/>
      <c r="I11" s="195"/>
      <c r="J11" s="95"/>
      <c r="K11" s="163"/>
      <c r="L11" s="163"/>
      <c r="M11" s="163"/>
      <c r="N11" s="163"/>
      <c r="O11" s="95"/>
      <c r="P11" s="95"/>
      <c r="Q11" s="95"/>
      <c r="R11" s="95"/>
      <c r="S11" s="95"/>
      <c r="T11" s="95"/>
      <c r="U11" s="95"/>
      <c r="V11" s="95"/>
      <c r="W11" s="95"/>
      <c r="X11" s="95"/>
      <c r="Y11" s="95"/>
      <c r="Z11" s="95"/>
    </row>
    <row r="12" spans="1:26" ht="45.6" customHeight="1" x14ac:dyDescent="0.35">
      <c r="A12" s="95"/>
      <c r="B12" s="85">
        <v>223</v>
      </c>
      <c r="C12" s="324" t="s">
        <v>3913</v>
      </c>
      <c r="D12" s="325"/>
      <c r="E12" s="325"/>
      <c r="F12" s="325"/>
      <c r="G12" s="325"/>
      <c r="H12" s="326"/>
      <c r="I12" s="195"/>
      <c r="J12" s="95"/>
      <c r="K12" s="196"/>
      <c r="L12" s="302"/>
      <c r="M12" s="302"/>
      <c r="N12" s="95"/>
      <c r="O12" s="95"/>
      <c r="P12" s="95"/>
      <c r="Q12" s="95"/>
      <c r="R12" s="95"/>
      <c r="S12" s="95"/>
      <c r="T12" s="95"/>
      <c r="U12" s="95"/>
      <c r="V12" s="95"/>
      <c r="W12" s="95"/>
      <c r="X12" s="95"/>
      <c r="Y12" s="95"/>
    </row>
    <row r="13" spans="1:26" ht="21.6" customHeight="1" x14ac:dyDescent="0.3">
      <c r="A13" s="95"/>
      <c r="B13" s="95"/>
      <c r="C13" s="323"/>
      <c r="D13" s="323"/>
      <c r="E13" s="323"/>
      <c r="F13" s="323"/>
      <c r="G13" s="198"/>
      <c r="H13" s="95"/>
      <c r="I13" s="95"/>
      <c r="J13" s="95"/>
      <c r="K13" s="197"/>
      <c r="L13" s="302"/>
      <c r="M13" s="302"/>
      <c r="N13" s="95"/>
      <c r="O13" s="95"/>
      <c r="P13" s="95"/>
      <c r="Q13" s="95"/>
      <c r="R13" s="95"/>
      <c r="S13" s="95"/>
      <c r="T13" s="95"/>
      <c r="U13" s="95"/>
      <c r="V13" s="95"/>
      <c r="W13" s="95"/>
      <c r="X13" s="95"/>
      <c r="Y13" s="95"/>
    </row>
    <row r="14" spans="1:26" ht="50.4" customHeight="1" x14ac:dyDescent="0.3">
      <c r="A14" s="95"/>
      <c r="B14" s="95"/>
      <c r="C14" s="323"/>
      <c r="D14" s="323"/>
      <c r="E14" s="323"/>
      <c r="F14" s="323"/>
      <c r="G14" s="198"/>
      <c r="H14" s="95"/>
      <c r="I14" s="95"/>
      <c r="J14" s="95"/>
      <c r="K14" s="95"/>
      <c r="L14" s="95"/>
      <c r="M14" s="95"/>
      <c r="N14" s="95"/>
      <c r="O14" s="95"/>
      <c r="P14" s="95"/>
      <c r="Q14" s="95"/>
      <c r="R14" s="95"/>
      <c r="S14" s="95"/>
      <c r="T14" s="95"/>
      <c r="U14" s="95"/>
      <c r="V14" s="95"/>
      <c r="W14" s="95"/>
      <c r="X14" s="95"/>
      <c r="Y14" s="95"/>
    </row>
    <row r="15" spans="1:26" ht="48.6" customHeight="1" x14ac:dyDescent="0.3">
      <c r="A15" s="95"/>
      <c r="B15" s="95"/>
      <c r="C15" s="95"/>
      <c r="D15" s="95"/>
      <c r="E15" s="95"/>
      <c r="F15" s="95"/>
      <c r="G15" s="199"/>
      <c r="H15" s="95"/>
      <c r="I15" s="95"/>
      <c r="J15" s="95"/>
      <c r="K15" s="95"/>
      <c r="L15" s="95"/>
      <c r="M15" s="95"/>
      <c r="N15" s="95"/>
      <c r="O15" s="95"/>
      <c r="P15" s="95"/>
      <c r="Q15" s="95"/>
      <c r="R15" s="95"/>
      <c r="S15" s="95"/>
      <c r="T15" s="95"/>
      <c r="U15" s="95"/>
      <c r="V15" s="95"/>
      <c r="W15" s="95"/>
      <c r="X15" s="95"/>
      <c r="Y15" s="95"/>
    </row>
    <row r="16" spans="1:26" ht="48.6" customHeight="1" x14ac:dyDescent="0.3">
      <c r="A16" s="95"/>
      <c r="B16" s="95"/>
      <c r="C16" s="95"/>
      <c r="D16" s="95"/>
      <c r="E16" s="95"/>
      <c r="F16" s="95"/>
      <c r="G16" s="199"/>
      <c r="H16" s="95"/>
      <c r="I16" s="95"/>
      <c r="J16" s="95"/>
      <c r="K16" s="95"/>
      <c r="L16" s="95"/>
      <c r="M16" s="95"/>
      <c r="N16" s="95"/>
      <c r="O16" s="95"/>
      <c r="P16" s="95"/>
      <c r="Q16" s="95"/>
      <c r="R16" s="95"/>
      <c r="S16" s="95"/>
      <c r="T16" s="95"/>
      <c r="U16" s="95"/>
      <c r="V16" s="95"/>
      <c r="W16" s="95"/>
      <c r="X16" s="95"/>
      <c r="Y16" s="95"/>
    </row>
    <row r="17" spans="1:25" ht="40.200000000000003" customHeight="1" x14ac:dyDescent="0.3">
      <c r="A17" s="95"/>
      <c r="B17" s="95"/>
      <c r="C17" s="95"/>
      <c r="D17" s="95"/>
      <c r="E17" s="95"/>
      <c r="F17" s="95"/>
      <c r="G17" s="199"/>
      <c r="H17" s="95"/>
      <c r="I17" s="95"/>
      <c r="J17" s="95"/>
      <c r="K17" s="95"/>
      <c r="L17" s="95"/>
      <c r="M17" s="95"/>
      <c r="N17" s="95"/>
      <c r="O17" s="95"/>
      <c r="P17" s="95"/>
      <c r="Q17" s="95"/>
      <c r="R17" s="95"/>
      <c r="S17" s="95"/>
      <c r="T17" s="95"/>
      <c r="U17" s="95"/>
      <c r="V17" s="95"/>
      <c r="W17" s="95"/>
      <c r="X17" s="95"/>
      <c r="Y17" s="95"/>
    </row>
    <row r="18" spans="1:25" ht="47.4" customHeight="1" x14ac:dyDescent="0.3">
      <c r="A18" s="95"/>
      <c r="B18" s="95"/>
      <c r="C18" s="95"/>
      <c r="D18" s="95"/>
      <c r="E18" s="95"/>
      <c r="F18" s="95"/>
      <c r="G18" s="199"/>
      <c r="H18" s="95"/>
      <c r="I18" s="95"/>
      <c r="J18" s="95"/>
      <c r="K18" s="95"/>
      <c r="L18" s="95"/>
      <c r="M18" s="95"/>
      <c r="N18" s="95"/>
      <c r="O18" s="95"/>
      <c r="P18" s="95"/>
      <c r="Q18" s="95"/>
      <c r="R18" s="95"/>
      <c r="S18" s="95"/>
      <c r="T18" s="95"/>
      <c r="U18" s="95"/>
      <c r="V18" s="95"/>
      <c r="W18" s="95"/>
      <c r="X18" s="95"/>
      <c r="Y18" s="95"/>
    </row>
    <row r="19" spans="1:25" ht="40.200000000000003" customHeight="1" x14ac:dyDescent="0.3">
      <c r="A19" s="95"/>
      <c r="B19" s="95"/>
      <c r="C19" s="95"/>
      <c r="D19" s="95"/>
      <c r="E19" s="95"/>
      <c r="F19" s="95"/>
      <c r="G19" s="199"/>
      <c r="H19" s="95"/>
      <c r="I19" s="95"/>
      <c r="J19" s="163"/>
      <c r="K19" s="95"/>
      <c r="L19" s="95"/>
      <c r="M19" s="95"/>
      <c r="N19" s="95"/>
      <c r="O19" s="95"/>
      <c r="P19" s="95"/>
      <c r="Q19" s="95"/>
      <c r="R19" s="95"/>
      <c r="S19" s="95"/>
      <c r="T19" s="95"/>
      <c r="U19" s="95"/>
      <c r="V19" s="95"/>
      <c r="W19" s="95"/>
      <c r="X19" s="95"/>
      <c r="Y19" s="95"/>
    </row>
    <row r="20" spans="1:25" ht="40.200000000000003" customHeight="1" x14ac:dyDescent="0.3">
      <c r="A20" s="100"/>
      <c r="B20" s="95"/>
      <c r="C20" s="95"/>
      <c r="D20" s="95"/>
      <c r="E20" s="95"/>
      <c r="F20" s="95"/>
      <c r="G20" s="199"/>
      <c r="H20" s="95"/>
      <c r="I20" s="95"/>
      <c r="J20" s="95"/>
      <c r="K20" s="95"/>
      <c r="L20" s="95"/>
      <c r="M20" s="95"/>
      <c r="N20" s="95"/>
      <c r="O20" s="95"/>
      <c r="P20" s="95"/>
      <c r="Q20" s="95"/>
      <c r="R20" s="95"/>
      <c r="S20" s="95"/>
      <c r="T20" s="95"/>
      <c r="U20" s="95"/>
      <c r="V20" s="95"/>
      <c r="W20" s="95"/>
      <c r="X20" s="95"/>
      <c r="Y20" s="95"/>
    </row>
    <row r="21" spans="1:25" ht="40.200000000000003" customHeight="1" x14ac:dyDescent="0.3">
      <c r="A21" s="100"/>
      <c r="B21" s="95"/>
      <c r="C21" s="95"/>
      <c r="D21" s="95"/>
      <c r="E21" s="95"/>
      <c r="F21" s="95"/>
      <c r="G21" s="199"/>
      <c r="H21" s="95"/>
      <c r="I21" s="95"/>
      <c r="J21" s="95"/>
      <c r="K21" s="95"/>
      <c r="L21" s="95"/>
      <c r="M21" s="95"/>
      <c r="N21" s="95"/>
      <c r="O21" s="95"/>
      <c r="P21" s="95"/>
      <c r="Q21" s="95"/>
      <c r="R21" s="95"/>
      <c r="S21" s="95"/>
      <c r="T21" s="95"/>
      <c r="U21" s="95"/>
      <c r="V21" s="95"/>
      <c r="W21" s="95"/>
      <c r="X21" s="95"/>
      <c r="Y21" s="95"/>
    </row>
    <row r="22" spans="1:25" ht="40.200000000000003" customHeight="1" x14ac:dyDescent="0.3">
      <c r="A22" s="100"/>
      <c r="B22" s="95"/>
      <c r="C22" s="95"/>
      <c r="D22" s="95"/>
      <c r="E22" s="95"/>
      <c r="F22" s="95"/>
      <c r="G22" s="199"/>
      <c r="H22" s="95"/>
      <c r="I22" s="95"/>
      <c r="J22" s="95"/>
      <c r="K22" s="95"/>
      <c r="L22" s="95"/>
      <c r="M22" s="95"/>
      <c r="N22" s="95"/>
      <c r="O22" s="95"/>
      <c r="P22" s="95"/>
      <c r="Q22" s="95"/>
      <c r="R22" s="95"/>
      <c r="S22" s="95"/>
      <c r="T22" s="95"/>
      <c r="U22" s="95"/>
      <c r="V22" s="95"/>
      <c r="W22" s="95"/>
      <c r="X22" s="95"/>
      <c r="Y22" s="95"/>
    </row>
    <row r="23" spans="1:25" ht="40.200000000000003" customHeight="1" x14ac:dyDescent="0.3">
      <c r="A23" s="95"/>
      <c r="B23" s="95"/>
      <c r="C23" s="95"/>
      <c r="D23" s="95"/>
      <c r="E23" s="95"/>
      <c r="F23" s="95"/>
      <c r="G23" s="199"/>
      <c r="H23" s="95"/>
      <c r="I23" s="95"/>
      <c r="J23" s="95"/>
      <c r="K23" s="95"/>
      <c r="L23" s="95"/>
      <c r="M23" s="95"/>
      <c r="N23" s="95"/>
      <c r="O23" s="95"/>
      <c r="P23" s="95"/>
      <c r="Q23" s="95"/>
      <c r="R23" s="95"/>
      <c r="S23" s="95"/>
      <c r="T23" s="95"/>
      <c r="U23" s="95"/>
      <c r="V23" s="95"/>
      <c r="W23" s="95"/>
      <c r="X23" s="95"/>
      <c r="Y23" s="95"/>
    </row>
    <row r="24" spans="1:25" ht="40.200000000000003" customHeight="1" x14ac:dyDescent="0.3">
      <c r="A24" s="95"/>
      <c r="B24" s="95"/>
      <c r="C24" s="95"/>
      <c r="D24" s="95"/>
      <c r="E24" s="95"/>
      <c r="F24" s="95"/>
      <c r="G24" s="199"/>
      <c r="H24" s="95"/>
      <c r="I24" s="95"/>
      <c r="J24" s="95"/>
      <c r="K24" s="95"/>
      <c r="L24" s="95"/>
      <c r="M24" s="95"/>
      <c r="N24" s="95"/>
      <c r="O24" s="95"/>
      <c r="P24" s="95"/>
      <c r="Q24" s="95"/>
      <c r="R24" s="95"/>
      <c r="S24" s="95"/>
      <c r="T24" s="95"/>
      <c r="U24" s="95"/>
      <c r="V24" s="95"/>
      <c r="W24" s="95"/>
      <c r="X24" s="95"/>
      <c r="Y24" s="95"/>
    </row>
    <row r="25" spans="1:25" ht="40.200000000000003" customHeight="1" x14ac:dyDescent="0.3">
      <c r="A25" s="95"/>
      <c r="B25" s="95"/>
      <c r="C25" s="95"/>
      <c r="D25" s="95"/>
      <c r="E25" s="95"/>
      <c r="F25" s="95"/>
      <c r="G25" s="199"/>
      <c r="H25" s="95"/>
      <c r="I25" s="95"/>
      <c r="J25" s="95"/>
      <c r="K25" s="95"/>
      <c r="L25" s="95"/>
      <c r="M25" s="95"/>
      <c r="N25" s="95"/>
      <c r="O25" s="95"/>
      <c r="P25" s="95"/>
      <c r="Q25" s="95"/>
      <c r="R25" s="95"/>
      <c r="S25" s="95"/>
      <c r="T25" s="95"/>
      <c r="U25" s="95"/>
      <c r="V25" s="95"/>
      <c r="W25" s="95"/>
      <c r="X25" s="95"/>
      <c r="Y25" s="95"/>
    </row>
    <row r="26" spans="1:25" ht="40.200000000000003" customHeight="1" x14ac:dyDescent="0.3">
      <c r="A26" s="95"/>
      <c r="B26" s="95"/>
      <c r="C26" s="95"/>
      <c r="D26" s="95"/>
      <c r="E26" s="95"/>
      <c r="F26" s="95"/>
      <c r="G26" s="199"/>
      <c r="H26" s="95"/>
      <c r="I26" s="95"/>
      <c r="J26" s="95"/>
      <c r="K26" s="95"/>
      <c r="L26" s="95"/>
      <c r="M26" s="95"/>
      <c r="N26" s="95"/>
      <c r="O26" s="95"/>
      <c r="P26" s="95"/>
      <c r="Q26" s="95"/>
      <c r="R26" s="95"/>
      <c r="S26" s="95"/>
      <c r="T26" s="95"/>
      <c r="U26" s="95"/>
      <c r="V26" s="95"/>
      <c r="W26" s="95"/>
      <c r="X26" s="95"/>
      <c r="Y26" s="95"/>
    </row>
    <row r="27" spans="1:25" ht="40.200000000000003" customHeight="1" x14ac:dyDescent="0.3">
      <c r="A27" s="95"/>
      <c r="B27" s="95"/>
      <c r="C27" s="95"/>
      <c r="D27" s="95"/>
      <c r="E27" s="95"/>
      <c r="F27" s="95"/>
      <c r="G27" s="199"/>
      <c r="H27" s="95"/>
      <c r="I27" s="95"/>
      <c r="J27" s="95"/>
      <c r="K27" s="95"/>
      <c r="L27" s="95"/>
      <c r="M27" s="95"/>
      <c r="N27" s="95"/>
      <c r="O27" s="95"/>
      <c r="P27" s="95"/>
      <c r="Q27" s="95"/>
      <c r="R27" s="95"/>
      <c r="S27" s="95"/>
      <c r="T27" s="95"/>
      <c r="U27" s="95"/>
      <c r="V27" s="95"/>
      <c r="W27" s="95"/>
      <c r="X27" s="95"/>
      <c r="Y27" s="95"/>
    </row>
    <row r="28" spans="1:25" ht="40.200000000000003" customHeight="1" x14ac:dyDescent="0.3">
      <c r="A28" s="95"/>
      <c r="B28" s="95"/>
      <c r="C28" s="95"/>
      <c r="D28" s="95"/>
      <c r="E28" s="95"/>
      <c r="F28" s="95"/>
      <c r="G28" s="199"/>
      <c r="H28" s="95"/>
      <c r="I28" s="95"/>
      <c r="J28" s="95"/>
      <c r="K28" s="95"/>
      <c r="L28" s="95"/>
      <c r="M28" s="95"/>
      <c r="N28" s="95"/>
      <c r="O28" s="95"/>
      <c r="P28" s="95"/>
      <c r="Q28" s="95"/>
      <c r="R28" s="95"/>
      <c r="S28" s="95"/>
      <c r="T28" s="95"/>
      <c r="U28" s="95"/>
      <c r="V28" s="95"/>
      <c r="W28" s="95"/>
      <c r="X28" s="95"/>
      <c r="Y28" s="95"/>
    </row>
    <row r="29" spans="1:25" ht="40.200000000000003" customHeight="1" x14ac:dyDescent="0.3">
      <c r="A29" s="95"/>
      <c r="B29" s="95"/>
      <c r="C29" s="95"/>
      <c r="D29" s="95"/>
      <c r="E29" s="95"/>
      <c r="F29" s="95"/>
      <c r="G29" s="199"/>
      <c r="H29" s="95"/>
      <c r="I29" s="95"/>
      <c r="J29" s="95"/>
      <c r="K29" s="95"/>
      <c r="L29" s="95"/>
      <c r="M29" s="95"/>
      <c r="N29" s="95"/>
      <c r="O29" s="95"/>
      <c r="P29" s="95"/>
      <c r="Q29" s="95"/>
      <c r="R29" s="95"/>
      <c r="S29" s="95"/>
      <c r="T29" s="95"/>
      <c r="U29" s="95"/>
      <c r="V29" s="95"/>
      <c r="W29" s="95"/>
      <c r="X29" s="95"/>
      <c r="Y29" s="95"/>
    </row>
    <row r="30" spans="1:25" ht="40.200000000000003" customHeight="1" x14ac:dyDescent="0.3">
      <c r="A30" s="95"/>
      <c r="B30" s="95"/>
      <c r="C30" s="95"/>
      <c r="D30" s="95"/>
      <c r="E30" s="95"/>
      <c r="F30" s="95"/>
      <c r="G30" s="199"/>
      <c r="H30" s="95"/>
      <c r="I30" s="95"/>
      <c r="J30" s="95"/>
      <c r="K30" s="95"/>
      <c r="L30" s="95"/>
      <c r="M30" s="95"/>
      <c r="N30" s="58"/>
      <c r="O30" s="95"/>
      <c r="P30" s="95"/>
      <c r="Q30" s="95"/>
      <c r="R30" s="95"/>
      <c r="S30" s="95"/>
      <c r="T30" s="95"/>
      <c r="U30" s="95"/>
      <c r="V30" s="95"/>
      <c r="W30" s="95"/>
      <c r="X30" s="95"/>
      <c r="Y30" s="95"/>
    </row>
    <row r="31" spans="1:25" ht="40.200000000000003" customHeight="1" x14ac:dyDescent="0.3">
      <c r="A31" s="95"/>
      <c r="B31" s="95"/>
      <c r="C31" s="95"/>
      <c r="D31" s="95"/>
      <c r="E31" s="95"/>
      <c r="F31" s="95"/>
      <c r="G31" s="199"/>
      <c r="H31" s="95"/>
      <c r="I31" s="95"/>
      <c r="J31" s="95"/>
      <c r="K31" s="95"/>
      <c r="L31" s="95"/>
      <c r="M31" s="95"/>
      <c r="N31" s="58"/>
      <c r="O31" s="95"/>
      <c r="P31" s="95"/>
      <c r="Q31" s="95"/>
      <c r="R31" s="95"/>
      <c r="S31" s="95"/>
      <c r="T31" s="95"/>
      <c r="U31" s="95"/>
      <c r="V31" s="95"/>
      <c r="W31" s="95"/>
      <c r="X31" s="95"/>
      <c r="Y31" s="95"/>
    </row>
    <row r="32" spans="1:25" ht="40.200000000000003" customHeight="1" x14ac:dyDescent="0.3">
      <c r="A32" s="95"/>
      <c r="B32" s="95"/>
      <c r="C32" s="95"/>
      <c r="D32" s="95"/>
      <c r="E32" s="95"/>
      <c r="F32" s="95"/>
      <c r="G32" s="199"/>
      <c r="H32" s="95"/>
      <c r="I32" s="95"/>
      <c r="J32" s="95"/>
      <c r="K32" s="95"/>
      <c r="L32" s="95"/>
      <c r="M32" s="95"/>
      <c r="N32" s="58"/>
      <c r="O32" s="95"/>
      <c r="P32" s="95"/>
      <c r="Q32" s="95"/>
      <c r="R32" s="95"/>
      <c r="S32" s="95"/>
      <c r="T32" s="95"/>
      <c r="U32" s="95"/>
      <c r="V32" s="95"/>
      <c r="W32" s="95"/>
      <c r="X32" s="95"/>
      <c r="Y32" s="95"/>
    </row>
    <row r="33" spans="1:25" ht="40.200000000000003" customHeight="1" x14ac:dyDescent="0.3">
      <c r="A33" s="95"/>
      <c r="B33" s="95"/>
      <c r="C33" s="95"/>
      <c r="D33" s="95"/>
      <c r="E33" s="95"/>
      <c r="F33" s="95"/>
      <c r="G33" s="199"/>
      <c r="H33" s="95"/>
      <c r="I33" s="95"/>
      <c r="J33" s="95"/>
      <c r="K33" s="95"/>
      <c r="L33" s="95"/>
      <c r="M33" s="95"/>
      <c r="N33" s="58"/>
      <c r="O33" s="95"/>
      <c r="P33" s="95"/>
      <c r="Q33" s="95"/>
      <c r="R33" s="95"/>
      <c r="S33" s="95"/>
      <c r="T33" s="95"/>
      <c r="U33" s="95"/>
      <c r="V33" s="95"/>
      <c r="W33" s="95"/>
      <c r="X33" s="95"/>
      <c r="Y33" s="95"/>
    </row>
    <row r="34" spans="1:25" ht="40.200000000000003" customHeight="1" x14ac:dyDescent="0.3">
      <c r="A34" s="95"/>
      <c r="B34" s="95"/>
      <c r="C34" s="95"/>
      <c r="D34" s="95"/>
      <c r="E34" s="95"/>
      <c r="F34" s="95"/>
      <c r="G34" s="199"/>
      <c r="H34" s="95"/>
      <c r="I34" s="95"/>
      <c r="J34" s="95"/>
      <c r="K34" s="95"/>
      <c r="L34" s="95"/>
      <c r="M34" s="95"/>
      <c r="N34" s="58"/>
      <c r="O34" s="95"/>
      <c r="P34" s="95"/>
      <c r="Q34" s="95"/>
      <c r="R34" s="95"/>
      <c r="S34" s="95"/>
      <c r="T34" s="95"/>
      <c r="U34" s="95"/>
      <c r="V34" s="95"/>
      <c r="W34" s="95"/>
      <c r="X34" s="95"/>
      <c r="Y34" s="95"/>
    </row>
    <row r="35" spans="1:25" ht="40.200000000000003" customHeight="1" x14ac:dyDescent="0.3">
      <c r="A35" s="95"/>
      <c r="B35" s="95"/>
      <c r="C35" s="95"/>
      <c r="D35" s="95"/>
      <c r="E35" s="95"/>
      <c r="F35" s="95"/>
      <c r="G35" s="199"/>
      <c r="H35" s="95"/>
      <c r="I35" s="95"/>
      <c r="J35" s="95"/>
      <c r="K35" s="95"/>
      <c r="L35" s="95"/>
      <c r="M35" s="95"/>
      <c r="N35" s="58"/>
      <c r="O35" s="58"/>
      <c r="P35" s="58"/>
      <c r="Q35" s="58"/>
      <c r="R35" s="58"/>
      <c r="S35" s="58"/>
      <c r="T35" s="58"/>
      <c r="U35" s="58"/>
      <c r="V35" s="58"/>
      <c r="W35" s="58"/>
      <c r="Y35" s="95"/>
    </row>
    <row r="36" spans="1:25" ht="40.200000000000003" customHeight="1" x14ac:dyDescent="0.3">
      <c r="A36" s="95"/>
      <c r="B36" s="95"/>
      <c r="C36" s="95"/>
      <c r="D36" s="95"/>
      <c r="E36" s="95"/>
      <c r="F36" s="95"/>
      <c r="G36" s="199"/>
      <c r="H36" s="95"/>
      <c r="I36" s="95"/>
      <c r="J36" s="95"/>
      <c r="K36" s="58"/>
      <c r="L36" s="58"/>
      <c r="M36" s="58"/>
      <c r="N36" s="58"/>
      <c r="O36" s="58"/>
      <c r="P36" s="58"/>
      <c r="Q36" s="58"/>
      <c r="R36" s="58"/>
      <c r="S36" s="58"/>
      <c r="T36" s="58"/>
      <c r="U36" s="58"/>
      <c r="V36" s="58"/>
      <c r="W36" s="58"/>
      <c r="Y36" s="95"/>
    </row>
    <row r="37" spans="1:25" ht="40.200000000000003" customHeight="1" x14ac:dyDescent="0.3">
      <c r="A37" s="95"/>
      <c r="B37" s="95"/>
      <c r="C37" s="95"/>
      <c r="D37" s="95"/>
      <c r="E37" s="95"/>
      <c r="F37" s="95"/>
      <c r="G37" s="199"/>
      <c r="H37" s="95"/>
      <c r="I37" s="95"/>
      <c r="J37" s="95"/>
      <c r="K37" s="58"/>
      <c r="L37" s="58"/>
      <c r="M37" s="58"/>
      <c r="N37" s="58"/>
      <c r="O37" s="58"/>
      <c r="P37" s="58"/>
      <c r="Q37" s="58"/>
      <c r="R37" s="58"/>
      <c r="S37" s="58"/>
      <c r="T37" s="58"/>
      <c r="U37" s="58"/>
      <c r="V37" s="58"/>
      <c r="W37" s="58"/>
      <c r="Y37" s="95"/>
    </row>
    <row r="38" spans="1:25" ht="40.200000000000003" customHeight="1" x14ac:dyDescent="0.3">
      <c r="A38" s="95"/>
      <c r="B38" s="59"/>
      <c r="C38" s="59"/>
      <c r="D38" s="59"/>
      <c r="E38" s="59"/>
      <c r="F38" s="59"/>
      <c r="G38" s="68"/>
      <c r="H38" s="95"/>
      <c r="I38" s="95"/>
      <c r="J38" s="95"/>
      <c r="K38" s="58"/>
      <c r="L38" s="58"/>
      <c r="M38" s="58"/>
      <c r="N38" s="58"/>
      <c r="O38" s="58"/>
      <c r="P38" s="58"/>
      <c r="Q38" s="58"/>
      <c r="R38" s="58"/>
      <c r="S38" s="58"/>
      <c r="T38" s="58"/>
      <c r="U38" s="58"/>
      <c r="V38" s="58"/>
      <c r="W38" s="58"/>
      <c r="Y38" s="95"/>
    </row>
    <row r="39" spans="1:25" ht="40.200000000000003" customHeight="1" x14ac:dyDescent="0.3">
      <c r="A39" s="95"/>
      <c r="B39" s="59"/>
      <c r="C39" s="59"/>
      <c r="D39" s="59"/>
      <c r="E39" s="59"/>
      <c r="F39" s="59"/>
      <c r="G39" s="68"/>
      <c r="H39" s="95"/>
      <c r="I39" s="95"/>
      <c r="J39" s="95"/>
      <c r="K39" s="58"/>
      <c r="L39" s="58"/>
      <c r="M39" s="58"/>
      <c r="N39" s="58"/>
      <c r="O39" s="58"/>
      <c r="P39" s="58"/>
      <c r="Q39" s="58"/>
      <c r="R39" s="58"/>
      <c r="S39" s="58"/>
      <c r="T39" s="58"/>
      <c r="U39" s="58"/>
      <c r="V39" s="58"/>
      <c r="W39" s="58"/>
      <c r="Y39" s="95"/>
    </row>
    <row r="40" spans="1:25" ht="40.200000000000003" customHeight="1" x14ac:dyDescent="0.3">
      <c r="A40" s="95"/>
      <c r="B40" s="59"/>
      <c r="C40" s="59"/>
      <c r="D40" s="59"/>
      <c r="E40" s="59"/>
      <c r="F40" s="59"/>
      <c r="G40" s="68"/>
      <c r="H40" s="95"/>
      <c r="I40" s="95"/>
      <c r="J40" s="95"/>
      <c r="K40" s="58"/>
      <c r="L40" s="58"/>
      <c r="M40" s="58"/>
      <c r="N40" s="58"/>
      <c r="O40" s="58"/>
      <c r="P40" s="58"/>
      <c r="Q40" s="58"/>
      <c r="R40" s="58"/>
      <c r="S40" s="58"/>
      <c r="T40" s="58"/>
      <c r="U40" s="58"/>
      <c r="V40" s="58"/>
      <c r="W40" s="58"/>
      <c r="Y40" s="95"/>
    </row>
    <row r="41" spans="1:25" ht="40.200000000000003" customHeight="1" x14ac:dyDescent="0.3">
      <c r="A41" s="95"/>
      <c r="B41" s="59"/>
      <c r="C41" s="59"/>
      <c r="D41" s="59"/>
      <c r="E41" s="59"/>
      <c r="F41" s="59"/>
      <c r="G41" s="68"/>
      <c r="H41" s="95"/>
      <c r="I41" s="95"/>
      <c r="J41" s="95"/>
      <c r="K41" s="58"/>
      <c r="L41" s="58"/>
      <c r="M41" s="58"/>
      <c r="N41" s="58"/>
      <c r="O41" s="58"/>
      <c r="P41" s="58"/>
      <c r="Q41" s="58"/>
      <c r="R41" s="58"/>
      <c r="S41" s="58"/>
      <c r="T41" s="58"/>
      <c r="U41" s="58"/>
      <c r="V41" s="58"/>
      <c r="W41" s="58"/>
      <c r="Y41" s="95"/>
    </row>
    <row r="42" spans="1:25" ht="40.200000000000003" customHeight="1" x14ac:dyDescent="0.3">
      <c r="A42" s="95"/>
      <c r="B42" s="59"/>
      <c r="C42" s="59"/>
      <c r="D42" s="59"/>
      <c r="E42" s="59"/>
      <c r="F42" s="59"/>
      <c r="G42" s="68"/>
      <c r="H42" s="95"/>
      <c r="I42" s="95"/>
      <c r="J42" s="95"/>
      <c r="K42" s="58"/>
      <c r="L42" s="58"/>
      <c r="M42" s="58"/>
      <c r="N42" s="58"/>
      <c r="O42" s="58"/>
      <c r="P42" s="58"/>
      <c r="Q42" s="58"/>
      <c r="R42" s="58"/>
      <c r="S42" s="58"/>
      <c r="T42" s="58"/>
      <c r="U42" s="58"/>
      <c r="V42" s="58"/>
      <c r="W42" s="58"/>
      <c r="Y42" s="95"/>
    </row>
    <row r="43" spans="1:25" ht="40.200000000000003" customHeight="1" x14ac:dyDescent="0.3">
      <c r="A43" s="95"/>
      <c r="B43" s="59"/>
      <c r="C43" s="59"/>
      <c r="D43" s="59"/>
      <c r="E43" s="59"/>
      <c r="F43" s="59"/>
      <c r="G43" s="68"/>
      <c r="H43" s="95"/>
      <c r="I43" s="95"/>
      <c r="J43" s="95"/>
      <c r="K43" s="58"/>
      <c r="L43" s="58"/>
      <c r="M43" s="58"/>
      <c r="N43" s="58"/>
      <c r="O43" s="58"/>
      <c r="P43" s="58"/>
      <c r="Q43" s="58"/>
      <c r="R43" s="58"/>
      <c r="S43" s="58"/>
      <c r="T43" s="58"/>
      <c r="U43" s="58"/>
      <c r="V43" s="58"/>
      <c r="W43" s="58"/>
      <c r="Y43" s="95"/>
    </row>
    <row r="44" spans="1:25" ht="40.200000000000003" customHeight="1" x14ac:dyDescent="0.3">
      <c r="A44" s="95"/>
      <c r="B44" s="59"/>
      <c r="C44" s="59"/>
      <c r="D44" s="59"/>
      <c r="E44" s="59"/>
      <c r="F44" s="59"/>
      <c r="G44" s="68"/>
      <c r="H44" s="95"/>
      <c r="I44" s="95"/>
      <c r="J44" s="95"/>
      <c r="K44" s="58"/>
      <c r="L44" s="58"/>
      <c r="M44" s="58"/>
      <c r="N44" s="58"/>
      <c r="O44" s="58"/>
      <c r="P44" s="58"/>
      <c r="Q44" s="58"/>
      <c r="R44" s="58"/>
      <c r="S44" s="58"/>
      <c r="T44" s="58"/>
      <c r="U44" s="58"/>
      <c r="V44" s="58"/>
      <c r="W44" s="58"/>
    </row>
    <row r="45" spans="1:25" ht="40.200000000000003" customHeight="1" x14ac:dyDescent="0.3">
      <c r="A45" s="95"/>
      <c r="B45" s="59"/>
      <c r="C45" s="59"/>
      <c r="D45" s="59"/>
      <c r="E45" s="59"/>
      <c r="F45" s="59"/>
      <c r="G45" s="68"/>
      <c r="H45" s="95"/>
      <c r="I45" s="95"/>
      <c r="J45" s="95"/>
      <c r="K45" s="58"/>
      <c r="L45" s="58"/>
      <c r="M45" s="58"/>
      <c r="N45" s="58"/>
      <c r="O45" s="58"/>
      <c r="P45" s="58"/>
      <c r="Q45" s="58"/>
      <c r="R45" s="58"/>
      <c r="S45" s="58"/>
      <c r="T45" s="58"/>
      <c r="U45" s="58"/>
      <c r="V45" s="58"/>
      <c r="W45" s="58"/>
    </row>
    <row r="46" spans="1:25" ht="40.200000000000003" customHeight="1" x14ac:dyDescent="0.3">
      <c r="A46" s="95"/>
      <c r="B46" s="59"/>
      <c r="C46" s="59"/>
      <c r="D46" s="59"/>
      <c r="E46" s="59"/>
      <c r="F46" s="59"/>
      <c r="G46" s="68"/>
      <c r="H46" s="95"/>
      <c r="I46" s="95"/>
      <c r="J46" s="95"/>
      <c r="K46" s="58"/>
      <c r="L46" s="58"/>
      <c r="M46" s="58"/>
      <c r="N46" s="58"/>
      <c r="O46" s="58"/>
      <c r="P46" s="58"/>
      <c r="Q46" s="58"/>
      <c r="R46" s="58"/>
      <c r="S46" s="58"/>
      <c r="T46" s="58"/>
      <c r="U46" s="58"/>
      <c r="V46" s="58"/>
      <c r="W46" s="58"/>
    </row>
    <row r="47" spans="1:25" ht="40.200000000000003" customHeight="1" x14ac:dyDescent="0.3">
      <c r="A47" s="95"/>
      <c r="B47" s="59"/>
      <c r="C47" s="59"/>
      <c r="D47" s="59"/>
      <c r="E47" s="59"/>
      <c r="F47" s="59"/>
      <c r="G47" s="68"/>
      <c r="H47" s="95"/>
      <c r="I47" s="95"/>
      <c r="J47" s="95"/>
      <c r="K47" s="58"/>
      <c r="L47" s="58"/>
      <c r="M47" s="58"/>
      <c r="N47" s="58"/>
      <c r="O47" s="58"/>
      <c r="P47" s="58"/>
      <c r="Q47" s="58"/>
      <c r="R47" s="58"/>
      <c r="S47" s="58"/>
      <c r="T47" s="58"/>
      <c r="U47" s="58"/>
      <c r="V47" s="58"/>
      <c r="W47" s="58"/>
    </row>
    <row r="48" spans="1:25" ht="40.200000000000003" customHeight="1" x14ac:dyDescent="0.3">
      <c r="A48" s="95"/>
      <c r="B48" s="59"/>
      <c r="C48" s="59"/>
      <c r="D48" s="59"/>
      <c r="E48" s="59"/>
      <c r="F48" s="59"/>
      <c r="G48" s="68"/>
      <c r="H48" s="95"/>
      <c r="I48" s="95"/>
      <c r="J48" s="95"/>
      <c r="K48" s="58"/>
      <c r="L48" s="58"/>
      <c r="M48" s="58"/>
      <c r="N48" s="58"/>
      <c r="O48" s="58"/>
      <c r="P48" s="58"/>
      <c r="Q48" s="58"/>
      <c r="R48" s="58"/>
      <c r="S48" s="58"/>
      <c r="T48" s="58"/>
      <c r="U48" s="58"/>
      <c r="V48" s="58"/>
      <c r="W48" s="58"/>
    </row>
    <row r="49" spans="1:23" ht="40.200000000000003" customHeight="1" x14ac:dyDescent="0.3">
      <c r="A49" s="95"/>
      <c r="B49" s="59"/>
      <c r="C49" s="59"/>
      <c r="D49" s="59"/>
      <c r="E49" s="59"/>
      <c r="F49" s="59"/>
      <c r="G49" s="68"/>
      <c r="H49" s="58"/>
      <c r="I49" s="58"/>
      <c r="J49" s="95"/>
      <c r="K49" s="58"/>
      <c r="L49" s="58"/>
      <c r="M49" s="58"/>
      <c r="N49" s="58"/>
      <c r="O49" s="58"/>
      <c r="P49" s="58"/>
      <c r="Q49" s="58"/>
      <c r="R49" s="58"/>
      <c r="S49" s="58"/>
      <c r="T49" s="58"/>
      <c r="U49" s="58"/>
      <c r="V49" s="58"/>
      <c r="W49" s="58"/>
    </row>
    <row r="50" spans="1:23" ht="40.200000000000003" customHeight="1" x14ac:dyDescent="0.3">
      <c r="A50" s="95"/>
      <c r="B50" s="59"/>
      <c r="C50" s="59"/>
      <c r="D50" s="59"/>
      <c r="E50" s="59"/>
      <c r="F50" s="59"/>
      <c r="G50" s="68"/>
      <c r="H50" s="58"/>
      <c r="I50" s="58"/>
      <c r="J50" s="95"/>
      <c r="K50" s="58"/>
      <c r="L50" s="58"/>
      <c r="M50" s="58"/>
      <c r="N50" s="58"/>
      <c r="O50" s="58"/>
      <c r="P50" s="58"/>
      <c r="Q50" s="58"/>
      <c r="R50" s="58"/>
      <c r="S50" s="58"/>
      <c r="T50" s="58"/>
      <c r="U50" s="58"/>
      <c r="V50" s="58"/>
      <c r="W50" s="58"/>
    </row>
    <row r="51" spans="1:23" ht="40.200000000000003" customHeight="1" x14ac:dyDescent="0.3">
      <c r="A51" s="95"/>
      <c r="B51" s="59"/>
      <c r="C51" s="59"/>
      <c r="D51" s="59"/>
      <c r="E51" s="59"/>
      <c r="F51" s="59"/>
      <c r="G51" s="68"/>
      <c r="H51" s="58"/>
      <c r="I51" s="58"/>
      <c r="J51" s="95"/>
      <c r="K51" s="58"/>
      <c r="L51" s="58"/>
      <c r="M51" s="58"/>
      <c r="N51" s="58"/>
      <c r="O51" s="58"/>
      <c r="P51" s="58"/>
      <c r="Q51" s="58"/>
      <c r="R51" s="58"/>
      <c r="S51" s="58"/>
      <c r="T51" s="58"/>
      <c r="U51" s="58"/>
      <c r="V51" s="58"/>
      <c r="W51" s="58"/>
    </row>
    <row r="52" spans="1:23" ht="40.200000000000003" customHeight="1" x14ac:dyDescent="0.3">
      <c r="A52" s="95"/>
      <c r="B52" s="59"/>
      <c r="C52" s="59"/>
      <c r="D52" s="59"/>
      <c r="E52" s="59"/>
      <c r="F52" s="59"/>
      <c r="G52" s="68"/>
      <c r="H52" s="58"/>
      <c r="I52" s="58"/>
      <c r="J52" s="95"/>
      <c r="K52" s="58"/>
      <c r="L52" s="58"/>
      <c r="M52" s="58"/>
      <c r="N52" s="58"/>
      <c r="O52" s="58"/>
      <c r="P52" s="58"/>
      <c r="Q52" s="58"/>
      <c r="R52" s="58"/>
      <c r="S52" s="58"/>
      <c r="T52" s="58"/>
      <c r="U52" s="58"/>
      <c r="V52" s="58"/>
      <c r="W52" s="58"/>
    </row>
    <row r="53" spans="1:23" ht="40.200000000000003" customHeight="1" x14ac:dyDescent="0.3">
      <c r="A53" s="95"/>
      <c r="B53" s="59"/>
      <c r="C53" s="59"/>
      <c r="D53" s="59"/>
      <c r="E53" s="59"/>
      <c r="F53" s="59"/>
      <c r="G53" s="68"/>
      <c r="H53" s="58"/>
      <c r="I53" s="58"/>
      <c r="J53" s="95"/>
      <c r="K53" s="58"/>
      <c r="L53" s="58"/>
      <c r="M53" s="58"/>
      <c r="N53" s="58"/>
      <c r="O53" s="58"/>
      <c r="P53" s="58"/>
      <c r="Q53" s="58"/>
      <c r="R53" s="58"/>
      <c r="S53" s="58"/>
      <c r="T53" s="58"/>
      <c r="U53" s="58"/>
      <c r="V53" s="58"/>
      <c r="W53" s="58"/>
    </row>
    <row r="54" spans="1:23" ht="40.200000000000003" customHeight="1" x14ac:dyDescent="0.3">
      <c r="A54" s="95"/>
      <c r="B54" s="59"/>
      <c r="C54" s="59"/>
      <c r="D54" s="59"/>
      <c r="E54" s="59"/>
      <c r="F54" s="59"/>
      <c r="G54" s="68"/>
      <c r="H54" s="58"/>
      <c r="I54" s="58"/>
      <c r="J54" s="95"/>
      <c r="K54" s="58"/>
      <c r="L54" s="58"/>
      <c r="M54" s="58"/>
      <c r="N54" s="58"/>
      <c r="O54" s="58"/>
      <c r="P54" s="58"/>
      <c r="Q54" s="58"/>
      <c r="R54" s="58"/>
      <c r="S54" s="58"/>
      <c r="T54" s="58"/>
      <c r="U54" s="58"/>
      <c r="V54" s="58"/>
      <c r="W54" s="58"/>
    </row>
    <row r="55" spans="1:23" ht="40.200000000000003" customHeight="1" x14ac:dyDescent="0.3">
      <c r="A55" s="58"/>
      <c r="B55" s="59"/>
      <c r="C55" s="59"/>
      <c r="D55" s="59"/>
      <c r="E55" s="59"/>
      <c r="F55" s="59"/>
      <c r="G55" s="68"/>
      <c r="H55" s="58"/>
      <c r="I55" s="58"/>
      <c r="J55" s="58"/>
      <c r="K55" s="58"/>
      <c r="L55" s="58"/>
      <c r="M55" s="58"/>
      <c r="N55" s="58"/>
      <c r="O55" s="58"/>
      <c r="P55" s="58"/>
      <c r="Q55" s="58"/>
      <c r="R55" s="58"/>
      <c r="S55" s="58"/>
      <c r="T55" s="58"/>
      <c r="U55" s="58"/>
      <c r="V55" s="58"/>
      <c r="W55" s="58"/>
    </row>
    <row r="56" spans="1:23" ht="40.200000000000003" customHeight="1" x14ac:dyDescent="0.3">
      <c r="A56" s="58"/>
      <c r="B56" s="59"/>
      <c r="C56" s="59"/>
      <c r="D56" s="59"/>
      <c r="E56" s="59"/>
      <c r="F56" s="59"/>
      <c r="G56" s="68"/>
      <c r="H56" s="58"/>
      <c r="I56" s="58"/>
      <c r="J56" s="58"/>
      <c r="K56" s="58"/>
      <c r="L56" s="58"/>
      <c r="M56" s="58"/>
      <c r="N56" s="58"/>
      <c r="O56" s="58"/>
      <c r="P56" s="58"/>
      <c r="Q56" s="58"/>
      <c r="R56" s="58"/>
      <c r="S56" s="58"/>
      <c r="T56" s="58"/>
      <c r="U56" s="58"/>
      <c r="V56" s="58"/>
      <c r="W56" s="58"/>
    </row>
    <row r="57" spans="1:23" ht="40.200000000000003" customHeight="1" x14ac:dyDescent="0.3">
      <c r="A57" s="58"/>
      <c r="B57" s="59"/>
      <c r="C57" s="59"/>
      <c r="D57" s="59"/>
      <c r="E57" s="59"/>
      <c r="F57" s="59"/>
      <c r="G57" s="68"/>
      <c r="H57" s="58"/>
      <c r="I57" s="58"/>
      <c r="J57" s="58"/>
      <c r="K57" s="58"/>
      <c r="L57" s="58"/>
      <c r="M57" s="58"/>
      <c r="N57" s="58"/>
      <c r="O57" s="58"/>
      <c r="P57" s="58"/>
      <c r="Q57" s="58"/>
      <c r="R57" s="58"/>
      <c r="S57" s="58"/>
      <c r="T57" s="58"/>
      <c r="U57" s="58"/>
      <c r="V57" s="58"/>
      <c r="W57" s="58"/>
    </row>
    <row r="58" spans="1:23" ht="40.200000000000003" customHeight="1" x14ac:dyDescent="0.3">
      <c r="A58" s="58"/>
      <c r="B58" s="59"/>
      <c r="C58" s="59"/>
      <c r="D58" s="59"/>
      <c r="E58" s="59"/>
      <c r="F58" s="59"/>
      <c r="G58" s="68"/>
      <c r="H58" s="58"/>
      <c r="I58" s="58"/>
      <c r="J58" s="58"/>
      <c r="K58" s="58"/>
      <c r="L58" s="58"/>
      <c r="M58" s="58"/>
      <c r="N58" s="58"/>
      <c r="O58" s="58"/>
      <c r="P58" s="58"/>
      <c r="Q58" s="58"/>
      <c r="R58" s="58"/>
      <c r="S58" s="58"/>
      <c r="T58" s="58"/>
      <c r="U58" s="58"/>
      <c r="V58" s="58"/>
      <c r="W58" s="58"/>
    </row>
    <row r="59" spans="1:23" ht="40.200000000000003" customHeight="1" x14ac:dyDescent="0.3">
      <c r="A59" s="58"/>
      <c r="B59" s="59"/>
      <c r="C59" s="59"/>
      <c r="D59" s="59"/>
      <c r="E59" s="59"/>
      <c r="F59" s="59"/>
      <c r="G59" s="68"/>
      <c r="H59" s="58"/>
      <c r="I59" s="58"/>
      <c r="J59" s="58"/>
      <c r="K59" s="58"/>
      <c r="L59" s="58"/>
      <c r="M59" s="58"/>
      <c r="N59" s="58"/>
      <c r="O59" s="58"/>
      <c r="P59" s="58"/>
      <c r="Q59" s="58"/>
      <c r="R59" s="58"/>
      <c r="S59" s="58"/>
      <c r="T59" s="58"/>
      <c r="U59" s="58"/>
      <c r="V59" s="58"/>
      <c r="W59" s="58"/>
    </row>
    <row r="60" spans="1:23" ht="40.200000000000003" customHeight="1" x14ac:dyDescent="0.3">
      <c r="A60" s="58"/>
      <c r="B60" s="59"/>
      <c r="C60" s="59"/>
      <c r="D60" s="59"/>
      <c r="E60" s="59"/>
      <c r="F60" s="59"/>
      <c r="G60" s="68"/>
      <c r="H60" s="58"/>
      <c r="I60" s="58"/>
      <c r="J60" s="58"/>
      <c r="K60" s="58"/>
      <c r="L60" s="58"/>
      <c r="M60" s="58"/>
      <c r="N60" s="58"/>
      <c r="O60" s="58"/>
      <c r="P60" s="58"/>
      <c r="Q60" s="58"/>
      <c r="R60" s="58"/>
      <c r="S60" s="58"/>
      <c r="T60" s="58"/>
      <c r="U60" s="58"/>
      <c r="V60" s="58"/>
      <c r="W60" s="58"/>
    </row>
    <row r="61" spans="1:23" ht="40.200000000000003" customHeight="1" x14ac:dyDescent="0.3">
      <c r="A61" s="58"/>
      <c r="B61" s="59"/>
      <c r="C61" s="59"/>
      <c r="D61" s="59"/>
      <c r="E61" s="59"/>
      <c r="F61" s="59"/>
      <c r="G61" s="68"/>
      <c r="H61" s="58"/>
      <c r="I61" s="58"/>
      <c r="J61" s="58"/>
      <c r="K61" s="58"/>
      <c r="L61" s="58"/>
      <c r="M61" s="58"/>
      <c r="N61" s="58"/>
      <c r="O61" s="58"/>
      <c r="P61" s="58"/>
      <c r="Q61" s="58"/>
      <c r="R61" s="58"/>
      <c r="S61" s="58"/>
      <c r="T61" s="58"/>
      <c r="U61" s="58"/>
      <c r="V61" s="58"/>
      <c r="W61" s="58"/>
    </row>
    <row r="62" spans="1:23" ht="40.200000000000003" customHeight="1" x14ac:dyDescent="0.3">
      <c r="A62" s="58"/>
      <c r="B62" s="59"/>
      <c r="C62" s="59"/>
      <c r="D62" s="59"/>
      <c r="E62" s="59"/>
      <c r="F62" s="59"/>
      <c r="G62" s="68"/>
      <c r="H62" s="58"/>
      <c r="I62" s="58"/>
      <c r="J62" s="58"/>
      <c r="K62" s="58"/>
      <c r="L62" s="58"/>
      <c r="M62" s="58"/>
      <c r="N62" s="58"/>
      <c r="O62" s="58"/>
      <c r="P62" s="58"/>
      <c r="Q62" s="58"/>
      <c r="R62" s="58"/>
      <c r="S62" s="58"/>
      <c r="T62" s="58"/>
      <c r="U62" s="58"/>
      <c r="V62" s="58"/>
      <c r="W62" s="58"/>
    </row>
    <row r="63" spans="1:23" ht="40.200000000000003" customHeight="1" x14ac:dyDescent="0.3">
      <c r="A63" s="58"/>
      <c r="B63" s="59"/>
      <c r="C63" s="59"/>
      <c r="D63" s="59"/>
      <c r="E63" s="59"/>
      <c r="F63" s="59"/>
      <c r="G63" s="68"/>
      <c r="H63" s="58"/>
      <c r="I63" s="58"/>
      <c r="J63" s="58"/>
      <c r="K63" s="58"/>
      <c r="L63" s="58"/>
      <c r="M63" s="58"/>
      <c r="N63" s="58"/>
      <c r="O63" s="58"/>
      <c r="P63" s="58"/>
      <c r="Q63" s="58"/>
      <c r="R63" s="58"/>
      <c r="S63" s="58"/>
      <c r="T63" s="58"/>
      <c r="U63" s="58"/>
      <c r="V63" s="58"/>
      <c r="W63" s="58"/>
    </row>
    <row r="64" spans="1:23" ht="40.200000000000003" customHeight="1" x14ac:dyDescent="0.3">
      <c r="A64" s="58"/>
      <c r="B64" s="59"/>
      <c r="C64" s="59"/>
      <c r="D64" s="59"/>
      <c r="E64" s="59"/>
      <c r="F64" s="59"/>
      <c r="G64" s="68"/>
      <c r="H64" s="58"/>
      <c r="I64" s="58"/>
      <c r="J64" s="58"/>
      <c r="K64" s="58"/>
      <c r="L64" s="58"/>
      <c r="M64" s="58"/>
      <c r="N64" s="58"/>
      <c r="O64" s="58"/>
      <c r="P64" s="58"/>
      <c r="Q64" s="58"/>
      <c r="R64" s="58"/>
      <c r="S64" s="58"/>
      <c r="T64" s="58"/>
      <c r="U64" s="58"/>
      <c r="V64" s="58"/>
      <c r="W64" s="58"/>
    </row>
    <row r="65" spans="1:23" ht="40.200000000000003" customHeight="1" x14ac:dyDescent="0.3">
      <c r="A65" s="58"/>
      <c r="B65" s="59"/>
      <c r="C65" s="59"/>
      <c r="D65" s="59"/>
      <c r="E65" s="59"/>
      <c r="F65" s="59"/>
      <c r="G65" s="68"/>
      <c r="H65" s="58"/>
      <c r="I65" s="58"/>
      <c r="J65" s="58"/>
      <c r="K65" s="58"/>
      <c r="L65" s="58"/>
      <c r="M65" s="58"/>
      <c r="N65" s="58"/>
      <c r="O65" s="58"/>
      <c r="P65" s="58"/>
      <c r="Q65" s="58"/>
      <c r="R65" s="58"/>
      <c r="S65" s="58"/>
      <c r="T65" s="58"/>
      <c r="U65" s="58"/>
      <c r="V65" s="58"/>
      <c r="W65" s="58"/>
    </row>
    <row r="66" spans="1:23" ht="40.200000000000003" customHeight="1" x14ac:dyDescent="0.3">
      <c r="A66" s="58"/>
      <c r="B66" s="59"/>
      <c r="C66" s="59"/>
      <c r="D66" s="59"/>
      <c r="E66" s="59"/>
      <c r="F66" s="59"/>
      <c r="G66" s="68"/>
      <c r="H66" s="58"/>
      <c r="I66" s="58"/>
      <c r="J66" s="58"/>
      <c r="K66" s="58"/>
      <c r="L66" s="58"/>
      <c r="M66" s="58"/>
      <c r="N66" s="58"/>
      <c r="O66" s="58"/>
      <c r="P66" s="58"/>
      <c r="Q66" s="58"/>
      <c r="R66" s="58"/>
      <c r="S66" s="58"/>
      <c r="T66" s="58"/>
      <c r="U66" s="58"/>
      <c r="V66" s="58"/>
      <c r="W66" s="58"/>
    </row>
    <row r="67" spans="1:23" ht="40.200000000000003" customHeight="1" x14ac:dyDescent="0.3">
      <c r="A67" s="58"/>
      <c r="B67" s="59"/>
      <c r="C67" s="59"/>
      <c r="D67" s="59"/>
      <c r="E67" s="59"/>
      <c r="F67" s="59"/>
      <c r="G67" s="68"/>
      <c r="H67" s="58"/>
      <c r="I67" s="58"/>
      <c r="J67" s="58"/>
      <c r="K67" s="58"/>
      <c r="L67" s="58"/>
      <c r="M67" s="58"/>
      <c r="N67" s="58"/>
      <c r="O67" s="58"/>
      <c r="P67" s="58"/>
      <c r="Q67" s="58"/>
      <c r="R67" s="58"/>
      <c r="S67" s="58"/>
      <c r="T67" s="58"/>
      <c r="U67" s="58"/>
      <c r="V67" s="58"/>
      <c r="W67" s="58"/>
    </row>
    <row r="68" spans="1:23" ht="40.200000000000003" customHeight="1" x14ac:dyDescent="0.3">
      <c r="A68" s="58"/>
      <c r="B68" s="59"/>
      <c r="C68" s="59"/>
      <c r="D68" s="59"/>
      <c r="E68" s="59"/>
      <c r="F68" s="59"/>
      <c r="G68" s="68"/>
      <c r="H68" s="58"/>
      <c r="I68" s="58"/>
      <c r="J68" s="58"/>
      <c r="K68" s="58"/>
      <c r="L68" s="58"/>
      <c r="M68" s="58"/>
      <c r="N68" s="58"/>
      <c r="O68" s="58"/>
      <c r="P68" s="58"/>
      <c r="Q68" s="58"/>
      <c r="R68" s="58"/>
      <c r="S68" s="58"/>
      <c r="T68" s="58"/>
      <c r="U68" s="58"/>
      <c r="V68" s="58"/>
      <c r="W68" s="58"/>
    </row>
    <row r="69" spans="1:23" ht="40.200000000000003" customHeight="1" x14ac:dyDescent="0.3">
      <c r="A69" s="58"/>
      <c r="B69" s="59"/>
      <c r="C69" s="59"/>
      <c r="D69" s="59"/>
      <c r="E69" s="59"/>
      <c r="F69" s="59"/>
      <c r="G69" s="68"/>
      <c r="H69" s="58"/>
      <c r="I69" s="58"/>
      <c r="J69" s="58"/>
      <c r="K69" s="58"/>
      <c r="L69" s="58"/>
      <c r="M69" s="58"/>
      <c r="N69" s="58"/>
      <c r="O69" s="58"/>
      <c r="P69" s="58"/>
      <c r="Q69" s="58"/>
      <c r="R69" s="58"/>
      <c r="S69" s="58"/>
      <c r="T69" s="58"/>
      <c r="U69" s="58"/>
      <c r="V69" s="58"/>
      <c r="W69" s="58"/>
    </row>
    <row r="70" spans="1:23" ht="40.200000000000003" customHeight="1" x14ac:dyDescent="0.3">
      <c r="A70" s="58"/>
      <c r="B70" s="59"/>
      <c r="C70" s="59"/>
      <c r="D70" s="59"/>
      <c r="E70" s="59"/>
      <c r="F70" s="59"/>
      <c r="G70" s="75"/>
      <c r="H70" s="58"/>
      <c r="I70" s="58"/>
      <c r="J70" s="58"/>
      <c r="K70" s="58"/>
      <c r="L70" s="58"/>
      <c r="M70" s="58"/>
      <c r="N70" s="58"/>
      <c r="O70" s="58"/>
      <c r="P70" s="58"/>
      <c r="Q70" s="58"/>
      <c r="R70" s="58"/>
      <c r="S70" s="58"/>
      <c r="T70" s="58"/>
      <c r="U70" s="58"/>
      <c r="V70" s="58"/>
      <c r="W70" s="58"/>
    </row>
    <row r="71" spans="1:23" ht="40.200000000000003" customHeight="1" x14ac:dyDescent="0.3">
      <c r="A71" s="58"/>
      <c r="B71" s="59"/>
      <c r="C71" s="59"/>
      <c r="D71" s="59"/>
      <c r="E71" s="59"/>
      <c r="F71" s="59"/>
      <c r="G71" s="75"/>
      <c r="H71" s="58"/>
      <c r="I71" s="58"/>
      <c r="J71" s="58"/>
      <c r="K71" s="58"/>
      <c r="L71" s="58"/>
      <c r="M71" s="58"/>
      <c r="N71" s="58"/>
      <c r="O71" s="58"/>
      <c r="P71" s="58"/>
      <c r="Q71" s="58"/>
      <c r="R71" s="58"/>
      <c r="S71" s="58"/>
      <c r="T71" s="58"/>
      <c r="U71" s="58"/>
      <c r="V71" s="58"/>
      <c r="W71" s="58"/>
    </row>
    <row r="72" spans="1:23" ht="40.200000000000003" customHeight="1" x14ac:dyDescent="0.3">
      <c r="A72" s="58"/>
      <c r="B72" s="59"/>
      <c r="C72" s="59"/>
      <c r="D72" s="59"/>
      <c r="E72" s="59"/>
      <c r="F72" s="59"/>
      <c r="G72" s="75"/>
      <c r="H72" s="58"/>
      <c r="I72" s="58"/>
      <c r="J72" s="58"/>
      <c r="K72" s="58"/>
      <c r="L72" s="58"/>
      <c r="M72" s="58"/>
      <c r="N72" s="58"/>
      <c r="O72" s="58"/>
      <c r="P72" s="58"/>
      <c r="Q72" s="58"/>
      <c r="R72" s="58"/>
      <c r="S72" s="58"/>
      <c r="T72" s="58"/>
      <c r="U72" s="58"/>
      <c r="V72" s="58"/>
      <c r="W72" s="58"/>
    </row>
    <row r="73" spans="1:23" ht="40.200000000000003" customHeight="1" x14ac:dyDescent="0.3">
      <c r="A73" s="58"/>
      <c r="B73" s="59"/>
      <c r="C73" s="59"/>
      <c r="D73" s="59"/>
      <c r="E73" s="59"/>
      <c r="F73" s="59"/>
      <c r="G73" s="75"/>
      <c r="H73" s="58"/>
      <c r="I73" s="58"/>
      <c r="J73" s="58"/>
      <c r="K73" s="58"/>
      <c r="L73" s="58"/>
      <c r="M73" s="58"/>
      <c r="N73" s="58"/>
      <c r="O73" s="58"/>
      <c r="P73" s="58"/>
      <c r="Q73" s="58"/>
      <c r="R73" s="58"/>
      <c r="S73" s="58"/>
      <c r="T73" s="58"/>
      <c r="U73" s="58"/>
      <c r="V73" s="58"/>
      <c r="W73" s="58"/>
    </row>
    <row r="74" spans="1:23" ht="40.200000000000003" customHeight="1" x14ac:dyDescent="0.3">
      <c r="A74" s="58"/>
      <c r="B74" s="59"/>
      <c r="C74" s="59"/>
      <c r="D74" s="59"/>
      <c r="E74" s="59"/>
      <c r="F74" s="59"/>
      <c r="G74" s="75"/>
      <c r="H74" s="58"/>
      <c r="I74" s="58"/>
      <c r="J74" s="58"/>
      <c r="K74" s="58"/>
      <c r="L74" s="58"/>
      <c r="M74" s="58"/>
      <c r="N74" s="58"/>
      <c r="O74" s="58"/>
      <c r="P74" s="58"/>
      <c r="Q74" s="58"/>
      <c r="R74" s="58"/>
      <c r="S74" s="58"/>
      <c r="T74" s="58"/>
      <c r="U74" s="58"/>
      <c r="V74" s="58"/>
      <c r="W74" s="58"/>
    </row>
    <row r="75" spans="1:23" ht="40.200000000000003" customHeight="1" x14ac:dyDescent="0.3">
      <c r="A75" s="58"/>
      <c r="B75" s="59"/>
      <c r="C75" s="59"/>
      <c r="D75" s="59"/>
      <c r="E75" s="59"/>
      <c r="F75" s="59"/>
      <c r="G75" s="75"/>
      <c r="H75" s="58"/>
      <c r="I75" s="58"/>
      <c r="J75" s="58"/>
      <c r="K75" s="58"/>
      <c r="L75" s="58"/>
      <c r="M75" s="58"/>
      <c r="N75" s="58"/>
      <c r="O75" s="58"/>
      <c r="P75" s="58"/>
      <c r="Q75" s="58"/>
      <c r="R75" s="58"/>
      <c r="S75" s="58"/>
      <c r="T75" s="58"/>
      <c r="U75" s="58"/>
      <c r="V75" s="58"/>
      <c r="W75" s="58"/>
    </row>
    <row r="76" spans="1:23" ht="40.200000000000003" customHeight="1" x14ac:dyDescent="0.3">
      <c r="A76" s="58"/>
      <c r="B76" s="59"/>
      <c r="C76" s="59"/>
      <c r="D76" s="59"/>
      <c r="E76" s="59"/>
      <c r="F76" s="59"/>
      <c r="G76" s="75"/>
      <c r="H76" s="58"/>
      <c r="I76" s="58"/>
      <c r="J76" s="58"/>
      <c r="K76" s="58"/>
      <c r="L76" s="58"/>
      <c r="M76" s="58"/>
      <c r="N76" s="58"/>
      <c r="O76" s="58"/>
      <c r="P76" s="58"/>
      <c r="Q76" s="58"/>
      <c r="R76" s="58"/>
      <c r="S76" s="58"/>
      <c r="T76" s="58"/>
      <c r="U76" s="58"/>
      <c r="V76" s="58"/>
      <c r="W76" s="58"/>
    </row>
    <row r="77" spans="1:23" ht="40.200000000000003" customHeight="1" x14ac:dyDescent="0.3">
      <c r="A77" s="58"/>
      <c r="B77" s="59"/>
      <c r="C77" s="59"/>
      <c r="D77" s="59"/>
      <c r="E77" s="59"/>
      <c r="F77" s="59"/>
      <c r="G77" s="75"/>
      <c r="H77" s="58"/>
      <c r="I77" s="58"/>
      <c r="J77" s="58"/>
      <c r="K77" s="58"/>
      <c r="L77" s="58"/>
      <c r="M77" s="58"/>
      <c r="N77" s="58"/>
      <c r="O77" s="58"/>
      <c r="P77" s="58"/>
      <c r="Q77" s="58"/>
      <c r="R77" s="58"/>
      <c r="S77" s="58"/>
      <c r="T77" s="58"/>
      <c r="U77" s="58"/>
      <c r="V77" s="58"/>
      <c r="W77" s="58"/>
    </row>
    <row r="78" spans="1:23" ht="40.200000000000003" customHeight="1" x14ac:dyDescent="0.3">
      <c r="A78" s="58"/>
      <c r="B78" s="59"/>
      <c r="C78" s="59"/>
      <c r="D78" s="59"/>
      <c r="E78" s="59"/>
      <c r="F78" s="59"/>
      <c r="G78" s="75"/>
      <c r="H78" s="58"/>
      <c r="I78" s="58"/>
      <c r="J78" s="58"/>
      <c r="K78" s="58"/>
      <c r="L78" s="58"/>
      <c r="M78" s="58"/>
      <c r="N78" s="58"/>
      <c r="O78" s="58"/>
      <c r="P78" s="58"/>
      <c r="Q78" s="58"/>
      <c r="R78" s="58"/>
      <c r="S78" s="58"/>
      <c r="T78" s="58"/>
      <c r="U78" s="58"/>
      <c r="V78" s="58"/>
      <c r="W78" s="58"/>
    </row>
    <row r="79" spans="1:23" ht="40.200000000000003" customHeight="1" x14ac:dyDescent="0.3">
      <c r="A79" s="58"/>
      <c r="B79" s="59"/>
      <c r="C79" s="59"/>
      <c r="D79" s="59"/>
      <c r="E79" s="59"/>
      <c r="F79" s="59"/>
      <c r="G79" s="75"/>
      <c r="H79" s="58"/>
      <c r="I79" s="58"/>
      <c r="J79" s="58"/>
      <c r="K79" s="58"/>
      <c r="L79" s="58"/>
      <c r="M79" s="58"/>
      <c r="N79" s="58"/>
      <c r="O79" s="58"/>
      <c r="P79" s="58"/>
      <c r="Q79" s="58"/>
      <c r="R79" s="58"/>
      <c r="S79" s="58"/>
      <c r="T79" s="58"/>
      <c r="U79" s="58"/>
      <c r="V79" s="58"/>
      <c r="W79" s="58"/>
    </row>
    <row r="80" spans="1:23" ht="40.200000000000003" customHeight="1" x14ac:dyDescent="0.3">
      <c r="A80" s="58"/>
      <c r="B80" s="59"/>
      <c r="C80" s="59"/>
      <c r="D80" s="59"/>
      <c r="E80" s="59"/>
      <c r="F80" s="59"/>
      <c r="G80" s="75"/>
      <c r="H80" s="58"/>
      <c r="I80" s="58"/>
      <c r="J80" s="58"/>
      <c r="K80" s="58"/>
      <c r="L80" s="58"/>
      <c r="M80" s="58"/>
      <c r="N80" s="58"/>
      <c r="O80" s="58"/>
      <c r="P80" s="58"/>
      <c r="Q80" s="58"/>
      <c r="R80" s="58"/>
      <c r="S80" s="58"/>
      <c r="T80" s="58"/>
      <c r="U80" s="58"/>
      <c r="V80" s="58"/>
      <c r="W80" s="58"/>
    </row>
    <row r="81" spans="1:23" ht="40.200000000000003" customHeight="1" x14ac:dyDescent="0.3">
      <c r="A81" s="58"/>
      <c r="B81" s="59"/>
      <c r="C81" s="59"/>
      <c r="D81" s="59"/>
      <c r="E81" s="59"/>
      <c r="F81" s="59"/>
      <c r="G81" s="75"/>
      <c r="H81" s="58"/>
      <c r="I81" s="58"/>
      <c r="J81" s="58"/>
      <c r="K81" s="58"/>
      <c r="L81" s="58"/>
      <c r="M81" s="58"/>
      <c r="N81" s="58"/>
      <c r="O81" s="58"/>
      <c r="P81" s="58"/>
      <c r="Q81" s="58"/>
      <c r="R81" s="58"/>
      <c r="S81" s="58"/>
      <c r="T81" s="58"/>
      <c r="U81" s="58"/>
      <c r="V81" s="58"/>
      <c r="W81" s="58"/>
    </row>
    <row r="82" spans="1:23" ht="40.200000000000003" customHeight="1" x14ac:dyDescent="0.3">
      <c r="A82" s="58"/>
      <c r="B82" s="59"/>
      <c r="C82" s="59"/>
      <c r="D82" s="59"/>
      <c r="E82" s="59"/>
      <c r="F82" s="59"/>
      <c r="G82" s="75"/>
      <c r="H82" s="58"/>
      <c r="I82" s="58"/>
      <c r="J82" s="58"/>
      <c r="K82" s="58"/>
      <c r="L82" s="58"/>
      <c r="M82" s="58"/>
      <c r="N82" s="58"/>
      <c r="O82" s="58"/>
      <c r="P82" s="58"/>
      <c r="Q82" s="58"/>
      <c r="R82" s="58"/>
      <c r="S82" s="58"/>
      <c r="T82" s="58"/>
      <c r="U82" s="58"/>
      <c r="V82" s="58"/>
      <c r="W82" s="58"/>
    </row>
    <row r="83" spans="1:23" ht="40.200000000000003" customHeight="1" x14ac:dyDescent="0.3">
      <c r="A83" s="58"/>
      <c r="B83" s="59"/>
      <c r="C83" s="59"/>
      <c r="D83" s="59"/>
      <c r="E83" s="59"/>
      <c r="F83" s="59"/>
      <c r="G83" s="75"/>
      <c r="H83" s="58"/>
      <c r="I83" s="58"/>
      <c r="J83" s="58"/>
      <c r="K83" s="58"/>
      <c r="L83" s="58"/>
      <c r="M83" s="58"/>
      <c r="N83" s="58"/>
      <c r="O83" s="58"/>
      <c r="P83" s="58"/>
      <c r="Q83" s="58"/>
      <c r="R83" s="58"/>
      <c r="S83" s="58"/>
      <c r="T83" s="58"/>
      <c r="U83" s="58"/>
      <c r="V83" s="58"/>
      <c r="W83" s="58"/>
    </row>
    <row r="84" spans="1:23" ht="40.200000000000003" customHeight="1" x14ac:dyDescent="0.3">
      <c r="A84" s="58"/>
      <c r="B84" s="59"/>
      <c r="C84" s="59"/>
      <c r="D84" s="59"/>
      <c r="E84" s="59"/>
      <c r="F84" s="59"/>
      <c r="G84" s="75"/>
      <c r="H84" s="58"/>
      <c r="I84" s="58"/>
      <c r="J84" s="58"/>
      <c r="K84" s="58"/>
      <c r="L84" s="58"/>
      <c r="M84" s="58"/>
      <c r="N84" s="58"/>
      <c r="O84" s="58"/>
      <c r="P84" s="58"/>
      <c r="Q84" s="58"/>
      <c r="R84" s="58"/>
      <c r="S84" s="58"/>
      <c r="T84" s="58"/>
      <c r="U84" s="58"/>
      <c r="V84" s="58"/>
      <c r="W84" s="58"/>
    </row>
    <row r="85" spans="1:23" ht="40.200000000000003" customHeight="1" x14ac:dyDescent="0.3">
      <c r="A85" s="58"/>
      <c r="B85" s="59"/>
      <c r="C85" s="59"/>
      <c r="D85" s="59"/>
      <c r="E85" s="59"/>
      <c r="F85" s="59"/>
      <c r="G85" s="75"/>
      <c r="H85" s="58"/>
      <c r="I85" s="58"/>
      <c r="J85" s="58"/>
      <c r="K85" s="58"/>
      <c r="L85" s="58"/>
      <c r="M85" s="58"/>
      <c r="N85" s="58"/>
      <c r="O85" s="58"/>
      <c r="P85" s="58"/>
      <c r="Q85" s="58"/>
      <c r="R85" s="58"/>
      <c r="S85" s="58"/>
      <c r="T85" s="58"/>
      <c r="U85" s="58"/>
      <c r="V85" s="58"/>
      <c r="W85" s="58"/>
    </row>
    <row r="86" spans="1:23" ht="40.200000000000003" customHeight="1" x14ac:dyDescent="0.3">
      <c r="A86" s="58"/>
      <c r="B86" s="59"/>
      <c r="C86" s="59"/>
      <c r="D86" s="59"/>
      <c r="E86" s="59"/>
      <c r="F86" s="59"/>
      <c r="G86" s="75"/>
      <c r="H86" s="58"/>
      <c r="I86" s="58"/>
      <c r="J86" s="58"/>
      <c r="K86" s="58"/>
      <c r="L86" s="58"/>
      <c r="M86" s="58"/>
      <c r="N86" s="58"/>
      <c r="O86" s="58"/>
      <c r="P86" s="58"/>
      <c r="Q86" s="58"/>
      <c r="R86" s="58"/>
      <c r="S86" s="58"/>
      <c r="T86" s="58"/>
      <c r="U86" s="58"/>
      <c r="V86" s="58"/>
      <c r="W86" s="58"/>
    </row>
    <row r="87" spans="1:23" ht="40.200000000000003" customHeight="1" x14ac:dyDescent="0.3">
      <c r="A87" s="58"/>
      <c r="B87" s="59"/>
      <c r="C87" s="59"/>
      <c r="D87" s="59"/>
      <c r="E87" s="59"/>
      <c r="F87" s="59"/>
      <c r="G87" s="75"/>
      <c r="H87" s="58"/>
      <c r="I87" s="58"/>
      <c r="J87" s="58"/>
      <c r="K87" s="58"/>
      <c r="L87" s="58"/>
      <c r="M87" s="58"/>
      <c r="N87" s="58"/>
      <c r="O87" s="58"/>
      <c r="P87" s="58"/>
      <c r="Q87" s="58"/>
      <c r="R87" s="58"/>
      <c r="S87" s="58"/>
      <c r="T87" s="58"/>
      <c r="U87" s="58"/>
      <c r="V87" s="58"/>
      <c r="W87" s="58"/>
    </row>
    <row r="88" spans="1:23" ht="40.200000000000003" customHeight="1" x14ac:dyDescent="0.3">
      <c r="A88" s="58"/>
      <c r="B88" s="59"/>
      <c r="C88" s="59"/>
      <c r="D88" s="59"/>
      <c r="E88" s="59"/>
      <c r="F88" s="59"/>
      <c r="G88" s="75"/>
      <c r="H88" s="58"/>
      <c r="I88" s="58"/>
      <c r="J88" s="58"/>
      <c r="K88" s="58"/>
      <c r="L88" s="58"/>
      <c r="M88" s="58"/>
      <c r="N88" s="58"/>
      <c r="O88" s="58"/>
      <c r="P88" s="58"/>
      <c r="Q88" s="58"/>
      <c r="R88" s="58"/>
      <c r="S88" s="58"/>
      <c r="T88" s="58"/>
      <c r="U88" s="58"/>
      <c r="V88" s="58"/>
      <c r="W88" s="58"/>
    </row>
    <row r="89" spans="1:23" ht="40.200000000000003" customHeight="1" x14ac:dyDescent="0.3">
      <c r="A89" s="58"/>
      <c r="B89" s="59"/>
      <c r="C89" s="59"/>
      <c r="D89" s="59"/>
      <c r="E89" s="59"/>
      <c r="F89" s="59"/>
      <c r="G89" s="75"/>
      <c r="H89" s="58"/>
      <c r="I89" s="58"/>
      <c r="J89" s="58"/>
      <c r="K89" s="58"/>
      <c r="L89" s="58"/>
      <c r="M89" s="58"/>
      <c r="N89" s="58"/>
      <c r="O89" s="58"/>
      <c r="P89" s="58"/>
      <c r="Q89" s="58"/>
      <c r="R89" s="58"/>
      <c r="S89" s="58"/>
      <c r="T89" s="58"/>
      <c r="U89" s="58"/>
      <c r="V89" s="58"/>
      <c r="W89" s="58"/>
    </row>
    <row r="90" spans="1:23" ht="40.200000000000003" customHeight="1" x14ac:dyDescent="0.3">
      <c r="A90" s="58"/>
      <c r="B90" s="59"/>
      <c r="C90" s="59"/>
      <c r="D90" s="59"/>
      <c r="E90" s="59"/>
      <c r="F90" s="59"/>
      <c r="G90" s="75"/>
      <c r="H90" s="58"/>
      <c r="I90" s="58"/>
      <c r="J90" s="58"/>
      <c r="K90" s="58"/>
      <c r="L90" s="58"/>
      <c r="M90" s="58"/>
      <c r="N90" s="58"/>
      <c r="O90" s="58"/>
      <c r="P90" s="58"/>
      <c r="Q90" s="58"/>
      <c r="R90" s="58"/>
      <c r="S90" s="58"/>
      <c r="T90" s="58"/>
      <c r="U90" s="58"/>
      <c r="V90" s="58"/>
      <c r="W90" s="58"/>
    </row>
    <row r="91" spans="1:23" ht="40.200000000000003" customHeight="1" x14ac:dyDescent="0.3">
      <c r="A91" s="58"/>
      <c r="B91" s="59"/>
      <c r="C91" s="59"/>
      <c r="D91" s="59"/>
      <c r="E91" s="59"/>
      <c r="F91" s="59"/>
      <c r="G91" s="75"/>
      <c r="H91" s="58"/>
      <c r="I91" s="58"/>
      <c r="J91" s="58"/>
      <c r="K91" s="58"/>
      <c r="L91" s="58"/>
      <c r="M91" s="58"/>
      <c r="N91" s="58"/>
      <c r="O91" s="58"/>
      <c r="P91" s="58"/>
      <c r="Q91" s="58"/>
      <c r="R91" s="58"/>
      <c r="S91" s="58"/>
      <c r="T91" s="58"/>
      <c r="U91" s="58"/>
      <c r="V91" s="58"/>
      <c r="W91" s="58"/>
    </row>
    <row r="92" spans="1:23" ht="40.200000000000003" customHeight="1" x14ac:dyDescent="0.3">
      <c r="A92" s="58"/>
      <c r="B92" s="59"/>
      <c r="C92" s="59"/>
      <c r="D92" s="59"/>
      <c r="E92" s="59"/>
      <c r="F92" s="59"/>
      <c r="G92" s="75"/>
      <c r="H92" s="58"/>
      <c r="I92" s="58"/>
      <c r="J92" s="58"/>
      <c r="K92" s="58"/>
      <c r="L92" s="58"/>
      <c r="M92" s="58"/>
      <c r="N92" s="58"/>
      <c r="O92" s="58"/>
      <c r="P92" s="58"/>
      <c r="Q92" s="58"/>
      <c r="R92" s="58"/>
      <c r="S92" s="58"/>
      <c r="T92" s="58"/>
      <c r="U92" s="58"/>
      <c r="V92" s="58"/>
      <c r="W92" s="58"/>
    </row>
    <row r="93" spans="1:23" ht="40.200000000000003" customHeight="1" x14ac:dyDescent="0.3">
      <c r="A93" s="58"/>
      <c r="B93" s="59"/>
      <c r="C93" s="59"/>
      <c r="D93" s="59"/>
      <c r="E93" s="59"/>
      <c r="F93" s="59"/>
      <c r="G93" s="75"/>
      <c r="H93" s="58"/>
      <c r="I93" s="58"/>
      <c r="J93" s="58"/>
      <c r="K93" s="58"/>
      <c r="L93" s="58"/>
      <c r="M93" s="58"/>
      <c r="N93" s="58"/>
      <c r="O93" s="58"/>
      <c r="P93" s="58"/>
      <c r="Q93" s="58"/>
      <c r="R93" s="58"/>
      <c r="S93" s="58"/>
      <c r="T93" s="58"/>
      <c r="U93" s="58"/>
      <c r="V93" s="58"/>
      <c r="W93" s="58"/>
    </row>
    <row r="94" spans="1:23" ht="40.200000000000003" customHeight="1" x14ac:dyDescent="0.3">
      <c r="A94" s="58"/>
      <c r="B94" s="59"/>
      <c r="C94" s="59"/>
      <c r="D94" s="59"/>
      <c r="E94" s="59"/>
      <c r="F94" s="59"/>
      <c r="G94" s="75"/>
      <c r="H94" s="58"/>
      <c r="I94" s="58"/>
      <c r="J94" s="58"/>
      <c r="K94" s="58"/>
      <c r="L94" s="58"/>
      <c r="M94" s="58"/>
      <c r="N94" s="58"/>
      <c r="O94" s="58"/>
      <c r="P94" s="58"/>
      <c r="Q94" s="58"/>
      <c r="R94" s="58"/>
      <c r="S94" s="58"/>
      <c r="T94" s="58"/>
      <c r="U94" s="58"/>
      <c r="V94" s="58"/>
      <c r="W94" s="58"/>
    </row>
    <row r="95" spans="1:23" ht="40.200000000000003" customHeight="1" x14ac:dyDescent="0.3">
      <c r="A95" s="58"/>
      <c r="B95" s="59"/>
      <c r="C95" s="59"/>
      <c r="D95" s="59"/>
      <c r="E95" s="59"/>
      <c r="F95" s="59"/>
      <c r="G95" s="75"/>
      <c r="H95" s="58"/>
      <c r="I95" s="58"/>
      <c r="J95" s="58"/>
      <c r="K95" s="58"/>
      <c r="L95" s="58"/>
      <c r="M95" s="58"/>
      <c r="N95" s="58"/>
      <c r="O95" s="58"/>
      <c r="P95" s="58"/>
      <c r="Q95" s="58"/>
      <c r="R95" s="58"/>
      <c r="S95" s="58"/>
      <c r="T95" s="58"/>
      <c r="U95" s="58"/>
      <c r="V95" s="58"/>
      <c r="W95" s="58"/>
    </row>
    <row r="96" spans="1:23" ht="40.200000000000003" customHeight="1" x14ac:dyDescent="0.3">
      <c r="A96" s="58"/>
      <c r="B96" s="59"/>
      <c r="C96" s="59"/>
      <c r="D96" s="59"/>
      <c r="E96" s="59"/>
      <c r="F96" s="59"/>
      <c r="G96" s="75"/>
      <c r="H96" s="58"/>
      <c r="I96" s="58"/>
      <c r="J96" s="58"/>
      <c r="K96" s="58"/>
      <c r="L96" s="58"/>
      <c r="M96" s="58"/>
      <c r="N96" s="58"/>
      <c r="O96" s="58"/>
      <c r="P96" s="58"/>
      <c r="Q96" s="58"/>
      <c r="R96" s="58"/>
      <c r="S96" s="58"/>
      <c r="T96" s="58"/>
      <c r="U96" s="58"/>
      <c r="V96" s="58"/>
      <c r="W96" s="58"/>
    </row>
    <row r="97" spans="1:23" ht="40.200000000000003" customHeight="1" x14ac:dyDescent="0.3">
      <c r="A97" s="58"/>
      <c r="B97" s="59"/>
      <c r="C97" s="59"/>
      <c r="D97" s="59"/>
      <c r="E97" s="59"/>
      <c r="F97" s="59"/>
      <c r="G97" s="75"/>
      <c r="H97" s="58"/>
      <c r="I97" s="58"/>
      <c r="J97" s="58"/>
      <c r="K97" s="58"/>
      <c r="L97" s="58"/>
      <c r="M97" s="58"/>
      <c r="N97" s="58"/>
      <c r="O97" s="58"/>
      <c r="P97" s="58"/>
      <c r="Q97" s="58"/>
      <c r="R97" s="58"/>
      <c r="S97" s="58"/>
      <c r="T97" s="58"/>
      <c r="U97" s="58"/>
      <c r="V97" s="58"/>
      <c r="W97" s="58"/>
    </row>
    <row r="98" spans="1:23" ht="40.200000000000003" customHeight="1" x14ac:dyDescent="0.3">
      <c r="A98" s="58"/>
      <c r="B98" s="59"/>
      <c r="C98" s="59"/>
      <c r="D98" s="59"/>
      <c r="E98" s="59"/>
      <c r="F98" s="59"/>
      <c r="G98" s="75"/>
      <c r="H98" s="58"/>
      <c r="I98" s="58"/>
      <c r="J98" s="58"/>
      <c r="K98" s="58"/>
      <c r="L98" s="58"/>
      <c r="M98" s="58"/>
      <c r="N98" s="58"/>
      <c r="O98" s="58"/>
      <c r="P98" s="58"/>
      <c r="Q98" s="58"/>
      <c r="R98" s="58"/>
      <c r="S98" s="58"/>
      <c r="T98" s="58"/>
      <c r="U98" s="58"/>
      <c r="V98" s="58"/>
      <c r="W98" s="58"/>
    </row>
    <row r="99" spans="1:23" ht="40.200000000000003" customHeight="1" x14ac:dyDescent="0.3">
      <c r="A99" s="58"/>
      <c r="B99" s="59"/>
      <c r="C99" s="59"/>
      <c r="D99" s="59"/>
      <c r="E99" s="59"/>
      <c r="F99" s="59"/>
      <c r="G99" s="75"/>
      <c r="H99" s="58"/>
      <c r="I99" s="58"/>
      <c r="J99" s="58"/>
      <c r="K99" s="58"/>
      <c r="L99" s="58"/>
      <c r="M99" s="58"/>
      <c r="N99" s="58"/>
      <c r="O99" s="58"/>
      <c r="P99" s="58"/>
      <c r="Q99" s="58"/>
      <c r="R99" s="58"/>
      <c r="S99" s="58"/>
      <c r="T99" s="58"/>
      <c r="U99" s="58"/>
      <c r="V99" s="58"/>
      <c r="W99" s="58"/>
    </row>
    <row r="100" spans="1:23" ht="40.200000000000003" customHeight="1" x14ac:dyDescent="0.3">
      <c r="A100" s="58"/>
      <c r="B100" s="59"/>
      <c r="C100" s="59"/>
      <c r="D100" s="59"/>
      <c r="E100" s="59"/>
      <c r="F100" s="59"/>
      <c r="G100" s="75"/>
      <c r="H100" s="58"/>
      <c r="I100" s="58"/>
      <c r="J100" s="58"/>
      <c r="K100" s="58"/>
      <c r="L100" s="58"/>
      <c r="M100" s="58"/>
      <c r="N100" s="58"/>
      <c r="O100" s="58"/>
      <c r="P100" s="58"/>
      <c r="Q100" s="58"/>
      <c r="R100" s="58"/>
      <c r="S100" s="58"/>
      <c r="T100" s="58"/>
      <c r="U100" s="58"/>
      <c r="V100" s="58"/>
      <c r="W100" s="58"/>
    </row>
    <row r="101" spans="1:23" ht="40.200000000000003" customHeight="1" x14ac:dyDescent="0.3">
      <c r="A101" s="58"/>
      <c r="B101" s="59"/>
      <c r="C101" s="59"/>
      <c r="D101" s="59"/>
      <c r="E101" s="59"/>
      <c r="F101" s="59"/>
      <c r="G101" s="75"/>
      <c r="H101" s="58"/>
      <c r="I101" s="58"/>
      <c r="J101" s="58"/>
      <c r="K101" s="58"/>
      <c r="L101" s="58"/>
      <c r="M101" s="58"/>
      <c r="N101" s="58"/>
      <c r="O101" s="58"/>
      <c r="P101" s="58"/>
      <c r="Q101" s="58"/>
      <c r="R101" s="58"/>
      <c r="S101" s="58"/>
      <c r="T101" s="58"/>
      <c r="U101" s="58"/>
      <c r="V101" s="58"/>
      <c r="W101" s="58"/>
    </row>
    <row r="102" spans="1:23" ht="40.200000000000003" customHeight="1" x14ac:dyDescent="0.3">
      <c r="A102" s="58"/>
      <c r="B102" s="59"/>
      <c r="C102" s="59"/>
      <c r="D102" s="59"/>
      <c r="E102" s="59"/>
      <c r="F102" s="59"/>
      <c r="G102" s="75"/>
      <c r="H102" s="58"/>
      <c r="I102" s="58"/>
      <c r="J102" s="58"/>
      <c r="K102" s="58"/>
      <c r="L102" s="58"/>
      <c r="M102" s="58"/>
      <c r="N102" s="58"/>
      <c r="O102" s="58"/>
      <c r="P102" s="58"/>
      <c r="Q102" s="58"/>
      <c r="R102" s="58"/>
      <c r="S102" s="58"/>
      <c r="T102" s="58"/>
      <c r="U102" s="58"/>
      <c r="V102" s="58"/>
      <c r="W102" s="58"/>
    </row>
    <row r="103" spans="1:23" ht="40.200000000000003" customHeight="1" x14ac:dyDescent="0.3">
      <c r="A103" s="58"/>
      <c r="B103" s="59"/>
      <c r="C103" s="59"/>
      <c r="D103" s="59"/>
      <c r="E103" s="59"/>
      <c r="F103" s="59"/>
      <c r="G103" s="75"/>
      <c r="H103" s="58"/>
      <c r="I103" s="58"/>
      <c r="J103" s="58"/>
      <c r="K103" s="58"/>
      <c r="L103" s="58"/>
      <c r="M103" s="58"/>
      <c r="N103" s="58"/>
      <c r="O103" s="58"/>
      <c r="P103" s="58"/>
      <c r="Q103" s="58"/>
      <c r="R103" s="58"/>
      <c r="S103" s="58"/>
      <c r="T103" s="58"/>
      <c r="U103" s="58"/>
      <c r="V103" s="58"/>
      <c r="W103" s="58"/>
    </row>
    <row r="104" spans="1:23" ht="40.200000000000003" customHeight="1" x14ac:dyDescent="0.3">
      <c r="A104" s="58"/>
      <c r="B104" s="59"/>
      <c r="C104" s="59"/>
      <c r="D104" s="59"/>
      <c r="E104" s="59"/>
      <c r="F104" s="59"/>
      <c r="G104" s="75"/>
      <c r="H104" s="58"/>
      <c r="I104" s="58"/>
      <c r="J104" s="58"/>
      <c r="K104" s="58"/>
      <c r="L104" s="58"/>
      <c r="M104" s="58"/>
      <c r="N104" s="58"/>
      <c r="O104" s="58"/>
      <c r="P104" s="58"/>
      <c r="Q104" s="58"/>
      <c r="R104" s="58"/>
      <c r="S104" s="58"/>
      <c r="T104" s="58"/>
      <c r="U104" s="58"/>
      <c r="V104" s="58"/>
      <c r="W104" s="58"/>
    </row>
    <row r="105" spans="1:23" ht="40.200000000000003" customHeight="1" x14ac:dyDescent="0.3">
      <c r="A105" s="58"/>
      <c r="B105" s="59"/>
      <c r="C105" s="59"/>
      <c r="D105" s="59"/>
      <c r="E105" s="59"/>
      <c r="F105" s="59"/>
      <c r="G105" s="75"/>
      <c r="H105" s="58"/>
      <c r="I105" s="58"/>
      <c r="J105" s="58"/>
      <c r="K105" s="58"/>
      <c r="L105" s="58"/>
      <c r="M105" s="58"/>
      <c r="N105" s="58"/>
      <c r="O105" s="58"/>
      <c r="P105" s="58"/>
      <c r="Q105" s="58"/>
      <c r="R105" s="58"/>
      <c r="S105" s="58"/>
      <c r="T105" s="58"/>
      <c r="U105" s="58"/>
      <c r="V105" s="58"/>
      <c r="W105" s="58"/>
    </row>
    <row r="106" spans="1:23" ht="40.200000000000003" customHeight="1" x14ac:dyDescent="0.3">
      <c r="A106" s="58"/>
      <c r="B106" s="59"/>
      <c r="C106" s="59"/>
      <c r="D106" s="59"/>
      <c r="E106" s="59"/>
      <c r="F106" s="59"/>
      <c r="G106" s="75"/>
      <c r="H106" s="58"/>
      <c r="I106" s="58"/>
      <c r="J106" s="58"/>
      <c r="K106" s="58"/>
      <c r="L106" s="58"/>
      <c r="M106" s="58"/>
      <c r="N106" s="58"/>
      <c r="O106" s="58"/>
      <c r="P106" s="58"/>
      <c r="Q106" s="58"/>
      <c r="R106" s="58"/>
      <c r="S106" s="58"/>
      <c r="T106" s="58"/>
      <c r="U106" s="58"/>
      <c r="V106" s="58"/>
      <c r="W106" s="58"/>
    </row>
    <row r="107" spans="1:23" ht="40.200000000000003" customHeight="1" x14ac:dyDescent="0.3">
      <c r="A107" s="58"/>
      <c r="B107" s="59"/>
      <c r="C107" s="59"/>
      <c r="D107" s="59"/>
      <c r="E107" s="59"/>
      <c r="F107" s="59"/>
      <c r="G107" s="75"/>
      <c r="H107" s="58"/>
      <c r="I107" s="58"/>
      <c r="J107" s="58"/>
      <c r="K107" s="58"/>
      <c r="L107" s="58"/>
      <c r="M107" s="58"/>
      <c r="N107" s="58"/>
      <c r="O107" s="58"/>
      <c r="P107" s="58"/>
      <c r="Q107" s="58"/>
      <c r="R107" s="58"/>
      <c r="S107" s="58"/>
      <c r="T107" s="58"/>
      <c r="U107" s="58"/>
      <c r="V107" s="58"/>
      <c r="W107" s="58"/>
    </row>
    <row r="108" spans="1:23" ht="40.200000000000003" customHeight="1" x14ac:dyDescent="0.3">
      <c r="A108" s="58"/>
      <c r="B108" s="59"/>
      <c r="C108" s="59"/>
      <c r="D108" s="59"/>
      <c r="E108" s="59"/>
      <c r="F108" s="59"/>
      <c r="G108" s="75"/>
      <c r="H108" s="58"/>
      <c r="I108" s="58"/>
      <c r="J108" s="58"/>
      <c r="K108" s="58"/>
      <c r="L108" s="58"/>
      <c r="M108" s="58"/>
      <c r="N108" s="58"/>
      <c r="O108" s="58"/>
      <c r="P108" s="58"/>
      <c r="Q108" s="58"/>
      <c r="R108" s="58"/>
      <c r="S108" s="58"/>
      <c r="T108" s="58"/>
      <c r="U108" s="58"/>
      <c r="V108" s="58"/>
      <c r="W108" s="58"/>
    </row>
    <row r="109" spans="1:23" ht="40.200000000000003" customHeight="1" x14ac:dyDescent="0.3">
      <c r="A109" s="58"/>
      <c r="B109" s="59"/>
      <c r="C109" s="59"/>
      <c r="D109" s="59"/>
      <c r="E109" s="59"/>
      <c r="F109" s="59"/>
      <c r="G109" s="75"/>
      <c r="H109" s="58"/>
      <c r="I109" s="58"/>
      <c r="J109" s="58"/>
      <c r="K109" s="58"/>
      <c r="L109" s="58"/>
      <c r="M109" s="58"/>
      <c r="N109" s="58"/>
      <c r="O109" s="58"/>
      <c r="P109" s="58"/>
      <c r="Q109" s="58"/>
      <c r="R109" s="58"/>
      <c r="S109" s="58"/>
      <c r="T109" s="58"/>
      <c r="U109" s="58"/>
      <c r="V109" s="58"/>
      <c r="W109" s="58"/>
    </row>
    <row r="110" spans="1:23" ht="40.200000000000003" customHeight="1" x14ac:dyDescent="0.3">
      <c r="A110" s="58"/>
      <c r="B110" s="59"/>
      <c r="C110" s="59"/>
      <c r="D110" s="59"/>
      <c r="E110" s="59"/>
      <c r="F110" s="59"/>
      <c r="G110" s="75"/>
      <c r="H110" s="58"/>
      <c r="I110" s="58"/>
      <c r="J110" s="58"/>
      <c r="K110" s="58"/>
      <c r="L110" s="58"/>
      <c r="M110" s="58"/>
      <c r="N110" s="58"/>
      <c r="O110" s="58"/>
      <c r="P110" s="58"/>
      <c r="Q110" s="58"/>
      <c r="R110" s="58"/>
      <c r="S110" s="58"/>
      <c r="T110" s="58"/>
      <c r="U110" s="58"/>
      <c r="V110" s="58"/>
      <c r="W110" s="58"/>
    </row>
    <row r="111" spans="1:23" ht="40.200000000000003" customHeight="1" x14ac:dyDescent="0.3">
      <c r="A111" s="58"/>
      <c r="B111" s="59"/>
      <c r="C111" s="59"/>
      <c r="D111" s="59"/>
      <c r="E111" s="59"/>
      <c r="F111" s="59"/>
      <c r="G111" s="75"/>
      <c r="H111" s="58"/>
      <c r="I111" s="58"/>
      <c r="J111" s="58"/>
      <c r="K111" s="58"/>
      <c r="L111" s="58"/>
      <c r="M111" s="58"/>
      <c r="N111" s="58"/>
      <c r="O111" s="58"/>
      <c r="P111" s="58"/>
      <c r="Q111" s="58"/>
      <c r="R111" s="58"/>
      <c r="S111" s="58"/>
      <c r="T111" s="58"/>
      <c r="U111" s="58"/>
      <c r="V111" s="58"/>
      <c r="W111" s="58"/>
    </row>
    <row r="112" spans="1:23" ht="40.200000000000003" customHeight="1" x14ac:dyDescent="0.3">
      <c r="A112" s="58"/>
      <c r="B112" s="59"/>
      <c r="C112" s="59"/>
      <c r="D112" s="59"/>
      <c r="E112" s="59"/>
      <c r="F112" s="59"/>
      <c r="G112" s="75"/>
      <c r="H112" s="58"/>
      <c r="I112" s="58"/>
      <c r="J112" s="58"/>
      <c r="K112" s="58"/>
      <c r="L112" s="58"/>
      <c r="M112" s="58"/>
      <c r="N112" s="58"/>
      <c r="O112" s="58"/>
      <c r="P112" s="58"/>
      <c r="Q112" s="58"/>
      <c r="R112" s="58"/>
      <c r="S112" s="58"/>
      <c r="T112" s="58"/>
      <c r="U112" s="58"/>
      <c r="V112" s="58"/>
      <c r="W112" s="58"/>
    </row>
    <row r="113" spans="1:23" ht="40.200000000000003" customHeight="1" x14ac:dyDescent="0.3">
      <c r="A113" s="58"/>
      <c r="G113" s="58"/>
      <c r="H113" s="58"/>
      <c r="I113" s="58"/>
      <c r="J113" s="58"/>
      <c r="K113" s="58"/>
      <c r="L113" s="58"/>
      <c r="M113" s="58"/>
      <c r="N113" s="58"/>
      <c r="O113" s="58"/>
      <c r="P113" s="58"/>
      <c r="Q113" s="58"/>
      <c r="R113" s="58"/>
      <c r="S113" s="58"/>
      <c r="T113" s="58"/>
      <c r="U113" s="58"/>
      <c r="V113" s="58"/>
      <c r="W113" s="58"/>
    </row>
    <row r="114" spans="1:23" ht="40.200000000000003" customHeight="1" x14ac:dyDescent="0.3">
      <c r="A114" s="58"/>
      <c r="G114" s="58"/>
      <c r="H114" s="58"/>
      <c r="I114" s="58"/>
      <c r="J114" s="58"/>
      <c r="K114" s="58"/>
      <c r="L114" s="58"/>
      <c r="M114" s="58"/>
      <c r="N114" s="58"/>
      <c r="O114" s="58"/>
      <c r="P114" s="58"/>
      <c r="Q114" s="58"/>
      <c r="R114" s="58"/>
      <c r="S114" s="58"/>
      <c r="T114" s="58"/>
      <c r="U114" s="58"/>
      <c r="V114" s="58"/>
      <c r="W114" s="58"/>
    </row>
    <row r="115" spans="1:23" ht="40.200000000000003" customHeight="1" x14ac:dyDescent="0.3">
      <c r="A115" s="58"/>
      <c r="G115" s="58"/>
      <c r="H115" s="58"/>
      <c r="I115" s="58"/>
      <c r="J115" s="58"/>
      <c r="K115" s="58"/>
      <c r="L115" s="58"/>
      <c r="M115" s="58"/>
      <c r="N115" s="58"/>
      <c r="O115" s="58"/>
      <c r="P115" s="58"/>
      <c r="Q115" s="58"/>
      <c r="R115" s="58"/>
      <c r="S115" s="58"/>
      <c r="T115" s="58"/>
      <c r="U115" s="58"/>
      <c r="V115" s="58"/>
      <c r="W115" s="58"/>
    </row>
    <row r="116" spans="1:23" ht="40.200000000000003" customHeight="1" x14ac:dyDescent="0.3">
      <c r="A116" s="58"/>
      <c r="G116" s="58"/>
      <c r="H116" s="58"/>
      <c r="I116" s="58"/>
      <c r="J116" s="58"/>
      <c r="K116" s="58"/>
      <c r="L116" s="58"/>
      <c r="M116" s="58"/>
      <c r="N116" s="58"/>
      <c r="O116" s="58"/>
      <c r="P116" s="58"/>
      <c r="Q116" s="58"/>
      <c r="R116" s="58"/>
      <c r="S116" s="58"/>
      <c r="T116" s="58"/>
      <c r="U116" s="58"/>
      <c r="V116" s="58"/>
      <c r="W116" s="58"/>
    </row>
    <row r="117" spans="1:23" ht="40.200000000000003" customHeight="1" x14ac:dyDescent="0.3">
      <c r="A117" s="58"/>
      <c r="G117" s="58"/>
      <c r="H117" s="58"/>
      <c r="I117" s="58"/>
      <c r="J117" s="58"/>
      <c r="K117" s="58"/>
      <c r="L117" s="58"/>
      <c r="M117" s="58"/>
      <c r="N117" s="58"/>
      <c r="O117" s="58"/>
      <c r="P117" s="58"/>
      <c r="Q117" s="58"/>
      <c r="R117" s="58"/>
      <c r="S117" s="58"/>
      <c r="T117" s="58"/>
      <c r="U117" s="58"/>
      <c r="V117" s="58"/>
      <c r="W117" s="58"/>
    </row>
    <row r="118" spans="1:23" ht="40.200000000000003" customHeight="1" x14ac:dyDescent="0.3">
      <c r="A118" s="58"/>
      <c r="G118" s="58"/>
      <c r="H118" s="58"/>
      <c r="I118" s="58"/>
      <c r="J118" s="58"/>
      <c r="K118" s="58"/>
      <c r="L118" s="58"/>
      <c r="M118" s="58"/>
      <c r="N118" s="58"/>
      <c r="O118" s="58"/>
      <c r="P118" s="58"/>
      <c r="Q118" s="58"/>
      <c r="R118" s="58"/>
      <c r="S118" s="58"/>
      <c r="T118" s="58"/>
      <c r="U118" s="58"/>
      <c r="V118" s="58"/>
      <c r="W118" s="58"/>
    </row>
    <row r="119" spans="1:23" ht="40.200000000000003" customHeight="1" x14ac:dyDescent="0.3">
      <c r="A119" s="58"/>
      <c r="G119" s="58"/>
      <c r="H119" s="58"/>
      <c r="I119" s="58"/>
      <c r="J119" s="58"/>
      <c r="K119" s="58"/>
      <c r="L119" s="58"/>
      <c r="M119" s="58"/>
      <c r="N119" s="58"/>
      <c r="O119" s="58"/>
      <c r="P119" s="58"/>
      <c r="Q119" s="58"/>
      <c r="R119" s="58"/>
      <c r="S119" s="58"/>
      <c r="T119" s="58"/>
      <c r="U119" s="58"/>
      <c r="V119" s="58"/>
      <c r="W119" s="58"/>
    </row>
    <row r="120" spans="1:23" ht="40.200000000000003" customHeight="1" x14ac:dyDescent="0.3">
      <c r="A120" s="58"/>
      <c r="G120" s="58"/>
      <c r="H120" s="58"/>
      <c r="I120" s="58"/>
      <c r="J120" s="58"/>
      <c r="K120" s="58"/>
      <c r="L120" s="58"/>
      <c r="M120" s="58"/>
      <c r="N120" s="58"/>
      <c r="O120" s="58"/>
      <c r="P120" s="58"/>
      <c r="Q120" s="58"/>
      <c r="R120" s="58"/>
      <c r="S120" s="58"/>
      <c r="T120" s="58"/>
      <c r="U120" s="58"/>
      <c r="V120" s="58"/>
      <c r="W120" s="58"/>
    </row>
    <row r="121" spans="1:23" ht="40.200000000000003" customHeight="1" x14ac:dyDescent="0.3">
      <c r="A121" s="58"/>
      <c r="G121" s="58"/>
      <c r="H121" s="58"/>
      <c r="I121" s="58"/>
      <c r="J121" s="58"/>
      <c r="K121" s="58"/>
      <c r="L121" s="58"/>
      <c r="M121" s="58"/>
      <c r="N121" s="58"/>
      <c r="O121" s="58"/>
      <c r="P121" s="58"/>
      <c r="Q121" s="58"/>
      <c r="R121" s="58"/>
      <c r="S121" s="58"/>
      <c r="T121" s="58"/>
      <c r="U121" s="58"/>
      <c r="V121" s="58"/>
      <c r="W121" s="58"/>
    </row>
    <row r="122" spans="1:23" ht="40.200000000000003" customHeight="1" x14ac:dyDescent="0.3">
      <c r="A122" s="58"/>
      <c r="G122" s="58"/>
      <c r="H122" s="58"/>
      <c r="I122" s="58"/>
      <c r="J122" s="58"/>
      <c r="K122" s="58"/>
      <c r="L122" s="58"/>
      <c r="M122" s="58"/>
      <c r="N122" s="58"/>
      <c r="O122" s="58"/>
      <c r="P122" s="58"/>
      <c r="Q122" s="58"/>
      <c r="R122" s="58"/>
      <c r="S122" s="58"/>
      <c r="T122" s="58"/>
      <c r="U122" s="58"/>
      <c r="V122" s="58"/>
      <c r="W122" s="58"/>
    </row>
    <row r="123" spans="1:23" ht="40.200000000000003" customHeight="1" x14ac:dyDescent="0.3">
      <c r="A123" s="58"/>
      <c r="G123" s="58"/>
      <c r="H123" s="58"/>
      <c r="I123" s="58"/>
      <c r="J123" s="58"/>
      <c r="K123" s="58"/>
      <c r="L123" s="58"/>
      <c r="M123" s="58"/>
      <c r="N123" s="58"/>
      <c r="O123" s="58"/>
      <c r="P123" s="58"/>
      <c r="Q123" s="58"/>
      <c r="R123" s="58"/>
      <c r="S123" s="58"/>
      <c r="T123" s="58"/>
      <c r="U123" s="58"/>
      <c r="V123" s="58"/>
      <c r="W123" s="58"/>
    </row>
    <row r="124" spans="1:23" ht="40.200000000000003" customHeight="1" x14ac:dyDescent="0.3">
      <c r="A124" s="58"/>
      <c r="G124" s="58"/>
      <c r="H124" s="58"/>
      <c r="I124" s="58"/>
      <c r="J124" s="58"/>
      <c r="K124" s="58"/>
      <c r="L124" s="58"/>
      <c r="M124" s="58"/>
      <c r="N124" s="58"/>
      <c r="O124" s="58"/>
      <c r="P124" s="58"/>
      <c r="Q124" s="58"/>
      <c r="R124" s="58"/>
      <c r="S124" s="58"/>
      <c r="T124" s="58"/>
      <c r="U124" s="58"/>
      <c r="V124" s="58"/>
      <c r="W124" s="58"/>
    </row>
    <row r="125" spans="1:23" ht="40.200000000000003" customHeight="1" x14ac:dyDescent="0.3">
      <c r="A125" s="58"/>
      <c r="G125" s="58"/>
      <c r="H125" s="58"/>
      <c r="I125" s="58"/>
      <c r="J125" s="58"/>
      <c r="K125" s="58"/>
      <c r="L125" s="58"/>
      <c r="M125" s="58"/>
      <c r="N125" s="58"/>
      <c r="O125" s="58"/>
      <c r="P125" s="58"/>
      <c r="Q125" s="58"/>
      <c r="R125" s="58"/>
      <c r="S125" s="58"/>
      <c r="T125" s="58"/>
      <c r="U125" s="58"/>
      <c r="V125" s="58"/>
      <c r="W125" s="58"/>
    </row>
    <row r="126" spans="1:23" ht="40.200000000000003" customHeight="1" x14ac:dyDescent="0.3">
      <c r="A126" s="58"/>
      <c r="G126" s="58"/>
      <c r="H126" s="58"/>
      <c r="I126" s="58"/>
      <c r="J126" s="58"/>
      <c r="K126" s="58"/>
      <c r="L126" s="58"/>
      <c r="M126" s="58"/>
      <c r="N126" s="58"/>
      <c r="O126" s="58"/>
      <c r="P126" s="58"/>
      <c r="Q126" s="58"/>
      <c r="R126" s="58"/>
      <c r="S126" s="58"/>
      <c r="T126" s="58"/>
      <c r="U126" s="58"/>
      <c r="V126" s="58"/>
      <c r="W126" s="58"/>
    </row>
    <row r="127" spans="1:23" ht="40.200000000000003" customHeight="1" x14ac:dyDescent="0.3">
      <c r="A127" s="58"/>
      <c r="G127" s="58"/>
      <c r="H127" s="58"/>
      <c r="I127" s="58"/>
      <c r="J127" s="58"/>
      <c r="K127" s="58"/>
      <c r="L127" s="58"/>
      <c r="M127" s="58"/>
      <c r="N127" s="58"/>
      <c r="O127" s="58"/>
      <c r="P127" s="58"/>
      <c r="Q127" s="58"/>
      <c r="R127" s="58"/>
      <c r="S127" s="58"/>
      <c r="T127" s="58"/>
      <c r="U127" s="58"/>
      <c r="V127" s="58"/>
      <c r="W127" s="58"/>
    </row>
    <row r="128" spans="1:23" ht="40.200000000000003" customHeight="1" x14ac:dyDescent="0.3">
      <c r="A128" s="58"/>
      <c r="G128" s="58"/>
      <c r="H128" s="58"/>
      <c r="I128" s="58"/>
      <c r="J128" s="58"/>
      <c r="K128" s="58"/>
      <c r="L128" s="58"/>
      <c r="M128" s="58"/>
      <c r="N128" s="58"/>
      <c r="O128" s="58"/>
      <c r="P128" s="58"/>
      <c r="Q128" s="58"/>
      <c r="R128" s="58"/>
      <c r="S128" s="58"/>
      <c r="T128" s="58"/>
      <c r="U128" s="58"/>
      <c r="V128" s="58"/>
      <c r="W128" s="58"/>
    </row>
    <row r="129" spans="1:23" ht="40.200000000000003" customHeight="1" x14ac:dyDescent="0.3">
      <c r="A129" s="58"/>
      <c r="G129" s="58"/>
      <c r="H129" s="58"/>
      <c r="I129" s="58"/>
      <c r="J129" s="58"/>
      <c r="K129" s="58"/>
      <c r="L129" s="58"/>
      <c r="M129" s="58"/>
      <c r="N129" s="58"/>
      <c r="O129" s="58"/>
      <c r="P129" s="58"/>
      <c r="Q129" s="58"/>
      <c r="R129" s="58"/>
      <c r="S129" s="58"/>
      <c r="T129" s="58"/>
      <c r="U129" s="58"/>
      <c r="V129" s="58"/>
      <c r="W129" s="58"/>
    </row>
    <row r="130" spans="1:23" ht="40.200000000000003" customHeight="1" x14ac:dyDescent="0.3">
      <c r="A130" s="58"/>
      <c r="G130" s="58"/>
      <c r="H130" s="58"/>
      <c r="I130" s="58"/>
      <c r="J130" s="58"/>
      <c r="K130" s="58"/>
      <c r="L130" s="58"/>
      <c r="M130" s="58"/>
      <c r="N130" s="58"/>
      <c r="O130" s="58"/>
      <c r="P130" s="58"/>
      <c r="Q130" s="58"/>
      <c r="R130" s="58"/>
      <c r="S130" s="58"/>
      <c r="T130" s="58"/>
      <c r="U130" s="58"/>
      <c r="V130" s="58"/>
      <c r="W130" s="58"/>
    </row>
    <row r="131" spans="1:23" ht="40.200000000000003" customHeight="1" x14ac:dyDescent="0.3">
      <c r="A131" s="58"/>
      <c r="G131" s="58"/>
      <c r="H131" s="58"/>
      <c r="I131" s="58"/>
      <c r="J131" s="58"/>
      <c r="K131" s="58"/>
      <c r="L131" s="58"/>
      <c r="M131" s="58"/>
      <c r="N131" s="58"/>
      <c r="O131" s="58"/>
      <c r="P131" s="58"/>
      <c r="Q131" s="58"/>
      <c r="R131" s="58"/>
      <c r="S131" s="58"/>
      <c r="T131" s="58"/>
      <c r="U131" s="58"/>
      <c r="V131" s="58"/>
      <c r="W131" s="58"/>
    </row>
    <row r="132" spans="1:23" ht="40.200000000000003" customHeight="1" x14ac:dyDescent="0.3">
      <c r="A132" s="58"/>
      <c r="G132" s="58"/>
      <c r="H132" s="58"/>
      <c r="I132" s="58"/>
      <c r="J132" s="58"/>
      <c r="K132" s="58"/>
      <c r="L132" s="58"/>
      <c r="M132" s="58"/>
      <c r="N132" s="58"/>
      <c r="O132" s="58"/>
      <c r="P132" s="58"/>
      <c r="Q132" s="58"/>
      <c r="R132" s="58"/>
      <c r="S132" s="58"/>
      <c r="T132" s="58"/>
      <c r="U132" s="58"/>
      <c r="V132" s="58"/>
      <c r="W132" s="58"/>
    </row>
    <row r="133" spans="1:23" ht="40.200000000000003" customHeight="1" x14ac:dyDescent="0.3">
      <c r="A133" s="58"/>
      <c r="G133" s="58"/>
      <c r="H133" s="58"/>
      <c r="I133" s="58"/>
      <c r="J133" s="58"/>
      <c r="K133" s="58"/>
      <c r="L133" s="58"/>
      <c r="M133" s="58"/>
      <c r="N133" s="58"/>
      <c r="O133" s="58"/>
      <c r="P133" s="58"/>
      <c r="Q133" s="58"/>
      <c r="R133" s="58"/>
      <c r="S133" s="58"/>
      <c r="T133" s="58"/>
      <c r="U133" s="58"/>
      <c r="V133" s="58"/>
      <c r="W133" s="58"/>
    </row>
    <row r="134" spans="1:23" ht="40.200000000000003" customHeight="1" x14ac:dyDescent="0.3">
      <c r="A134" s="58"/>
      <c r="G134" s="58"/>
      <c r="H134" s="58"/>
      <c r="I134" s="58"/>
      <c r="J134" s="58"/>
      <c r="K134" s="58"/>
      <c r="L134" s="58"/>
      <c r="M134" s="58"/>
      <c r="N134" s="58"/>
      <c r="O134" s="58"/>
      <c r="P134" s="58"/>
      <c r="Q134" s="58"/>
      <c r="R134" s="58"/>
      <c r="S134" s="58"/>
      <c r="T134" s="58"/>
      <c r="U134" s="58"/>
      <c r="V134" s="58"/>
      <c r="W134" s="58"/>
    </row>
    <row r="135" spans="1:23" ht="40.200000000000003" customHeight="1" x14ac:dyDescent="0.3">
      <c r="A135" s="58"/>
      <c r="G135" s="58"/>
      <c r="H135" s="58"/>
      <c r="I135" s="58"/>
      <c r="J135" s="58"/>
      <c r="K135" s="58"/>
      <c r="L135" s="58"/>
      <c r="M135" s="58"/>
      <c r="N135" s="58"/>
      <c r="O135" s="58"/>
      <c r="P135" s="58"/>
      <c r="Q135" s="58"/>
      <c r="R135" s="58"/>
      <c r="S135" s="58"/>
      <c r="T135" s="58"/>
      <c r="U135" s="58"/>
      <c r="V135" s="58"/>
      <c r="W135" s="58"/>
    </row>
    <row r="136" spans="1:23" ht="40.200000000000003" customHeight="1" x14ac:dyDescent="0.3">
      <c r="A136" s="58"/>
      <c r="G136" s="58"/>
      <c r="H136" s="58"/>
      <c r="I136" s="58"/>
      <c r="J136" s="58"/>
      <c r="K136" s="58"/>
      <c r="L136" s="58"/>
      <c r="M136" s="58"/>
      <c r="N136" s="58"/>
      <c r="O136" s="58"/>
      <c r="P136" s="58"/>
      <c r="Q136" s="58"/>
      <c r="R136" s="58"/>
      <c r="S136" s="58"/>
      <c r="T136" s="58"/>
      <c r="U136" s="58"/>
      <c r="V136" s="58"/>
      <c r="W136" s="58"/>
    </row>
    <row r="137" spans="1:23" ht="40.200000000000003" customHeight="1" x14ac:dyDescent="0.3">
      <c r="A137" s="58"/>
      <c r="G137" s="58"/>
      <c r="H137" s="58"/>
      <c r="I137" s="58"/>
      <c r="J137" s="58"/>
      <c r="K137" s="58"/>
      <c r="L137" s="58"/>
      <c r="M137" s="58"/>
      <c r="N137" s="58"/>
      <c r="O137" s="58"/>
      <c r="P137" s="58"/>
      <c r="Q137" s="58"/>
      <c r="R137" s="58"/>
      <c r="S137" s="58"/>
      <c r="T137" s="58"/>
      <c r="U137" s="58"/>
      <c r="V137" s="58"/>
      <c r="W137" s="58"/>
    </row>
    <row r="138" spans="1:23" ht="40.200000000000003" customHeight="1" x14ac:dyDescent="0.3">
      <c r="A138" s="58"/>
      <c r="G138" s="58"/>
      <c r="H138" s="58"/>
      <c r="I138" s="58"/>
      <c r="J138" s="58"/>
      <c r="K138" s="58"/>
      <c r="L138" s="58"/>
      <c r="M138" s="58"/>
      <c r="N138" s="58"/>
      <c r="O138" s="58"/>
      <c r="P138" s="58"/>
      <c r="Q138" s="58"/>
      <c r="R138" s="58"/>
      <c r="S138" s="58"/>
      <c r="T138" s="58"/>
      <c r="U138" s="58"/>
      <c r="V138" s="58"/>
      <c r="W138" s="58"/>
    </row>
    <row r="139" spans="1:23" ht="40.200000000000003" customHeight="1" x14ac:dyDescent="0.3">
      <c r="A139" s="58"/>
      <c r="G139" s="58"/>
      <c r="H139" s="58"/>
      <c r="I139" s="58"/>
      <c r="J139" s="58"/>
      <c r="K139" s="58"/>
      <c r="L139" s="58"/>
      <c r="M139" s="58"/>
      <c r="N139" s="58"/>
      <c r="O139" s="58"/>
      <c r="P139" s="58"/>
      <c r="Q139" s="58"/>
      <c r="R139" s="58"/>
      <c r="S139" s="58"/>
      <c r="T139" s="58"/>
      <c r="U139" s="58"/>
      <c r="V139" s="58"/>
      <c r="W139" s="58"/>
    </row>
    <row r="140" spans="1:23" ht="40.200000000000003" customHeight="1" x14ac:dyDescent="0.3">
      <c r="A140" s="58"/>
      <c r="G140" s="58"/>
      <c r="H140" s="58"/>
      <c r="I140" s="58"/>
      <c r="J140" s="58"/>
      <c r="K140" s="58"/>
      <c r="L140" s="58"/>
      <c r="M140" s="58"/>
      <c r="N140" s="58"/>
      <c r="O140" s="58"/>
      <c r="P140" s="58"/>
      <c r="Q140" s="58"/>
      <c r="R140" s="58"/>
      <c r="S140" s="58"/>
      <c r="T140" s="58"/>
      <c r="U140" s="58"/>
      <c r="V140" s="58"/>
      <c r="W140" s="58"/>
    </row>
    <row r="141" spans="1:23" ht="40.200000000000003" customHeight="1" x14ac:dyDescent="0.3">
      <c r="A141" s="58"/>
      <c r="G141" s="58"/>
      <c r="H141" s="58"/>
      <c r="I141" s="58"/>
      <c r="J141" s="58"/>
      <c r="K141" s="58"/>
      <c r="L141" s="58"/>
      <c r="M141" s="58"/>
      <c r="N141" s="58"/>
      <c r="O141" s="58"/>
      <c r="P141" s="58"/>
      <c r="Q141" s="58"/>
      <c r="R141" s="58"/>
      <c r="S141" s="58"/>
      <c r="T141" s="58"/>
      <c r="U141" s="58"/>
      <c r="V141" s="58"/>
      <c r="W141" s="58"/>
    </row>
    <row r="142" spans="1:23" ht="40.200000000000003" customHeight="1" x14ac:dyDescent="0.3">
      <c r="A142" s="58"/>
      <c r="G142" s="58"/>
      <c r="H142" s="58"/>
      <c r="I142" s="58"/>
      <c r="J142" s="58"/>
      <c r="K142" s="58"/>
      <c r="L142" s="58"/>
      <c r="M142" s="58"/>
      <c r="N142" s="58"/>
      <c r="O142" s="58"/>
      <c r="P142" s="58"/>
      <c r="Q142" s="58"/>
      <c r="R142" s="58"/>
      <c r="S142" s="58"/>
      <c r="T142" s="58"/>
      <c r="U142" s="58"/>
      <c r="V142" s="58"/>
      <c r="W142" s="58"/>
    </row>
    <row r="143" spans="1:23" ht="40.200000000000003" customHeight="1" x14ac:dyDescent="0.3">
      <c r="A143" s="58"/>
      <c r="G143" s="58"/>
      <c r="H143" s="58"/>
      <c r="I143" s="58"/>
      <c r="J143" s="58"/>
      <c r="K143" s="58"/>
      <c r="L143" s="58"/>
      <c r="M143" s="58"/>
      <c r="N143" s="58"/>
      <c r="O143" s="58"/>
      <c r="P143" s="58"/>
      <c r="Q143" s="58"/>
      <c r="R143" s="58"/>
      <c r="S143" s="58"/>
      <c r="T143" s="58"/>
      <c r="U143" s="58"/>
      <c r="V143" s="58"/>
      <c r="W143" s="58"/>
    </row>
    <row r="144" spans="1:23" ht="40.200000000000003" customHeight="1" x14ac:dyDescent="0.3">
      <c r="A144" s="58"/>
      <c r="G144" s="58"/>
      <c r="H144" s="58"/>
      <c r="I144" s="58"/>
      <c r="J144" s="58"/>
      <c r="K144" s="58"/>
      <c r="L144" s="58"/>
      <c r="M144" s="58"/>
      <c r="N144" s="58"/>
      <c r="O144" s="58"/>
      <c r="P144" s="58"/>
      <c r="Q144" s="58"/>
      <c r="R144" s="58"/>
      <c r="S144" s="58"/>
      <c r="T144" s="58"/>
      <c r="U144" s="58"/>
      <c r="V144" s="58"/>
      <c r="W144" s="58"/>
    </row>
    <row r="145" spans="1:23" ht="40.200000000000003" customHeight="1" x14ac:dyDescent="0.3">
      <c r="A145" s="58"/>
      <c r="G145" s="58"/>
      <c r="H145" s="58"/>
      <c r="I145" s="58"/>
      <c r="J145" s="58"/>
      <c r="K145" s="58"/>
      <c r="L145" s="58"/>
      <c r="M145" s="58"/>
      <c r="N145" s="58"/>
      <c r="O145" s="58"/>
      <c r="P145" s="58"/>
      <c r="Q145" s="58"/>
      <c r="R145" s="58"/>
      <c r="S145" s="58"/>
      <c r="T145" s="58"/>
      <c r="U145" s="58"/>
      <c r="V145" s="58"/>
      <c r="W145" s="58"/>
    </row>
    <row r="146" spans="1:23" ht="40.200000000000003" customHeight="1" x14ac:dyDescent="0.3">
      <c r="A146" s="58"/>
      <c r="G146" s="58"/>
      <c r="H146" s="58"/>
      <c r="I146" s="58"/>
      <c r="J146" s="58"/>
      <c r="K146" s="58"/>
      <c r="L146" s="58"/>
      <c r="M146" s="58"/>
      <c r="N146" s="58"/>
      <c r="O146" s="58"/>
      <c r="P146" s="58"/>
      <c r="Q146" s="58"/>
      <c r="R146" s="58"/>
      <c r="S146" s="58"/>
      <c r="T146" s="58"/>
      <c r="U146" s="58"/>
      <c r="V146" s="58"/>
      <c r="W146" s="58"/>
    </row>
    <row r="147" spans="1:23" ht="40.200000000000003" customHeight="1" x14ac:dyDescent="0.3">
      <c r="A147" s="58"/>
      <c r="G147" s="58"/>
      <c r="H147" s="58"/>
      <c r="I147" s="58"/>
      <c r="J147" s="58"/>
      <c r="K147" s="58"/>
      <c r="L147" s="58"/>
      <c r="M147" s="58"/>
      <c r="N147" s="58"/>
      <c r="O147" s="58"/>
      <c r="P147" s="58"/>
      <c r="Q147" s="58"/>
      <c r="R147" s="58"/>
      <c r="S147" s="58"/>
      <c r="T147" s="58"/>
      <c r="U147" s="58"/>
      <c r="V147" s="58"/>
      <c r="W147" s="58"/>
    </row>
    <row r="148" spans="1:23" ht="40.200000000000003" customHeight="1" x14ac:dyDescent="0.3">
      <c r="A148" s="58"/>
      <c r="G148" s="58"/>
      <c r="H148" s="58"/>
      <c r="I148" s="58"/>
      <c r="J148" s="58"/>
      <c r="K148" s="58"/>
      <c r="L148" s="58"/>
      <c r="M148" s="58"/>
      <c r="N148" s="58"/>
      <c r="O148" s="58"/>
      <c r="P148" s="58"/>
      <c r="Q148" s="58"/>
      <c r="R148" s="58"/>
      <c r="S148" s="58"/>
      <c r="T148" s="58"/>
      <c r="U148" s="58"/>
      <c r="V148" s="58"/>
      <c r="W148" s="58"/>
    </row>
    <row r="149" spans="1:23" ht="40.200000000000003" customHeight="1" x14ac:dyDescent="0.3">
      <c r="A149" s="58"/>
      <c r="G149" s="58"/>
      <c r="H149" s="58"/>
      <c r="I149" s="58"/>
      <c r="J149" s="58"/>
      <c r="K149" s="58"/>
      <c r="L149" s="58"/>
      <c r="M149" s="58"/>
      <c r="N149" s="58"/>
      <c r="O149" s="58"/>
      <c r="P149" s="58"/>
      <c r="Q149" s="58"/>
      <c r="R149" s="58"/>
      <c r="S149" s="58"/>
      <c r="T149" s="58"/>
      <c r="U149" s="58"/>
      <c r="V149" s="58"/>
      <c r="W149" s="58"/>
    </row>
    <row r="150" spans="1:23" ht="40.200000000000003" customHeight="1" x14ac:dyDescent="0.3">
      <c r="A150" s="58"/>
      <c r="G150" s="58"/>
      <c r="H150" s="58"/>
      <c r="I150" s="58"/>
      <c r="J150" s="58"/>
      <c r="K150" s="58"/>
      <c r="L150" s="58"/>
      <c r="M150" s="58"/>
      <c r="N150" s="58"/>
      <c r="O150" s="58"/>
      <c r="P150" s="58"/>
      <c r="Q150" s="58"/>
      <c r="R150" s="58"/>
      <c r="S150" s="58"/>
      <c r="T150" s="58"/>
      <c r="U150" s="58"/>
      <c r="V150" s="58"/>
      <c r="W150" s="58"/>
    </row>
    <row r="151" spans="1:23" ht="40.200000000000003" customHeight="1" x14ac:dyDescent="0.3">
      <c r="A151" s="58"/>
      <c r="G151" s="58"/>
      <c r="H151" s="58"/>
      <c r="I151" s="58"/>
      <c r="J151" s="58"/>
      <c r="K151" s="58"/>
      <c r="L151" s="58"/>
      <c r="M151" s="58"/>
      <c r="N151" s="58"/>
      <c r="O151" s="58"/>
      <c r="P151" s="58"/>
      <c r="Q151" s="58"/>
      <c r="R151" s="58"/>
      <c r="S151" s="58"/>
      <c r="T151" s="58"/>
      <c r="U151" s="58"/>
      <c r="V151" s="58"/>
      <c r="W151" s="58"/>
    </row>
    <row r="152" spans="1:23" ht="40.200000000000003" customHeight="1" x14ac:dyDescent="0.3">
      <c r="A152" s="58"/>
      <c r="G152" s="58"/>
      <c r="H152" s="58"/>
      <c r="I152" s="58"/>
      <c r="J152" s="58"/>
      <c r="K152" s="58"/>
      <c r="L152" s="58"/>
      <c r="M152" s="58"/>
      <c r="N152" s="58"/>
      <c r="O152" s="58"/>
      <c r="P152" s="58"/>
      <c r="Q152" s="58"/>
      <c r="R152" s="58"/>
      <c r="S152" s="58"/>
      <c r="T152" s="58"/>
      <c r="U152" s="58"/>
      <c r="V152" s="58"/>
      <c r="W152" s="58"/>
    </row>
    <row r="153" spans="1:23" ht="40.200000000000003" customHeight="1" x14ac:dyDescent="0.3">
      <c r="A153" s="58"/>
      <c r="G153" s="58"/>
      <c r="H153" s="58"/>
      <c r="I153" s="58"/>
      <c r="J153" s="58"/>
      <c r="K153" s="58"/>
      <c r="L153" s="58"/>
      <c r="M153" s="58"/>
      <c r="N153" s="58"/>
      <c r="O153" s="58"/>
      <c r="P153" s="58"/>
      <c r="Q153" s="58"/>
      <c r="R153" s="58"/>
      <c r="S153" s="58"/>
      <c r="T153" s="58"/>
      <c r="U153" s="58"/>
      <c r="V153" s="58"/>
      <c r="W153" s="58"/>
    </row>
    <row r="154" spans="1:23" ht="40.200000000000003" customHeight="1" x14ac:dyDescent="0.3">
      <c r="A154" s="58"/>
      <c r="G154" s="58"/>
      <c r="H154" s="58"/>
      <c r="I154" s="58"/>
      <c r="J154" s="58"/>
      <c r="K154" s="58"/>
      <c r="L154" s="58"/>
      <c r="M154" s="58"/>
      <c r="N154" s="58"/>
      <c r="O154" s="58"/>
      <c r="P154" s="58"/>
      <c r="Q154" s="58"/>
      <c r="R154" s="58"/>
      <c r="S154" s="58"/>
      <c r="T154" s="58"/>
      <c r="U154" s="58"/>
      <c r="V154" s="58"/>
      <c r="W154" s="58"/>
    </row>
    <row r="155" spans="1:23" ht="40.200000000000003" customHeight="1" x14ac:dyDescent="0.3">
      <c r="A155" s="58"/>
      <c r="G155" s="58"/>
      <c r="H155" s="58"/>
      <c r="I155" s="58"/>
      <c r="J155" s="58"/>
      <c r="K155" s="58"/>
      <c r="L155" s="58"/>
      <c r="M155" s="58"/>
      <c r="N155" s="58"/>
      <c r="O155" s="58"/>
      <c r="P155" s="58"/>
      <c r="Q155" s="58"/>
      <c r="R155" s="58"/>
      <c r="S155" s="58"/>
      <c r="T155" s="58"/>
      <c r="U155" s="58"/>
      <c r="V155" s="58"/>
      <c r="W155" s="58"/>
    </row>
    <row r="156" spans="1:23" ht="40.200000000000003" customHeight="1" x14ac:dyDescent="0.3">
      <c r="A156" s="58"/>
      <c r="G156" s="58"/>
      <c r="H156" s="58"/>
      <c r="I156" s="58"/>
      <c r="J156" s="58"/>
      <c r="K156" s="58"/>
      <c r="L156" s="58"/>
      <c r="M156" s="58"/>
      <c r="N156" s="58"/>
      <c r="O156" s="58"/>
      <c r="P156" s="58"/>
      <c r="Q156" s="58"/>
      <c r="R156" s="58"/>
      <c r="S156" s="58"/>
      <c r="T156" s="58"/>
      <c r="U156" s="58"/>
      <c r="V156" s="58"/>
      <c r="W156" s="58"/>
    </row>
    <row r="157" spans="1:23" ht="40.200000000000003" customHeight="1" x14ac:dyDescent="0.3">
      <c r="A157" s="58"/>
      <c r="G157" s="58"/>
      <c r="H157" s="58"/>
      <c r="I157" s="58"/>
      <c r="J157" s="58"/>
      <c r="K157" s="58"/>
      <c r="L157" s="58"/>
      <c r="M157" s="58"/>
      <c r="N157" s="58"/>
      <c r="O157" s="58"/>
      <c r="P157" s="58"/>
      <c r="Q157" s="58"/>
      <c r="R157" s="58"/>
      <c r="S157" s="58"/>
      <c r="T157" s="58"/>
      <c r="U157" s="58"/>
      <c r="V157" s="58"/>
      <c r="W157" s="58"/>
    </row>
    <row r="158" spans="1:23" ht="40.200000000000003" customHeight="1" x14ac:dyDescent="0.3">
      <c r="A158" s="58"/>
      <c r="G158" s="58"/>
      <c r="H158" s="58"/>
      <c r="I158" s="58"/>
      <c r="J158" s="58"/>
      <c r="K158" s="58"/>
      <c r="L158" s="58"/>
      <c r="M158" s="58"/>
      <c r="N158" s="58"/>
      <c r="O158" s="58"/>
      <c r="P158" s="58"/>
      <c r="Q158" s="58"/>
      <c r="R158" s="58"/>
      <c r="S158" s="58"/>
      <c r="T158" s="58"/>
      <c r="U158" s="58"/>
      <c r="V158" s="58"/>
      <c r="W158" s="58"/>
    </row>
    <row r="159" spans="1:23" ht="40.200000000000003" customHeight="1" x14ac:dyDescent="0.3">
      <c r="A159" s="58"/>
      <c r="G159" s="58"/>
      <c r="H159" s="58"/>
      <c r="I159" s="58"/>
      <c r="J159" s="58"/>
      <c r="K159" s="58"/>
      <c r="L159" s="58"/>
      <c r="M159" s="58"/>
      <c r="N159" s="58"/>
      <c r="O159" s="58"/>
      <c r="P159" s="58"/>
      <c r="Q159" s="58"/>
      <c r="R159" s="58"/>
      <c r="S159" s="58"/>
      <c r="T159" s="58"/>
      <c r="U159" s="58"/>
      <c r="V159" s="58"/>
      <c r="W159" s="58"/>
    </row>
    <row r="160" spans="1:23" ht="40.200000000000003" customHeight="1" x14ac:dyDescent="0.3">
      <c r="A160" s="58"/>
      <c r="G160" s="58"/>
      <c r="H160" s="58"/>
      <c r="I160" s="58"/>
      <c r="J160" s="58"/>
      <c r="K160" s="58"/>
      <c r="L160" s="58"/>
      <c r="M160" s="58"/>
      <c r="N160" s="58"/>
      <c r="O160" s="58"/>
      <c r="P160" s="58"/>
      <c r="Q160" s="58"/>
      <c r="R160" s="58"/>
      <c r="S160" s="58"/>
      <c r="T160" s="58"/>
      <c r="U160" s="58"/>
      <c r="V160" s="58"/>
      <c r="W160" s="58"/>
    </row>
    <row r="161" spans="1:23" ht="40.200000000000003" customHeight="1" x14ac:dyDescent="0.3">
      <c r="A161" s="58"/>
      <c r="G161" s="58"/>
      <c r="H161" s="58"/>
      <c r="I161" s="58"/>
      <c r="J161" s="58"/>
      <c r="K161" s="58"/>
      <c r="L161" s="58"/>
      <c r="M161" s="58"/>
      <c r="N161" s="58"/>
      <c r="O161" s="58"/>
      <c r="P161" s="58"/>
      <c r="Q161" s="58"/>
      <c r="R161" s="58"/>
      <c r="S161" s="58"/>
      <c r="T161" s="58"/>
      <c r="U161" s="58"/>
      <c r="V161" s="58"/>
      <c r="W161" s="58"/>
    </row>
    <row r="162" spans="1:23" ht="40.200000000000003" customHeight="1" x14ac:dyDescent="0.3">
      <c r="A162" s="58"/>
      <c r="G162" s="58"/>
      <c r="H162" s="58"/>
      <c r="I162" s="58"/>
      <c r="J162" s="58"/>
      <c r="K162" s="58"/>
      <c r="L162" s="58"/>
      <c r="M162" s="58"/>
      <c r="N162" s="58"/>
      <c r="O162" s="58"/>
      <c r="P162" s="58"/>
      <c r="Q162" s="58"/>
      <c r="R162" s="58"/>
      <c r="S162" s="58"/>
      <c r="T162" s="58"/>
      <c r="U162" s="58"/>
      <c r="V162" s="58"/>
      <c r="W162" s="58"/>
    </row>
    <row r="163" spans="1:23" ht="40.200000000000003" customHeight="1" x14ac:dyDescent="0.3">
      <c r="A163" s="58"/>
      <c r="G163" s="58"/>
      <c r="H163" s="58"/>
      <c r="I163" s="58"/>
      <c r="J163" s="58"/>
      <c r="K163" s="58"/>
      <c r="L163" s="58"/>
      <c r="M163" s="58"/>
      <c r="N163" s="58"/>
      <c r="O163" s="58"/>
      <c r="P163" s="58"/>
      <c r="Q163" s="58"/>
      <c r="R163" s="58"/>
      <c r="S163" s="58"/>
      <c r="T163" s="58"/>
      <c r="U163" s="58"/>
      <c r="V163" s="58"/>
      <c r="W163" s="58"/>
    </row>
    <row r="164" spans="1:23" ht="40.200000000000003" customHeight="1" x14ac:dyDescent="0.3">
      <c r="A164" s="58"/>
      <c r="G164" s="58"/>
      <c r="H164" s="58"/>
      <c r="I164" s="58"/>
      <c r="J164" s="58"/>
      <c r="K164" s="58"/>
      <c r="L164" s="58"/>
      <c r="M164" s="58"/>
      <c r="N164" s="58"/>
      <c r="O164" s="58"/>
      <c r="P164" s="58"/>
      <c r="Q164" s="58"/>
      <c r="R164" s="58"/>
      <c r="S164" s="58"/>
      <c r="T164" s="58"/>
      <c r="U164" s="58"/>
      <c r="V164" s="58"/>
      <c r="W164" s="58"/>
    </row>
    <row r="165" spans="1:23" ht="40.200000000000003" customHeight="1" x14ac:dyDescent="0.3">
      <c r="A165" s="58"/>
      <c r="G165" s="58"/>
      <c r="H165" s="58"/>
      <c r="I165" s="58"/>
      <c r="J165" s="58"/>
      <c r="K165" s="58"/>
      <c r="L165" s="58"/>
      <c r="M165" s="58"/>
      <c r="N165" s="58"/>
      <c r="O165" s="58"/>
      <c r="P165" s="58"/>
      <c r="Q165" s="58"/>
      <c r="R165" s="58"/>
      <c r="S165" s="58"/>
      <c r="T165" s="58"/>
      <c r="U165" s="58"/>
      <c r="V165" s="58"/>
      <c r="W165" s="58"/>
    </row>
    <row r="166" spans="1:23" ht="40.200000000000003" customHeight="1" x14ac:dyDescent="0.3">
      <c r="A166" s="58"/>
      <c r="G166" s="58"/>
      <c r="H166" s="58"/>
      <c r="I166" s="58"/>
      <c r="J166" s="58"/>
      <c r="K166" s="58"/>
      <c r="L166" s="58"/>
      <c r="M166" s="58"/>
      <c r="N166" s="58"/>
      <c r="O166" s="58"/>
      <c r="P166" s="58"/>
      <c r="Q166" s="58"/>
      <c r="R166" s="58"/>
      <c r="S166" s="58"/>
      <c r="T166" s="58"/>
      <c r="U166" s="58"/>
      <c r="V166" s="58"/>
      <c r="W166" s="58"/>
    </row>
    <row r="167" spans="1:23" ht="40.200000000000003" customHeight="1" x14ac:dyDescent="0.3">
      <c r="A167" s="58"/>
      <c r="G167" s="58"/>
      <c r="H167" s="58"/>
      <c r="I167" s="58"/>
      <c r="J167" s="58"/>
      <c r="K167" s="58"/>
      <c r="L167" s="58"/>
      <c r="M167" s="58"/>
      <c r="N167" s="58"/>
      <c r="O167" s="58"/>
      <c r="P167" s="58"/>
      <c r="Q167" s="58"/>
      <c r="R167" s="58"/>
      <c r="S167" s="58"/>
      <c r="T167" s="58"/>
      <c r="U167" s="58"/>
      <c r="V167" s="58"/>
      <c r="W167" s="58"/>
    </row>
    <row r="168" spans="1:23" ht="40.200000000000003" customHeight="1" x14ac:dyDescent="0.3">
      <c r="A168" s="58"/>
      <c r="G168" s="58"/>
      <c r="H168" s="58"/>
      <c r="I168" s="58"/>
      <c r="J168" s="58"/>
      <c r="K168" s="58"/>
      <c r="L168" s="58"/>
      <c r="M168" s="58"/>
      <c r="N168" s="58"/>
      <c r="O168" s="58"/>
      <c r="P168" s="58"/>
      <c r="Q168" s="58"/>
      <c r="R168" s="58"/>
      <c r="S168" s="58"/>
      <c r="T168" s="58"/>
      <c r="U168" s="58"/>
      <c r="V168" s="58"/>
      <c r="W168" s="58"/>
    </row>
    <row r="169" spans="1:23" ht="40.200000000000003" customHeight="1" x14ac:dyDescent="0.3">
      <c r="A169" s="58"/>
      <c r="G169" s="58"/>
      <c r="H169" s="58"/>
      <c r="I169" s="58"/>
      <c r="J169" s="58"/>
      <c r="K169" s="58"/>
      <c r="L169" s="58"/>
      <c r="M169" s="58"/>
      <c r="N169" s="58"/>
      <c r="O169" s="58"/>
      <c r="P169" s="58"/>
      <c r="Q169" s="58"/>
      <c r="R169" s="58"/>
      <c r="S169" s="58"/>
      <c r="T169" s="58"/>
      <c r="U169" s="58"/>
      <c r="V169" s="58"/>
      <c r="W169" s="58"/>
    </row>
    <row r="170" spans="1:23" ht="40.200000000000003" customHeight="1" x14ac:dyDescent="0.3">
      <c r="A170" s="58"/>
      <c r="G170" s="58"/>
      <c r="H170" s="58"/>
      <c r="I170" s="58"/>
      <c r="J170" s="58"/>
      <c r="K170" s="58"/>
      <c r="L170" s="58"/>
      <c r="M170" s="58"/>
      <c r="N170" s="58"/>
      <c r="O170" s="58"/>
      <c r="P170" s="58"/>
      <c r="Q170" s="58"/>
      <c r="R170" s="58"/>
      <c r="S170" s="58"/>
      <c r="T170" s="58"/>
      <c r="U170" s="58"/>
      <c r="V170" s="58"/>
      <c r="W170" s="58"/>
    </row>
    <row r="171" spans="1:23" ht="40.200000000000003" customHeight="1" x14ac:dyDescent="0.3">
      <c r="A171" s="58"/>
      <c r="G171" s="58"/>
      <c r="H171" s="58"/>
      <c r="I171" s="58"/>
      <c r="J171" s="58"/>
      <c r="K171" s="58"/>
      <c r="L171" s="58"/>
      <c r="M171" s="58"/>
      <c r="N171" s="58"/>
      <c r="O171" s="58"/>
      <c r="P171" s="58"/>
      <c r="Q171" s="58"/>
      <c r="R171" s="58"/>
      <c r="S171" s="58"/>
      <c r="T171" s="58"/>
      <c r="U171" s="58"/>
      <c r="V171" s="58"/>
      <c r="W171" s="58"/>
    </row>
    <row r="172" spans="1:23" ht="40.200000000000003" customHeight="1" x14ac:dyDescent="0.3">
      <c r="A172" s="58"/>
      <c r="G172" s="58"/>
      <c r="H172" s="58"/>
      <c r="I172" s="58"/>
      <c r="J172" s="58"/>
      <c r="K172" s="58"/>
      <c r="L172" s="58"/>
      <c r="M172" s="58"/>
      <c r="N172" s="58"/>
      <c r="O172" s="58"/>
      <c r="P172" s="58"/>
      <c r="Q172" s="58"/>
      <c r="R172" s="58"/>
      <c r="S172" s="58"/>
      <c r="T172" s="58"/>
      <c r="U172" s="58"/>
      <c r="V172" s="58"/>
      <c r="W172" s="58"/>
    </row>
    <row r="173" spans="1:23" ht="40.200000000000003" customHeight="1" x14ac:dyDescent="0.3">
      <c r="A173" s="58"/>
      <c r="G173" s="58"/>
      <c r="H173" s="58"/>
      <c r="I173" s="58"/>
      <c r="J173" s="58"/>
      <c r="K173" s="58"/>
      <c r="L173" s="58"/>
      <c r="M173" s="58"/>
      <c r="N173" s="58"/>
      <c r="O173" s="58"/>
      <c r="P173" s="58"/>
      <c r="Q173" s="58"/>
      <c r="R173" s="58"/>
      <c r="S173" s="58"/>
      <c r="T173" s="58"/>
      <c r="U173" s="58"/>
      <c r="V173" s="58"/>
      <c r="W173" s="58"/>
    </row>
    <row r="174" spans="1:23" ht="40.200000000000003" customHeight="1" x14ac:dyDescent="0.3">
      <c r="A174" s="58"/>
      <c r="G174" s="58"/>
      <c r="H174" s="58"/>
      <c r="I174" s="58"/>
      <c r="J174" s="58"/>
      <c r="K174" s="58"/>
      <c r="L174" s="58"/>
      <c r="M174" s="58"/>
      <c r="N174" s="58"/>
      <c r="O174" s="58"/>
      <c r="P174" s="58"/>
      <c r="Q174" s="58"/>
      <c r="R174" s="58"/>
      <c r="S174" s="58"/>
      <c r="T174" s="58"/>
      <c r="U174" s="58"/>
      <c r="V174" s="58"/>
      <c r="W174" s="58"/>
    </row>
    <row r="175" spans="1:23" ht="40.200000000000003" customHeight="1" x14ac:dyDescent="0.3">
      <c r="A175" s="58"/>
      <c r="G175" s="58"/>
      <c r="H175" s="58"/>
      <c r="I175" s="58"/>
      <c r="J175" s="58"/>
      <c r="K175" s="58"/>
      <c r="L175" s="58"/>
      <c r="M175" s="58"/>
      <c r="N175" s="58"/>
      <c r="O175" s="58"/>
      <c r="P175" s="58"/>
      <c r="Q175" s="58"/>
      <c r="R175" s="58"/>
      <c r="S175" s="58"/>
      <c r="T175" s="58"/>
      <c r="U175" s="58"/>
      <c r="V175" s="58"/>
      <c r="W175" s="58"/>
    </row>
    <row r="176" spans="1:23" ht="40.200000000000003" customHeight="1" x14ac:dyDescent="0.3">
      <c r="A176" s="58"/>
      <c r="G176" s="58"/>
      <c r="H176" s="58"/>
      <c r="I176" s="58"/>
      <c r="J176" s="58"/>
      <c r="K176" s="58"/>
      <c r="L176" s="58"/>
      <c r="M176" s="58"/>
      <c r="N176" s="58"/>
      <c r="O176" s="58"/>
      <c r="P176" s="58"/>
      <c r="Q176" s="58"/>
      <c r="R176" s="58"/>
      <c r="S176" s="58"/>
      <c r="T176" s="58"/>
      <c r="U176" s="58"/>
      <c r="V176" s="58"/>
      <c r="W176" s="58"/>
    </row>
    <row r="177" spans="1:23" ht="40.200000000000003" customHeight="1" x14ac:dyDescent="0.3">
      <c r="A177" s="58"/>
      <c r="G177" s="58"/>
      <c r="H177" s="58"/>
      <c r="I177" s="58"/>
      <c r="J177" s="58"/>
      <c r="K177" s="58"/>
      <c r="L177" s="58"/>
      <c r="M177" s="58"/>
      <c r="N177" s="58"/>
      <c r="O177" s="58"/>
      <c r="P177" s="58"/>
      <c r="Q177" s="58"/>
      <c r="R177" s="58"/>
      <c r="S177" s="58"/>
      <c r="T177" s="58"/>
      <c r="U177" s="58"/>
      <c r="V177" s="58"/>
      <c r="W177" s="58"/>
    </row>
    <row r="178" spans="1:23" ht="40.200000000000003" customHeight="1" x14ac:dyDescent="0.3">
      <c r="A178" s="58"/>
      <c r="G178" s="58"/>
      <c r="H178" s="58"/>
      <c r="I178" s="58"/>
      <c r="J178" s="58"/>
      <c r="K178" s="58"/>
      <c r="L178" s="58"/>
      <c r="M178" s="58"/>
      <c r="N178" s="58"/>
      <c r="O178" s="58"/>
      <c r="P178" s="58"/>
      <c r="Q178" s="58"/>
      <c r="R178" s="58"/>
      <c r="S178" s="58"/>
      <c r="T178" s="58"/>
      <c r="U178" s="58"/>
      <c r="V178" s="58"/>
      <c r="W178" s="58"/>
    </row>
    <row r="179" spans="1:23" ht="40.200000000000003" customHeight="1" x14ac:dyDescent="0.3">
      <c r="A179" s="58"/>
      <c r="G179" s="58"/>
      <c r="H179" s="58"/>
      <c r="I179" s="58"/>
      <c r="J179" s="58"/>
      <c r="K179" s="58"/>
      <c r="L179" s="58"/>
      <c r="M179" s="58"/>
      <c r="N179" s="58"/>
      <c r="O179" s="58"/>
      <c r="P179" s="58"/>
      <c r="Q179" s="58"/>
      <c r="R179" s="58"/>
      <c r="S179" s="58"/>
      <c r="T179" s="58"/>
      <c r="U179" s="58"/>
      <c r="V179" s="58"/>
      <c r="W179" s="58"/>
    </row>
    <row r="180" spans="1:23" ht="40.200000000000003" customHeight="1" x14ac:dyDescent="0.3">
      <c r="A180" s="58"/>
      <c r="G180" s="58"/>
      <c r="H180" s="58"/>
      <c r="I180" s="58"/>
      <c r="J180" s="58"/>
      <c r="K180" s="58"/>
      <c r="L180" s="58"/>
      <c r="M180" s="58"/>
      <c r="N180" s="58"/>
      <c r="O180" s="58"/>
      <c r="P180" s="58"/>
      <c r="Q180" s="58"/>
      <c r="R180" s="58"/>
      <c r="S180" s="58"/>
      <c r="T180" s="58"/>
      <c r="U180" s="58"/>
      <c r="V180" s="58"/>
      <c r="W180" s="58"/>
    </row>
    <row r="181" spans="1:23" ht="40.200000000000003" customHeight="1" x14ac:dyDescent="0.3">
      <c r="A181" s="58"/>
      <c r="G181" s="58"/>
      <c r="H181" s="58"/>
      <c r="I181" s="58"/>
      <c r="J181" s="58"/>
      <c r="K181" s="58"/>
      <c r="L181" s="58"/>
      <c r="M181" s="58"/>
      <c r="N181" s="58"/>
      <c r="O181" s="58"/>
      <c r="P181" s="58"/>
      <c r="Q181" s="58"/>
      <c r="R181" s="58"/>
      <c r="S181" s="58"/>
      <c r="T181" s="58"/>
      <c r="U181" s="58"/>
      <c r="V181" s="58"/>
      <c r="W181" s="58"/>
    </row>
    <row r="182" spans="1:23" ht="40.200000000000003" customHeight="1" x14ac:dyDescent="0.3">
      <c r="A182" s="58"/>
      <c r="G182" s="58"/>
      <c r="H182" s="58"/>
      <c r="I182" s="58"/>
      <c r="J182" s="58"/>
      <c r="K182" s="58"/>
      <c r="L182" s="58"/>
      <c r="M182" s="58"/>
      <c r="N182" s="58"/>
      <c r="O182" s="58"/>
      <c r="P182" s="58"/>
      <c r="Q182" s="58"/>
      <c r="R182" s="58"/>
      <c r="S182" s="58"/>
      <c r="T182" s="58"/>
      <c r="U182" s="58"/>
      <c r="V182" s="58"/>
      <c r="W182" s="58"/>
    </row>
    <row r="183" spans="1:23" ht="40.200000000000003" customHeight="1" x14ac:dyDescent="0.3">
      <c r="A183" s="58"/>
      <c r="G183" s="58"/>
      <c r="H183" s="58"/>
      <c r="I183" s="58"/>
      <c r="J183" s="58"/>
      <c r="K183" s="58"/>
      <c r="L183" s="58"/>
      <c r="M183" s="58"/>
      <c r="N183" s="58"/>
      <c r="O183" s="58"/>
      <c r="P183" s="58"/>
      <c r="Q183" s="58"/>
      <c r="R183" s="58"/>
      <c r="S183" s="58"/>
      <c r="T183" s="58"/>
      <c r="U183" s="58"/>
      <c r="V183" s="58"/>
      <c r="W183" s="58"/>
    </row>
    <row r="184" spans="1:23" ht="40.200000000000003" customHeight="1" x14ac:dyDescent="0.3">
      <c r="A184" s="58"/>
      <c r="G184" s="58"/>
      <c r="H184" s="58"/>
      <c r="I184" s="58"/>
      <c r="J184" s="58"/>
      <c r="K184" s="58"/>
      <c r="L184" s="58"/>
      <c r="M184" s="58"/>
      <c r="N184" s="58"/>
      <c r="O184" s="58"/>
      <c r="P184" s="58"/>
      <c r="Q184" s="58"/>
      <c r="R184" s="58"/>
      <c r="S184" s="58"/>
      <c r="T184" s="58"/>
      <c r="U184" s="58"/>
      <c r="V184" s="58"/>
      <c r="W184" s="58"/>
    </row>
    <row r="185" spans="1:23" ht="40.200000000000003" customHeight="1" x14ac:dyDescent="0.3">
      <c r="A185" s="58"/>
      <c r="G185" s="58"/>
      <c r="H185" s="58"/>
      <c r="I185" s="58"/>
      <c r="J185" s="58"/>
      <c r="K185" s="58"/>
      <c r="L185" s="58"/>
      <c r="M185" s="58"/>
      <c r="N185" s="58"/>
      <c r="O185" s="58"/>
      <c r="P185" s="58"/>
      <c r="Q185" s="58"/>
      <c r="R185" s="58"/>
      <c r="S185" s="58"/>
      <c r="T185" s="58"/>
      <c r="U185" s="58"/>
      <c r="V185" s="58"/>
      <c r="W185" s="58"/>
    </row>
    <row r="186" spans="1:23" ht="40.200000000000003" customHeight="1" x14ac:dyDescent="0.3">
      <c r="A186" s="58"/>
      <c r="G186" s="58"/>
      <c r="H186" s="58"/>
      <c r="I186" s="58"/>
      <c r="J186" s="58"/>
      <c r="K186" s="58"/>
      <c r="L186" s="58"/>
      <c r="M186" s="58"/>
      <c r="N186" s="58"/>
      <c r="O186" s="58"/>
      <c r="P186" s="58"/>
      <c r="Q186" s="58"/>
      <c r="R186" s="58"/>
      <c r="S186" s="58"/>
      <c r="T186" s="58"/>
      <c r="U186" s="58"/>
      <c r="V186" s="58"/>
      <c r="W186" s="58"/>
    </row>
    <row r="187" spans="1:23" ht="40.200000000000003" customHeight="1" x14ac:dyDescent="0.3">
      <c r="A187" s="58"/>
      <c r="G187" s="58"/>
      <c r="H187" s="58"/>
      <c r="I187" s="58"/>
      <c r="J187" s="58"/>
      <c r="K187" s="58"/>
      <c r="L187" s="58"/>
      <c r="M187" s="58"/>
      <c r="N187" s="58"/>
      <c r="O187" s="58"/>
      <c r="P187" s="58"/>
      <c r="Q187" s="58"/>
      <c r="R187" s="58"/>
      <c r="S187" s="58"/>
      <c r="T187" s="58"/>
      <c r="U187" s="58"/>
      <c r="V187" s="58"/>
      <c r="W187" s="58"/>
    </row>
    <row r="188" spans="1:23" ht="40.200000000000003" customHeight="1" x14ac:dyDescent="0.3">
      <c r="A188" s="58"/>
      <c r="G188" s="58"/>
      <c r="H188" s="58"/>
      <c r="I188" s="58"/>
      <c r="J188" s="58"/>
      <c r="K188" s="58"/>
      <c r="L188" s="58"/>
      <c r="M188" s="58"/>
      <c r="N188" s="58"/>
      <c r="O188" s="58"/>
      <c r="P188" s="58"/>
      <c r="Q188" s="58"/>
      <c r="R188" s="58"/>
      <c r="S188" s="58"/>
      <c r="T188" s="58"/>
      <c r="U188" s="58"/>
      <c r="V188" s="58"/>
      <c r="W188" s="58"/>
    </row>
    <row r="189" spans="1:23" ht="40.200000000000003" customHeight="1" x14ac:dyDescent="0.3">
      <c r="A189" s="58"/>
      <c r="G189" s="58"/>
      <c r="H189" s="58"/>
      <c r="I189" s="58"/>
      <c r="J189" s="58"/>
      <c r="K189" s="58"/>
      <c r="L189" s="58"/>
      <c r="M189" s="58"/>
      <c r="N189" s="58"/>
      <c r="O189" s="58"/>
      <c r="P189" s="58"/>
      <c r="Q189" s="58"/>
      <c r="R189" s="58"/>
      <c r="S189" s="58"/>
      <c r="T189" s="58"/>
      <c r="U189" s="58"/>
      <c r="V189" s="58"/>
      <c r="W189" s="58"/>
    </row>
    <row r="190" spans="1:23" ht="40.200000000000003" customHeight="1" x14ac:dyDescent="0.3">
      <c r="A190" s="58"/>
      <c r="G190" s="58"/>
      <c r="H190" s="58"/>
      <c r="I190" s="58"/>
      <c r="J190" s="58"/>
      <c r="K190" s="58"/>
      <c r="L190" s="58"/>
      <c r="M190" s="58"/>
      <c r="N190" s="58"/>
      <c r="O190" s="58"/>
      <c r="P190" s="58"/>
      <c r="Q190" s="58"/>
      <c r="R190" s="58"/>
      <c r="S190" s="58"/>
      <c r="T190" s="58"/>
      <c r="U190" s="58"/>
      <c r="V190" s="58"/>
      <c r="W190" s="58"/>
    </row>
    <row r="191" spans="1:23" ht="40.200000000000003" customHeight="1" x14ac:dyDescent="0.3">
      <c r="A191" s="58"/>
      <c r="G191" s="58"/>
      <c r="H191" s="58"/>
      <c r="I191" s="58"/>
      <c r="J191" s="58"/>
      <c r="K191" s="58"/>
      <c r="L191" s="58"/>
      <c r="M191" s="58"/>
      <c r="N191" s="58"/>
      <c r="O191" s="58"/>
      <c r="P191" s="58"/>
      <c r="Q191" s="58"/>
      <c r="R191" s="58"/>
      <c r="S191" s="58"/>
      <c r="T191" s="58"/>
      <c r="U191" s="58"/>
      <c r="V191" s="58"/>
      <c r="W191" s="58"/>
    </row>
    <row r="192" spans="1:23" ht="40.200000000000003" customHeight="1" x14ac:dyDescent="0.3">
      <c r="A192" s="58"/>
      <c r="G192" s="58"/>
      <c r="H192" s="58"/>
      <c r="I192" s="58"/>
      <c r="J192" s="58"/>
      <c r="K192" s="58"/>
      <c r="L192" s="58"/>
      <c r="M192" s="58"/>
      <c r="N192" s="58"/>
      <c r="O192" s="58"/>
      <c r="P192" s="58"/>
      <c r="Q192" s="58"/>
      <c r="R192" s="58"/>
      <c r="S192" s="58"/>
      <c r="T192" s="58"/>
      <c r="U192" s="58"/>
      <c r="V192" s="58"/>
      <c r="W192" s="58"/>
    </row>
    <row r="193" spans="1:23" ht="40.200000000000003" customHeight="1" x14ac:dyDescent="0.3">
      <c r="A193" s="58"/>
      <c r="G193" s="58"/>
      <c r="H193" s="58"/>
      <c r="I193" s="58"/>
      <c r="J193" s="58"/>
      <c r="K193" s="58"/>
      <c r="L193" s="58"/>
      <c r="M193" s="58"/>
      <c r="N193" s="58"/>
      <c r="O193" s="58"/>
      <c r="P193" s="58"/>
      <c r="Q193" s="58"/>
      <c r="R193" s="58"/>
      <c r="S193" s="58"/>
      <c r="T193" s="58"/>
      <c r="U193" s="58"/>
      <c r="V193" s="58"/>
      <c r="W193" s="58"/>
    </row>
    <row r="194" spans="1:23" ht="40.200000000000003" customHeight="1" x14ac:dyDescent="0.3">
      <c r="A194" s="58"/>
      <c r="G194" s="58"/>
      <c r="H194" s="58"/>
      <c r="I194" s="58"/>
      <c r="J194" s="58"/>
      <c r="K194" s="58"/>
      <c r="L194" s="58"/>
      <c r="M194" s="58"/>
      <c r="N194" s="58"/>
      <c r="O194" s="58"/>
      <c r="P194" s="58"/>
      <c r="Q194" s="58"/>
      <c r="R194" s="58"/>
      <c r="S194" s="58"/>
      <c r="T194" s="58"/>
      <c r="U194" s="58"/>
      <c r="V194" s="58"/>
      <c r="W194" s="58"/>
    </row>
    <row r="195" spans="1:23" ht="40.200000000000003" customHeight="1" x14ac:dyDescent="0.3">
      <c r="A195" s="58"/>
      <c r="G195" s="58"/>
      <c r="H195" s="58"/>
      <c r="I195" s="58"/>
      <c r="J195" s="58"/>
      <c r="K195" s="58"/>
      <c r="L195" s="58"/>
      <c r="M195" s="58"/>
      <c r="N195" s="58"/>
      <c r="O195" s="58"/>
      <c r="P195" s="58"/>
      <c r="Q195" s="58"/>
      <c r="R195" s="58"/>
      <c r="S195" s="58"/>
      <c r="T195" s="58"/>
      <c r="U195" s="58"/>
      <c r="V195" s="58"/>
      <c r="W195" s="58"/>
    </row>
    <row r="196" spans="1:23" ht="40.200000000000003" customHeight="1" x14ac:dyDescent="0.3">
      <c r="A196" s="58"/>
      <c r="G196" s="58"/>
      <c r="H196" s="58"/>
      <c r="I196" s="58"/>
      <c r="J196" s="58"/>
      <c r="K196" s="58"/>
      <c r="L196" s="58"/>
      <c r="M196" s="58"/>
      <c r="N196" s="58"/>
      <c r="O196" s="58"/>
      <c r="P196" s="58"/>
      <c r="Q196" s="58"/>
      <c r="R196" s="58"/>
      <c r="S196" s="58"/>
      <c r="T196" s="58"/>
      <c r="U196" s="58"/>
      <c r="V196" s="58"/>
      <c r="W196" s="58"/>
    </row>
    <row r="197" spans="1:23" ht="40.200000000000003" customHeight="1" x14ac:dyDescent="0.3">
      <c r="A197" s="58"/>
      <c r="G197" s="58"/>
      <c r="H197" s="58"/>
      <c r="I197" s="58"/>
      <c r="J197" s="58"/>
      <c r="K197" s="58"/>
      <c r="L197" s="58"/>
      <c r="M197" s="58"/>
      <c r="N197" s="58"/>
      <c r="O197" s="58"/>
      <c r="P197" s="58"/>
      <c r="Q197" s="58"/>
      <c r="R197" s="58"/>
      <c r="S197" s="58"/>
      <c r="T197" s="58"/>
      <c r="U197" s="58"/>
      <c r="V197" s="58"/>
      <c r="W197" s="58"/>
    </row>
    <row r="198" spans="1:23" ht="40.200000000000003" customHeight="1" x14ac:dyDescent="0.3">
      <c r="A198" s="58"/>
      <c r="G198" s="58"/>
      <c r="H198" s="58"/>
      <c r="I198" s="58"/>
      <c r="J198" s="58"/>
      <c r="K198" s="58"/>
      <c r="L198" s="58"/>
      <c r="M198" s="58"/>
      <c r="N198" s="58"/>
      <c r="O198" s="58"/>
      <c r="P198" s="58"/>
      <c r="Q198" s="58"/>
      <c r="R198" s="58"/>
      <c r="S198" s="58"/>
      <c r="T198" s="58"/>
      <c r="U198" s="58"/>
      <c r="V198" s="58"/>
      <c r="W198" s="58"/>
    </row>
    <row r="199" spans="1:23" ht="40.200000000000003" customHeight="1" x14ac:dyDescent="0.3">
      <c r="A199" s="58"/>
      <c r="G199" s="58"/>
      <c r="H199" s="58"/>
      <c r="I199" s="58"/>
      <c r="J199" s="58"/>
      <c r="K199" s="58"/>
      <c r="L199" s="58"/>
      <c r="M199" s="58"/>
      <c r="N199" s="58"/>
      <c r="O199" s="58"/>
      <c r="P199" s="58"/>
      <c r="Q199" s="58"/>
      <c r="R199" s="58"/>
      <c r="S199" s="58"/>
      <c r="T199" s="58"/>
      <c r="U199" s="58"/>
      <c r="V199" s="58"/>
      <c r="W199" s="58"/>
    </row>
    <row r="200" spans="1:23" ht="40.200000000000003" customHeight="1" x14ac:dyDescent="0.3">
      <c r="A200" s="58"/>
      <c r="G200" s="58"/>
      <c r="H200" s="58"/>
      <c r="I200" s="58"/>
      <c r="J200" s="58"/>
      <c r="K200" s="58"/>
      <c r="L200" s="58"/>
      <c r="M200" s="58"/>
      <c r="N200" s="58"/>
      <c r="O200" s="58"/>
      <c r="P200" s="58"/>
      <c r="Q200" s="58"/>
      <c r="R200" s="58"/>
      <c r="S200" s="58"/>
      <c r="T200" s="58"/>
      <c r="U200" s="58"/>
      <c r="V200" s="58"/>
      <c r="W200" s="58"/>
    </row>
    <row r="201" spans="1:23" ht="40.200000000000003" customHeight="1" x14ac:dyDescent="0.3">
      <c r="A201" s="58"/>
      <c r="G201" s="58"/>
      <c r="H201" s="58"/>
      <c r="I201" s="58"/>
      <c r="J201" s="58"/>
      <c r="K201" s="58"/>
      <c r="L201" s="58"/>
      <c r="M201" s="58"/>
      <c r="N201" s="58"/>
      <c r="O201" s="58"/>
      <c r="P201" s="58"/>
      <c r="Q201" s="58"/>
      <c r="R201" s="58"/>
      <c r="S201" s="58"/>
      <c r="T201" s="58"/>
      <c r="U201" s="58"/>
      <c r="V201" s="58"/>
      <c r="W201" s="58"/>
    </row>
    <row r="202" spans="1:23" ht="40.200000000000003" customHeight="1" x14ac:dyDescent="0.3">
      <c r="A202" s="58"/>
      <c r="G202" s="58"/>
      <c r="H202" s="58"/>
      <c r="I202" s="58"/>
      <c r="J202" s="58"/>
      <c r="K202" s="58"/>
      <c r="L202" s="58"/>
      <c r="M202" s="58"/>
      <c r="N202" s="58"/>
      <c r="O202" s="58"/>
      <c r="P202" s="58"/>
      <c r="Q202" s="58"/>
      <c r="R202" s="58"/>
      <c r="S202" s="58"/>
      <c r="T202" s="58"/>
      <c r="U202" s="58"/>
      <c r="V202" s="58"/>
      <c r="W202" s="58"/>
    </row>
    <row r="203" spans="1:23" ht="40.200000000000003" customHeight="1" x14ac:dyDescent="0.3">
      <c r="A203" s="58"/>
      <c r="G203" s="58"/>
      <c r="H203" s="58"/>
      <c r="I203" s="58"/>
      <c r="J203" s="58"/>
      <c r="K203" s="58"/>
      <c r="L203" s="58"/>
      <c r="M203" s="58"/>
      <c r="N203" s="58"/>
      <c r="O203" s="58"/>
      <c r="P203" s="58"/>
      <c r="Q203" s="58"/>
      <c r="R203" s="58"/>
      <c r="S203" s="58"/>
      <c r="T203" s="58"/>
      <c r="U203" s="58"/>
      <c r="V203" s="58"/>
      <c r="W203" s="58"/>
    </row>
    <row r="204" spans="1:23" ht="40.200000000000003" customHeight="1" x14ac:dyDescent="0.3">
      <c r="A204" s="58"/>
      <c r="G204" s="58"/>
      <c r="H204" s="58"/>
      <c r="I204" s="58"/>
      <c r="J204" s="58"/>
      <c r="K204" s="58"/>
      <c r="L204" s="58"/>
      <c r="M204" s="58"/>
      <c r="N204" s="58"/>
      <c r="O204" s="58"/>
      <c r="P204" s="58"/>
      <c r="Q204" s="58"/>
      <c r="R204" s="58"/>
      <c r="S204" s="58"/>
      <c r="T204" s="58"/>
      <c r="U204" s="58"/>
      <c r="V204" s="58"/>
      <c r="W204" s="58"/>
    </row>
    <row r="205" spans="1:23" ht="40.200000000000003" customHeight="1" x14ac:dyDescent="0.3">
      <c r="A205" s="58"/>
      <c r="G205" s="58"/>
      <c r="H205" s="58"/>
      <c r="I205" s="58"/>
      <c r="J205" s="58"/>
      <c r="K205" s="58"/>
      <c r="L205" s="58"/>
      <c r="M205" s="58"/>
      <c r="N205" s="58"/>
      <c r="O205" s="58"/>
      <c r="P205" s="58"/>
      <c r="Q205" s="58"/>
      <c r="R205" s="58"/>
      <c r="S205" s="58"/>
      <c r="T205" s="58"/>
      <c r="U205" s="58"/>
      <c r="V205" s="58"/>
      <c r="W205" s="58"/>
    </row>
    <row r="206" spans="1:23" ht="40.200000000000003" customHeight="1" x14ac:dyDescent="0.3">
      <c r="A206" s="58"/>
      <c r="G206" s="58"/>
      <c r="H206" s="58"/>
      <c r="I206" s="58"/>
      <c r="J206" s="58"/>
      <c r="K206" s="58"/>
      <c r="L206" s="58"/>
      <c r="M206" s="58"/>
      <c r="N206" s="58"/>
      <c r="O206" s="58"/>
      <c r="P206" s="58"/>
      <c r="Q206" s="58"/>
      <c r="R206" s="58"/>
      <c r="S206" s="58"/>
      <c r="T206" s="58"/>
      <c r="U206" s="58"/>
      <c r="V206" s="58"/>
      <c r="W206" s="58"/>
    </row>
    <row r="207" spans="1:23" ht="40.200000000000003" customHeight="1" x14ac:dyDescent="0.3">
      <c r="A207" s="58"/>
      <c r="G207" s="58"/>
      <c r="H207" s="58"/>
      <c r="I207" s="58"/>
      <c r="J207" s="58"/>
      <c r="K207" s="58"/>
      <c r="L207" s="58"/>
      <c r="M207" s="58"/>
      <c r="N207" s="58"/>
      <c r="O207" s="58"/>
      <c r="P207" s="58"/>
      <c r="Q207" s="58"/>
      <c r="R207" s="58"/>
      <c r="S207" s="58"/>
      <c r="T207" s="58"/>
      <c r="U207" s="58"/>
      <c r="V207" s="58"/>
      <c r="W207" s="58"/>
    </row>
    <row r="208" spans="1:23" ht="40.200000000000003" customHeight="1" x14ac:dyDescent="0.3">
      <c r="A208" s="58"/>
      <c r="G208" s="58"/>
      <c r="H208" s="58"/>
      <c r="I208" s="58"/>
      <c r="J208" s="58"/>
      <c r="K208" s="58"/>
      <c r="L208" s="58"/>
      <c r="M208" s="58"/>
      <c r="N208" s="58"/>
      <c r="O208" s="58"/>
      <c r="P208" s="58"/>
      <c r="Q208" s="58"/>
      <c r="R208" s="58"/>
      <c r="S208" s="58"/>
      <c r="T208" s="58"/>
      <c r="U208" s="58"/>
      <c r="V208" s="58"/>
      <c r="W208" s="58"/>
    </row>
    <row r="209" spans="1:23" ht="40.200000000000003" customHeight="1" x14ac:dyDescent="0.3">
      <c r="A209" s="58"/>
      <c r="G209" s="58"/>
      <c r="H209" s="58"/>
      <c r="I209" s="58"/>
      <c r="J209" s="58"/>
      <c r="K209" s="58"/>
      <c r="L209" s="58"/>
      <c r="M209" s="58"/>
      <c r="N209" s="58"/>
      <c r="O209" s="58"/>
      <c r="P209" s="58"/>
      <c r="Q209" s="58"/>
      <c r="R209" s="58"/>
      <c r="S209" s="58"/>
      <c r="T209" s="58"/>
      <c r="U209" s="58"/>
      <c r="V209" s="58"/>
      <c r="W209" s="58"/>
    </row>
    <row r="210" spans="1:23" ht="40.200000000000003" customHeight="1" x14ac:dyDescent="0.3">
      <c r="A210" s="58"/>
      <c r="G210" s="58"/>
      <c r="H210" s="58"/>
      <c r="I210" s="58"/>
      <c r="J210" s="58"/>
      <c r="K210" s="58"/>
      <c r="L210" s="58"/>
      <c r="M210" s="58"/>
      <c r="N210" s="58"/>
      <c r="O210" s="58"/>
      <c r="P210" s="58"/>
      <c r="Q210" s="58"/>
      <c r="R210" s="58"/>
      <c r="S210" s="58"/>
      <c r="T210" s="58"/>
      <c r="U210" s="58"/>
      <c r="V210" s="58"/>
      <c r="W210" s="58"/>
    </row>
    <row r="211" spans="1:23" ht="40.200000000000003" customHeight="1" x14ac:dyDescent="0.3">
      <c r="A211" s="58"/>
      <c r="G211" s="58"/>
      <c r="H211" s="58"/>
      <c r="I211" s="58"/>
      <c r="J211" s="58"/>
      <c r="K211" s="58"/>
      <c r="L211" s="58"/>
      <c r="M211" s="58"/>
      <c r="N211" s="58"/>
      <c r="O211" s="58"/>
      <c r="P211" s="58"/>
      <c r="Q211" s="58"/>
      <c r="R211" s="58"/>
      <c r="S211" s="58"/>
      <c r="T211" s="58"/>
      <c r="U211" s="58"/>
      <c r="V211" s="58"/>
      <c r="W211" s="58"/>
    </row>
    <row r="212" spans="1:23" ht="40.200000000000003" customHeight="1" x14ac:dyDescent="0.3">
      <c r="A212" s="58"/>
      <c r="G212" s="58"/>
      <c r="H212" s="58"/>
      <c r="I212" s="58"/>
      <c r="J212" s="58"/>
      <c r="K212" s="58"/>
      <c r="L212" s="58"/>
      <c r="M212" s="58"/>
      <c r="N212" s="58"/>
      <c r="O212" s="58"/>
      <c r="P212" s="58"/>
      <c r="Q212" s="58"/>
      <c r="R212" s="58"/>
      <c r="S212" s="58"/>
      <c r="T212" s="58"/>
      <c r="U212" s="58"/>
      <c r="V212" s="58"/>
      <c r="W212" s="58"/>
    </row>
    <row r="213" spans="1:23" ht="40.200000000000003" customHeight="1" x14ac:dyDescent="0.3">
      <c r="A213" s="58"/>
      <c r="G213" s="58"/>
      <c r="H213" s="58"/>
      <c r="I213" s="58"/>
      <c r="J213" s="58"/>
      <c r="K213" s="58"/>
      <c r="L213" s="58"/>
      <c r="M213" s="58"/>
      <c r="N213" s="58"/>
      <c r="O213" s="58"/>
      <c r="P213" s="58"/>
      <c r="Q213" s="58"/>
      <c r="R213" s="58"/>
      <c r="S213" s="58"/>
      <c r="T213" s="58"/>
      <c r="U213" s="58"/>
      <c r="V213" s="58"/>
      <c r="W213" s="58"/>
    </row>
    <row r="214" spans="1:23" ht="40.200000000000003" customHeight="1" x14ac:dyDescent="0.3">
      <c r="A214" s="58"/>
      <c r="G214" s="58"/>
      <c r="H214" s="58"/>
      <c r="I214" s="58"/>
      <c r="J214" s="58"/>
      <c r="K214" s="58"/>
      <c r="L214" s="58"/>
      <c r="M214" s="58"/>
      <c r="N214" s="58"/>
      <c r="O214" s="58"/>
      <c r="P214" s="58"/>
      <c r="Q214" s="58"/>
      <c r="R214" s="58"/>
      <c r="S214" s="58"/>
      <c r="T214" s="58"/>
      <c r="U214" s="58"/>
      <c r="V214" s="58"/>
      <c r="W214" s="58"/>
    </row>
    <row r="215" spans="1:23" ht="40.200000000000003" customHeight="1" x14ac:dyDescent="0.3">
      <c r="A215" s="58"/>
      <c r="G215" s="58"/>
      <c r="H215" s="58"/>
      <c r="I215" s="58"/>
      <c r="J215" s="58"/>
      <c r="K215" s="58"/>
      <c r="L215" s="58"/>
      <c r="M215" s="58"/>
      <c r="N215" s="58"/>
      <c r="O215" s="58"/>
      <c r="P215" s="58"/>
      <c r="Q215" s="58"/>
      <c r="R215" s="58"/>
      <c r="S215" s="58"/>
      <c r="T215" s="58"/>
      <c r="U215" s="58"/>
      <c r="V215" s="58"/>
      <c r="W215" s="58"/>
    </row>
    <row r="216" spans="1:23" ht="40.200000000000003" customHeight="1" x14ac:dyDescent="0.3">
      <c r="A216" s="58"/>
      <c r="G216" s="58"/>
      <c r="H216" s="58"/>
      <c r="I216" s="58"/>
      <c r="J216" s="58"/>
      <c r="K216" s="58"/>
      <c r="L216" s="58"/>
      <c r="M216" s="58"/>
      <c r="N216" s="58"/>
      <c r="O216" s="58"/>
      <c r="P216" s="58"/>
      <c r="Q216" s="58"/>
      <c r="R216" s="58"/>
      <c r="S216" s="58"/>
      <c r="T216" s="58"/>
      <c r="U216" s="58"/>
      <c r="V216" s="58"/>
      <c r="W216" s="58"/>
    </row>
    <row r="217" spans="1:23" ht="40.200000000000003" customHeight="1" x14ac:dyDescent="0.3">
      <c r="A217" s="58"/>
      <c r="G217" s="58"/>
      <c r="H217" s="58"/>
      <c r="I217" s="58"/>
      <c r="J217" s="58"/>
      <c r="K217" s="58"/>
      <c r="L217" s="58"/>
      <c r="M217" s="58"/>
      <c r="N217" s="58"/>
      <c r="O217" s="58"/>
      <c r="P217" s="58"/>
      <c r="Q217" s="58"/>
      <c r="R217" s="58"/>
      <c r="S217" s="58"/>
      <c r="T217" s="58"/>
      <c r="U217" s="58"/>
      <c r="V217" s="58"/>
      <c r="W217" s="58"/>
    </row>
    <row r="218" spans="1:23" ht="40.200000000000003" customHeight="1" x14ac:dyDescent="0.3">
      <c r="A218" s="58"/>
      <c r="G218" s="58"/>
      <c r="H218" s="58"/>
      <c r="I218" s="58"/>
      <c r="J218" s="58"/>
      <c r="K218" s="58"/>
      <c r="L218" s="58"/>
      <c r="M218" s="58"/>
      <c r="N218" s="58"/>
      <c r="O218" s="58"/>
      <c r="P218" s="58"/>
      <c r="Q218" s="58"/>
      <c r="R218" s="58"/>
      <c r="S218" s="58"/>
      <c r="T218" s="58"/>
      <c r="U218" s="58"/>
      <c r="V218" s="58"/>
      <c r="W218" s="58"/>
    </row>
    <row r="219" spans="1:23" ht="40.200000000000003" customHeight="1" x14ac:dyDescent="0.3">
      <c r="A219" s="58"/>
      <c r="G219" s="58"/>
      <c r="H219" s="58"/>
      <c r="I219" s="58"/>
      <c r="J219" s="58"/>
      <c r="K219" s="58"/>
      <c r="L219" s="58"/>
      <c r="M219" s="58"/>
      <c r="N219" s="58"/>
      <c r="O219" s="58"/>
      <c r="P219" s="58"/>
      <c r="Q219" s="58"/>
      <c r="R219" s="58"/>
      <c r="S219" s="58"/>
      <c r="T219" s="58"/>
      <c r="U219" s="58"/>
      <c r="V219" s="58"/>
      <c r="W219" s="58"/>
    </row>
    <row r="220" spans="1:23" ht="40.200000000000003" customHeight="1" x14ac:dyDescent="0.3">
      <c r="A220" s="58"/>
      <c r="G220" s="58"/>
      <c r="H220" s="58"/>
      <c r="I220" s="58"/>
      <c r="J220" s="58"/>
      <c r="K220" s="58"/>
      <c r="L220" s="58"/>
      <c r="M220" s="58"/>
      <c r="N220" s="58"/>
      <c r="O220" s="58"/>
      <c r="P220" s="58"/>
      <c r="Q220" s="58"/>
      <c r="R220" s="58"/>
      <c r="S220" s="58"/>
      <c r="T220" s="58"/>
      <c r="U220" s="58"/>
      <c r="V220" s="58"/>
      <c r="W220" s="58"/>
    </row>
    <row r="221" spans="1:23" ht="40.200000000000003" customHeight="1" x14ac:dyDescent="0.3">
      <c r="A221" s="58"/>
      <c r="G221" s="58"/>
      <c r="H221" s="58"/>
      <c r="I221" s="58"/>
      <c r="J221" s="58"/>
      <c r="K221" s="58"/>
      <c r="L221" s="58"/>
      <c r="M221" s="58"/>
      <c r="N221" s="58"/>
      <c r="O221" s="58"/>
      <c r="P221" s="58"/>
      <c r="Q221" s="58"/>
      <c r="R221" s="58"/>
      <c r="S221" s="58"/>
      <c r="T221" s="58"/>
      <c r="U221" s="58"/>
      <c r="V221" s="58"/>
      <c r="W221" s="58"/>
    </row>
    <row r="222" spans="1:23" ht="40.200000000000003" customHeight="1" x14ac:dyDescent="0.3">
      <c r="A222" s="58"/>
      <c r="G222" s="58"/>
      <c r="H222" s="58"/>
      <c r="I222" s="58"/>
      <c r="J222" s="58"/>
      <c r="K222" s="58"/>
      <c r="L222" s="58"/>
      <c r="M222" s="58"/>
      <c r="N222" s="58"/>
      <c r="O222" s="58"/>
      <c r="P222" s="58"/>
      <c r="Q222" s="58"/>
      <c r="R222" s="58"/>
      <c r="S222" s="58"/>
      <c r="T222" s="58"/>
      <c r="U222" s="58"/>
      <c r="V222" s="58"/>
      <c r="W222" s="58"/>
    </row>
    <row r="223" spans="1:23" ht="40.200000000000003" customHeight="1" x14ac:dyDescent="0.3">
      <c r="A223" s="58"/>
      <c r="G223" s="58"/>
      <c r="H223" s="58"/>
      <c r="I223" s="58"/>
      <c r="J223" s="58"/>
      <c r="K223" s="58"/>
      <c r="L223" s="58"/>
      <c r="M223" s="58"/>
      <c r="N223" s="58"/>
      <c r="O223" s="58"/>
      <c r="P223" s="58"/>
      <c r="Q223" s="58"/>
      <c r="R223" s="58"/>
      <c r="S223" s="58"/>
      <c r="T223" s="58"/>
      <c r="U223" s="58"/>
      <c r="V223" s="58"/>
      <c r="W223" s="58"/>
    </row>
    <row r="224" spans="1:23" ht="40.200000000000003" customHeight="1" x14ac:dyDescent="0.3">
      <c r="A224" s="58"/>
      <c r="G224" s="58"/>
      <c r="H224" s="58"/>
      <c r="I224" s="58"/>
      <c r="J224" s="58"/>
      <c r="K224" s="58"/>
      <c r="L224" s="58"/>
      <c r="M224" s="58"/>
      <c r="N224" s="58"/>
      <c r="O224" s="58"/>
      <c r="P224" s="58"/>
      <c r="Q224" s="58"/>
      <c r="R224" s="58"/>
      <c r="S224" s="58"/>
      <c r="T224" s="58"/>
      <c r="U224" s="58"/>
      <c r="V224" s="58"/>
      <c r="W224" s="58"/>
    </row>
    <row r="225" spans="1:23" ht="40.200000000000003" customHeight="1" x14ac:dyDescent="0.3">
      <c r="A225" s="58"/>
      <c r="G225" s="58"/>
      <c r="H225" s="58"/>
      <c r="I225" s="58"/>
      <c r="J225" s="58"/>
      <c r="K225" s="58"/>
      <c r="L225" s="58"/>
      <c r="M225" s="58"/>
      <c r="N225" s="58"/>
      <c r="O225" s="58"/>
      <c r="P225" s="58"/>
      <c r="Q225" s="58"/>
      <c r="R225" s="58"/>
      <c r="S225" s="58"/>
      <c r="T225" s="58"/>
      <c r="U225" s="58"/>
      <c r="V225" s="58"/>
      <c r="W225" s="58"/>
    </row>
    <row r="226" spans="1:23" ht="40.200000000000003" customHeight="1" x14ac:dyDescent="0.3">
      <c r="A226" s="58"/>
      <c r="G226" s="58"/>
      <c r="H226" s="58"/>
      <c r="I226" s="58"/>
      <c r="J226" s="58"/>
      <c r="K226" s="58"/>
      <c r="L226" s="58"/>
      <c r="M226" s="58"/>
      <c r="N226" s="58"/>
      <c r="O226" s="58"/>
      <c r="P226" s="58"/>
      <c r="Q226" s="58"/>
      <c r="R226" s="58"/>
      <c r="S226" s="58"/>
      <c r="T226" s="58"/>
      <c r="U226" s="58"/>
      <c r="V226" s="58"/>
      <c r="W226" s="58"/>
    </row>
    <row r="227" spans="1:23" ht="40.200000000000003" customHeight="1" x14ac:dyDescent="0.3">
      <c r="A227" s="58"/>
      <c r="G227" s="58"/>
      <c r="H227" s="58"/>
      <c r="I227" s="58"/>
      <c r="J227" s="58"/>
      <c r="K227" s="58"/>
      <c r="L227" s="58"/>
      <c r="M227" s="58"/>
      <c r="N227" s="58"/>
      <c r="O227" s="58"/>
      <c r="P227" s="58"/>
      <c r="Q227" s="58"/>
      <c r="R227" s="58"/>
      <c r="S227" s="58"/>
      <c r="T227" s="58"/>
      <c r="U227" s="58"/>
      <c r="V227" s="58"/>
      <c r="W227" s="58"/>
    </row>
    <row r="228" spans="1:23" ht="40.200000000000003" customHeight="1" x14ac:dyDescent="0.3">
      <c r="A228" s="58"/>
      <c r="G228" s="58"/>
      <c r="H228" s="58"/>
      <c r="I228" s="58"/>
      <c r="J228" s="58"/>
      <c r="K228" s="58"/>
      <c r="L228" s="58"/>
      <c r="M228" s="58"/>
      <c r="N228" s="58"/>
      <c r="O228" s="58"/>
      <c r="P228" s="58"/>
      <c r="Q228" s="58"/>
      <c r="R228" s="58"/>
      <c r="S228" s="58"/>
      <c r="T228" s="58"/>
      <c r="U228" s="58"/>
      <c r="V228" s="58"/>
      <c r="W228" s="58"/>
    </row>
    <row r="229" spans="1:23" ht="40.200000000000003" customHeight="1" x14ac:dyDescent="0.3">
      <c r="A229" s="58"/>
      <c r="G229" s="58"/>
      <c r="H229" s="58"/>
      <c r="I229" s="58"/>
      <c r="J229" s="58"/>
      <c r="K229" s="58"/>
      <c r="L229" s="58"/>
      <c r="M229" s="58"/>
      <c r="N229" s="58"/>
      <c r="O229" s="58"/>
      <c r="P229" s="58"/>
      <c r="Q229" s="58"/>
      <c r="R229" s="58"/>
      <c r="S229" s="58"/>
      <c r="T229" s="58"/>
      <c r="U229" s="58"/>
      <c r="V229" s="58"/>
      <c r="W229" s="58"/>
    </row>
    <row r="230" spans="1:23" ht="40.200000000000003" customHeight="1" x14ac:dyDescent="0.3">
      <c r="A230" s="58"/>
      <c r="G230" s="58"/>
      <c r="H230" s="58"/>
      <c r="I230" s="58"/>
      <c r="J230" s="58"/>
      <c r="K230" s="58"/>
      <c r="L230" s="58"/>
      <c r="M230" s="58"/>
      <c r="N230" s="58"/>
      <c r="O230" s="58"/>
      <c r="P230" s="58"/>
      <c r="Q230" s="58"/>
      <c r="R230" s="58"/>
      <c r="S230" s="58"/>
      <c r="T230" s="58"/>
      <c r="U230" s="58"/>
      <c r="V230" s="58"/>
      <c r="W230" s="58"/>
    </row>
    <row r="231" spans="1:23" ht="40.200000000000003" customHeight="1" x14ac:dyDescent="0.3">
      <c r="A231" s="58"/>
      <c r="G231" s="58"/>
      <c r="H231" s="58"/>
      <c r="I231" s="58"/>
      <c r="J231" s="58"/>
      <c r="K231" s="58"/>
      <c r="L231" s="58"/>
      <c r="M231" s="58"/>
      <c r="N231" s="58"/>
      <c r="O231" s="58"/>
      <c r="P231" s="58"/>
      <c r="Q231" s="58"/>
      <c r="R231" s="58"/>
      <c r="S231" s="58"/>
      <c r="T231" s="58"/>
      <c r="U231" s="58"/>
      <c r="V231" s="58"/>
      <c r="W231" s="58"/>
    </row>
    <row r="232" spans="1:23" ht="40.200000000000003" customHeight="1" x14ac:dyDescent="0.3">
      <c r="A232" s="58"/>
      <c r="G232" s="58"/>
      <c r="H232" s="58"/>
      <c r="I232" s="58"/>
      <c r="J232" s="58"/>
      <c r="K232" s="58"/>
      <c r="L232" s="58"/>
      <c r="M232" s="58"/>
      <c r="N232" s="58"/>
      <c r="O232" s="58"/>
      <c r="P232" s="58"/>
      <c r="Q232" s="58"/>
      <c r="R232" s="58"/>
      <c r="S232" s="58"/>
      <c r="T232" s="58"/>
      <c r="U232" s="58"/>
      <c r="V232" s="58"/>
      <c r="W232" s="58"/>
    </row>
    <row r="233" spans="1:23" ht="40.200000000000003" customHeight="1" x14ac:dyDescent="0.3">
      <c r="A233" s="58"/>
      <c r="G233" s="58"/>
      <c r="H233" s="58"/>
      <c r="I233" s="58"/>
      <c r="J233" s="58"/>
      <c r="K233" s="58"/>
      <c r="L233" s="58"/>
      <c r="M233" s="58"/>
      <c r="N233" s="58"/>
      <c r="O233" s="58"/>
      <c r="P233" s="58"/>
      <c r="Q233" s="58"/>
      <c r="R233" s="58"/>
      <c r="S233" s="58"/>
      <c r="T233" s="58"/>
      <c r="U233" s="58"/>
      <c r="V233" s="58"/>
      <c r="W233" s="58"/>
    </row>
    <row r="234" spans="1:23" ht="40.200000000000003" customHeight="1" x14ac:dyDescent="0.3">
      <c r="A234" s="58"/>
      <c r="G234" s="58"/>
      <c r="H234" s="58"/>
      <c r="I234" s="58"/>
      <c r="J234" s="58"/>
      <c r="K234" s="58"/>
      <c r="L234" s="58"/>
      <c r="M234" s="58"/>
      <c r="N234" s="58"/>
      <c r="O234" s="58"/>
      <c r="P234" s="58"/>
      <c r="Q234" s="58"/>
      <c r="R234" s="58"/>
      <c r="S234" s="58"/>
      <c r="T234" s="58"/>
      <c r="U234" s="58"/>
      <c r="V234" s="58"/>
      <c r="W234" s="58"/>
    </row>
    <row r="235" spans="1:23" ht="40.200000000000003" customHeight="1" x14ac:dyDescent="0.3">
      <c r="A235" s="58"/>
      <c r="G235" s="58"/>
      <c r="H235" s="58"/>
      <c r="I235" s="58"/>
      <c r="J235" s="58"/>
      <c r="K235" s="58"/>
      <c r="L235" s="58"/>
      <c r="M235" s="58"/>
      <c r="N235" s="58"/>
      <c r="O235" s="58"/>
      <c r="P235" s="58"/>
      <c r="Q235" s="58"/>
      <c r="R235" s="58"/>
      <c r="S235" s="58"/>
      <c r="T235" s="58"/>
      <c r="U235" s="58"/>
      <c r="V235" s="58"/>
      <c r="W235" s="58"/>
    </row>
    <row r="236" spans="1:23" ht="40.200000000000003" customHeight="1" x14ac:dyDescent="0.3">
      <c r="A236" s="58"/>
      <c r="G236" s="58"/>
      <c r="H236" s="58"/>
      <c r="I236" s="58"/>
      <c r="J236" s="58"/>
      <c r="K236" s="58"/>
      <c r="L236" s="58"/>
      <c r="M236" s="58"/>
      <c r="N236" s="58"/>
      <c r="O236" s="58"/>
      <c r="P236" s="58"/>
      <c r="Q236" s="58"/>
      <c r="R236" s="58"/>
      <c r="S236" s="58"/>
      <c r="T236" s="58"/>
      <c r="U236" s="58"/>
      <c r="V236" s="58"/>
      <c r="W236" s="58"/>
    </row>
    <row r="237" spans="1:23" ht="40.200000000000003" customHeight="1" x14ac:dyDescent="0.3">
      <c r="A237" s="58"/>
      <c r="G237" s="58"/>
      <c r="H237" s="58"/>
      <c r="I237" s="58"/>
      <c r="J237" s="58"/>
      <c r="K237" s="58"/>
      <c r="L237" s="58"/>
      <c r="M237" s="58"/>
      <c r="N237" s="58"/>
      <c r="O237" s="58"/>
      <c r="P237" s="58"/>
      <c r="Q237" s="58"/>
      <c r="R237" s="58"/>
      <c r="S237" s="58"/>
      <c r="T237" s="58"/>
      <c r="U237" s="58"/>
      <c r="V237" s="58"/>
      <c r="W237" s="58"/>
    </row>
    <row r="238" spans="1:23" ht="40.200000000000003" customHeight="1" x14ac:dyDescent="0.3">
      <c r="A238" s="58"/>
      <c r="G238" s="58"/>
      <c r="H238" s="58"/>
      <c r="I238" s="58"/>
      <c r="J238" s="58"/>
      <c r="K238" s="58"/>
      <c r="L238" s="58"/>
      <c r="M238" s="58"/>
      <c r="N238" s="58"/>
      <c r="O238" s="58"/>
      <c r="P238" s="58"/>
      <c r="Q238" s="58"/>
      <c r="R238" s="58"/>
      <c r="S238" s="58"/>
      <c r="T238" s="58"/>
      <c r="U238" s="58"/>
      <c r="V238" s="58"/>
      <c r="W238" s="58"/>
    </row>
    <row r="239" spans="1:23" ht="40.200000000000003" customHeight="1" x14ac:dyDescent="0.3">
      <c r="A239" s="58"/>
      <c r="G239" s="58"/>
      <c r="H239" s="58"/>
      <c r="I239" s="58"/>
      <c r="J239" s="58"/>
      <c r="K239" s="58"/>
      <c r="L239" s="58"/>
      <c r="M239" s="58"/>
      <c r="N239" s="58"/>
      <c r="O239" s="58"/>
      <c r="P239" s="58"/>
      <c r="Q239" s="58"/>
      <c r="R239" s="58"/>
      <c r="S239" s="58"/>
      <c r="T239" s="58"/>
      <c r="U239" s="58"/>
      <c r="V239" s="58"/>
      <c r="W239" s="58"/>
    </row>
    <row r="240" spans="1:23" ht="40.200000000000003" customHeight="1" x14ac:dyDescent="0.3">
      <c r="A240" s="58"/>
      <c r="G240" s="58"/>
      <c r="H240" s="58"/>
      <c r="I240" s="58"/>
      <c r="J240" s="58"/>
      <c r="K240" s="58"/>
      <c r="L240" s="58"/>
      <c r="M240" s="58"/>
      <c r="N240" s="58"/>
      <c r="O240" s="58"/>
      <c r="P240" s="58"/>
      <c r="Q240" s="58"/>
      <c r="R240" s="58"/>
      <c r="S240" s="58"/>
      <c r="T240" s="58"/>
      <c r="U240" s="58"/>
      <c r="V240" s="58"/>
      <c r="W240" s="58"/>
    </row>
    <row r="241" spans="1:23" ht="40.200000000000003" customHeight="1" x14ac:dyDescent="0.3">
      <c r="A241" s="58"/>
      <c r="G241" s="58"/>
      <c r="H241" s="58"/>
      <c r="I241" s="58"/>
      <c r="J241" s="58"/>
      <c r="K241" s="58"/>
      <c r="L241" s="58"/>
      <c r="M241" s="58"/>
      <c r="N241" s="58"/>
      <c r="O241" s="58"/>
      <c r="P241" s="58"/>
      <c r="Q241" s="58"/>
      <c r="R241" s="58"/>
      <c r="S241" s="58"/>
      <c r="T241" s="58"/>
      <c r="U241" s="58"/>
      <c r="V241" s="58"/>
      <c r="W241" s="58"/>
    </row>
    <row r="242" spans="1:23" ht="40.200000000000003" customHeight="1" x14ac:dyDescent="0.3">
      <c r="A242" s="58"/>
      <c r="G242" s="58"/>
      <c r="H242" s="58"/>
      <c r="I242" s="58"/>
      <c r="J242" s="58"/>
      <c r="K242" s="58"/>
      <c r="L242" s="58"/>
      <c r="M242" s="58"/>
      <c r="N242" s="58"/>
      <c r="O242" s="58"/>
      <c r="P242" s="58"/>
      <c r="Q242" s="58"/>
      <c r="R242" s="58"/>
      <c r="S242" s="58"/>
      <c r="T242" s="58"/>
      <c r="U242" s="58"/>
      <c r="V242" s="58"/>
      <c r="W242" s="58"/>
    </row>
    <row r="243" spans="1:23" ht="40.200000000000003" customHeight="1" x14ac:dyDescent="0.3">
      <c r="A243" s="58"/>
      <c r="G243" s="58"/>
      <c r="H243" s="58"/>
      <c r="I243" s="58"/>
      <c r="J243" s="58"/>
      <c r="K243" s="58"/>
      <c r="L243" s="58"/>
      <c r="M243" s="58"/>
      <c r="N243" s="58"/>
      <c r="O243" s="58"/>
      <c r="P243" s="58"/>
      <c r="Q243" s="58"/>
      <c r="R243" s="58"/>
      <c r="S243" s="58"/>
      <c r="T243" s="58"/>
      <c r="U243" s="58"/>
      <c r="V243" s="58"/>
      <c r="W243" s="58"/>
    </row>
    <row r="244" spans="1:23" ht="40.200000000000003" customHeight="1" x14ac:dyDescent="0.3">
      <c r="A244" s="58"/>
      <c r="G244" s="58"/>
      <c r="H244" s="58"/>
      <c r="I244" s="58"/>
      <c r="J244" s="58"/>
      <c r="K244" s="58"/>
      <c r="L244" s="58"/>
      <c r="M244" s="58"/>
      <c r="N244" s="58"/>
      <c r="O244" s="58"/>
      <c r="P244" s="58"/>
      <c r="Q244" s="58"/>
      <c r="R244" s="58"/>
      <c r="S244" s="58"/>
      <c r="T244" s="58"/>
      <c r="U244" s="58"/>
      <c r="V244" s="58"/>
      <c r="W244" s="58"/>
    </row>
    <row r="245" spans="1:23" ht="40.200000000000003" customHeight="1" x14ac:dyDescent="0.3">
      <c r="A245" s="58"/>
      <c r="G245" s="58"/>
      <c r="H245" s="58"/>
      <c r="I245" s="58"/>
      <c r="J245" s="58"/>
      <c r="K245" s="58"/>
      <c r="L245" s="58"/>
      <c r="M245" s="58"/>
      <c r="N245" s="58"/>
      <c r="O245" s="58"/>
      <c r="P245" s="58"/>
      <c r="Q245" s="58"/>
      <c r="R245" s="58"/>
      <c r="S245" s="58"/>
      <c r="T245" s="58"/>
      <c r="U245" s="58"/>
      <c r="V245" s="58"/>
      <c r="W245" s="58"/>
    </row>
    <row r="246" spans="1:23" ht="40.200000000000003" customHeight="1" x14ac:dyDescent="0.3">
      <c r="A246" s="58"/>
      <c r="G246" s="58"/>
      <c r="H246" s="58"/>
      <c r="I246" s="58"/>
      <c r="J246" s="58"/>
      <c r="K246" s="58"/>
      <c r="L246" s="58"/>
      <c r="M246" s="58"/>
      <c r="N246" s="58"/>
      <c r="O246" s="58"/>
      <c r="P246" s="58"/>
      <c r="Q246" s="58"/>
      <c r="R246" s="58"/>
      <c r="S246" s="58"/>
      <c r="T246" s="58"/>
      <c r="U246" s="58"/>
      <c r="V246" s="58"/>
      <c r="W246" s="58"/>
    </row>
    <row r="247" spans="1:23" ht="40.200000000000003" customHeight="1" x14ac:dyDescent="0.3">
      <c r="A247" s="58"/>
      <c r="G247" s="58"/>
      <c r="H247" s="58"/>
      <c r="I247" s="58"/>
      <c r="J247" s="58"/>
      <c r="K247" s="58"/>
      <c r="L247" s="58"/>
      <c r="M247" s="58"/>
      <c r="N247" s="58"/>
      <c r="O247" s="58"/>
      <c r="P247" s="58"/>
      <c r="Q247" s="58"/>
      <c r="R247" s="58"/>
      <c r="S247" s="58"/>
      <c r="T247" s="58"/>
      <c r="U247" s="58"/>
      <c r="V247" s="58"/>
      <c r="W247" s="58"/>
    </row>
    <row r="248" spans="1:23" ht="40.200000000000003" customHeight="1" x14ac:dyDescent="0.3">
      <c r="A248" s="58"/>
      <c r="G248" s="58"/>
      <c r="H248" s="58"/>
      <c r="I248" s="58"/>
      <c r="J248" s="58"/>
      <c r="K248" s="58"/>
      <c r="L248" s="58"/>
      <c r="M248" s="58"/>
      <c r="N248" s="58"/>
      <c r="O248" s="58"/>
      <c r="P248" s="58"/>
      <c r="Q248" s="58"/>
      <c r="R248" s="58"/>
      <c r="S248" s="58"/>
      <c r="T248" s="58"/>
      <c r="U248" s="58"/>
      <c r="V248" s="58"/>
      <c r="W248" s="58"/>
    </row>
    <row r="249" spans="1:23" ht="40.200000000000003" customHeight="1" x14ac:dyDescent="0.3">
      <c r="A249" s="58"/>
      <c r="G249" s="58"/>
      <c r="H249" s="58"/>
      <c r="I249" s="58"/>
      <c r="J249" s="58"/>
      <c r="K249" s="58"/>
      <c r="L249" s="58"/>
      <c r="M249" s="58"/>
      <c r="N249" s="58"/>
      <c r="O249" s="58"/>
      <c r="P249" s="58"/>
      <c r="Q249" s="58"/>
      <c r="R249" s="58"/>
      <c r="S249" s="58"/>
      <c r="T249" s="58"/>
      <c r="U249" s="58"/>
      <c r="V249" s="58"/>
      <c r="W249" s="58"/>
    </row>
    <row r="250" spans="1:23" ht="40.200000000000003" customHeight="1" x14ac:dyDescent="0.3">
      <c r="A250" s="58"/>
      <c r="G250" s="58"/>
      <c r="H250" s="58"/>
      <c r="I250" s="58"/>
      <c r="J250" s="58"/>
      <c r="K250" s="58"/>
      <c r="L250" s="58"/>
      <c r="M250" s="58"/>
      <c r="N250" s="58"/>
      <c r="O250" s="58"/>
      <c r="P250" s="58"/>
      <c r="Q250" s="58"/>
      <c r="R250" s="58"/>
      <c r="S250" s="58"/>
      <c r="T250" s="58"/>
      <c r="U250" s="58"/>
      <c r="V250" s="58"/>
      <c r="W250" s="58"/>
    </row>
    <row r="251" spans="1:23" ht="40.200000000000003" customHeight="1" x14ac:dyDescent="0.3">
      <c r="A251" s="58"/>
      <c r="G251" s="58"/>
      <c r="H251" s="58"/>
      <c r="I251" s="58"/>
      <c r="J251" s="58"/>
      <c r="K251" s="58"/>
      <c r="L251" s="58"/>
      <c r="M251" s="58"/>
      <c r="N251" s="58"/>
      <c r="O251" s="58"/>
      <c r="P251" s="58"/>
      <c r="Q251" s="58"/>
      <c r="R251" s="58"/>
      <c r="S251" s="58"/>
      <c r="T251" s="58"/>
      <c r="U251" s="58"/>
      <c r="V251" s="58"/>
      <c r="W251" s="58"/>
    </row>
    <row r="252" spans="1:23" ht="40.200000000000003" customHeight="1" x14ac:dyDescent="0.3">
      <c r="A252" s="58"/>
      <c r="G252" s="58"/>
      <c r="H252" s="58"/>
      <c r="I252" s="58"/>
      <c r="J252" s="58"/>
      <c r="K252" s="58"/>
      <c r="L252" s="58"/>
      <c r="M252" s="58"/>
      <c r="N252" s="58"/>
      <c r="O252" s="58"/>
      <c r="P252" s="58"/>
      <c r="Q252" s="58"/>
      <c r="R252" s="58"/>
      <c r="S252" s="58"/>
      <c r="T252" s="58"/>
      <c r="U252" s="58"/>
      <c r="V252" s="58"/>
      <c r="W252" s="58"/>
    </row>
    <row r="253" spans="1:23" ht="40.200000000000003" customHeight="1" x14ac:dyDescent="0.3">
      <c r="A253" s="58"/>
      <c r="G253" s="58"/>
      <c r="H253" s="58"/>
      <c r="I253" s="58"/>
      <c r="J253" s="58"/>
      <c r="K253" s="58"/>
      <c r="L253" s="58"/>
      <c r="M253" s="58"/>
      <c r="N253" s="58"/>
      <c r="O253" s="58"/>
      <c r="P253" s="58"/>
      <c r="Q253" s="58"/>
      <c r="R253" s="58"/>
      <c r="S253" s="58"/>
      <c r="T253" s="58"/>
      <c r="U253" s="58"/>
      <c r="V253" s="58"/>
      <c r="W253" s="58"/>
    </row>
    <row r="254" spans="1:23" ht="40.200000000000003" customHeight="1" x14ac:dyDescent="0.3">
      <c r="A254" s="58"/>
      <c r="G254" s="58"/>
      <c r="H254" s="58"/>
      <c r="I254" s="58"/>
      <c r="J254" s="58"/>
      <c r="K254" s="58"/>
      <c r="L254" s="58"/>
      <c r="M254" s="58"/>
      <c r="N254" s="58"/>
      <c r="O254" s="58"/>
      <c r="P254" s="58"/>
      <c r="Q254" s="58"/>
      <c r="R254" s="58"/>
      <c r="S254" s="58"/>
      <c r="T254" s="58"/>
      <c r="U254" s="58"/>
      <c r="V254" s="58"/>
      <c r="W254" s="58"/>
    </row>
    <row r="255" spans="1:23" ht="40.200000000000003" customHeight="1" x14ac:dyDescent="0.3">
      <c r="A255" s="58"/>
      <c r="G255" s="58"/>
      <c r="H255" s="58"/>
      <c r="I255" s="58"/>
      <c r="J255" s="58"/>
      <c r="K255" s="58"/>
      <c r="L255" s="58"/>
      <c r="M255" s="58"/>
      <c r="N255" s="58"/>
      <c r="O255" s="58"/>
      <c r="P255" s="58"/>
      <c r="Q255" s="58"/>
      <c r="R255" s="58"/>
      <c r="S255" s="58"/>
      <c r="T255" s="58"/>
      <c r="U255" s="58"/>
      <c r="V255" s="58"/>
      <c r="W255" s="58"/>
    </row>
    <row r="256" spans="1:23" ht="40.200000000000003" customHeight="1" x14ac:dyDescent="0.3">
      <c r="A256" s="58"/>
      <c r="G256" s="58"/>
      <c r="H256" s="58"/>
      <c r="I256" s="58"/>
      <c r="J256" s="58"/>
      <c r="K256" s="58"/>
      <c r="L256" s="58"/>
      <c r="M256" s="58"/>
      <c r="N256" s="58"/>
      <c r="O256" s="58"/>
      <c r="P256" s="58"/>
      <c r="Q256" s="58"/>
      <c r="R256" s="58"/>
      <c r="S256" s="58"/>
      <c r="T256" s="58"/>
      <c r="U256" s="58"/>
      <c r="V256" s="58"/>
      <c r="W256" s="58"/>
    </row>
    <row r="257" spans="1:23" ht="40.200000000000003" customHeight="1" x14ac:dyDescent="0.3">
      <c r="A257" s="58"/>
      <c r="G257" s="58"/>
      <c r="H257" s="58"/>
      <c r="I257" s="58"/>
      <c r="J257" s="58"/>
      <c r="K257" s="58"/>
      <c r="L257" s="58"/>
      <c r="M257" s="58"/>
      <c r="N257" s="58"/>
      <c r="O257" s="58"/>
      <c r="P257" s="58"/>
      <c r="Q257" s="58"/>
      <c r="R257" s="58"/>
      <c r="S257" s="58"/>
      <c r="T257" s="58"/>
      <c r="U257" s="58"/>
      <c r="V257" s="58"/>
      <c r="W257" s="58"/>
    </row>
    <row r="258" spans="1:23" ht="40.200000000000003" customHeight="1" x14ac:dyDescent="0.3">
      <c r="A258" s="58"/>
      <c r="G258" s="58"/>
      <c r="H258" s="58"/>
      <c r="I258" s="58"/>
      <c r="J258" s="58"/>
      <c r="K258" s="58"/>
      <c r="L258" s="58"/>
      <c r="M258" s="58"/>
      <c r="N258" s="58"/>
      <c r="O258" s="58"/>
      <c r="P258" s="58"/>
      <c r="Q258" s="58"/>
      <c r="R258" s="58"/>
      <c r="S258" s="58"/>
      <c r="T258" s="58"/>
      <c r="U258" s="58"/>
      <c r="V258" s="58"/>
      <c r="W258" s="58"/>
    </row>
    <row r="259" spans="1:23" ht="40.200000000000003" customHeight="1" x14ac:dyDescent="0.3">
      <c r="A259" s="58"/>
      <c r="G259" s="58"/>
      <c r="H259" s="58"/>
      <c r="I259" s="58"/>
      <c r="J259" s="58"/>
      <c r="K259" s="58"/>
      <c r="L259" s="58"/>
      <c r="M259" s="58"/>
      <c r="N259" s="58"/>
      <c r="O259" s="58"/>
      <c r="P259" s="58"/>
      <c r="Q259" s="58"/>
      <c r="R259" s="58"/>
      <c r="S259" s="58"/>
      <c r="T259" s="58"/>
      <c r="U259" s="58"/>
      <c r="V259" s="58"/>
      <c r="W259" s="58"/>
    </row>
    <row r="260" spans="1:23" ht="40.200000000000003" customHeight="1" x14ac:dyDescent="0.3">
      <c r="A260" s="58"/>
      <c r="G260" s="58"/>
      <c r="H260" s="58"/>
      <c r="I260" s="58"/>
      <c r="J260" s="58"/>
      <c r="K260" s="58"/>
      <c r="L260" s="58"/>
      <c r="M260" s="58"/>
      <c r="N260" s="58"/>
      <c r="O260" s="58"/>
      <c r="P260" s="58"/>
      <c r="Q260" s="58"/>
      <c r="R260" s="58"/>
      <c r="S260" s="58"/>
      <c r="T260" s="58"/>
      <c r="U260" s="58"/>
      <c r="V260" s="58"/>
      <c r="W260" s="58"/>
    </row>
    <row r="261" spans="1:23" ht="40.200000000000003" customHeight="1" x14ac:dyDescent="0.3">
      <c r="A261" s="58"/>
      <c r="G261" s="58"/>
      <c r="H261" s="58"/>
      <c r="I261" s="58"/>
      <c r="J261" s="58"/>
      <c r="K261" s="58"/>
      <c r="L261" s="58"/>
      <c r="M261" s="58"/>
      <c r="N261" s="58"/>
      <c r="O261" s="58"/>
      <c r="P261" s="58"/>
      <c r="Q261" s="58"/>
      <c r="R261" s="58"/>
      <c r="S261" s="58"/>
      <c r="T261" s="58"/>
      <c r="U261" s="58"/>
      <c r="V261" s="58"/>
      <c r="W261" s="58"/>
    </row>
    <row r="262" spans="1:23" ht="40.200000000000003" customHeight="1" x14ac:dyDescent="0.3">
      <c r="A262" s="58"/>
      <c r="G262" s="58"/>
      <c r="H262" s="58"/>
      <c r="I262" s="58"/>
      <c r="J262" s="58"/>
      <c r="K262" s="58"/>
      <c r="L262" s="58"/>
      <c r="M262" s="58"/>
      <c r="N262" s="58"/>
      <c r="O262" s="58"/>
      <c r="P262" s="58"/>
      <c r="Q262" s="58"/>
      <c r="R262" s="58"/>
      <c r="S262" s="58"/>
      <c r="T262" s="58"/>
      <c r="U262" s="58"/>
      <c r="V262" s="58"/>
      <c r="W262" s="58"/>
    </row>
    <row r="263" spans="1:23" ht="40.200000000000003" customHeight="1" x14ac:dyDescent="0.3">
      <c r="A263" s="58"/>
      <c r="G263" s="58"/>
      <c r="H263" s="58"/>
      <c r="I263" s="58"/>
      <c r="J263" s="58"/>
      <c r="K263" s="58"/>
      <c r="L263" s="58"/>
      <c r="M263" s="58"/>
      <c r="N263" s="58"/>
      <c r="O263" s="58"/>
      <c r="P263" s="58"/>
      <c r="Q263" s="58"/>
      <c r="R263" s="58"/>
      <c r="S263" s="58"/>
      <c r="T263" s="58"/>
      <c r="U263" s="58"/>
      <c r="V263" s="58"/>
      <c r="W263" s="58"/>
    </row>
    <row r="264" spans="1:23" ht="40.200000000000003" customHeight="1" x14ac:dyDescent="0.3">
      <c r="A264" s="58"/>
      <c r="G264" s="58"/>
      <c r="H264" s="58"/>
      <c r="I264" s="58"/>
      <c r="J264" s="58"/>
      <c r="K264" s="58"/>
      <c r="L264" s="58"/>
      <c r="M264" s="58"/>
      <c r="N264" s="58"/>
      <c r="O264" s="58"/>
      <c r="P264" s="58"/>
      <c r="Q264" s="58"/>
      <c r="R264" s="58"/>
      <c r="S264" s="58"/>
      <c r="T264" s="58"/>
      <c r="U264" s="58"/>
      <c r="V264" s="58"/>
      <c r="W264" s="58"/>
    </row>
    <row r="265" spans="1:23" ht="40.200000000000003" customHeight="1" x14ac:dyDescent="0.3">
      <c r="A265" s="58"/>
      <c r="G265" s="58"/>
      <c r="H265" s="58"/>
      <c r="I265" s="58"/>
      <c r="J265" s="58"/>
      <c r="K265" s="58"/>
      <c r="L265" s="58"/>
      <c r="M265" s="58"/>
      <c r="N265" s="58"/>
      <c r="O265" s="58"/>
      <c r="P265" s="58"/>
      <c r="Q265" s="58"/>
      <c r="R265" s="58"/>
      <c r="S265" s="58"/>
      <c r="T265" s="58"/>
      <c r="U265" s="58"/>
      <c r="V265" s="58"/>
      <c r="W265" s="58"/>
    </row>
    <row r="266" spans="1:23" ht="40.200000000000003" customHeight="1" x14ac:dyDescent="0.3">
      <c r="A266" s="58"/>
      <c r="G266" s="58"/>
      <c r="H266" s="58"/>
      <c r="I266" s="58"/>
      <c r="J266" s="58"/>
      <c r="K266" s="58"/>
      <c r="L266" s="58"/>
      <c r="M266" s="58"/>
      <c r="N266" s="58"/>
      <c r="O266" s="58"/>
      <c r="P266" s="58"/>
      <c r="Q266" s="58"/>
      <c r="R266" s="58"/>
      <c r="S266" s="58"/>
      <c r="T266" s="58"/>
      <c r="U266" s="58"/>
      <c r="V266" s="58"/>
      <c r="W266" s="58"/>
    </row>
    <row r="267" spans="1:23" ht="40.200000000000003" customHeight="1" x14ac:dyDescent="0.3">
      <c r="A267" s="58"/>
      <c r="G267" s="58"/>
      <c r="H267" s="58"/>
      <c r="I267" s="58"/>
      <c r="J267" s="58"/>
      <c r="K267" s="58"/>
      <c r="L267" s="58"/>
      <c r="M267" s="58"/>
      <c r="N267" s="58"/>
      <c r="O267" s="58"/>
      <c r="P267" s="58"/>
      <c r="Q267" s="58"/>
      <c r="R267" s="58"/>
      <c r="S267" s="58"/>
      <c r="T267" s="58"/>
      <c r="U267" s="58"/>
      <c r="V267" s="58"/>
      <c r="W267" s="58"/>
    </row>
    <row r="268" spans="1:23" ht="40.200000000000003" customHeight="1" x14ac:dyDescent="0.3">
      <c r="A268" s="58"/>
      <c r="G268" s="58"/>
      <c r="H268" s="58"/>
      <c r="I268" s="58"/>
      <c r="J268" s="58"/>
      <c r="K268" s="58"/>
      <c r="L268" s="58"/>
      <c r="M268" s="58"/>
      <c r="N268" s="58"/>
      <c r="O268" s="58"/>
      <c r="P268" s="58"/>
      <c r="Q268" s="58"/>
      <c r="R268" s="58"/>
      <c r="S268" s="58"/>
      <c r="T268" s="58"/>
      <c r="U268" s="58"/>
      <c r="V268" s="58"/>
      <c r="W268" s="58"/>
    </row>
    <row r="269" spans="1:23" ht="40.200000000000003" customHeight="1" x14ac:dyDescent="0.3">
      <c r="A269" s="58"/>
      <c r="G269" s="58"/>
      <c r="H269" s="58"/>
      <c r="I269" s="58"/>
      <c r="J269" s="58"/>
      <c r="K269" s="58"/>
      <c r="L269" s="58"/>
      <c r="M269" s="58"/>
      <c r="N269" s="58"/>
      <c r="O269" s="58"/>
      <c r="P269" s="58"/>
      <c r="Q269" s="58"/>
      <c r="R269" s="58"/>
      <c r="S269" s="58"/>
      <c r="T269" s="58"/>
      <c r="U269" s="58"/>
      <c r="V269" s="58"/>
      <c r="W269" s="58"/>
    </row>
    <row r="270" spans="1:23" ht="40.200000000000003" customHeight="1" x14ac:dyDescent="0.3">
      <c r="A270" s="58"/>
      <c r="G270" s="58"/>
      <c r="H270" s="58"/>
      <c r="I270" s="58"/>
      <c r="J270" s="58"/>
      <c r="K270" s="58"/>
      <c r="L270" s="58"/>
      <c r="M270" s="58"/>
      <c r="N270" s="58"/>
      <c r="O270" s="58"/>
      <c r="P270" s="58"/>
      <c r="Q270" s="58"/>
      <c r="R270" s="58"/>
      <c r="S270" s="58"/>
      <c r="T270" s="58"/>
      <c r="U270" s="58"/>
      <c r="V270" s="58"/>
      <c r="W270" s="58"/>
    </row>
    <row r="271" spans="1:23" ht="40.200000000000003" customHeight="1" x14ac:dyDescent="0.3">
      <c r="A271" s="58"/>
      <c r="G271" s="58"/>
      <c r="H271" s="58"/>
      <c r="I271" s="58"/>
      <c r="J271" s="58"/>
      <c r="K271" s="58"/>
      <c r="L271" s="58"/>
      <c r="M271" s="58"/>
      <c r="N271" s="58"/>
      <c r="O271" s="58"/>
      <c r="P271" s="58"/>
      <c r="Q271" s="58"/>
      <c r="R271" s="58"/>
      <c r="S271" s="58"/>
      <c r="T271" s="58"/>
      <c r="U271" s="58"/>
      <c r="V271" s="58"/>
      <c r="W271" s="58"/>
    </row>
    <row r="272" spans="1:23" ht="40.200000000000003" customHeight="1" x14ac:dyDescent="0.3">
      <c r="A272" s="58"/>
      <c r="G272" s="58"/>
      <c r="H272" s="58"/>
      <c r="I272" s="58"/>
      <c r="J272" s="58"/>
      <c r="K272" s="58"/>
      <c r="L272" s="58"/>
      <c r="M272" s="58"/>
      <c r="N272" s="58"/>
      <c r="O272" s="58"/>
      <c r="P272" s="58"/>
      <c r="Q272" s="58"/>
      <c r="R272" s="58"/>
      <c r="S272" s="58"/>
      <c r="T272" s="58"/>
      <c r="U272" s="58"/>
      <c r="V272" s="58"/>
      <c r="W272" s="58"/>
    </row>
    <row r="273" spans="1:23" ht="40.200000000000003" customHeight="1" x14ac:dyDescent="0.3">
      <c r="A273" s="58"/>
      <c r="G273" s="58"/>
      <c r="H273" s="58"/>
      <c r="I273" s="58"/>
      <c r="J273" s="58"/>
      <c r="K273" s="58"/>
      <c r="L273" s="58"/>
      <c r="M273" s="58"/>
      <c r="N273" s="58"/>
      <c r="O273" s="58"/>
      <c r="P273" s="58"/>
      <c r="Q273" s="58"/>
      <c r="R273" s="58"/>
      <c r="S273" s="58"/>
      <c r="T273" s="58"/>
      <c r="U273" s="58"/>
      <c r="V273" s="58"/>
      <c r="W273" s="58"/>
    </row>
    <row r="274" spans="1:23" ht="40.200000000000003" customHeight="1" x14ac:dyDescent="0.3">
      <c r="A274" s="58"/>
      <c r="G274" s="58"/>
      <c r="H274" s="58"/>
      <c r="I274" s="58"/>
      <c r="J274" s="58"/>
      <c r="K274" s="58"/>
      <c r="L274" s="58"/>
      <c r="M274" s="58"/>
      <c r="N274" s="58"/>
      <c r="O274" s="58"/>
      <c r="P274" s="58"/>
      <c r="Q274" s="58"/>
      <c r="R274" s="58"/>
      <c r="S274" s="58"/>
      <c r="T274" s="58"/>
      <c r="U274" s="58"/>
      <c r="V274" s="58"/>
      <c r="W274" s="58"/>
    </row>
    <row r="275" spans="1:23" ht="40.200000000000003" customHeight="1" x14ac:dyDescent="0.3">
      <c r="A275" s="58"/>
      <c r="G275" s="58"/>
      <c r="H275" s="58"/>
      <c r="I275" s="58"/>
      <c r="J275" s="58"/>
      <c r="K275" s="58"/>
      <c r="L275" s="58"/>
      <c r="M275" s="58"/>
      <c r="N275" s="58"/>
      <c r="O275" s="58"/>
      <c r="P275" s="58"/>
      <c r="Q275" s="58"/>
      <c r="R275" s="58"/>
      <c r="S275" s="58"/>
      <c r="T275" s="58"/>
      <c r="U275" s="58"/>
      <c r="V275" s="58"/>
      <c r="W275" s="58"/>
    </row>
    <row r="276" spans="1:23" ht="40.200000000000003" customHeight="1" x14ac:dyDescent="0.3">
      <c r="A276" s="58"/>
      <c r="G276" s="58"/>
      <c r="H276" s="58"/>
      <c r="I276" s="58"/>
      <c r="J276" s="58"/>
      <c r="K276" s="58"/>
      <c r="L276" s="58"/>
      <c r="M276" s="58"/>
      <c r="N276" s="58"/>
      <c r="O276" s="58"/>
      <c r="P276" s="58"/>
      <c r="Q276" s="58"/>
      <c r="R276" s="58"/>
      <c r="S276" s="58"/>
      <c r="T276" s="58"/>
      <c r="U276" s="58"/>
      <c r="V276" s="58"/>
      <c r="W276" s="58"/>
    </row>
    <row r="277" spans="1:23" ht="40.200000000000003" customHeight="1" x14ac:dyDescent="0.3">
      <c r="A277" s="58"/>
      <c r="G277" s="58"/>
      <c r="H277" s="58"/>
      <c r="I277" s="58"/>
      <c r="J277" s="58"/>
      <c r="K277" s="58"/>
      <c r="L277" s="58"/>
      <c r="M277" s="58"/>
      <c r="N277" s="58"/>
      <c r="O277" s="58"/>
      <c r="P277" s="58"/>
      <c r="Q277" s="58"/>
      <c r="R277" s="58"/>
      <c r="S277" s="58"/>
      <c r="T277" s="58"/>
      <c r="U277" s="58"/>
      <c r="V277" s="58"/>
      <c r="W277" s="58"/>
    </row>
    <row r="278" spans="1:23" ht="40.200000000000003" customHeight="1" x14ac:dyDescent="0.3">
      <c r="A278" s="58"/>
      <c r="G278" s="58"/>
      <c r="H278" s="58"/>
      <c r="I278" s="58"/>
      <c r="J278" s="58"/>
      <c r="K278" s="58"/>
      <c r="L278" s="58"/>
      <c r="M278" s="58"/>
      <c r="N278" s="58"/>
      <c r="O278" s="58"/>
      <c r="P278" s="58"/>
      <c r="Q278" s="58"/>
      <c r="R278" s="58"/>
      <c r="S278" s="58"/>
      <c r="T278" s="58"/>
      <c r="U278" s="58"/>
      <c r="V278" s="58"/>
      <c r="W278" s="58"/>
    </row>
    <row r="279" spans="1:23" ht="40.200000000000003" customHeight="1" x14ac:dyDescent="0.3">
      <c r="A279" s="58"/>
      <c r="G279" s="58"/>
      <c r="H279" s="58"/>
      <c r="I279" s="58"/>
      <c r="J279" s="58"/>
      <c r="K279" s="58"/>
      <c r="L279" s="58"/>
      <c r="M279" s="58"/>
      <c r="N279" s="58"/>
      <c r="O279" s="58"/>
      <c r="P279" s="58"/>
      <c r="Q279" s="58"/>
      <c r="R279" s="58"/>
      <c r="S279" s="58"/>
      <c r="T279" s="58"/>
      <c r="U279" s="58"/>
      <c r="V279" s="58"/>
      <c r="W279" s="58"/>
    </row>
    <row r="280" spans="1:23" ht="40.200000000000003" customHeight="1" x14ac:dyDescent="0.3">
      <c r="A280" s="58"/>
      <c r="G280" s="58"/>
      <c r="H280" s="58"/>
      <c r="I280" s="58"/>
      <c r="J280" s="58"/>
      <c r="K280" s="58"/>
      <c r="L280" s="58"/>
      <c r="M280" s="58"/>
      <c r="N280" s="58"/>
      <c r="O280" s="58"/>
      <c r="P280" s="58"/>
      <c r="Q280" s="58"/>
      <c r="R280" s="58"/>
      <c r="S280" s="58"/>
      <c r="T280" s="58"/>
      <c r="U280" s="58"/>
      <c r="V280" s="58"/>
      <c r="W280" s="58"/>
    </row>
    <row r="281" spans="1:23" ht="40.200000000000003" customHeight="1" x14ac:dyDescent="0.3">
      <c r="A281" s="58"/>
      <c r="G281" s="58"/>
      <c r="H281" s="58"/>
      <c r="I281" s="58"/>
      <c r="J281" s="58"/>
      <c r="K281" s="58"/>
      <c r="L281" s="58"/>
      <c r="M281" s="58"/>
      <c r="N281" s="58"/>
      <c r="O281" s="58"/>
      <c r="P281" s="58"/>
      <c r="Q281" s="58"/>
      <c r="R281" s="58"/>
      <c r="S281" s="58"/>
      <c r="T281" s="58"/>
      <c r="U281" s="58"/>
      <c r="V281" s="58"/>
      <c r="W281" s="58"/>
    </row>
    <row r="282" spans="1:23" ht="40.200000000000003" customHeight="1" x14ac:dyDescent="0.3">
      <c r="A282" s="58"/>
      <c r="G282" s="58"/>
      <c r="H282" s="58"/>
      <c r="I282" s="58"/>
      <c r="J282" s="58"/>
      <c r="K282" s="58"/>
      <c r="L282" s="58"/>
      <c r="M282" s="58"/>
      <c r="N282" s="58"/>
      <c r="O282" s="58"/>
      <c r="P282" s="58"/>
      <c r="Q282" s="58"/>
      <c r="R282" s="58"/>
      <c r="S282" s="58"/>
      <c r="T282" s="58"/>
      <c r="U282" s="58"/>
      <c r="V282" s="58"/>
      <c r="W282" s="58"/>
    </row>
    <row r="283" spans="1:23" ht="40.200000000000003" customHeight="1" x14ac:dyDescent="0.3">
      <c r="A283" s="58"/>
      <c r="G283" s="58"/>
      <c r="H283" s="58"/>
      <c r="I283" s="58"/>
      <c r="J283" s="58"/>
      <c r="K283" s="58"/>
      <c r="L283" s="58"/>
      <c r="M283" s="58"/>
      <c r="N283" s="58"/>
      <c r="O283" s="58"/>
      <c r="P283" s="58"/>
      <c r="Q283" s="58"/>
      <c r="R283" s="58"/>
      <c r="S283" s="58"/>
      <c r="T283" s="58"/>
      <c r="U283" s="58"/>
      <c r="V283" s="58"/>
      <c r="W283" s="58"/>
    </row>
    <row r="284" spans="1:23" ht="40.200000000000003" customHeight="1" x14ac:dyDescent="0.3">
      <c r="A284" s="58"/>
      <c r="G284" s="58"/>
      <c r="H284" s="58"/>
      <c r="I284" s="58"/>
      <c r="J284" s="58"/>
      <c r="K284" s="58"/>
      <c r="L284" s="58"/>
      <c r="M284" s="58"/>
      <c r="N284" s="58"/>
      <c r="O284" s="58"/>
      <c r="P284" s="58"/>
      <c r="Q284" s="58"/>
      <c r="R284" s="58"/>
      <c r="S284" s="58"/>
      <c r="T284" s="58"/>
      <c r="U284" s="58"/>
      <c r="V284" s="58"/>
      <c r="W284" s="58"/>
    </row>
    <row r="285" spans="1:23" ht="40.200000000000003" customHeight="1" x14ac:dyDescent="0.3">
      <c r="A285" s="58"/>
      <c r="G285" s="58"/>
      <c r="H285" s="58"/>
      <c r="I285" s="58"/>
      <c r="J285" s="58"/>
      <c r="K285" s="58"/>
      <c r="L285" s="58"/>
      <c r="M285" s="58"/>
      <c r="N285" s="58"/>
      <c r="O285" s="58"/>
      <c r="P285" s="58"/>
      <c r="Q285" s="58"/>
      <c r="R285" s="58"/>
      <c r="S285" s="58"/>
      <c r="T285" s="58"/>
      <c r="U285" s="58"/>
      <c r="V285" s="58"/>
      <c r="W285" s="58"/>
    </row>
    <row r="286" spans="1:23" ht="40.200000000000003" customHeight="1" x14ac:dyDescent="0.3">
      <c r="A286" s="58"/>
      <c r="G286" s="58"/>
      <c r="H286" s="58"/>
      <c r="I286" s="58"/>
      <c r="J286" s="58"/>
      <c r="K286" s="58"/>
      <c r="L286" s="58"/>
      <c r="M286" s="58"/>
      <c r="N286" s="58"/>
      <c r="O286" s="58"/>
      <c r="P286" s="58"/>
      <c r="Q286" s="58"/>
      <c r="R286" s="58"/>
      <c r="S286" s="58"/>
      <c r="T286" s="58"/>
      <c r="U286" s="58"/>
      <c r="V286" s="58"/>
      <c r="W286" s="58"/>
    </row>
    <row r="287" spans="1:23" ht="40.200000000000003" customHeight="1" x14ac:dyDescent="0.3">
      <c r="A287" s="58"/>
      <c r="G287" s="58"/>
      <c r="H287" s="58"/>
      <c r="I287" s="58"/>
      <c r="J287" s="58"/>
      <c r="K287" s="58"/>
      <c r="L287" s="58"/>
      <c r="M287" s="58"/>
      <c r="N287" s="58"/>
      <c r="O287" s="58"/>
      <c r="P287" s="58"/>
      <c r="Q287" s="58"/>
      <c r="R287" s="58"/>
      <c r="S287" s="58"/>
      <c r="T287" s="58"/>
      <c r="U287" s="58"/>
      <c r="V287" s="58"/>
      <c r="W287" s="58"/>
    </row>
    <row r="288" spans="1:23" ht="40.200000000000003" customHeight="1" x14ac:dyDescent="0.3">
      <c r="A288" s="58"/>
      <c r="G288" s="58"/>
      <c r="H288" s="58"/>
      <c r="I288" s="58"/>
      <c r="J288" s="58"/>
      <c r="K288" s="58"/>
      <c r="L288" s="58"/>
      <c r="M288" s="58"/>
      <c r="N288" s="58"/>
      <c r="O288" s="58"/>
      <c r="P288" s="58"/>
      <c r="Q288" s="58"/>
      <c r="R288" s="58"/>
      <c r="S288" s="58"/>
      <c r="T288" s="58"/>
      <c r="U288" s="58"/>
      <c r="V288" s="58"/>
      <c r="W288" s="58"/>
    </row>
    <row r="289" spans="1:23" ht="40.200000000000003" customHeight="1" x14ac:dyDescent="0.3">
      <c r="A289" s="58"/>
      <c r="G289" s="58"/>
      <c r="H289" s="58"/>
      <c r="I289" s="58"/>
      <c r="J289" s="58"/>
      <c r="K289" s="58"/>
      <c r="L289" s="58"/>
      <c r="M289" s="58"/>
      <c r="N289" s="58"/>
      <c r="O289" s="58"/>
      <c r="P289" s="58"/>
      <c r="Q289" s="58"/>
      <c r="R289" s="58"/>
      <c r="S289" s="58"/>
      <c r="T289" s="58"/>
      <c r="U289" s="58"/>
      <c r="V289" s="58"/>
      <c r="W289" s="58"/>
    </row>
    <row r="290" spans="1:23" ht="40.200000000000003" customHeight="1" x14ac:dyDescent="0.3">
      <c r="A290" s="58"/>
      <c r="G290" s="58"/>
      <c r="H290" s="58"/>
      <c r="I290" s="58"/>
      <c r="J290" s="58"/>
      <c r="K290" s="58"/>
      <c r="L290" s="58"/>
      <c r="M290" s="58"/>
      <c r="N290" s="58"/>
      <c r="O290" s="58"/>
      <c r="P290" s="58"/>
      <c r="Q290" s="58"/>
      <c r="R290" s="58"/>
      <c r="S290" s="58"/>
      <c r="T290" s="58"/>
      <c r="U290" s="58"/>
      <c r="V290" s="58"/>
      <c r="W290" s="58"/>
    </row>
    <row r="291" spans="1:23" ht="40.200000000000003" customHeight="1" x14ac:dyDescent="0.3">
      <c r="A291" s="58"/>
      <c r="G291" s="58"/>
      <c r="H291" s="58"/>
      <c r="I291" s="58"/>
      <c r="J291" s="58"/>
      <c r="K291" s="58"/>
      <c r="L291" s="58"/>
      <c r="M291" s="58"/>
      <c r="N291" s="58"/>
      <c r="O291" s="58"/>
      <c r="P291" s="58"/>
      <c r="Q291" s="58"/>
      <c r="R291" s="58"/>
      <c r="S291" s="58"/>
      <c r="T291" s="58"/>
      <c r="U291" s="58"/>
      <c r="V291" s="58"/>
      <c r="W291" s="58"/>
    </row>
    <row r="292" spans="1:23" ht="40.200000000000003" customHeight="1" x14ac:dyDescent="0.3">
      <c r="A292" s="58"/>
      <c r="G292" s="58"/>
      <c r="H292" s="58"/>
      <c r="I292" s="58"/>
      <c r="J292" s="58"/>
      <c r="K292" s="58"/>
      <c r="L292" s="58"/>
      <c r="M292" s="58"/>
      <c r="N292" s="58"/>
      <c r="O292" s="58"/>
      <c r="P292" s="58"/>
      <c r="Q292" s="58"/>
      <c r="R292" s="58"/>
      <c r="S292" s="58"/>
      <c r="T292" s="58"/>
      <c r="U292" s="58"/>
      <c r="V292" s="58"/>
      <c r="W292" s="58"/>
    </row>
    <row r="293" spans="1:23" ht="40.200000000000003" customHeight="1" x14ac:dyDescent="0.3">
      <c r="A293" s="58"/>
      <c r="G293" s="58"/>
      <c r="H293" s="58"/>
      <c r="I293" s="58"/>
      <c r="J293" s="58"/>
      <c r="K293" s="58"/>
      <c r="L293" s="58"/>
      <c r="M293" s="58"/>
      <c r="N293" s="58"/>
      <c r="O293" s="58"/>
      <c r="P293" s="58"/>
      <c r="Q293" s="58"/>
      <c r="R293" s="58"/>
      <c r="S293" s="58"/>
      <c r="T293" s="58"/>
      <c r="U293" s="58"/>
      <c r="V293" s="58"/>
      <c r="W293" s="58"/>
    </row>
    <row r="294" spans="1:23" ht="40.200000000000003" customHeight="1" x14ac:dyDescent="0.3">
      <c r="A294" s="58"/>
      <c r="G294" s="58"/>
      <c r="H294" s="58"/>
      <c r="I294" s="58"/>
      <c r="J294" s="58"/>
      <c r="K294" s="58"/>
      <c r="L294" s="58"/>
      <c r="M294" s="58"/>
      <c r="N294" s="58"/>
      <c r="O294" s="58"/>
      <c r="P294" s="58"/>
      <c r="Q294" s="58"/>
      <c r="R294" s="58"/>
      <c r="S294" s="58"/>
      <c r="T294" s="58"/>
      <c r="U294" s="58"/>
      <c r="V294" s="58"/>
      <c r="W294" s="58"/>
    </row>
    <row r="295" spans="1:23" ht="40.200000000000003" customHeight="1" x14ac:dyDescent="0.3">
      <c r="A295" s="58"/>
      <c r="G295" s="58"/>
      <c r="H295" s="58"/>
      <c r="I295" s="58"/>
      <c r="J295" s="58"/>
      <c r="K295" s="58"/>
      <c r="L295" s="58"/>
      <c r="M295" s="58"/>
      <c r="N295" s="58"/>
      <c r="O295" s="58"/>
      <c r="P295" s="58"/>
      <c r="Q295" s="58"/>
      <c r="R295" s="58"/>
      <c r="S295" s="58"/>
      <c r="T295" s="58"/>
      <c r="U295" s="58"/>
      <c r="V295" s="58"/>
      <c r="W295" s="58"/>
    </row>
    <row r="296" spans="1:23" ht="40.200000000000003" customHeight="1" x14ac:dyDescent="0.3">
      <c r="A296" s="58"/>
      <c r="G296" s="58"/>
      <c r="H296" s="58"/>
      <c r="I296" s="58"/>
      <c r="J296" s="58"/>
      <c r="K296" s="58"/>
      <c r="L296" s="58"/>
      <c r="M296" s="58"/>
      <c r="N296" s="58"/>
      <c r="O296" s="58"/>
      <c r="P296" s="58"/>
      <c r="Q296" s="58"/>
      <c r="R296" s="58"/>
      <c r="S296" s="58"/>
      <c r="T296" s="58"/>
      <c r="U296" s="58"/>
      <c r="V296" s="58"/>
      <c r="W296" s="58"/>
    </row>
    <row r="297" spans="1:23" ht="40.200000000000003" customHeight="1" x14ac:dyDescent="0.3">
      <c r="A297" s="58"/>
      <c r="G297" s="58"/>
      <c r="H297" s="58"/>
      <c r="I297" s="58"/>
      <c r="J297" s="58"/>
      <c r="K297" s="58"/>
      <c r="L297" s="58"/>
      <c r="M297" s="58"/>
      <c r="N297" s="58"/>
      <c r="O297" s="58"/>
      <c r="P297" s="58"/>
      <c r="Q297" s="58"/>
      <c r="R297" s="58"/>
      <c r="S297" s="58"/>
      <c r="T297" s="58"/>
      <c r="U297" s="58"/>
      <c r="V297" s="58"/>
      <c r="W297" s="58"/>
    </row>
    <row r="298" spans="1:23" ht="40.200000000000003" customHeight="1" x14ac:dyDescent="0.3">
      <c r="A298" s="58"/>
      <c r="G298" s="58"/>
      <c r="H298" s="58"/>
      <c r="I298" s="58"/>
      <c r="J298" s="58"/>
      <c r="K298" s="58"/>
      <c r="L298" s="58"/>
      <c r="M298" s="58"/>
      <c r="N298" s="58"/>
      <c r="O298" s="58"/>
      <c r="P298" s="58"/>
      <c r="Q298" s="58"/>
      <c r="R298" s="58"/>
      <c r="S298" s="58"/>
      <c r="T298" s="58"/>
      <c r="U298" s="58"/>
      <c r="V298" s="58"/>
      <c r="W298" s="58"/>
    </row>
    <row r="299" spans="1:23" ht="40.200000000000003" customHeight="1" x14ac:dyDescent="0.3">
      <c r="A299" s="58"/>
      <c r="G299" s="58"/>
      <c r="H299" s="58"/>
      <c r="I299" s="58"/>
      <c r="J299" s="58"/>
      <c r="K299" s="58"/>
      <c r="L299" s="58"/>
      <c r="M299" s="58"/>
      <c r="N299" s="58"/>
      <c r="O299" s="58"/>
      <c r="P299" s="58"/>
      <c r="Q299" s="58"/>
      <c r="R299" s="58"/>
      <c r="S299" s="58"/>
      <c r="T299" s="58"/>
      <c r="U299" s="58"/>
      <c r="V299" s="58"/>
      <c r="W299" s="58"/>
    </row>
    <row r="300" spans="1:23" ht="40.200000000000003" customHeight="1" x14ac:dyDescent="0.3">
      <c r="A300" s="58"/>
      <c r="G300" s="58"/>
      <c r="H300" s="58"/>
      <c r="I300" s="58"/>
      <c r="J300" s="58"/>
      <c r="K300" s="58"/>
      <c r="L300" s="58"/>
      <c r="M300" s="58"/>
      <c r="N300" s="58"/>
      <c r="O300" s="58"/>
      <c r="P300" s="58"/>
      <c r="Q300" s="58"/>
      <c r="R300" s="58"/>
      <c r="S300" s="58"/>
      <c r="T300" s="58"/>
      <c r="U300" s="58"/>
      <c r="V300" s="58"/>
      <c r="W300" s="58"/>
    </row>
    <row r="301" spans="1:23" ht="40.200000000000003" customHeight="1" x14ac:dyDescent="0.3">
      <c r="A301" s="58"/>
      <c r="G301" s="58"/>
      <c r="H301" s="58"/>
      <c r="I301" s="58"/>
      <c r="J301" s="58"/>
      <c r="K301" s="58"/>
      <c r="L301" s="58"/>
      <c r="M301" s="58"/>
      <c r="N301" s="58"/>
      <c r="O301" s="58"/>
      <c r="P301" s="58"/>
      <c r="Q301" s="58"/>
      <c r="R301" s="58"/>
      <c r="S301" s="58"/>
      <c r="T301" s="58"/>
      <c r="U301" s="58"/>
      <c r="V301" s="58"/>
      <c r="W301" s="58"/>
    </row>
    <row r="302" spans="1:23" ht="40.200000000000003" customHeight="1" x14ac:dyDescent="0.3">
      <c r="A302" s="58"/>
      <c r="G302" s="58"/>
      <c r="H302" s="58"/>
      <c r="I302" s="58"/>
      <c r="J302" s="58"/>
      <c r="K302" s="58"/>
      <c r="L302" s="58"/>
      <c r="M302" s="58"/>
      <c r="N302" s="58"/>
      <c r="O302" s="58"/>
      <c r="P302" s="58"/>
      <c r="Q302" s="58"/>
      <c r="R302" s="58"/>
      <c r="S302" s="58"/>
      <c r="T302" s="58"/>
      <c r="U302" s="58"/>
      <c r="V302" s="58"/>
      <c r="W302" s="58"/>
    </row>
    <row r="303" spans="1:23" ht="40.200000000000003" customHeight="1" x14ac:dyDescent="0.3">
      <c r="A303" s="58"/>
      <c r="G303" s="58"/>
      <c r="H303" s="58"/>
      <c r="I303" s="58"/>
      <c r="J303" s="58"/>
      <c r="K303" s="58"/>
      <c r="L303" s="58"/>
      <c r="M303" s="58"/>
      <c r="N303" s="58"/>
      <c r="O303" s="58"/>
      <c r="P303" s="58"/>
      <c r="Q303" s="58"/>
      <c r="R303" s="58"/>
      <c r="S303" s="58"/>
      <c r="T303" s="58"/>
      <c r="U303" s="58"/>
      <c r="V303" s="58"/>
      <c r="W303" s="58"/>
    </row>
    <row r="304" spans="1:23" ht="40.200000000000003" customHeight="1" x14ac:dyDescent="0.3">
      <c r="A304" s="58"/>
      <c r="G304" s="58"/>
      <c r="H304" s="58"/>
      <c r="I304" s="58"/>
      <c r="J304" s="58"/>
      <c r="K304" s="58"/>
      <c r="L304" s="58"/>
      <c r="M304" s="58"/>
      <c r="N304" s="58"/>
      <c r="O304" s="58"/>
      <c r="P304" s="58"/>
      <c r="Q304" s="58"/>
      <c r="R304" s="58"/>
      <c r="S304" s="58"/>
      <c r="T304" s="58"/>
      <c r="U304" s="58"/>
      <c r="V304" s="58"/>
      <c r="W304" s="58"/>
    </row>
    <row r="305" spans="1:23" ht="40.200000000000003" customHeight="1" x14ac:dyDescent="0.3">
      <c r="A305" s="58"/>
      <c r="G305" s="58"/>
      <c r="H305" s="58"/>
      <c r="I305" s="58"/>
      <c r="J305" s="58"/>
      <c r="K305" s="58"/>
      <c r="L305" s="58"/>
      <c r="M305" s="58"/>
      <c r="N305" s="58"/>
      <c r="O305" s="58"/>
      <c r="P305" s="58"/>
      <c r="Q305" s="58"/>
      <c r="R305" s="58"/>
      <c r="S305" s="58"/>
      <c r="T305" s="58"/>
      <c r="U305" s="58"/>
      <c r="V305" s="58"/>
      <c r="W305" s="58"/>
    </row>
    <row r="306" spans="1:23" ht="40.200000000000003" customHeight="1" x14ac:dyDescent="0.3">
      <c r="A306" s="58"/>
      <c r="G306" s="58"/>
      <c r="H306" s="58"/>
      <c r="I306" s="58"/>
      <c r="J306" s="58"/>
      <c r="K306" s="58"/>
      <c r="L306" s="58"/>
      <c r="M306" s="58"/>
      <c r="N306" s="58"/>
      <c r="O306" s="58"/>
      <c r="P306" s="58"/>
      <c r="Q306" s="58"/>
      <c r="R306" s="58"/>
      <c r="S306" s="58"/>
      <c r="T306" s="58"/>
      <c r="U306" s="58"/>
      <c r="V306" s="58"/>
      <c r="W306" s="58"/>
    </row>
    <row r="307" spans="1:23" ht="40.200000000000003" customHeight="1" x14ac:dyDescent="0.3">
      <c r="A307" s="58"/>
      <c r="G307" s="58"/>
      <c r="H307" s="58"/>
      <c r="I307" s="58"/>
      <c r="J307" s="58"/>
      <c r="K307" s="58"/>
      <c r="L307" s="58"/>
      <c r="M307" s="58"/>
      <c r="N307" s="58"/>
      <c r="O307" s="58"/>
      <c r="P307" s="58"/>
      <c r="Q307" s="58"/>
      <c r="R307" s="58"/>
      <c r="S307" s="58"/>
      <c r="T307" s="58"/>
      <c r="U307" s="58"/>
      <c r="V307" s="58"/>
      <c r="W307" s="58"/>
    </row>
    <row r="308" spans="1:23" ht="40.200000000000003" customHeight="1" x14ac:dyDescent="0.3">
      <c r="A308" s="58"/>
      <c r="G308" s="58"/>
      <c r="H308" s="58"/>
      <c r="I308" s="58"/>
      <c r="J308" s="58"/>
      <c r="K308" s="58"/>
      <c r="L308" s="58"/>
      <c r="M308" s="58"/>
      <c r="N308" s="58"/>
      <c r="O308" s="58"/>
      <c r="P308" s="58"/>
      <c r="Q308" s="58"/>
      <c r="R308" s="58"/>
      <c r="S308" s="58"/>
      <c r="T308" s="58"/>
      <c r="U308" s="58"/>
      <c r="V308" s="58"/>
      <c r="W308" s="58"/>
    </row>
    <row r="309" spans="1:23" ht="40.200000000000003" customHeight="1" x14ac:dyDescent="0.3">
      <c r="A309" s="58"/>
      <c r="G309" s="58"/>
      <c r="H309" s="58"/>
      <c r="I309" s="58"/>
      <c r="J309" s="58"/>
      <c r="K309" s="58"/>
      <c r="L309" s="58"/>
      <c r="M309" s="58"/>
      <c r="N309" s="58"/>
      <c r="O309" s="58"/>
      <c r="P309" s="58"/>
      <c r="Q309" s="58"/>
      <c r="R309" s="58"/>
      <c r="S309" s="58"/>
      <c r="T309" s="58"/>
      <c r="U309" s="58"/>
      <c r="V309" s="58"/>
      <c r="W309" s="58"/>
    </row>
    <row r="310" spans="1:23" ht="40.200000000000003" customHeight="1" x14ac:dyDescent="0.3">
      <c r="A310" s="58"/>
      <c r="G310" s="58"/>
      <c r="H310" s="58"/>
      <c r="I310" s="58"/>
      <c r="J310" s="58"/>
      <c r="K310" s="58"/>
      <c r="L310" s="58"/>
      <c r="M310" s="58"/>
      <c r="N310" s="58"/>
      <c r="O310" s="58"/>
      <c r="P310" s="58"/>
      <c r="Q310" s="58"/>
      <c r="R310" s="58"/>
      <c r="S310" s="58"/>
      <c r="T310" s="58"/>
      <c r="U310" s="58"/>
      <c r="V310" s="58"/>
      <c r="W310" s="58"/>
    </row>
    <row r="311" spans="1:23" ht="40.200000000000003" customHeight="1" x14ac:dyDescent="0.3">
      <c r="A311" s="58"/>
      <c r="G311" s="58"/>
      <c r="H311" s="58"/>
      <c r="I311" s="58"/>
      <c r="J311" s="58"/>
      <c r="K311" s="58"/>
      <c r="L311" s="58"/>
      <c r="M311" s="58"/>
      <c r="N311" s="58"/>
      <c r="O311" s="58"/>
      <c r="P311" s="58"/>
      <c r="Q311" s="58"/>
      <c r="R311" s="58"/>
      <c r="S311" s="58"/>
      <c r="T311" s="58"/>
      <c r="U311" s="58"/>
      <c r="V311" s="58"/>
      <c r="W311" s="58"/>
    </row>
    <row r="312" spans="1:23" ht="40.200000000000003" customHeight="1" x14ac:dyDescent="0.3">
      <c r="A312" s="58"/>
      <c r="G312" s="58"/>
      <c r="H312" s="58"/>
      <c r="I312" s="58"/>
      <c r="J312" s="58"/>
      <c r="K312" s="58"/>
      <c r="L312" s="58"/>
      <c r="M312" s="58"/>
      <c r="N312" s="58"/>
      <c r="O312" s="58"/>
      <c r="P312" s="58"/>
      <c r="Q312" s="58"/>
      <c r="R312" s="58"/>
      <c r="S312" s="58"/>
      <c r="T312" s="58"/>
      <c r="U312" s="58"/>
      <c r="V312" s="58"/>
      <c r="W312" s="58"/>
    </row>
    <row r="313" spans="1:23" ht="40.200000000000003" customHeight="1" x14ac:dyDescent="0.3">
      <c r="A313" s="58"/>
      <c r="G313" s="58"/>
      <c r="H313" s="58"/>
      <c r="I313" s="58"/>
      <c r="J313" s="58"/>
      <c r="K313" s="58"/>
      <c r="L313" s="58"/>
      <c r="M313" s="58"/>
      <c r="N313" s="58"/>
      <c r="O313" s="58"/>
      <c r="P313" s="58"/>
      <c r="Q313" s="58"/>
      <c r="R313" s="58"/>
      <c r="S313" s="58"/>
      <c r="T313" s="58"/>
      <c r="U313" s="58"/>
      <c r="V313" s="58"/>
      <c r="W313" s="58"/>
    </row>
    <row r="314" spans="1:23" ht="40.200000000000003" customHeight="1" x14ac:dyDescent="0.3">
      <c r="A314" s="58"/>
      <c r="G314" s="58"/>
      <c r="H314" s="58"/>
      <c r="I314" s="58"/>
      <c r="J314" s="58"/>
      <c r="K314" s="58"/>
      <c r="L314" s="58"/>
      <c r="M314" s="58"/>
      <c r="N314" s="58"/>
      <c r="O314" s="58"/>
      <c r="P314" s="58"/>
      <c r="Q314" s="58"/>
      <c r="R314" s="58"/>
      <c r="S314" s="58"/>
      <c r="T314" s="58"/>
      <c r="U314" s="58"/>
      <c r="V314" s="58"/>
      <c r="W314" s="58"/>
    </row>
    <row r="315" spans="1:23" ht="40.200000000000003" customHeight="1" x14ac:dyDescent="0.3">
      <c r="A315" s="58"/>
      <c r="G315" s="58"/>
      <c r="H315" s="58"/>
      <c r="I315" s="58"/>
      <c r="J315" s="58"/>
      <c r="K315" s="58"/>
      <c r="L315" s="58"/>
      <c r="M315" s="58"/>
      <c r="N315" s="58"/>
      <c r="O315" s="58"/>
      <c r="P315" s="58"/>
      <c r="Q315" s="58"/>
      <c r="R315" s="58"/>
      <c r="S315" s="58"/>
      <c r="T315" s="58"/>
      <c r="U315" s="58"/>
      <c r="V315" s="58"/>
      <c r="W315" s="58"/>
    </row>
    <row r="316" spans="1:23" ht="40.200000000000003" customHeight="1" x14ac:dyDescent="0.3">
      <c r="A316" s="58"/>
      <c r="G316" s="58"/>
      <c r="H316" s="58"/>
      <c r="I316" s="58"/>
      <c r="J316" s="58"/>
      <c r="K316" s="58"/>
      <c r="L316" s="58"/>
      <c r="M316" s="58"/>
      <c r="N316" s="58"/>
      <c r="O316" s="58"/>
      <c r="P316" s="58"/>
      <c r="Q316" s="58"/>
      <c r="R316" s="58"/>
      <c r="S316" s="58"/>
      <c r="T316" s="58"/>
      <c r="U316" s="58"/>
      <c r="V316" s="58"/>
      <c r="W316" s="58"/>
    </row>
    <row r="317" spans="1:23" ht="40.200000000000003" customHeight="1" x14ac:dyDescent="0.3">
      <c r="A317" s="58"/>
      <c r="G317" s="58"/>
      <c r="H317" s="58"/>
      <c r="I317" s="58"/>
      <c r="J317" s="58"/>
      <c r="K317" s="58"/>
      <c r="L317" s="58"/>
      <c r="M317" s="58"/>
      <c r="N317" s="58"/>
      <c r="O317" s="58"/>
      <c r="P317" s="58"/>
      <c r="Q317" s="58"/>
      <c r="R317" s="58"/>
      <c r="S317" s="58"/>
      <c r="T317" s="58"/>
      <c r="U317" s="58"/>
      <c r="V317" s="58"/>
      <c r="W317" s="58"/>
    </row>
    <row r="318" spans="1:23" ht="40.200000000000003" customHeight="1" x14ac:dyDescent="0.3">
      <c r="A318" s="58"/>
      <c r="G318" s="58"/>
      <c r="H318" s="58"/>
      <c r="I318" s="58"/>
      <c r="J318" s="58"/>
      <c r="K318" s="58"/>
      <c r="L318" s="58"/>
      <c r="M318" s="58"/>
      <c r="N318" s="58"/>
      <c r="O318" s="58"/>
      <c r="P318" s="58"/>
      <c r="Q318" s="58"/>
      <c r="R318" s="58"/>
      <c r="S318" s="58"/>
      <c r="T318" s="58"/>
      <c r="U318" s="58"/>
      <c r="V318" s="58"/>
      <c r="W318" s="58"/>
    </row>
    <row r="319" spans="1:23" ht="40.200000000000003" customHeight="1" x14ac:dyDescent="0.3">
      <c r="A319" s="58"/>
      <c r="G319" s="58"/>
      <c r="H319" s="58"/>
      <c r="I319" s="58"/>
      <c r="J319" s="58"/>
      <c r="K319" s="58"/>
      <c r="L319" s="58"/>
      <c r="M319" s="58"/>
      <c r="N319" s="58"/>
      <c r="O319" s="58"/>
      <c r="P319" s="58"/>
      <c r="Q319" s="58"/>
      <c r="R319" s="58"/>
      <c r="S319" s="58"/>
      <c r="T319" s="58"/>
      <c r="U319" s="58"/>
      <c r="V319" s="58"/>
      <c r="W319" s="58"/>
    </row>
    <row r="320" spans="1:23" ht="40.200000000000003" customHeight="1" x14ac:dyDescent="0.3">
      <c r="A320" s="58"/>
      <c r="G320" s="58"/>
      <c r="H320" s="58"/>
      <c r="I320" s="58"/>
      <c r="J320" s="58"/>
      <c r="K320" s="58"/>
      <c r="L320" s="58"/>
      <c r="M320" s="58"/>
      <c r="N320" s="58"/>
      <c r="O320" s="58"/>
      <c r="P320" s="58"/>
      <c r="Q320" s="58"/>
      <c r="R320" s="58"/>
      <c r="S320" s="58"/>
      <c r="T320" s="58"/>
      <c r="U320" s="58"/>
      <c r="V320" s="58"/>
      <c r="W320" s="58"/>
    </row>
    <row r="321" spans="1:23" ht="40.200000000000003" customHeight="1" x14ac:dyDescent="0.3">
      <c r="A321" s="58"/>
      <c r="G321" s="58"/>
      <c r="H321" s="58"/>
      <c r="I321" s="58"/>
      <c r="J321" s="58"/>
      <c r="K321" s="58"/>
      <c r="L321" s="58"/>
      <c r="M321" s="58"/>
      <c r="N321" s="58"/>
      <c r="O321" s="58"/>
      <c r="P321" s="58"/>
      <c r="Q321" s="58"/>
      <c r="R321" s="58"/>
      <c r="S321" s="58"/>
      <c r="T321" s="58"/>
      <c r="U321" s="58"/>
      <c r="V321" s="58"/>
      <c r="W321" s="58"/>
    </row>
    <row r="322" spans="1:23" ht="40.200000000000003" customHeight="1" x14ac:dyDescent="0.3">
      <c r="A322" s="58"/>
      <c r="G322" s="58"/>
      <c r="H322" s="58"/>
      <c r="I322" s="58"/>
      <c r="J322" s="58"/>
      <c r="K322" s="58"/>
      <c r="L322" s="58"/>
      <c r="M322" s="58"/>
      <c r="N322" s="58"/>
      <c r="O322" s="58"/>
      <c r="P322" s="58"/>
      <c r="Q322" s="58"/>
      <c r="R322" s="58"/>
      <c r="S322" s="58"/>
      <c r="T322" s="58"/>
      <c r="U322" s="58"/>
      <c r="V322" s="58"/>
      <c r="W322" s="58"/>
    </row>
    <row r="323" spans="1:23" ht="40.200000000000003" customHeight="1" x14ac:dyDescent="0.3">
      <c r="A323" s="58"/>
      <c r="G323" s="58"/>
      <c r="H323" s="58"/>
      <c r="I323" s="58"/>
      <c r="J323" s="58"/>
      <c r="K323" s="58"/>
      <c r="L323" s="58"/>
      <c r="M323" s="58"/>
      <c r="N323" s="58"/>
      <c r="O323" s="58"/>
      <c r="P323" s="58"/>
      <c r="Q323" s="58"/>
      <c r="R323" s="58"/>
      <c r="S323" s="58"/>
      <c r="T323" s="58"/>
      <c r="U323" s="58"/>
      <c r="V323" s="58"/>
      <c r="W323" s="58"/>
    </row>
    <row r="324" spans="1:23" ht="40.200000000000003" customHeight="1" x14ac:dyDescent="0.3">
      <c r="A324" s="58"/>
      <c r="G324" s="58"/>
      <c r="H324" s="58"/>
      <c r="I324" s="58"/>
      <c r="J324" s="58"/>
      <c r="K324" s="58"/>
      <c r="L324" s="58"/>
      <c r="M324" s="58"/>
      <c r="N324" s="58"/>
      <c r="O324" s="58"/>
      <c r="P324" s="58"/>
      <c r="Q324" s="58"/>
      <c r="R324" s="58"/>
      <c r="S324" s="58"/>
      <c r="T324" s="58"/>
      <c r="U324" s="58"/>
      <c r="V324" s="58"/>
      <c r="W324" s="58"/>
    </row>
    <row r="325" spans="1:23" ht="40.200000000000003" customHeight="1" x14ac:dyDescent="0.3">
      <c r="A325" s="58"/>
      <c r="G325" s="58"/>
      <c r="H325" s="58"/>
      <c r="I325" s="58"/>
      <c r="J325" s="58"/>
      <c r="K325" s="58"/>
      <c r="L325" s="58"/>
      <c r="M325" s="58"/>
      <c r="N325" s="58"/>
      <c r="O325" s="58"/>
      <c r="P325" s="58"/>
      <c r="Q325" s="58"/>
      <c r="R325" s="58"/>
      <c r="S325" s="58"/>
      <c r="T325" s="58"/>
      <c r="U325" s="58"/>
      <c r="V325" s="58"/>
      <c r="W325" s="58"/>
    </row>
    <row r="326" spans="1:23" ht="40.200000000000003" customHeight="1" x14ac:dyDescent="0.3">
      <c r="A326" s="58"/>
      <c r="G326" s="58"/>
      <c r="H326" s="58"/>
      <c r="I326" s="58"/>
      <c r="J326" s="58"/>
      <c r="K326" s="58"/>
      <c r="L326" s="58"/>
      <c r="M326" s="58"/>
      <c r="N326" s="58"/>
      <c r="O326" s="58"/>
      <c r="P326" s="58"/>
      <c r="Q326" s="58"/>
      <c r="R326" s="58"/>
      <c r="S326" s="58"/>
      <c r="T326" s="58"/>
      <c r="U326" s="58"/>
      <c r="V326" s="58"/>
      <c r="W326" s="58"/>
    </row>
    <row r="327" spans="1:23" ht="40.200000000000003" customHeight="1" x14ac:dyDescent="0.3">
      <c r="A327" s="58"/>
      <c r="G327" s="58"/>
      <c r="H327" s="58"/>
      <c r="I327" s="58"/>
      <c r="J327" s="58"/>
      <c r="K327" s="58"/>
      <c r="L327" s="58"/>
      <c r="M327" s="58"/>
      <c r="N327" s="58"/>
      <c r="O327" s="58"/>
      <c r="P327" s="58"/>
      <c r="Q327" s="58"/>
      <c r="R327" s="58"/>
      <c r="S327" s="58"/>
      <c r="T327" s="58"/>
      <c r="U327" s="58"/>
      <c r="V327" s="58"/>
      <c r="W327" s="58"/>
    </row>
    <row r="328" spans="1:23" ht="40.200000000000003" customHeight="1" x14ac:dyDescent="0.3">
      <c r="A328" s="58"/>
      <c r="G328" s="58"/>
      <c r="H328" s="58"/>
      <c r="I328" s="58"/>
      <c r="J328" s="58"/>
      <c r="K328" s="58"/>
      <c r="L328" s="58"/>
      <c r="M328" s="58"/>
      <c r="N328" s="58"/>
      <c r="O328" s="58"/>
      <c r="P328" s="58"/>
      <c r="Q328" s="58"/>
      <c r="R328" s="58"/>
      <c r="S328" s="58"/>
      <c r="T328" s="58"/>
      <c r="U328" s="58"/>
      <c r="V328" s="58"/>
      <c r="W328" s="58"/>
    </row>
    <row r="329" spans="1:23" ht="40.200000000000003" customHeight="1" x14ac:dyDescent="0.3">
      <c r="A329" s="58"/>
      <c r="G329" s="58"/>
      <c r="H329" s="58"/>
      <c r="I329" s="58"/>
      <c r="J329" s="58"/>
      <c r="K329" s="58"/>
      <c r="L329" s="58"/>
      <c r="M329" s="58"/>
      <c r="N329" s="58"/>
      <c r="O329" s="58"/>
      <c r="P329" s="58"/>
      <c r="Q329" s="58"/>
      <c r="R329" s="58"/>
      <c r="S329" s="58"/>
      <c r="T329" s="58"/>
      <c r="U329" s="58"/>
      <c r="V329" s="58"/>
      <c r="W329" s="58"/>
    </row>
    <row r="330" spans="1:23" ht="40.200000000000003" customHeight="1" x14ac:dyDescent="0.3">
      <c r="A330" s="58"/>
      <c r="G330" s="58"/>
      <c r="H330" s="58"/>
      <c r="I330" s="58"/>
      <c r="J330" s="58"/>
      <c r="K330" s="58"/>
      <c r="L330" s="58"/>
      <c r="M330" s="58"/>
      <c r="N330" s="58"/>
      <c r="O330" s="58"/>
      <c r="P330" s="58"/>
      <c r="Q330" s="58"/>
      <c r="R330" s="58"/>
      <c r="S330" s="58"/>
      <c r="T330" s="58"/>
      <c r="U330" s="58"/>
      <c r="V330" s="58"/>
      <c r="W330" s="58"/>
    </row>
    <row r="331" spans="1:23" ht="40.200000000000003" customHeight="1" x14ac:dyDescent="0.3">
      <c r="A331" s="58"/>
      <c r="G331" s="58"/>
      <c r="H331" s="58"/>
      <c r="I331" s="58"/>
      <c r="J331" s="58"/>
      <c r="K331" s="58"/>
      <c r="L331" s="58"/>
      <c r="M331" s="58"/>
      <c r="N331" s="58"/>
      <c r="O331" s="58"/>
      <c r="P331" s="58"/>
      <c r="Q331" s="58"/>
      <c r="R331" s="58"/>
      <c r="S331" s="58"/>
      <c r="T331" s="58"/>
      <c r="U331" s="58"/>
      <c r="V331" s="58"/>
      <c r="W331" s="58"/>
    </row>
    <row r="332" spans="1:23" ht="40.200000000000003" customHeight="1" x14ac:dyDescent="0.3">
      <c r="A332" s="58"/>
      <c r="G332" s="58"/>
      <c r="H332" s="58"/>
      <c r="I332" s="58"/>
      <c r="J332" s="58"/>
      <c r="K332" s="58"/>
      <c r="L332" s="58"/>
      <c r="M332" s="58"/>
      <c r="N332" s="58"/>
      <c r="O332" s="58"/>
      <c r="P332" s="58"/>
      <c r="Q332" s="58"/>
      <c r="R332" s="58"/>
      <c r="S332" s="58"/>
      <c r="T332" s="58"/>
      <c r="U332" s="58"/>
      <c r="V332" s="58"/>
      <c r="W332" s="58"/>
    </row>
    <row r="333" spans="1:23" ht="40.200000000000003" customHeight="1" x14ac:dyDescent="0.3">
      <c r="A333" s="58"/>
      <c r="G333" s="58"/>
      <c r="H333" s="58"/>
      <c r="I333" s="58"/>
      <c r="J333" s="58"/>
      <c r="K333" s="58"/>
      <c r="L333" s="58"/>
      <c r="M333" s="58"/>
      <c r="N333" s="58"/>
      <c r="O333" s="58"/>
      <c r="P333" s="58"/>
      <c r="Q333" s="58"/>
      <c r="R333" s="58"/>
      <c r="S333" s="58"/>
      <c r="T333" s="58"/>
      <c r="U333" s="58"/>
      <c r="V333" s="58"/>
      <c r="W333" s="58"/>
    </row>
    <row r="334" spans="1:23" ht="40.200000000000003" customHeight="1" x14ac:dyDescent="0.3">
      <c r="A334" s="58"/>
      <c r="G334" s="58"/>
      <c r="H334" s="58"/>
      <c r="I334" s="58"/>
      <c r="J334" s="58"/>
      <c r="K334" s="58"/>
      <c r="L334" s="58"/>
      <c r="M334" s="58"/>
      <c r="N334" s="58"/>
      <c r="O334" s="58"/>
      <c r="P334" s="58"/>
      <c r="Q334" s="58"/>
      <c r="R334" s="58"/>
      <c r="S334" s="58"/>
      <c r="T334" s="58"/>
      <c r="U334" s="58"/>
      <c r="V334" s="58"/>
      <c r="W334" s="58"/>
    </row>
    <row r="335" spans="1:23" ht="40.200000000000003" customHeight="1" x14ac:dyDescent="0.3">
      <c r="A335" s="58"/>
      <c r="G335" s="58"/>
      <c r="H335" s="58"/>
      <c r="I335" s="58"/>
      <c r="J335" s="58"/>
      <c r="K335" s="58"/>
      <c r="L335" s="58"/>
      <c r="M335" s="58"/>
      <c r="N335" s="58"/>
      <c r="O335" s="58"/>
      <c r="P335" s="58"/>
      <c r="Q335" s="58"/>
      <c r="R335" s="58"/>
      <c r="S335" s="58"/>
      <c r="T335" s="58"/>
      <c r="U335" s="58"/>
      <c r="V335" s="58"/>
      <c r="W335" s="58"/>
    </row>
    <row r="336" spans="1:23" ht="40.200000000000003" customHeight="1" x14ac:dyDescent="0.3">
      <c r="A336" s="58"/>
      <c r="G336" s="58"/>
      <c r="H336" s="58"/>
      <c r="I336" s="58"/>
      <c r="J336" s="58"/>
      <c r="K336" s="58"/>
      <c r="L336" s="58"/>
      <c r="M336" s="58"/>
      <c r="N336" s="58"/>
      <c r="O336" s="58"/>
      <c r="P336" s="58"/>
      <c r="Q336" s="58"/>
      <c r="R336" s="58"/>
      <c r="S336" s="58"/>
      <c r="T336" s="58"/>
      <c r="U336" s="58"/>
      <c r="V336" s="58"/>
      <c r="W336" s="58"/>
    </row>
    <row r="337" spans="1:23" ht="40.200000000000003" customHeight="1" x14ac:dyDescent="0.3">
      <c r="A337" s="58"/>
      <c r="G337" s="58"/>
      <c r="H337" s="58"/>
      <c r="I337" s="58"/>
      <c r="J337" s="58"/>
      <c r="K337" s="58"/>
      <c r="L337" s="58"/>
      <c r="M337" s="58"/>
      <c r="N337" s="60"/>
      <c r="O337" s="58"/>
      <c r="P337" s="58"/>
      <c r="Q337" s="58"/>
      <c r="R337" s="58"/>
      <c r="S337" s="58"/>
      <c r="T337" s="58"/>
      <c r="U337" s="58"/>
      <c r="V337" s="58"/>
      <c r="W337" s="58"/>
    </row>
    <row r="338" spans="1:23" ht="40.200000000000003" customHeight="1" x14ac:dyDescent="0.3">
      <c r="A338" s="58"/>
      <c r="G338" s="58"/>
      <c r="H338" s="58"/>
      <c r="I338" s="58"/>
      <c r="J338" s="58"/>
      <c r="K338" s="58"/>
      <c r="L338" s="58"/>
      <c r="M338" s="58"/>
      <c r="O338" s="58"/>
      <c r="P338" s="58"/>
      <c r="Q338" s="58"/>
      <c r="R338" s="58"/>
      <c r="S338" s="58"/>
      <c r="T338" s="58"/>
      <c r="U338" s="58"/>
      <c r="V338" s="58"/>
      <c r="W338" s="58"/>
    </row>
    <row r="339" spans="1:23" ht="40.200000000000003" customHeight="1" x14ac:dyDescent="0.3">
      <c r="A339" s="58"/>
      <c r="G339" s="58"/>
      <c r="H339" s="58"/>
      <c r="I339" s="58"/>
      <c r="J339" s="58"/>
      <c r="K339" s="58"/>
      <c r="L339" s="58"/>
      <c r="M339" s="58"/>
      <c r="O339" s="58"/>
      <c r="P339" s="58"/>
      <c r="Q339" s="58"/>
      <c r="R339" s="58"/>
      <c r="S339" s="58"/>
      <c r="T339" s="58"/>
      <c r="U339" s="58"/>
      <c r="V339" s="58"/>
      <c r="W339" s="58"/>
    </row>
    <row r="340" spans="1:23" ht="40.200000000000003" customHeight="1" x14ac:dyDescent="0.3">
      <c r="A340" s="58"/>
      <c r="G340" s="58"/>
      <c r="H340" s="58"/>
      <c r="I340" s="58"/>
      <c r="J340" s="58"/>
      <c r="K340" s="58"/>
      <c r="L340" s="58"/>
      <c r="M340" s="58"/>
      <c r="O340" s="58"/>
      <c r="P340" s="58"/>
      <c r="Q340" s="58"/>
      <c r="R340" s="58"/>
      <c r="S340" s="58"/>
      <c r="T340" s="58"/>
      <c r="U340" s="58"/>
      <c r="V340" s="58"/>
      <c r="W340" s="58"/>
    </row>
    <row r="341" spans="1:23" ht="40.200000000000003" customHeight="1" x14ac:dyDescent="0.3">
      <c r="A341" s="58"/>
      <c r="G341" s="58"/>
      <c r="H341" s="58"/>
      <c r="I341" s="58"/>
      <c r="J341" s="58"/>
      <c r="K341" s="58"/>
      <c r="L341" s="58"/>
      <c r="M341" s="58"/>
      <c r="O341" s="58"/>
      <c r="P341" s="58"/>
      <c r="Q341" s="58"/>
      <c r="R341" s="58"/>
      <c r="S341" s="58"/>
      <c r="T341" s="58"/>
      <c r="U341" s="58"/>
      <c r="V341" s="58"/>
      <c r="W341" s="58"/>
    </row>
    <row r="342" spans="1:23" ht="40.200000000000003" customHeight="1" x14ac:dyDescent="0.3">
      <c r="A342" s="58"/>
      <c r="G342" s="58"/>
      <c r="H342" s="58"/>
      <c r="I342" s="58"/>
      <c r="J342" s="58"/>
      <c r="K342" s="58"/>
      <c r="L342" s="58"/>
      <c r="M342" s="58"/>
      <c r="O342" s="60"/>
      <c r="P342" s="60"/>
      <c r="Q342" s="60"/>
      <c r="R342" s="60"/>
      <c r="S342" s="60"/>
      <c r="T342" s="60"/>
      <c r="U342" s="60"/>
      <c r="V342" s="60"/>
      <c r="W342" s="60"/>
    </row>
    <row r="343" spans="1:23" ht="40.200000000000003" customHeight="1" x14ac:dyDescent="0.3">
      <c r="A343" s="58"/>
      <c r="G343" s="58"/>
      <c r="H343" s="58"/>
      <c r="I343" s="58"/>
      <c r="J343" s="58"/>
      <c r="K343" s="60"/>
      <c r="L343" s="60"/>
      <c r="M343" s="60"/>
    </row>
    <row r="344" spans="1:23" ht="40.200000000000003" customHeight="1" x14ac:dyDescent="0.3">
      <c r="A344" s="58"/>
      <c r="G344" s="58"/>
      <c r="H344" s="58"/>
      <c r="I344" s="58"/>
      <c r="J344" s="58"/>
    </row>
    <row r="345" spans="1:23" ht="40.200000000000003" customHeight="1" x14ac:dyDescent="0.3">
      <c r="A345" s="58"/>
      <c r="G345" s="58"/>
      <c r="H345" s="58"/>
      <c r="I345" s="58"/>
      <c r="J345" s="58"/>
    </row>
    <row r="346" spans="1:23" ht="40.200000000000003" customHeight="1" x14ac:dyDescent="0.3">
      <c r="A346" s="58"/>
      <c r="G346" s="58"/>
      <c r="H346" s="58"/>
      <c r="I346" s="58"/>
      <c r="J346" s="58"/>
    </row>
    <row r="347" spans="1:23" ht="40.200000000000003" customHeight="1" x14ac:dyDescent="0.3">
      <c r="A347" s="58"/>
      <c r="G347" s="58"/>
      <c r="H347" s="58"/>
      <c r="I347" s="58"/>
      <c r="J347" s="58"/>
    </row>
    <row r="348" spans="1:23" ht="40.200000000000003" customHeight="1" x14ac:dyDescent="0.3">
      <c r="A348" s="58"/>
      <c r="G348" s="58"/>
      <c r="H348" s="58"/>
      <c r="I348" s="58"/>
      <c r="J348" s="58"/>
    </row>
    <row r="349" spans="1:23" ht="40.200000000000003" customHeight="1" x14ac:dyDescent="0.3">
      <c r="A349" s="58"/>
      <c r="G349" s="58"/>
      <c r="H349" s="58"/>
      <c r="I349" s="58"/>
      <c r="J349" s="58"/>
    </row>
    <row r="350" spans="1:23" ht="40.200000000000003" customHeight="1" x14ac:dyDescent="0.3">
      <c r="A350" s="58"/>
      <c r="G350" s="58"/>
      <c r="H350" s="58"/>
      <c r="I350" s="58"/>
      <c r="J350" s="58"/>
    </row>
    <row r="351" spans="1:23" ht="40.200000000000003" customHeight="1" x14ac:dyDescent="0.3">
      <c r="A351" s="58"/>
      <c r="G351" s="58"/>
      <c r="H351" s="58"/>
      <c r="I351" s="58"/>
      <c r="J351" s="58"/>
    </row>
    <row r="352" spans="1:23" ht="40.200000000000003" customHeight="1" x14ac:dyDescent="0.3">
      <c r="A352" s="58"/>
      <c r="G352" s="58"/>
      <c r="H352" s="58"/>
      <c r="I352" s="58"/>
      <c r="J352" s="58"/>
    </row>
    <row r="353" spans="1:10" ht="40.200000000000003" customHeight="1" x14ac:dyDescent="0.3">
      <c r="A353" s="58"/>
      <c r="G353" s="58"/>
      <c r="H353" s="58"/>
      <c r="I353" s="58"/>
      <c r="J353" s="58"/>
    </row>
    <row r="354" spans="1:10" ht="40.200000000000003" customHeight="1" x14ac:dyDescent="0.3">
      <c r="A354" s="58"/>
      <c r="G354" s="58"/>
      <c r="H354" s="58"/>
      <c r="I354" s="58"/>
      <c r="J354" s="58"/>
    </row>
    <row r="355" spans="1:10" ht="40.200000000000003" customHeight="1" x14ac:dyDescent="0.3">
      <c r="A355" s="58"/>
      <c r="G355" s="58"/>
      <c r="H355" s="58"/>
      <c r="I355" s="58"/>
      <c r="J355" s="58"/>
    </row>
    <row r="356" spans="1:10" ht="40.200000000000003" customHeight="1" x14ac:dyDescent="0.3">
      <c r="A356" s="58"/>
      <c r="G356" s="58"/>
      <c r="H356" s="58"/>
      <c r="I356" s="58"/>
      <c r="J356" s="58"/>
    </row>
    <row r="357" spans="1:10" ht="40.200000000000003" customHeight="1" x14ac:dyDescent="0.3">
      <c r="A357" s="58"/>
      <c r="G357" s="58"/>
      <c r="H357" s="58"/>
      <c r="I357" s="58"/>
      <c r="J357" s="58"/>
    </row>
    <row r="358" spans="1:10" ht="40.200000000000003" customHeight="1" x14ac:dyDescent="0.3">
      <c r="A358" s="58"/>
      <c r="G358" s="58"/>
      <c r="H358" s="58"/>
      <c r="I358" s="58"/>
      <c r="J358" s="58"/>
    </row>
    <row r="359" spans="1:10" ht="40.200000000000003" customHeight="1" x14ac:dyDescent="0.3">
      <c r="A359" s="58"/>
      <c r="G359" s="58"/>
      <c r="H359" s="58"/>
      <c r="I359" s="58"/>
      <c r="J359" s="58"/>
    </row>
    <row r="360" spans="1:10" ht="40.200000000000003" customHeight="1" x14ac:dyDescent="0.3">
      <c r="A360" s="58"/>
      <c r="G360" s="58"/>
      <c r="H360" s="58"/>
      <c r="I360" s="58"/>
      <c r="J360" s="58"/>
    </row>
    <row r="361" spans="1:10" ht="40.200000000000003" customHeight="1" x14ac:dyDescent="0.3">
      <c r="A361" s="58"/>
      <c r="G361" s="58"/>
      <c r="H361" s="58"/>
      <c r="I361" s="58"/>
      <c r="J361" s="58"/>
    </row>
    <row r="362" spans="1:10" ht="40.200000000000003" customHeight="1" x14ac:dyDescent="0.3">
      <c r="A362" s="58"/>
      <c r="G362" s="58"/>
      <c r="H362" s="58"/>
      <c r="I362" s="58"/>
      <c r="J362" s="58"/>
    </row>
    <row r="363" spans="1:10" ht="40.200000000000003" customHeight="1" x14ac:dyDescent="0.3">
      <c r="A363" s="58"/>
      <c r="G363" s="58"/>
      <c r="H363" s="58"/>
      <c r="I363" s="58"/>
      <c r="J363" s="58"/>
    </row>
    <row r="364" spans="1:10" ht="40.200000000000003" customHeight="1" x14ac:dyDescent="0.3">
      <c r="A364" s="58"/>
      <c r="G364" s="58"/>
      <c r="H364" s="58"/>
      <c r="I364" s="58"/>
      <c r="J364" s="58"/>
    </row>
    <row r="365" spans="1:10" ht="40.200000000000003" customHeight="1" x14ac:dyDescent="0.3">
      <c r="A365" s="58"/>
      <c r="G365" s="58"/>
      <c r="H365" s="58"/>
      <c r="I365" s="58"/>
      <c r="J365" s="58"/>
    </row>
    <row r="366" spans="1:10" ht="40.200000000000003" customHeight="1" x14ac:dyDescent="0.3">
      <c r="A366" s="58"/>
      <c r="G366" s="58"/>
      <c r="H366" s="58"/>
      <c r="I366" s="58"/>
      <c r="J366" s="58"/>
    </row>
    <row r="367" spans="1:10" ht="40.200000000000003" customHeight="1" x14ac:dyDescent="0.3">
      <c r="A367" s="58"/>
      <c r="J367" s="58"/>
    </row>
    <row r="368" spans="1:10" ht="40.200000000000003" customHeight="1" x14ac:dyDescent="0.3">
      <c r="A368" s="58"/>
      <c r="J368" s="58"/>
    </row>
    <row r="369" spans="1:10" ht="40.200000000000003" customHeight="1" x14ac:dyDescent="0.3">
      <c r="A369" s="58"/>
      <c r="J369" s="58"/>
    </row>
    <row r="370" spans="1:10" ht="40.200000000000003" customHeight="1" x14ac:dyDescent="0.3">
      <c r="A370" s="58"/>
      <c r="J370" s="58"/>
    </row>
    <row r="371" spans="1:10" ht="40.200000000000003" customHeight="1" x14ac:dyDescent="0.3">
      <c r="A371" s="58"/>
      <c r="J371" s="58"/>
    </row>
    <row r="372" spans="1:10" ht="40.200000000000003" customHeight="1" x14ac:dyDescent="0.3">
      <c r="A372" s="58"/>
      <c r="J372" s="58"/>
    </row>
  </sheetData>
  <sheetProtection algorithmName="SHA-512" hashValue="nc07AkQIReCg9VMGFd3yqS/+dBuM6J5j/xWWoEpWoeLANueXo0mnPqS/jQZqJ9GG/3+eREV0agkbi9q0EAuVeg==" saltValue="sj29LgWqUfGqqWSYJtQkfQ==" spinCount="100000" sheet="1" selectLockedCells="1"/>
  <mergeCells count="19">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style="36"/>
    <col min="2" max="2" width="8.88671875" style="1"/>
    <col min="3" max="3" width="101.5546875" style="6" customWidth="1"/>
    <col min="4" max="4" width="18.6640625" style="36" customWidth="1"/>
    <col min="5" max="7" width="15.5546875" style="36" customWidth="1"/>
    <col min="8" max="11" width="15.5546875" style="1" customWidth="1"/>
    <col min="12" max="12" width="21.6640625" style="1" customWidth="1"/>
    <col min="13" max="13" width="15.5546875" style="1" customWidth="1"/>
    <col min="14" max="14" width="1.88671875" style="1" customWidth="1"/>
    <col min="15" max="17" width="15.5546875" style="1" customWidth="1"/>
    <col min="18" max="18" width="18" style="1" customWidth="1"/>
    <col min="19" max="19" width="19.88671875" style="1" customWidth="1"/>
    <col min="20" max="20" width="27.109375" style="1" customWidth="1"/>
    <col min="21" max="22" width="12" style="1" customWidth="1"/>
    <col min="23" max="23" width="11.44140625" style="1" customWidth="1"/>
    <col min="24" max="24" width="16.44140625" style="1" customWidth="1"/>
    <col min="25" max="25" width="20.5546875" style="5" customWidth="1"/>
    <col min="26" max="26" width="5.44140625" style="36" customWidth="1"/>
    <col min="27" max="27" width="12.109375" style="36" customWidth="1"/>
    <col min="28" max="16384" width="8.88671875" style="36"/>
  </cols>
  <sheetData>
    <row r="1" spans="2:27" s="3" customFormat="1" x14ac:dyDescent="0.3">
      <c r="B1" s="1"/>
      <c r="C1" s="2"/>
      <c r="H1" s="4"/>
      <c r="I1" s="4"/>
      <c r="J1" s="4"/>
      <c r="K1" s="1"/>
      <c r="L1" s="1"/>
      <c r="M1" s="1"/>
      <c r="N1" s="1"/>
      <c r="O1" s="1"/>
      <c r="P1" s="4"/>
      <c r="Q1" s="4"/>
      <c r="R1" s="4"/>
      <c r="S1" s="4"/>
      <c r="T1" s="4"/>
      <c r="U1" s="4"/>
      <c r="V1" s="4"/>
      <c r="W1" s="4"/>
      <c r="X1" s="4"/>
      <c r="Y1" s="5"/>
    </row>
    <row r="2" spans="2:27" s="3" customFormat="1" ht="16.2" thickBot="1" x14ac:dyDescent="0.35">
      <c r="B2" s="1"/>
      <c r="C2" s="6"/>
      <c r="H2" s="4"/>
      <c r="I2" s="4"/>
      <c r="J2" s="4"/>
      <c r="K2" s="1"/>
      <c r="L2" s="1"/>
      <c r="M2" s="1"/>
      <c r="N2" s="1"/>
      <c r="O2" s="1"/>
      <c r="P2" s="4"/>
      <c r="Q2" s="4"/>
      <c r="R2" s="4"/>
      <c r="S2" s="4"/>
      <c r="T2" s="4"/>
      <c r="U2" s="4"/>
      <c r="V2" s="4"/>
      <c r="W2" s="4"/>
      <c r="X2" s="4"/>
      <c r="Y2" s="5"/>
    </row>
    <row r="3" spans="2:27" s="3" customFormat="1" ht="57.6" customHeight="1" thickBot="1" x14ac:dyDescent="0.35">
      <c r="B3" s="340" t="s">
        <v>62</v>
      </c>
      <c r="C3" s="341"/>
      <c r="D3" s="341"/>
      <c r="E3" s="341"/>
      <c r="F3" s="341"/>
      <c r="G3" s="341"/>
      <c r="H3" s="341"/>
      <c r="I3" s="341"/>
      <c r="J3" s="341"/>
      <c r="K3" s="341"/>
      <c r="L3" s="341"/>
      <c r="M3" s="341"/>
      <c r="N3" s="341"/>
      <c r="O3" s="341"/>
      <c r="P3" s="341"/>
      <c r="Q3" s="341"/>
      <c r="R3" s="341"/>
      <c r="S3" s="341"/>
      <c r="T3" s="341"/>
      <c r="U3" s="341"/>
      <c r="V3" s="341"/>
      <c r="W3" s="341"/>
      <c r="X3" s="341"/>
      <c r="Y3" s="342"/>
      <c r="Z3" s="7"/>
      <c r="AA3" s="8"/>
    </row>
    <row r="4" spans="2:27" s="3" customFormat="1" ht="36.6" customHeight="1" thickBot="1" x14ac:dyDescent="0.35">
      <c r="B4" s="343" t="s">
        <v>0</v>
      </c>
      <c r="C4" s="344"/>
      <c r="D4" s="345"/>
      <c r="E4" s="346"/>
      <c r="F4" s="346"/>
      <c r="G4" s="346"/>
      <c r="H4" s="346"/>
      <c r="I4" s="346"/>
      <c r="J4" s="346"/>
      <c r="K4" s="347"/>
      <c r="L4" s="9"/>
      <c r="M4" s="348"/>
      <c r="N4" s="349"/>
      <c r="O4" s="349"/>
      <c r="P4" s="350"/>
      <c r="Q4" s="351"/>
      <c r="R4" s="352"/>
      <c r="S4" s="352"/>
      <c r="T4" s="352"/>
      <c r="U4" s="352"/>
      <c r="V4" s="352"/>
      <c r="W4" s="352"/>
      <c r="X4" s="352"/>
      <c r="Y4" s="353"/>
    </row>
    <row r="5" spans="2:27" s="3" customFormat="1" ht="36.6" customHeight="1" thickBot="1" x14ac:dyDescent="0.35">
      <c r="B5" s="354" t="s">
        <v>1</v>
      </c>
      <c r="C5" s="355"/>
      <c r="D5" s="356"/>
      <c r="E5" s="357"/>
      <c r="F5" s="357"/>
      <c r="G5" s="357"/>
      <c r="H5" s="357"/>
      <c r="I5" s="357"/>
      <c r="J5" s="357"/>
      <c r="K5" s="358"/>
      <c r="L5" s="9"/>
      <c r="M5" s="354" t="s">
        <v>2</v>
      </c>
      <c r="N5" s="359"/>
      <c r="O5" s="359"/>
      <c r="P5" s="355"/>
      <c r="Q5" s="351"/>
      <c r="R5" s="352"/>
      <c r="S5" s="352"/>
      <c r="T5" s="352"/>
      <c r="U5" s="352"/>
      <c r="V5" s="352"/>
      <c r="W5" s="352"/>
      <c r="X5" s="352"/>
      <c r="Y5" s="353"/>
    </row>
    <row r="6" spans="2:27" s="3" customFormat="1" ht="36.6" customHeight="1" thickBot="1" x14ac:dyDescent="0.35">
      <c r="B6" s="348" t="s">
        <v>3</v>
      </c>
      <c r="C6" s="350"/>
      <c r="D6" s="360"/>
      <c r="E6" s="361"/>
      <c r="F6" s="361"/>
      <c r="G6" s="362"/>
      <c r="H6" s="363" t="s">
        <v>4</v>
      </c>
      <c r="I6" s="364"/>
      <c r="J6" s="364"/>
      <c r="K6" s="365"/>
      <c r="L6" s="9"/>
      <c r="M6" s="348" t="s">
        <v>5</v>
      </c>
      <c r="N6" s="349"/>
      <c r="O6" s="349"/>
      <c r="P6" s="350"/>
      <c r="Q6" s="366"/>
      <c r="R6" s="367"/>
      <c r="S6" s="367"/>
      <c r="T6" s="367"/>
      <c r="U6" s="367"/>
      <c r="V6" s="367"/>
      <c r="W6" s="367"/>
      <c r="X6" s="367"/>
      <c r="Y6" s="368"/>
    </row>
    <row r="7" spans="2:27" s="3" customFormat="1" ht="36.6" customHeight="1" thickBot="1" x14ac:dyDescent="0.35">
      <c r="B7" s="369" t="s">
        <v>6</v>
      </c>
      <c r="C7" s="370"/>
      <c r="D7" s="360"/>
      <c r="E7" s="361"/>
      <c r="F7" s="361"/>
      <c r="G7" s="361"/>
      <c r="H7" s="361"/>
      <c r="I7" s="361"/>
      <c r="J7" s="361"/>
      <c r="K7" s="362"/>
      <c r="L7" s="9"/>
      <c r="M7" s="348" t="s">
        <v>7</v>
      </c>
      <c r="N7" s="349"/>
      <c r="O7" s="349"/>
      <c r="P7" s="350"/>
      <c r="Q7" s="351"/>
      <c r="R7" s="352"/>
      <c r="S7" s="352"/>
      <c r="T7" s="352"/>
      <c r="U7" s="352"/>
      <c r="V7" s="352"/>
      <c r="W7" s="352"/>
      <c r="X7" s="352"/>
      <c r="Y7" s="353"/>
    </row>
    <row r="8" spans="2:27" s="3" customFormat="1" ht="36.6" customHeight="1" thickBot="1" x14ac:dyDescent="0.35">
      <c r="B8" s="369" t="s">
        <v>8</v>
      </c>
      <c r="C8" s="370"/>
      <c r="D8" s="360"/>
      <c r="E8" s="361"/>
      <c r="F8" s="361"/>
      <c r="G8" s="361"/>
      <c r="H8" s="361"/>
      <c r="I8" s="361"/>
      <c r="J8" s="361"/>
      <c r="K8" s="362"/>
      <c r="L8" s="10"/>
      <c r="M8" s="348" t="s">
        <v>9</v>
      </c>
      <c r="N8" s="349"/>
      <c r="O8" s="349"/>
      <c r="P8" s="350"/>
      <c r="Q8" s="366"/>
      <c r="R8" s="367"/>
      <c r="S8" s="367"/>
      <c r="T8" s="367"/>
      <c r="U8" s="367"/>
      <c r="V8" s="367"/>
      <c r="W8" s="367"/>
      <c r="X8" s="367"/>
      <c r="Y8" s="368"/>
    </row>
    <row r="9" spans="2:27" s="3" customFormat="1" ht="32.25" customHeight="1" thickBot="1" x14ac:dyDescent="0.35">
      <c r="B9" s="11"/>
      <c r="C9" s="373" t="s">
        <v>10</v>
      </c>
      <c r="D9" s="375" t="s">
        <v>11</v>
      </c>
      <c r="E9" s="377" t="s">
        <v>12</v>
      </c>
      <c r="F9" s="377"/>
      <c r="G9" s="377"/>
      <c r="H9" s="377"/>
      <c r="I9" s="377"/>
      <c r="J9" s="377"/>
      <c r="K9" s="377"/>
      <c r="L9" s="377"/>
      <c r="M9" s="377"/>
      <c r="N9" s="377"/>
      <c r="O9" s="377"/>
      <c r="P9" s="377"/>
      <c r="Q9" s="377"/>
      <c r="R9" s="378"/>
      <c r="S9" s="379" t="s">
        <v>13</v>
      </c>
      <c r="T9" s="381" t="s">
        <v>14</v>
      </c>
      <c r="U9" s="383" t="s">
        <v>15</v>
      </c>
      <c r="V9" s="383"/>
      <c r="W9" s="383"/>
      <c r="X9" s="383"/>
      <c r="Y9" s="384"/>
    </row>
    <row r="10" spans="2:27" s="14" customFormat="1" ht="120" customHeight="1" thickBot="1" x14ac:dyDescent="0.35">
      <c r="B10" s="12"/>
      <c r="C10" s="374"/>
      <c r="D10" s="376"/>
      <c r="E10" s="392" t="s">
        <v>16</v>
      </c>
      <c r="F10" s="393"/>
      <c r="G10" s="392" t="s">
        <v>17</v>
      </c>
      <c r="H10" s="393"/>
      <c r="I10" s="392" t="s">
        <v>18</v>
      </c>
      <c r="J10" s="393"/>
      <c r="K10" s="392" t="s">
        <v>19</v>
      </c>
      <c r="L10" s="393"/>
      <c r="M10" s="371" t="s">
        <v>20</v>
      </c>
      <c r="N10" s="394"/>
      <c r="O10" s="395"/>
      <c r="P10" s="371" t="s">
        <v>21</v>
      </c>
      <c r="Q10" s="372"/>
      <c r="R10" s="13" t="s">
        <v>22</v>
      </c>
      <c r="S10" s="380"/>
      <c r="T10" s="382"/>
      <c r="U10" s="385"/>
      <c r="V10" s="385"/>
      <c r="W10" s="385"/>
      <c r="X10" s="385"/>
      <c r="Y10" s="386"/>
    </row>
    <row r="11" spans="2:27" s="3" customFormat="1" ht="87.6" customHeight="1" x14ac:dyDescent="0.3">
      <c r="B11" s="15">
        <v>1</v>
      </c>
      <c r="C11" s="16" t="s">
        <v>23</v>
      </c>
      <c r="D11" s="387"/>
      <c r="E11" s="389">
        <v>213</v>
      </c>
      <c r="F11" s="390"/>
      <c r="G11" s="390">
        <v>186</v>
      </c>
      <c r="H11" s="390"/>
      <c r="I11" s="390">
        <v>168</v>
      </c>
      <c r="J11" s="390"/>
      <c r="K11" s="390">
        <v>264</v>
      </c>
      <c r="L11" s="390"/>
      <c r="M11" s="391">
        <v>292</v>
      </c>
      <c r="N11" s="391"/>
      <c r="O11" s="391"/>
      <c r="P11" s="390">
        <v>295</v>
      </c>
      <c r="Q11" s="396"/>
      <c r="R11" s="17">
        <v>1418</v>
      </c>
      <c r="S11" s="18"/>
      <c r="T11" s="19" t="s">
        <v>24</v>
      </c>
      <c r="U11" s="397"/>
      <c r="V11" s="398"/>
      <c r="W11" s="398"/>
      <c r="X11" s="398"/>
      <c r="Y11" s="399"/>
    </row>
    <row r="12" spans="2:27" s="3" customFormat="1" ht="87.6" customHeight="1" x14ac:dyDescent="0.3">
      <c r="B12" s="15" t="s">
        <v>25</v>
      </c>
      <c r="C12" s="16" t="s">
        <v>26</v>
      </c>
      <c r="D12" s="388"/>
      <c r="E12" s="400">
        <v>35</v>
      </c>
      <c r="F12" s="401"/>
      <c r="G12" s="401">
        <v>18</v>
      </c>
      <c r="H12" s="401"/>
      <c r="I12" s="401">
        <v>18</v>
      </c>
      <c r="J12" s="401"/>
      <c r="K12" s="401">
        <v>28</v>
      </c>
      <c r="L12" s="401"/>
      <c r="M12" s="402">
        <v>40</v>
      </c>
      <c r="N12" s="402"/>
      <c r="O12" s="402"/>
      <c r="P12" s="401">
        <v>21</v>
      </c>
      <c r="Q12" s="403"/>
      <c r="R12" s="17">
        <v>160</v>
      </c>
      <c r="S12" s="20"/>
      <c r="T12" s="19" t="s">
        <v>24</v>
      </c>
      <c r="U12" s="397"/>
      <c r="V12" s="398"/>
      <c r="W12" s="398"/>
      <c r="X12" s="398"/>
      <c r="Y12" s="399"/>
    </row>
    <row r="13" spans="2:27" s="3" customFormat="1" ht="87.6" customHeight="1" x14ac:dyDescent="0.3">
      <c r="B13" s="15">
        <v>2</v>
      </c>
      <c r="C13" s="16" t="s">
        <v>27</v>
      </c>
      <c r="D13" s="21">
        <v>5365</v>
      </c>
      <c r="E13" s="400">
        <v>836</v>
      </c>
      <c r="F13" s="401"/>
      <c r="G13" s="401">
        <v>783</v>
      </c>
      <c r="H13" s="401"/>
      <c r="I13" s="401">
        <v>1394</v>
      </c>
      <c r="J13" s="401"/>
      <c r="K13" s="401">
        <v>667</v>
      </c>
      <c r="L13" s="401"/>
      <c r="M13" s="402">
        <v>827</v>
      </c>
      <c r="N13" s="402"/>
      <c r="O13" s="402"/>
      <c r="P13" s="401">
        <v>827</v>
      </c>
      <c r="Q13" s="403"/>
      <c r="R13" s="17">
        <v>5334</v>
      </c>
      <c r="S13" s="22">
        <v>1.0049999999999999</v>
      </c>
      <c r="T13" s="19" t="s">
        <v>24</v>
      </c>
      <c r="U13" s="397"/>
      <c r="V13" s="398"/>
      <c r="W13" s="398"/>
      <c r="X13" s="398"/>
      <c r="Y13" s="399"/>
    </row>
    <row r="14" spans="2:27" s="3" customFormat="1" ht="87.6" customHeight="1" x14ac:dyDescent="0.3">
      <c r="B14" s="15" t="s">
        <v>28</v>
      </c>
      <c r="C14" s="16" t="s">
        <v>29</v>
      </c>
      <c r="D14" s="21">
        <v>4</v>
      </c>
      <c r="E14" s="400">
        <v>0</v>
      </c>
      <c r="F14" s="401"/>
      <c r="G14" s="401">
        <v>1</v>
      </c>
      <c r="H14" s="401"/>
      <c r="I14" s="401">
        <v>2</v>
      </c>
      <c r="J14" s="401"/>
      <c r="K14" s="401">
        <v>0</v>
      </c>
      <c r="L14" s="401"/>
      <c r="M14" s="402">
        <v>0</v>
      </c>
      <c r="N14" s="402"/>
      <c r="O14" s="402"/>
      <c r="P14" s="401">
        <v>1</v>
      </c>
      <c r="Q14" s="403"/>
      <c r="R14" s="17">
        <v>4</v>
      </c>
      <c r="S14" s="22">
        <v>1</v>
      </c>
      <c r="T14" s="19" t="s">
        <v>24</v>
      </c>
      <c r="U14" s="397"/>
      <c r="V14" s="398"/>
      <c r="W14" s="398"/>
      <c r="X14" s="398"/>
      <c r="Y14" s="399"/>
    </row>
    <row r="15" spans="2:27" s="3" customFormat="1" ht="87.6" customHeight="1" thickBot="1" x14ac:dyDescent="0.35">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97"/>
      <c r="V15" s="398"/>
      <c r="W15" s="398"/>
      <c r="X15" s="398"/>
      <c r="Y15" s="399"/>
    </row>
    <row r="16" spans="2:27" s="3" customFormat="1" ht="87.6" customHeight="1" thickBot="1" x14ac:dyDescent="0.35">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97"/>
      <c r="V16" s="398"/>
      <c r="W16" s="398"/>
      <c r="X16" s="398"/>
      <c r="Y16" s="399"/>
    </row>
    <row r="17" spans="2:28" s="3" customFormat="1" ht="87.6" customHeight="1" thickBot="1" x14ac:dyDescent="0.35">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97"/>
      <c r="V17" s="398"/>
      <c r="W17" s="398"/>
      <c r="X17" s="398"/>
      <c r="Y17" s="399"/>
    </row>
    <row r="18" spans="2:28" s="3" customFormat="1" ht="87.6" customHeight="1" x14ac:dyDescent="0.3">
      <c r="B18" s="15">
        <v>3</v>
      </c>
      <c r="C18" s="16" t="s">
        <v>34</v>
      </c>
      <c r="D18" s="21">
        <v>25</v>
      </c>
      <c r="E18" s="411">
        <v>2</v>
      </c>
      <c r="F18" s="412"/>
      <c r="G18" s="412">
        <v>1</v>
      </c>
      <c r="H18" s="412"/>
      <c r="I18" s="412">
        <v>7</v>
      </c>
      <c r="J18" s="412"/>
      <c r="K18" s="412">
        <v>2</v>
      </c>
      <c r="L18" s="412"/>
      <c r="M18" s="413">
        <v>4</v>
      </c>
      <c r="N18" s="413"/>
      <c r="O18" s="413"/>
      <c r="P18" s="412">
        <v>9</v>
      </c>
      <c r="Q18" s="414"/>
      <c r="R18" s="26">
        <v>25</v>
      </c>
      <c r="S18" s="22">
        <v>1</v>
      </c>
      <c r="T18" s="19" t="s">
        <v>24</v>
      </c>
      <c r="U18" s="397"/>
      <c r="V18" s="398"/>
      <c r="W18" s="398"/>
      <c r="X18" s="398"/>
      <c r="Y18" s="399"/>
    </row>
    <row r="19" spans="2:28" s="3" customFormat="1" ht="87.6" customHeight="1" thickBot="1" x14ac:dyDescent="0.35">
      <c r="B19" s="15">
        <v>4</v>
      </c>
      <c r="C19" s="16" t="s">
        <v>35</v>
      </c>
      <c r="D19" s="27">
        <v>104</v>
      </c>
      <c r="E19" s="430">
        <v>24</v>
      </c>
      <c r="F19" s="431"/>
      <c r="G19" s="431">
        <v>10</v>
      </c>
      <c r="H19" s="431"/>
      <c r="I19" s="431">
        <v>4</v>
      </c>
      <c r="J19" s="431"/>
      <c r="K19" s="431">
        <v>19</v>
      </c>
      <c r="L19" s="431"/>
      <c r="M19" s="432">
        <v>21</v>
      </c>
      <c r="N19" s="432"/>
      <c r="O19" s="432"/>
      <c r="P19" s="431">
        <v>26</v>
      </c>
      <c r="Q19" s="433"/>
      <c r="R19" s="17">
        <v>104</v>
      </c>
      <c r="S19" s="22">
        <v>1</v>
      </c>
      <c r="T19" s="19" t="s">
        <v>24</v>
      </c>
      <c r="U19" s="397"/>
      <c r="V19" s="398"/>
      <c r="W19" s="398"/>
      <c r="X19" s="398"/>
      <c r="Y19" s="399"/>
    </row>
    <row r="20" spans="2:28" s="3" customFormat="1" ht="24.75" customHeight="1" thickBot="1" x14ac:dyDescent="0.35">
      <c r="B20" s="15"/>
      <c r="C20" s="415" t="s">
        <v>36</v>
      </c>
      <c r="D20" s="418" t="s">
        <v>37</v>
      </c>
      <c r="E20" s="419"/>
      <c r="F20" s="419"/>
      <c r="G20" s="419"/>
      <c r="H20" s="419"/>
      <c r="I20" s="419"/>
      <c r="J20" s="419"/>
      <c r="K20" s="419"/>
      <c r="L20" s="419"/>
      <c r="M20" s="420"/>
      <c r="N20" s="421"/>
      <c r="O20" s="423" t="s">
        <v>38</v>
      </c>
      <c r="P20" s="419"/>
      <c r="Q20" s="419"/>
      <c r="R20" s="424"/>
      <c r="S20" s="424"/>
      <c r="T20" s="424"/>
      <c r="U20" s="419"/>
      <c r="V20" s="419"/>
      <c r="W20" s="419"/>
      <c r="X20" s="420"/>
      <c r="Y20" s="28" t="s">
        <v>15</v>
      </c>
      <c r="Z20" s="29"/>
      <c r="AA20" s="30"/>
      <c r="AB20" s="31"/>
    </row>
    <row r="21" spans="2:28" s="14" customFormat="1" ht="111.6" customHeight="1" x14ac:dyDescent="0.3">
      <c r="B21" s="32">
        <v>5</v>
      </c>
      <c r="C21" s="416"/>
      <c r="D21" s="425" t="s">
        <v>39</v>
      </c>
      <c r="E21" s="426"/>
      <c r="F21" s="427" t="s">
        <v>40</v>
      </c>
      <c r="G21" s="426"/>
      <c r="H21" s="427" t="s">
        <v>41</v>
      </c>
      <c r="I21" s="428"/>
      <c r="J21" s="429" t="s">
        <v>42</v>
      </c>
      <c r="K21" s="426"/>
      <c r="L21" s="427" t="s">
        <v>43</v>
      </c>
      <c r="M21" s="428"/>
      <c r="N21" s="421"/>
      <c r="O21" s="425" t="s">
        <v>44</v>
      </c>
      <c r="P21" s="426"/>
      <c r="Q21" s="427" t="s">
        <v>45</v>
      </c>
      <c r="R21" s="426"/>
      <c r="S21" s="427" t="s">
        <v>46</v>
      </c>
      <c r="T21" s="428"/>
      <c r="U21" s="429" t="s">
        <v>47</v>
      </c>
      <c r="V21" s="426"/>
      <c r="W21" s="427" t="s">
        <v>48</v>
      </c>
      <c r="X21" s="428"/>
      <c r="Y21" s="439"/>
      <c r="Z21" s="33"/>
      <c r="AA21" s="34"/>
      <c r="AB21" s="34"/>
    </row>
    <row r="22" spans="2:28" s="3" customFormat="1" ht="58.5" customHeight="1" thickBot="1" x14ac:dyDescent="0.35">
      <c r="B22" s="35"/>
      <c r="C22" s="417"/>
      <c r="D22" s="434">
        <v>87</v>
      </c>
      <c r="E22" s="435"/>
      <c r="F22" s="441">
        <v>87</v>
      </c>
      <c r="G22" s="435"/>
      <c r="H22" s="441">
        <v>87</v>
      </c>
      <c r="I22" s="442"/>
      <c r="J22" s="436">
        <v>1</v>
      </c>
      <c r="K22" s="437"/>
      <c r="L22" s="436">
        <v>1</v>
      </c>
      <c r="M22" s="437"/>
      <c r="N22" s="422"/>
      <c r="O22" s="434">
        <v>109</v>
      </c>
      <c r="P22" s="435"/>
      <c r="Q22" s="441">
        <v>109</v>
      </c>
      <c r="R22" s="435"/>
      <c r="S22" s="441">
        <v>109</v>
      </c>
      <c r="T22" s="442"/>
      <c r="U22" s="436">
        <v>1</v>
      </c>
      <c r="V22" s="437"/>
      <c r="W22" s="436">
        <v>1</v>
      </c>
      <c r="X22" s="437"/>
      <c r="Y22" s="440"/>
      <c r="Z22" s="30"/>
      <c r="AA22" s="31"/>
      <c r="AB22" s="31"/>
    </row>
    <row r="23" spans="2:28" ht="10.199999999999999" customHeight="1" thickBot="1" x14ac:dyDescent="0.35"/>
    <row r="24" spans="2:28" s="41" customFormat="1" ht="60" customHeight="1" thickBot="1" x14ac:dyDescent="0.35">
      <c r="B24" s="443" t="s">
        <v>49</v>
      </c>
      <c r="C24" s="443"/>
      <c r="D24" s="37" t="s">
        <v>50</v>
      </c>
      <c r="E24" s="444" t="s">
        <v>51</v>
      </c>
      <c r="F24" s="445"/>
      <c r="G24" s="446"/>
      <c r="H24" s="447"/>
      <c r="I24" s="447"/>
      <c r="J24" s="447"/>
      <c r="K24" s="448"/>
      <c r="L24" s="38"/>
      <c r="M24" s="39"/>
      <c r="N24" s="39"/>
      <c r="O24" s="39"/>
      <c r="P24" s="39"/>
      <c r="Q24" s="39"/>
      <c r="R24" s="39"/>
      <c r="S24" s="39"/>
      <c r="T24" s="39"/>
      <c r="U24" s="39"/>
      <c r="V24" s="39"/>
      <c r="W24" s="39"/>
      <c r="X24" s="39"/>
      <c r="Y24" s="40"/>
    </row>
    <row r="25" spans="2:28" ht="54" customHeight="1" thickBot="1" x14ac:dyDescent="0.35">
      <c r="B25" s="443" t="s">
        <v>52</v>
      </c>
      <c r="C25" s="443"/>
      <c r="D25" s="37" t="s">
        <v>53</v>
      </c>
      <c r="E25" s="42"/>
      <c r="F25" s="42"/>
      <c r="G25" s="42"/>
      <c r="H25" s="43"/>
      <c r="I25" s="43"/>
      <c r="J25" s="43"/>
      <c r="K25" s="43"/>
      <c r="L25" s="43"/>
    </row>
    <row r="26" spans="2:28" ht="59.4" customHeight="1" thickBot="1" x14ac:dyDescent="0.35">
      <c r="B26" s="449" t="s">
        <v>54</v>
      </c>
      <c r="C26" s="450"/>
      <c r="D26" s="37" t="s">
        <v>50</v>
      </c>
      <c r="E26" s="444" t="s">
        <v>55</v>
      </c>
      <c r="F26" s="445"/>
      <c r="G26" s="446"/>
      <c r="H26" s="447"/>
      <c r="I26" s="447"/>
      <c r="J26" s="447"/>
      <c r="K26" s="448"/>
      <c r="L26" s="43"/>
    </row>
    <row r="27" spans="2:28" ht="10.5" customHeight="1" x14ac:dyDescent="0.3">
      <c r="B27" s="44"/>
      <c r="C27" s="44"/>
    </row>
    <row r="28" spans="2:28" s="41" customFormat="1" ht="54.6" customHeight="1" x14ac:dyDescent="0.3">
      <c r="B28" s="45"/>
      <c r="C28" s="45" t="s">
        <v>56</v>
      </c>
      <c r="D28" s="438" t="s">
        <v>57</v>
      </c>
      <c r="E28" s="438"/>
      <c r="F28" s="438"/>
      <c r="G28" s="438"/>
      <c r="H28" s="438"/>
      <c r="I28" s="438"/>
      <c r="J28" s="438"/>
      <c r="K28" s="438"/>
      <c r="L28" s="46" t="s">
        <v>58</v>
      </c>
      <c r="M28" s="41" t="s">
        <v>57</v>
      </c>
      <c r="S28" s="47" t="s">
        <v>59</v>
      </c>
      <c r="T28" s="39" t="s">
        <v>60</v>
      </c>
      <c r="U28" s="39"/>
      <c r="V28" s="39"/>
      <c r="W28" s="39"/>
      <c r="X28" s="39"/>
      <c r="Y28" s="39"/>
    </row>
    <row r="29" spans="2:28" s="41" customFormat="1" ht="18" customHeight="1" x14ac:dyDescent="0.3">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
      <c r="B30" s="45"/>
      <c r="C30" s="45" t="s">
        <v>61</v>
      </c>
      <c r="D30" s="438" t="s">
        <v>57</v>
      </c>
      <c r="E30" s="438"/>
      <c r="F30" s="438"/>
      <c r="G30" s="438"/>
      <c r="H30" s="438"/>
      <c r="I30" s="438"/>
      <c r="J30" s="438"/>
      <c r="K30" s="438"/>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C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spans="3:5" ht="16.2" thickBot="1" x14ac:dyDescent="0.35">
      <c r="C1" s="49" t="s">
        <v>118</v>
      </c>
      <c r="D1" s="50" t="s">
        <v>75</v>
      </c>
      <c r="E1" s="50" t="s">
        <v>76</v>
      </c>
    </row>
    <row r="2" spans="3:5" x14ac:dyDescent="0.3">
      <c r="C2" s="451" t="s">
        <v>63</v>
      </c>
      <c r="D2" s="454" t="s">
        <v>77</v>
      </c>
      <c r="E2" s="51" t="s">
        <v>78</v>
      </c>
    </row>
    <row r="3" spans="3:5" x14ac:dyDescent="0.3">
      <c r="C3" s="452"/>
      <c r="D3" s="455"/>
      <c r="E3" s="51"/>
    </row>
    <row r="4" spans="3:5" ht="29.4" thickBot="1" x14ac:dyDescent="0.35">
      <c r="C4" s="452"/>
      <c r="D4" s="456"/>
      <c r="E4" s="52" t="s">
        <v>79</v>
      </c>
    </row>
    <row r="5" spans="3:5" x14ac:dyDescent="0.3">
      <c r="C5" s="452"/>
      <c r="D5" s="454" t="s">
        <v>80</v>
      </c>
      <c r="E5" s="51" t="s">
        <v>81</v>
      </c>
    </row>
    <row r="6" spans="3:5" ht="15" thickBot="1" x14ac:dyDescent="0.35">
      <c r="C6" s="452"/>
      <c r="D6" s="456"/>
      <c r="E6" s="52" t="s">
        <v>82</v>
      </c>
    </row>
    <row r="7" spans="3:5" ht="58.2" thickBot="1" x14ac:dyDescent="0.35">
      <c r="C7" s="452"/>
      <c r="D7" s="52" t="s">
        <v>83</v>
      </c>
      <c r="E7" s="52" t="s">
        <v>84</v>
      </c>
    </row>
    <row r="8" spans="3:5" ht="29.4" thickBot="1" x14ac:dyDescent="0.35">
      <c r="C8" s="452"/>
      <c r="D8" s="53" t="s">
        <v>85</v>
      </c>
      <c r="E8" s="52" t="s">
        <v>86</v>
      </c>
    </row>
    <row r="9" spans="3:5" x14ac:dyDescent="0.3">
      <c r="C9" s="452"/>
      <c r="D9" s="454" t="s">
        <v>87</v>
      </c>
      <c r="E9" s="51" t="s">
        <v>88</v>
      </c>
    </row>
    <row r="10" spans="3:5" ht="43.8" thickBot="1" x14ac:dyDescent="0.35">
      <c r="C10" s="453"/>
      <c r="D10" s="456"/>
      <c r="E10" s="52" t="s">
        <v>89</v>
      </c>
    </row>
    <row r="11" spans="3:5" ht="43.8" thickBot="1" x14ac:dyDescent="0.35">
      <c r="C11" s="451" t="s">
        <v>65</v>
      </c>
      <c r="D11" s="52" t="s">
        <v>90</v>
      </c>
      <c r="E11" s="52" t="s">
        <v>91</v>
      </c>
    </row>
    <row r="12" spans="3:5" ht="58.2" thickBot="1" x14ac:dyDescent="0.35">
      <c r="C12" s="452"/>
      <c r="D12" s="52" t="s">
        <v>92</v>
      </c>
      <c r="E12" s="52" t="s">
        <v>93</v>
      </c>
    </row>
    <row r="13" spans="3:5" x14ac:dyDescent="0.3">
      <c r="C13" s="452"/>
      <c r="D13" s="51"/>
      <c r="E13" s="51" t="s">
        <v>95</v>
      </c>
    </row>
    <row r="14" spans="3:5" ht="101.4" thickBot="1" x14ac:dyDescent="0.35">
      <c r="C14" s="452"/>
      <c r="D14" s="53" t="s">
        <v>94</v>
      </c>
      <c r="E14" s="52" t="s">
        <v>96</v>
      </c>
    </row>
    <row r="15" spans="3:5" x14ac:dyDescent="0.3">
      <c r="C15" s="452"/>
      <c r="D15" s="51"/>
      <c r="E15" s="454" t="s">
        <v>100</v>
      </c>
    </row>
    <row r="16" spans="3:5" ht="28.8" x14ac:dyDescent="0.3">
      <c r="C16" s="452"/>
      <c r="D16" s="51" t="s">
        <v>97</v>
      </c>
      <c r="E16" s="455"/>
    </row>
    <row r="17" spans="3:5" ht="28.8" x14ac:dyDescent="0.3">
      <c r="C17" s="452"/>
      <c r="D17" s="51" t="s">
        <v>98</v>
      </c>
      <c r="E17" s="455"/>
    </row>
    <row r="18" spans="3:5" ht="15" thickBot="1" x14ac:dyDescent="0.35">
      <c r="C18" s="453"/>
      <c r="D18" s="52" t="s">
        <v>99</v>
      </c>
      <c r="E18" s="456"/>
    </row>
    <row r="19" spans="3:5" ht="43.8" thickBot="1" x14ac:dyDescent="0.35">
      <c r="C19" s="451" t="s">
        <v>67</v>
      </c>
      <c r="D19" s="52" t="s">
        <v>101</v>
      </c>
      <c r="E19" s="52" t="s">
        <v>100</v>
      </c>
    </row>
    <row r="20" spans="3:5" x14ac:dyDescent="0.3">
      <c r="C20" s="452"/>
      <c r="D20" s="51" t="s">
        <v>102</v>
      </c>
      <c r="E20" s="51" t="s">
        <v>105</v>
      </c>
    </row>
    <row r="21" spans="3:5" ht="28.8" x14ac:dyDescent="0.3">
      <c r="C21" s="452"/>
      <c r="D21" s="51" t="s">
        <v>103</v>
      </c>
      <c r="E21" s="51" t="s">
        <v>106</v>
      </c>
    </row>
    <row r="22" spans="3:5" ht="15" thickBot="1" x14ac:dyDescent="0.35">
      <c r="C22" s="452"/>
      <c r="D22" s="52" t="s">
        <v>104</v>
      </c>
      <c r="E22" s="54"/>
    </row>
    <row r="23" spans="3:5" ht="29.4" thickBot="1" x14ac:dyDescent="0.35">
      <c r="C23" s="453"/>
      <c r="D23" s="53" t="s">
        <v>107</v>
      </c>
      <c r="E23" s="52" t="s">
        <v>79</v>
      </c>
    </row>
    <row r="24" spans="3:5" ht="43.8" thickBot="1" x14ac:dyDescent="0.35">
      <c r="C24" s="451" t="s">
        <v>66</v>
      </c>
      <c r="D24" s="53" t="s">
        <v>108</v>
      </c>
      <c r="E24" s="52" t="s">
        <v>109</v>
      </c>
    </row>
    <row r="25" spans="3:5" ht="28.8" x14ac:dyDescent="0.3">
      <c r="C25" s="452"/>
      <c r="D25" s="51" t="s">
        <v>110</v>
      </c>
      <c r="E25" s="454" t="s">
        <v>100</v>
      </c>
    </row>
    <row r="26" spans="3:5" ht="28.8" x14ac:dyDescent="0.3">
      <c r="C26" s="452"/>
      <c r="D26" s="51" t="s">
        <v>111</v>
      </c>
      <c r="E26" s="455"/>
    </row>
    <row r="27" spans="3:5" ht="18.75" customHeight="1" thickBot="1" x14ac:dyDescent="0.35">
      <c r="C27" s="452"/>
      <c r="D27" s="52" t="s">
        <v>112</v>
      </c>
      <c r="E27" s="456"/>
    </row>
    <row r="28" spans="3:5" ht="43.8" thickBot="1" x14ac:dyDescent="0.35">
      <c r="C28" s="453"/>
      <c r="D28" s="52" t="s">
        <v>113</v>
      </c>
      <c r="E28" s="52" t="s">
        <v>89</v>
      </c>
    </row>
    <row r="29" spans="3:5" ht="43.8" thickBot="1" x14ac:dyDescent="0.35">
      <c r="C29" s="451" t="s">
        <v>64</v>
      </c>
      <c r="D29" s="53" t="s">
        <v>114</v>
      </c>
      <c r="E29" s="52" t="s">
        <v>109</v>
      </c>
    </row>
    <row r="30" spans="3:5" ht="28.8" x14ac:dyDescent="0.3">
      <c r="C30" s="452"/>
      <c r="D30" s="51" t="s">
        <v>115</v>
      </c>
      <c r="E30" s="454" t="s">
        <v>79</v>
      </c>
    </row>
    <row r="31" spans="3:5" ht="15" thickBot="1" x14ac:dyDescent="0.35">
      <c r="C31" s="452"/>
      <c r="D31" s="52" t="s">
        <v>116</v>
      </c>
      <c r="E31" s="456"/>
    </row>
    <row r="32" spans="3:5" ht="43.8" thickBot="1" x14ac:dyDescent="0.35">
      <c r="C32" s="453"/>
      <c r="D32" s="52" t="s">
        <v>117</v>
      </c>
      <c r="E32" s="52" t="s">
        <v>86</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width="14.6640625" bestFit="1" customWidth="1"/>
    <col min="4" max="4" width="11.109375" customWidth="1"/>
    <col min="5" max="5" width="11.6640625" customWidth="1"/>
    <col min="8" max="19" width="0" hidden="1" customWidth="1" outlineLevel="1"/>
    <col min="20" max="20" width="16.5546875" hidden="1" customWidth="1" outlineLevel="1"/>
    <col min="21" max="24" width="0" hidden="1" customWidth="1" outlineLevel="1"/>
    <col min="25" max="25" width="9.44140625" hidden="1" customWidth="1" outlineLevel="1"/>
    <col min="26" max="26" width="15.6640625" hidden="1" customWidth="1" outlineLevel="1"/>
    <col min="27" max="27" width="0" hidden="1" customWidth="1" outlineLevel="1"/>
    <col min="28" max="28" width="12.6640625" hidden="1" customWidth="1" outlineLevel="1"/>
    <col min="29" max="32" width="0" hidden="1" customWidth="1" outlineLevel="1"/>
    <col min="33" max="33" width="11" hidden="1" customWidth="1" outlineLevel="1"/>
    <col min="34" max="35" width="0" hidden="1" customWidth="1" outlineLevel="1"/>
    <col min="36" max="36" width="16.88671875" hidden="1" customWidth="1" outlineLevel="1"/>
    <col min="37" max="38" width="0" hidden="1" customWidth="1" outlineLevel="1"/>
    <col min="39" max="39" width="19.33203125" hidden="1" customWidth="1" outlineLevel="1"/>
    <col min="40" max="40" width="0" hidden="1" customWidth="1" outlineLevel="1"/>
    <col min="41" max="41" width="0" hidden="1" customWidth="1" collapsed="1"/>
    <col min="42" max="42" width="14.44140625" hidden="1" customWidth="1"/>
    <col min="43" max="45" width="0" hidden="1" customWidth="1"/>
    <col min="50" max="50" width="22.44140625" customWidth="1"/>
    <col min="51" max="51" width="60.88671875" style="81" customWidth="1"/>
    <col min="52" max="52" width="15.109375" bestFit="1" customWidth="1"/>
    <col min="54" max="54" width="29.6640625" bestFit="1" customWidth="1"/>
  </cols>
  <sheetData>
    <row r="1" spans="1:59" ht="28.8" x14ac:dyDescent="0.3">
      <c r="A1" t="s">
        <v>123</v>
      </c>
      <c r="C1" t="s">
        <v>121</v>
      </c>
      <c r="D1" t="s">
        <v>73</v>
      </c>
      <c r="E1" t="s">
        <v>72</v>
      </c>
      <c r="F1" t="s">
        <v>122</v>
      </c>
      <c r="I1" s="57" t="s">
        <v>133</v>
      </c>
      <c r="J1" s="57" t="s">
        <v>134</v>
      </c>
      <c r="K1" s="57" t="s">
        <v>135</v>
      </c>
      <c r="L1" s="57" t="s">
        <v>136</v>
      </c>
      <c r="M1" s="57" t="s">
        <v>137</v>
      </c>
      <c r="N1" s="57" t="s">
        <v>138</v>
      </c>
      <c r="O1" s="57" t="s">
        <v>139</v>
      </c>
      <c r="P1" s="57" t="s">
        <v>140</v>
      </c>
      <c r="Q1" s="57" t="s">
        <v>141</v>
      </c>
      <c r="R1" s="57" t="s">
        <v>142</v>
      </c>
      <c r="S1" s="57" t="s">
        <v>143</v>
      </c>
      <c r="T1" s="57" t="s">
        <v>144</v>
      </c>
      <c r="U1" s="57" t="s">
        <v>145</v>
      </c>
      <c r="V1" s="57" t="s">
        <v>146</v>
      </c>
      <c r="W1" s="57" t="s">
        <v>147</v>
      </c>
      <c r="X1" s="57" t="s">
        <v>148</v>
      </c>
      <c r="Y1" s="57" t="s">
        <v>149</v>
      </c>
      <c r="Z1" s="57" t="s">
        <v>150</v>
      </c>
      <c r="AA1" s="57" t="s">
        <v>151</v>
      </c>
      <c r="AB1" s="57" t="s">
        <v>152</v>
      </c>
      <c r="AC1" s="57" t="s">
        <v>153</v>
      </c>
      <c r="AD1" s="57" t="s">
        <v>154</v>
      </c>
      <c r="AE1" s="57" t="s">
        <v>155</v>
      </c>
      <c r="AF1" s="57" t="s">
        <v>156</v>
      </c>
      <c r="AG1" s="57" t="s">
        <v>157</v>
      </c>
      <c r="AH1" s="57" t="s">
        <v>158</v>
      </c>
      <c r="AI1" s="57" t="s">
        <v>159</v>
      </c>
      <c r="AJ1" s="57" t="s">
        <v>160</v>
      </c>
      <c r="AK1" s="57" t="s">
        <v>161</v>
      </c>
      <c r="AL1" s="57" t="s">
        <v>162</v>
      </c>
      <c r="AM1" s="57" t="s">
        <v>163</v>
      </c>
      <c r="AN1" s="57" t="s">
        <v>164</v>
      </c>
      <c r="AO1" s="57" t="s">
        <v>165</v>
      </c>
      <c r="AP1" s="57" t="s">
        <v>166</v>
      </c>
      <c r="AQ1" s="57" t="s">
        <v>167</v>
      </c>
      <c r="AR1" s="57" t="s">
        <v>168</v>
      </c>
      <c r="AS1" s="57" t="s">
        <v>169</v>
      </c>
      <c r="AV1" s="48" t="s">
        <v>786</v>
      </c>
      <c r="AW1" s="48" t="s">
        <v>73</v>
      </c>
      <c r="AX1" s="48" t="s">
        <v>72</v>
      </c>
      <c r="AY1" s="80" t="s">
        <v>120</v>
      </c>
      <c r="AZ1" s="48" t="s">
        <v>787</v>
      </c>
      <c r="BA1" s="48" t="s">
        <v>788</v>
      </c>
      <c r="BE1" t="s">
        <v>3779</v>
      </c>
      <c r="BF1" t="s">
        <v>3780</v>
      </c>
      <c r="BG1" t="s">
        <v>3781</v>
      </c>
    </row>
    <row r="2" spans="1:59" x14ac:dyDescent="0.3">
      <c r="A2" s="61" t="s">
        <v>536</v>
      </c>
      <c r="C2" t="s">
        <v>3919</v>
      </c>
      <c r="D2" t="s">
        <v>160</v>
      </c>
      <c r="E2" t="s">
        <v>3787</v>
      </c>
      <c r="F2" s="78" t="s">
        <v>124</v>
      </c>
      <c r="I2" s="56" t="s">
        <v>170</v>
      </c>
      <c r="J2" s="56" t="s">
        <v>187</v>
      </c>
      <c r="K2" s="56" t="s">
        <v>208</v>
      </c>
      <c r="L2" s="56" t="s">
        <v>239</v>
      </c>
      <c r="M2" s="56" t="s">
        <v>260</v>
      </c>
      <c r="N2" s="56" t="s">
        <v>280</v>
      </c>
      <c r="O2" t="s">
        <v>540</v>
      </c>
      <c r="P2" s="56" t="s">
        <v>288</v>
      </c>
      <c r="Q2" s="56" t="s">
        <v>315</v>
      </c>
      <c r="R2" t="s">
        <v>563</v>
      </c>
      <c r="S2" t="s">
        <v>570</v>
      </c>
      <c r="T2" s="56" t="s">
        <v>333</v>
      </c>
      <c r="U2" t="s">
        <v>583</v>
      </c>
      <c r="V2" s="56" t="s">
        <v>589</v>
      </c>
      <c r="W2" s="56" t="s">
        <v>605</v>
      </c>
      <c r="X2" s="56" t="s">
        <v>611</v>
      </c>
      <c r="Y2" s="56" t="s">
        <v>622</v>
      </c>
      <c r="Z2" s="56" t="s">
        <v>351</v>
      </c>
      <c r="AA2" s="56" t="s">
        <v>649</v>
      </c>
      <c r="AB2" s="56" t="s">
        <v>670</v>
      </c>
      <c r="AC2" s="56" t="s">
        <v>675</v>
      </c>
      <c r="AD2" s="56" t="s">
        <v>378</v>
      </c>
      <c r="AE2" s="56" t="s">
        <v>689</v>
      </c>
      <c r="AF2" s="56" t="s">
        <v>399</v>
      </c>
      <c r="AG2" s="56" t="s">
        <v>693</v>
      </c>
      <c r="AH2" s="56" t="s">
        <v>703</v>
      </c>
      <c r="AI2" s="56" t="s">
        <v>415</v>
      </c>
      <c r="AJ2" s="56" t="s">
        <v>715</v>
      </c>
      <c r="AK2" s="56" t="s">
        <v>724</v>
      </c>
      <c r="AL2" s="56" t="s">
        <v>731</v>
      </c>
      <c r="AM2" s="56" t="s">
        <v>740</v>
      </c>
      <c r="AN2" s="56" t="s">
        <v>771</v>
      </c>
      <c r="AO2" s="56" t="s">
        <v>440</v>
      </c>
      <c r="AP2" s="56" t="s">
        <v>463</v>
      </c>
      <c r="AQ2" s="56" t="s">
        <v>486</v>
      </c>
      <c r="AR2" s="56" t="s">
        <v>502</v>
      </c>
      <c r="AS2" s="56" t="s">
        <v>519</v>
      </c>
      <c r="AV2" t="s">
        <v>789</v>
      </c>
      <c r="AW2" t="s">
        <v>160</v>
      </c>
      <c r="AX2" t="s">
        <v>3787</v>
      </c>
      <c r="AY2" s="81" t="s">
        <v>3784</v>
      </c>
      <c r="AZ2" t="s">
        <v>790</v>
      </c>
      <c r="BA2" t="s">
        <v>536</v>
      </c>
      <c r="BB2" t="str">
        <f>SUBSTITUTE(SUBSTITUTE(BA2&amp;AX2," ",""),"-","")</f>
        <v>AHNIogAdoOdoOta</v>
      </c>
      <c r="BE2">
        <v>0</v>
      </c>
      <c r="BF2">
        <v>20</v>
      </c>
      <c r="BG2">
        <v>20</v>
      </c>
    </row>
    <row r="3" spans="1:59" x14ac:dyDescent="0.3">
      <c r="A3" s="61" t="s">
        <v>537</v>
      </c>
      <c r="C3" t="s">
        <v>3920</v>
      </c>
      <c r="D3" t="s">
        <v>163</v>
      </c>
      <c r="E3" t="s">
        <v>716</v>
      </c>
      <c r="F3" s="79" t="s">
        <v>68</v>
      </c>
      <c r="I3" s="56" t="s">
        <v>171</v>
      </c>
      <c r="J3" s="56" t="s">
        <v>188</v>
      </c>
      <c r="K3" s="56" t="s">
        <v>209</v>
      </c>
      <c r="L3" s="56" t="s">
        <v>240</v>
      </c>
      <c r="M3" s="56" t="s">
        <v>261</v>
      </c>
      <c r="N3" s="56" t="s">
        <v>281</v>
      </c>
      <c r="O3" t="s">
        <v>541</v>
      </c>
      <c r="P3" s="56" t="s">
        <v>289</v>
      </c>
      <c r="Q3" s="56" t="s">
        <v>316</v>
      </c>
      <c r="R3" t="s">
        <v>564</v>
      </c>
      <c r="S3" t="s">
        <v>571</v>
      </c>
      <c r="T3" s="56" t="s">
        <v>334</v>
      </c>
      <c r="U3" t="s">
        <v>584</v>
      </c>
      <c r="V3" s="56" t="s">
        <v>590</v>
      </c>
      <c r="W3" s="56" t="s">
        <v>606</v>
      </c>
      <c r="X3" s="56" t="s">
        <v>612</v>
      </c>
      <c r="Y3" s="56" t="s">
        <v>623</v>
      </c>
      <c r="Z3" s="56" t="s">
        <v>352</v>
      </c>
      <c r="AA3" s="56" t="s">
        <v>650</v>
      </c>
      <c r="AB3" s="56" t="s">
        <v>671</v>
      </c>
      <c r="AC3" s="56" t="s">
        <v>676</v>
      </c>
      <c r="AD3" s="56" t="s">
        <v>379</v>
      </c>
      <c r="AE3" s="56" t="s">
        <v>690</v>
      </c>
      <c r="AF3" s="56" t="s">
        <v>400</v>
      </c>
      <c r="AG3" s="56" t="s">
        <v>694</v>
      </c>
      <c r="AH3" s="56" t="s">
        <v>704</v>
      </c>
      <c r="AI3" s="56" t="s">
        <v>416</v>
      </c>
      <c r="AJ3" s="56" t="s">
        <v>716</v>
      </c>
      <c r="AK3" s="56" t="s">
        <v>725</v>
      </c>
      <c r="AL3" s="56" t="s">
        <v>732</v>
      </c>
      <c r="AM3" s="56" t="s">
        <v>741</v>
      </c>
      <c r="AN3" s="56" t="s">
        <v>772</v>
      </c>
      <c r="AO3" s="56" t="s">
        <v>441</v>
      </c>
      <c r="AP3" s="56" t="s">
        <v>464</v>
      </c>
      <c r="AQ3" s="56" t="s">
        <v>487</v>
      </c>
      <c r="AR3" s="56" t="s">
        <v>503</v>
      </c>
      <c r="AS3" s="56" t="s">
        <v>520</v>
      </c>
      <c r="AV3" t="s">
        <v>789</v>
      </c>
      <c r="AW3" t="s">
        <v>160</v>
      </c>
      <c r="AX3" t="s">
        <v>3787</v>
      </c>
      <c r="AY3" s="81" t="s">
        <v>3785</v>
      </c>
      <c r="AZ3" t="s">
        <v>791</v>
      </c>
      <c r="BA3" t="s">
        <v>536</v>
      </c>
      <c r="BB3" t="str">
        <f t="shared" ref="BB3:BB66" si="0">SUBSTITUTE(SUBSTITUTE(BA3&amp;AX3," ",""),"-","")</f>
        <v>AHNIogAdoOdoOta</v>
      </c>
      <c r="BE3">
        <v>21</v>
      </c>
      <c r="BF3">
        <v>30</v>
      </c>
      <c r="BG3">
        <v>24</v>
      </c>
    </row>
    <row r="4" spans="1:59" x14ac:dyDescent="0.3">
      <c r="A4" s="61" t="s">
        <v>125</v>
      </c>
      <c r="C4" t="s">
        <v>3921</v>
      </c>
      <c r="D4" t="s">
        <v>157</v>
      </c>
      <c r="E4" t="s">
        <v>717</v>
      </c>
      <c r="F4" s="78" t="s">
        <v>127</v>
      </c>
      <c r="I4" s="56" t="s">
        <v>172</v>
      </c>
      <c r="J4" s="56" t="s">
        <v>189</v>
      </c>
      <c r="K4" s="56" t="s">
        <v>210</v>
      </c>
      <c r="L4" s="56" t="s">
        <v>241</v>
      </c>
      <c r="M4" s="56" t="s">
        <v>262</v>
      </c>
      <c r="N4" s="56" t="s">
        <v>282</v>
      </c>
      <c r="O4" t="s">
        <v>542</v>
      </c>
      <c r="P4" s="56" t="s">
        <v>290</v>
      </c>
      <c r="Q4" s="56" t="s">
        <v>317</v>
      </c>
      <c r="R4" t="s">
        <v>565</v>
      </c>
      <c r="S4" t="s">
        <v>572</v>
      </c>
      <c r="T4" s="56" t="s">
        <v>335</v>
      </c>
      <c r="U4" t="s">
        <v>585</v>
      </c>
      <c r="V4" s="56" t="s">
        <v>591</v>
      </c>
      <c r="W4" s="56" t="s">
        <v>607</v>
      </c>
      <c r="X4" s="56" t="s">
        <v>613</v>
      </c>
      <c r="Y4" s="56" t="s">
        <v>624</v>
      </c>
      <c r="Z4" s="56" t="s">
        <v>353</v>
      </c>
      <c r="AA4" s="56" t="s">
        <v>651</v>
      </c>
      <c r="AB4" s="56" t="s">
        <v>672</v>
      </c>
      <c r="AC4" s="56" t="s">
        <v>677</v>
      </c>
      <c r="AD4" s="56" t="s">
        <v>380</v>
      </c>
      <c r="AE4" s="56" t="s">
        <v>691</v>
      </c>
      <c r="AF4" s="56" t="s">
        <v>401</v>
      </c>
      <c r="AG4" s="56" t="s">
        <v>695</v>
      </c>
      <c r="AH4" s="56" t="s">
        <v>705</v>
      </c>
      <c r="AI4" s="56" t="s">
        <v>417</v>
      </c>
      <c r="AJ4" s="56" t="s">
        <v>717</v>
      </c>
      <c r="AK4" s="56" t="s">
        <v>726</v>
      </c>
      <c r="AL4" s="56" t="s">
        <v>733</v>
      </c>
      <c r="AM4" s="56" t="s">
        <v>742</v>
      </c>
      <c r="AN4" s="56" t="s">
        <v>773</v>
      </c>
      <c r="AO4" s="56" t="s">
        <v>442</v>
      </c>
      <c r="AP4" s="56" t="s">
        <v>465</v>
      </c>
      <c r="AQ4" s="56" t="s">
        <v>488</v>
      </c>
      <c r="AR4" s="56" t="s">
        <v>504</v>
      </c>
      <c r="AS4" s="56" t="s">
        <v>521</v>
      </c>
      <c r="AV4" t="s">
        <v>789</v>
      </c>
      <c r="AW4" t="s">
        <v>160</v>
      </c>
      <c r="AX4" t="s">
        <v>3787</v>
      </c>
      <c r="AY4" s="81" t="s">
        <v>3786</v>
      </c>
      <c r="AZ4" t="s">
        <v>792</v>
      </c>
      <c r="BA4" t="s">
        <v>536</v>
      </c>
      <c r="BB4" t="str">
        <f t="shared" si="0"/>
        <v>AHNIogAdoOdoOta</v>
      </c>
      <c r="BE4">
        <v>31</v>
      </c>
      <c r="BF4">
        <v>40</v>
      </c>
      <c r="BG4">
        <v>30</v>
      </c>
    </row>
    <row r="5" spans="1:59" x14ac:dyDescent="0.3">
      <c r="A5" s="61" t="s">
        <v>119</v>
      </c>
      <c r="C5" t="s">
        <v>3922</v>
      </c>
      <c r="D5" t="s">
        <v>163</v>
      </c>
      <c r="E5" t="s">
        <v>718</v>
      </c>
      <c r="F5" s="78" t="s">
        <v>69</v>
      </c>
      <c r="I5" s="56" t="s">
        <v>173</v>
      </c>
      <c r="J5" s="56" t="s">
        <v>190</v>
      </c>
      <c r="K5" s="56" t="s">
        <v>211</v>
      </c>
      <c r="L5" s="56" t="s">
        <v>242</v>
      </c>
      <c r="M5" s="56" t="s">
        <v>263</v>
      </c>
      <c r="N5" s="56" t="s">
        <v>283</v>
      </c>
      <c r="O5" t="s">
        <v>543</v>
      </c>
      <c r="P5" s="56" t="s">
        <v>291</v>
      </c>
      <c r="Q5" s="56" t="s">
        <v>318</v>
      </c>
      <c r="R5" t="s">
        <v>566</v>
      </c>
      <c r="S5" t="s">
        <v>573</v>
      </c>
      <c r="T5" s="56" t="s">
        <v>336</v>
      </c>
      <c r="U5" t="s">
        <v>586</v>
      </c>
      <c r="V5" s="56" t="s">
        <v>592</v>
      </c>
      <c r="W5" s="56" t="s">
        <v>608</v>
      </c>
      <c r="X5" s="56" t="s">
        <v>614</v>
      </c>
      <c r="Y5" s="56" t="s">
        <v>625</v>
      </c>
      <c r="Z5" s="56" t="s">
        <v>354</v>
      </c>
      <c r="AA5" s="56" t="s">
        <v>652</v>
      </c>
      <c r="AB5" s="56" t="s">
        <v>673</v>
      </c>
      <c r="AD5" s="56" t="s">
        <v>381</v>
      </c>
      <c r="AE5" s="56" t="s">
        <v>692</v>
      </c>
      <c r="AF5" s="56" t="s">
        <v>402</v>
      </c>
      <c r="AG5" s="56" t="s">
        <v>696</v>
      </c>
      <c r="AH5" s="56" t="s">
        <v>706</v>
      </c>
      <c r="AI5" s="56" t="s">
        <v>418</v>
      </c>
      <c r="AJ5" s="56" t="s">
        <v>718</v>
      </c>
      <c r="AK5" s="56" t="s">
        <v>727</v>
      </c>
      <c r="AL5" s="56" t="s">
        <v>734</v>
      </c>
      <c r="AM5" s="56" t="s">
        <v>743</v>
      </c>
      <c r="AN5" s="56" t="s">
        <v>774</v>
      </c>
      <c r="AO5" s="56" t="s">
        <v>443</v>
      </c>
      <c r="AP5" s="56" t="s">
        <v>466</v>
      </c>
      <c r="AQ5" s="56" t="s">
        <v>489</v>
      </c>
      <c r="AR5" s="56" t="s">
        <v>505</v>
      </c>
      <c r="AS5" s="56" t="s">
        <v>522</v>
      </c>
      <c r="AV5" t="s">
        <v>789</v>
      </c>
      <c r="AW5" t="s">
        <v>160</v>
      </c>
      <c r="AX5" t="s">
        <v>716</v>
      </c>
      <c r="AY5" s="81" t="s">
        <v>793</v>
      </c>
      <c r="AZ5" t="s">
        <v>794</v>
      </c>
      <c r="BA5" t="s">
        <v>536</v>
      </c>
      <c r="BB5" t="str">
        <f t="shared" si="0"/>
        <v>AHNIogIpokia</v>
      </c>
      <c r="BE5">
        <v>41</v>
      </c>
      <c r="BF5">
        <v>50</v>
      </c>
      <c r="BG5">
        <v>35</v>
      </c>
    </row>
    <row r="6" spans="1:59" x14ac:dyDescent="0.3">
      <c r="A6" s="61" t="s">
        <v>538</v>
      </c>
      <c r="D6" t="s">
        <v>164</v>
      </c>
      <c r="E6" t="s">
        <v>740</v>
      </c>
      <c r="F6" s="78" t="s">
        <v>71</v>
      </c>
      <c r="I6" s="56" t="s">
        <v>174</v>
      </c>
      <c r="J6" s="56" t="s">
        <v>191</v>
      </c>
      <c r="K6" s="56" t="s">
        <v>212</v>
      </c>
      <c r="L6" s="56" t="s">
        <v>243</v>
      </c>
      <c r="M6" s="56" t="s">
        <v>264</v>
      </c>
      <c r="N6" s="56" t="s">
        <v>284</v>
      </c>
      <c r="O6" t="s">
        <v>544</v>
      </c>
      <c r="P6" s="56" t="s">
        <v>292</v>
      </c>
      <c r="Q6" s="56" t="s">
        <v>319</v>
      </c>
      <c r="R6" t="s">
        <v>567</v>
      </c>
      <c r="S6" t="s">
        <v>574</v>
      </c>
      <c r="T6" s="56" t="s">
        <v>337</v>
      </c>
      <c r="U6" t="s">
        <v>587</v>
      </c>
      <c r="V6" s="56" t="s">
        <v>593</v>
      </c>
      <c r="W6" s="56" t="s">
        <v>609</v>
      </c>
      <c r="X6" s="56" t="s">
        <v>615</v>
      </c>
      <c r="Y6" s="56" t="s">
        <v>626</v>
      </c>
      <c r="Z6" s="56" t="s">
        <v>355</v>
      </c>
      <c r="AA6" s="56" t="s">
        <v>653</v>
      </c>
      <c r="AB6" s="56" t="s">
        <v>674</v>
      </c>
      <c r="AD6" s="56" t="s">
        <v>382</v>
      </c>
      <c r="AE6" s="56" t="s">
        <v>681</v>
      </c>
      <c r="AF6" s="56" t="s">
        <v>403</v>
      </c>
      <c r="AG6" s="56" t="s">
        <v>697</v>
      </c>
      <c r="AH6" s="56" t="s">
        <v>707</v>
      </c>
      <c r="AI6" s="56" t="s">
        <v>419</v>
      </c>
      <c r="AJ6" s="56" t="s">
        <v>719</v>
      </c>
      <c r="AK6" s="56" t="s">
        <v>728</v>
      </c>
      <c r="AL6" s="56" t="s">
        <v>735</v>
      </c>
      <c r="AM6" s="56" t="s">
        <v>744</v>
      </c>
      <c r="AN6" s="56" t="s">
        <v>775</v>
      </c>
      <c r="AO6" s="56" t="s">
        <v>444</v>
      </c>
      <c r="AP6" s="56" t="s">
        <v>467</v>
      </c>
      <c r="AQ6" s="56" t="s">
        <v>490</v>
      </c>
      <c r="AR6" s="56" t="s">
        <v>506</v>
      </c>
      <c r="AS6" s="56" t="s">
        <v>523</v>
      </c>
      <c r="AV6" t="s">
        <v>789</v>
      </c>
      <c r="AW6" t="s">
        <v>160</v>
      </c>
      <c r="AX6" t="s">
        <v>716</v>
      </c>
      <c r="AY6" s="81" t="s">
        <v>795</v>
      </c>
      <c r="AZ6" t="s">
        <v>796</v>
      </c>
      <c r="BA6" t="s">
        <v>536</v>
      </c>
      <c r="BB6" t="str">
        <f t="shared" si="0"/>
        <v>AHNIogIpokia</v>
      </c>
      <c r="BE6">
        <v>51</v>
      </c>
      <c r="BF6">
        <v>60</v>
      </c>
      <c r="BG6">
        <v>39</v>
      </c>
    </row>
    <row r="7" spans="1:59" x14ac:dyDescent="0.3">
      <c r="A7" s="61" t="s">
        <v>126</v>
      </c>
      <c r="D7" t="s">
        <v>143</v>
      </c>
      <c r="E7" t="s">
        <v>741</v>
      </c>
      <c r="F7" s="62" t="s">
        <v>3914</v>
      </c>
      <c r="I7" s="56" t="s">
        <v>175</v>
      </c>
      <c r="J7" s="56" t="s">
        <v>192</v>
      </c>
      <c r="K7" s="56" t="s">
        <v>213</v>
      </c>
      <c r="L7" s="56" t="s">
        <v>244</v>
      </c>
      <c r="M7" s="56" t="s">
        <v>265</v>
      </c>
      <c r="N7" s="56" t="s">
        <v>285</v>
      </c>
      <c r="O7" t="s">
        <v>545</v>
      </c>
      <c r="P7" s="56" t="s">
        <v>293</v>
      </c>
      <c r="Q7" s="56" t="s">
        <v>320</v>
      </c>
      <c r="R7" t="s">
        <v>568</v>
      </c>
      <c r="S7" t="s">
        <v>575</v>
      </c>
      <c r="T7" s="56" t="s">
        <v>338</v>
      </c>
      <c r="U7" t="s">
        <v>588</v>
      </c>
      <c r="V7" s="56" t="s">
        <v>594</v>
      </c>
      <c r="W7" s="56" t="s">
        <v>610</v>
      </c>
      <c r="X7" s="56" t="s">
        <v>616</v>
      </c>
      <c r="Y7" s="56" t="s">
        <v>627</v>
      </c>
      <c r="Z7" s="56" t="s">
        <v>356</v>
      </c>
      <c r="AA7" s="56" t="s">
        <v>654</v>
      </c>
      <c r="AD7" s="56" t="s">
        <v>383</v>
      </c>
      <c r="AE7" s="56" t="s">
        <v>682</v>
      </c>
      <c r="AF7" s="56" t="s">
        <v>404</v>
      </c>
      <c r="AG7" s="56" t="s">
        <v>698</v>
      </c>
      <c r="AH7" s="56" t="s">
        <v>708</v>
      </c>
      <c r="AI7" s="56" t="s">
        <v>420</v>
      </c>
      <c r="AJ7" s="56" t="s">
        <v>720</v>
      </c>
      <c r="AK7" s="56" t="s">
        <v>729</v>
      </c>
      <c r="AL7" s="56" t="s">
        <v>736</v>
      </c>
      <c r="AM7" s="56" t="s">
        <v>745</v>
      </c>
      <c r="AN7" s="56" t="s">
        <v>776</v>
      </c>
      <c r="AO7" s="56" t="s">
        <v>445</v>
      </c>
      <c r="AP7" s="56" t="s">
        <v>468</v>
      </c>
      <c r="AQ7" s="56" t="s">
        <v>491</v>
      </c>
      <c r="AR7" s="56" t="s">
        <v>507</v>
      </c>
      <c r="AS7" s="56" t="s">
        <v>524</v>
      </c>
      <c r="AV7" t="s">
        <v>789</v>
      </c>
      <c r="AW7" t="s">
        <v>160</v>
      </c>
      <c r="AX7" t="s">
        <v>717</v>
      </c>
      <c r="AY7" s="81" t="s">
        <v>797</v>
      </c>
      <c r="AZ7" t="s">
        <v>798</v>
      </c>
      <c r="BA7" t="s">
        <v>536</v>
      </c>
      <c r="BB7" t="str">
        <f t="shared" si="0"/>
        <v>AHNIogYewaNorth</v>
      </c>
      <c r="BE7">
        <v>61</v>
      </c>
      <c r="BF7">
        <v>70</v>
      </c>
      <c r="BG7">
        <v>43</v>
      </c>
    </row>
    <row r="8" spans="1:59" x14ac:dyDescent="0.3">
      <c r="A8" s="61" t="s">
        <v>2657</v>
      </c>
      <c r="D8" t="s">
        <v>146</v>
      </c>
      <c r="E8" t="s">
        <v>742</v>
      </c>
      <c r="F8" s="62" t="s">
        <v>3816</v>
      </c>
      <c r="I8" s="56" t="s">
        <v>176</v>
      </c>
      <c r="J8" s="56" t="s">
        <v>193</v>
      </c>
      <c r="K8" s="56" t="s">
        <v>214</v>
      </c>
      <c r="L8" s="56" t="s">
        <v>245</v>
      </c>
      <c r="M8" s="56" t="s">
        <v>266</v>
      </c>
      <c r="N8" s="56" t="s">
        <v>286</v>
      </c>
      <c r="O8" t="s">
        <v>546</v>
      </c>
      <c r="P8" s="56" t="s">
        <v>294</v>
      </c>
      <c r="Q8" s="56" t="s">
        <v>321</v>
      </c>
      <c r="R8" t="s">
        <v>569</v>
      </c>
      <c r="S8" t="s">
        <v>576</v>
      </c>
      <c r="T8" s="56" t="s">
        <v>339</v>
      </c>
      <c r="V8" s="56" t="s">
        <v>595</v>
      </c>
      <c r="X8" s="56" t="s">
        <v>617</v>
      </c>
      <c r="Y8" s="56" t="s">
        <v>628</v>
      </c>
      <c r="Z8" s="56" t="s">
        <v>357</v>
      </c>
      <c r="AA8" s="56" t="s">
        <v>655</v>
      </c>
      <c r="AD8" s="56" t="s">
        <v>384</v>
      </c>
      <c r="AE8" s="56" t="s">
        <v>683</v>
      </c>
      <c r="AF8" s="56" t="s">
        <v>405</v>
      </c>
      <c r="AG8" s="56" t="s">
        <v>699</v>
      </c>
      <c r="AH8" s="56" t="s">
        <v>709</v>
      </c>
      <c r="AI8" s="56" t="s">
        <v>421</v>
      </c>
      <c r="AJ8" s="56" t="s">
        <v>721</v>
      </c>
      <c r="AK8" s="56" t="s">
        <v>730</v>
      </c>
      <c r="AL8" s="56" t="s">
        <v>737</v>
      </c>
      <c r="AM8" s="56" t="s">
        <v>746</v>
      </c>
      <c r="AN8" s="56" t="s">
        <v>777</v>
      </c>
      <c r="AO8" s="56" t="s">
        <v>446</v>
      </c>
      <c r="AP8" s="56" t="s">
        <v>469</v>
      </c>
      <c r="AQ8" s="56" t="s">
        <v>492</v>
      </c>
      <c r="AR8" s="56" t="s">
        <v>508</v>
      </c>
      <c r="AS8" s="56" t="s">
        <v>525</v>
      </c>
      <c r="AV8" t="s">
        <v>789</v>
      </c>
      <c r="AW8" t="s">
        <v>160</v>
      </c>
      <c r="AX8" t="s">
        <v>717</v>
      </c>
      <c r="AY8" s="81" t="s">
        <v>799</v>
      </c>
      <c r="AZ8" t="s">
        <v>800</v>
      </c>
      <c r="BA8" t="s">
        <v>536</v>
      </c>
      <c r="BB8" t="str">
        <f t="shared" si="0"/>
        <v>AHNIogYewaNorth</v>
      </c>
      <c r="BE8">
        <v>71</v>
      </c>
      <c r="BF8">
        <v>80</v>
      </c>
      <c r="BG8">
        <v>46</v>
      </c>
    </row>
    <row r="9" spans="1:59" x14ac:dyDescent="0.3">
      <c r="A9" s="61" t="s">
        <v>128</v>
      </c>
      <c r="D9" t="s">
        <v>149</v>
      </c>
      <c r="E9" t="s">
        <v>743</v>
      </c>
      <c r="F9" s="62" t="s">
        <v>3819</v>
      </c>
      <c r="I9" s="56" t="s">
        <v>177</v>
      </c>
      <c r="J9" s="56" t="s">
        <v>194</v>
      </c>
      <c r="K9" s="56" t="s">
        <v>215</v>
      </c>
      <c r="L9" s="56" t="s">
        <v>246</v>
      </c>
      <c r="M9" s="56" t="s">
        <v>267</v>
      </c>
      <c r="N9" s="56" t="s">
        <v>287</v>
      </c>
      <c r="O9" t="s">
        <v>547</v>
      </c>
      <c r="P9" s="56" t="s">
        <v>295</v>
      </c>
      <c r="Q9" s="56" t="s">
        <v>322</v>
      </c>
      <c r="S9" t="s">
        <v>577</v>
      </c>
      <c r="T9" s="56" t="s">
        <v>340</v>
      </c>
      <c r="V9" s="56" t="s">
        <v>596</v>
      </c>
      <c r="X9" s="56" t="s">
        <v>618</v>
      </c>
      <c r="Y9" s="56" t="s">
        <v>629</v>
      </c>
      <c r="Z9" s="56" t="s">
        <v>358</v>
      </c>
      <c r="AA9" s="56" t="s">
        <v>656</v>
      </c>
      <c r="AD9" s="56" t="s">
        <v>385</v>
      </c>
      <c r="AE9" s="56" t="s">
        <v>684</v>
      </c>
      <c r="AF9" s="56" t="s">
        <v>406</v>
      </c>
      <c r="AG9" s="56" t="s">
        <v>700</v>
      </c>
      <c r="AH9" s="56" t="s">
        <v>710</v>
      </c>
      <c r="AI9" s="56" t="s">
        <v>422</v>
      </c>
      <c r="AJ9" s="56" t="s">
        <v>722</v>
      </c>
      <c r="AK9" s="56"/>
      <c r="AL9" s="56" t="s">
        <v>738</v>
      </c>
      <c r="AM9" s="56" t="s">
        <v>747</v>
      </c>
      <c r="AN9" s="56" t="s">
        <v>778</v>
      </c>
      <c r="AO9" s="56" t="s">
        <v>447</v>
      </c>
      <c r="AP9" s="56" t="s">
        <v>470</v>
      </c>
      <c r="AQ9" s="56" t="s">
        <v>493</v>
      </c>
      <c r="AR9" s="56" t="s">
        <v>509</v>
      </c>
      <c r="AS9" s="56" t="s">
        <v>526</v>
      </c>
      <c r="AV9" t="s">
        <v>789</v>
      </c>
      <c r="AW9" t="s">
        <v>160</v>
      </c>
      <c r="AX9" t="s">
        <v>718</v>
      </c>
      <c r="AY9" s="81" t="s">
        <v>801</v>
      </c>
      <c r="AZ9" t="s">
        <v>802</v>
      </c>
      <c r="BA9" t="s">
        <v>536</v>
      </c>
      <c r="BB9" t="str">
        <f t="shared" si="0"/>
        <v>AHNIogYewaSouth</v>
      </c>
      <c r="BE9">
        <v>81</v>
      </c>
      <c r="BF9">
        <v>90</v>
      </c>
      <c r="BG9">
        <v>49</v>
      </c>
    </row>
    <row r="10" spans="1:59" x14ac:dyDescent="0.3">
      <c r="A10" s="61" t="s">
        <v>539</v>
      </c>
      <c r="D10" t="s">
        <v>139</v>
      </c>
      <c r="E10" t="s">
        <v>744</v>
      </c>
      <c r="F10" s="62" t="s">
        <v>3818</v>
      </c>
      <c r="I10" s="56" t="s">
        <v>178</v>
      </c>
      <c r="J10" s="56" t="s">
        <v>195</v>
      </c>
      <c r="K10" s="56" t="s">
        <v>216</v>
      </c>
      <c r="L10" s="56" t="s">
        <v>247</v>
      </c>
      <c r="M10" s="56" t="s">
        <v>268</v>
      </c>
      <c r="O10" t="s">
        <v>548</v>
      </c>
      <c r="P10" s="56" t="s">
        <v>296</v>
      </c>
      <c r="Q10" s="56" t="s">
        <v>323</v>
      </c>
      <c r="S10" t="s">
        <v>578</v>
      </c>
      <c r="T10" s="56" t="s">
        <v>341</v>
      </c>
      <c r="V10" s="56" t="s">
        <v>597</v>
      </c>
      <c r="X10" s="56" t="s">
        <v>619</v>
      </c>
      <c r="Y10" s="56" t="s">
        <v>630</v>
      </c>
      <c r="Z10" s="56" t="s">
        <v>359</v>
      </c>
      <c r="AA10" s="56" t="s">
        <v>657</v>
      </c>
      <c r="AD10" s="56" t="s">
        <v>386</v>
      </c>
      <c r="AE10" s="56" t="s">
        <v>685</v>
      </c>
      <c r="AF10" s="56" t="s">
        <v>407</v>
      </c>
      <c r="AG10" s="56" t="s">
        <v>701</v>
      </c>
      <c r="AH10" s="56" t="s">
        <v>711</v>
      </c>
      <c r="AI10" s="56" t="s">
        <v>423</v>
      </c>
      <c r="AJ10" s="56" t="s">
        <v>723</v>
      </c>
      <c r="AK10" s="56"/>
      <c r="AL10" s="56" t="s">
        <v>739</v>
      </c>
      <c r="AM10" s="56" t="s">
        <v>748</v>
      </c>
      <c r="AN10" s="56" t="s">
        <v>779</v>
      </c>
      <c r="AO10" s="56" t="s">
        <v>448</v>
      </c>
      <c r="AP10" s="56" t="s">
        <v>471</v>
      </c>
      <c r="AQ10" s="56" t="s">
        <v>494</v>
      </c>
      <c r="AR10" s="56" t="s">
        <v>510</v>
      </c>
      <c r="AS10" s="56" t="s">
        <v>527</v>
      </c>
      <c r="AV10" t="s">
        <v>789</v>
      </c>
      <c r="AW10" t="s">
        <v>160</v>
      </c>
      <c r="AX10" t="s">
        <v>718</v>
      </c>
      <c r="AY10" s="81" t="s">
        <v>803</v>
      </c>
      <c r="AZ10" t="s">
        <v>804</v>
      </c>
      <c r="BA10" t="s">
        <v>536</v>
      </c>
      <c r="BB10" t="str">
        <f t="shared" si="0"/>
        <v>AHNIogYewaSouth</v>
      </c>
      <c r="BE10">
        <v>91</v>
      </c>
      <c r="BF10">
        <v>100</v>
      </c>
      <c r="BG10">
        <v>52</v>
      </c>
    </row>
    <row r="11" spans="1:59" x14ac:dyDescent="0.3">
      <c r="D11" t="s">
        <v>142</v>
      </c>
      <c r="E11" t="s">
        <v>745</v>
      </c>
      <c r="F11" s="62" t="s">
        <v>3957</v>
      </c>
      <c r="I11" s="56" t="s">
        <v>179</v>
      </c>
      <c r="J11" s="56" t="s">
        <v>196</v>
      </c>
      <c r="K11" s="56" t="s">
        <v>217</v>
      </c>
      <c r="L11" s="56" t="s">
        <v>248</v>
      </c>
      <c r="M11" s="56" t="s">
        <v>269</v>
      </c>
      <c r="O11" t="s">
        <v>549</v>
      </c>
      <c r="P11" s="56" t="s">
        <v>297</v>
      </c>
      <c r="Q11" s="56" t="s">
        <v>324</v>
      </c>
      <c r="S11" t="s">
        <v>579</v>
      </c>
      <c r="T11" s="56" t="s">
        <v>342</v>
      </c>
      <c r="V11" s="56" t="s">
        <v>598</v>
      </c>
      <c r="X11" s="56" t="s">
        <v>620</v>
      </c>
      <c r="Y11" s="56" t="s">
        <v>631</v>
      </c>
      <c r="Z11" s="56" t="s">
        <v>360</v>
      </c>
      <c r="AA11" s="56" t="s">
        <v>658</v>
      </c>
      <c r="AD11" s="56" t="s">
        <v>387</v>
      </c>
      <c r="AE11" s="56" t="s">
        <v>686</v>
      </c>
      <c r="AF11" s="56" t="s">
        <v>408</v>
      </c>
      <c r="AG11" s="56" t="s">
        <v>702</v>
      </c>
      <c r="AH11" s="56" t="s">
        <v>712</v>
      </c>
      <c r="AI11" s="56" t="s">
        <v>424</v>
      </c>
      <c r="AK11" s="56"/>
      <c r="AL11" s="56"/>
      <c r="AM11" s="56" t="s">
        <v>749</v>
      </c>
      <c r="AN11" s="56" t="s">
        <v>780</v>
      </c>
      <c r="AO11" s="56" t="s">
        <v>449</v>
      </c>
      <c r="AP11" s="56" t="s">
        <v>472</v>
      </c>
      <c r="AQ11" s="56" t="s">
        <v>495</v>
      </c>
      <c r="AR11" s="56" t="s">
        <v>511</v>
      </c>
      <c r="AS11" s="56" t="s">
        <v>528</v>
      </c>
      <c r="AV11" t="s">
        <v>789</v>
      </c>
      <c r="AW11" t="s">
        <v>163</v>
      </c>
      <c r="AX11" t="s">
        <v>740</v>
      </c>
      <c r="AY11" s="81" t="s">
        <v>805</v>
      </c>
      <c r="AZ11" t="s">
        <v>806</v>
      </c>
      <c r="BA11" t="s">
        <v>536</v>
      </c>
      <c r="BB11" t="str">
        <f t="shared" si="0"/>
        <v>AHNIoyAtisbo</v>
      </c>
      <c r="BE11">
        <v>101</v>
      </c>
      <c r="BF11">
        <v>119</v>
      </c>
      <c r="BG11">
        <v>57</v>
      </c>
    </row>
    <row r="12" spans="1:59" x14ac:dyDescent="0.3">
      <c r="D12" t="s">
        <v>147</v>
      </c>
      <c r="E12" t="s">
        <v>746</v>
      </c>
      <c r="F12" s="62" t="s">
        <v>3931</v>
      </c>
      <c r="I12" s="56" t="s">
        <v>180</v>
      </c>
      <c r="J12" s="56" t="s">
        <v>197</v>
      </c>
      <c r="K12" s="56" t="s">
        <v>218</v>
      </c>
      <c r="L12" s="56" t="s">
        <v>249</v>
      </c>
      <c r="M12" s="56" t="s">
        <v>270</v>
      </c>
      <c r="O12" t="s">
        <v>550</v>
      </c>
      <c r="P12" s="56" t="s">
        <v>298</v>
      </c>
      <c r="Q12" s="56" t="s">
        <v>325</v>
      </c>
      <c r="S12" t="s">
        <v>580</v>
      </c>
      <c r="T12" s="56" t="s">
        <v>343</v>
      </c>
      <c r="V12" s="56" t="s">
        <v>599</v>
      </c>
      <c r="X12" s="56" t="s">
        <v>621</v>
      </c>
      <c r="Y12" s="56" t="s">
        <v>632</v>
      </c>
      <c r="Z12" s="56" t="s">
        <v>361</v>
      </c>
      <c r="AA12" s="56" t="s">
        <v>659</v>
      </c>
      <c r="AD12" s="56" t="s">
        <v>388</v>
      </c>
      <c r="AE12" s="56" t="s">
        <v>687</v>
      </c>
      <c r="AF12" s="56" t="s">
        <v>409</v>
      </c>
      <c r="AH12" s="56" t="s">
        <v>713</v>
      </c>
      <c r="AI12" s="56" t="s">
        <v>425</v>
      </c>
      <c r="AK12" s="56"/>
      <c r="AL12" s="56"/>
      <c r="AM12" s="56" t="s">
        <v>750</v>
      </c>
      <c r="AN12" s="56" t="s">
        <v>781</v>
      </c>
      <c r="AO12" s="56" t="s">
        <v>450</v>
      </c>
      <c r="AP12" s="56" t="s">
        <v>473</v>
      </c>
      <c r="AQ12" s="56" t="s">
        <v>496</v>
      </c>
      <c r="AR12" s="56" t="s">
        <v>512</v>
      </c>
      <c r="AS12" s="56" t="s">
        <v>529</v>
      </c>
      <c r="AV12" t="s">
        <v>789</v>
      </c>
      <c r="AW12" t="s">
        <v>163</v>
      </c>
      <c r="AX12" t="s">
        <v>740</v>
      </c>
      <c r="AY12" s="81" t="s">
        <v>807</v>
      </c>
      <c r="AZ12" t="s">
        <v>808</v>
      </c>
      <c r="BA12" t="s">
        <v>536</v>
      </c>
      <c r="BB12" t="str">
        <f t="shared" si="0"/>
        <v>AHNIoyAtisbo</v>
      </c>
      <c r="BE12">
        <v>120</v>
      </c>
      <c r="BF12">
        <v>139</v>
      </c>
      <c r="BG12">
        <v>61</v>
      </c>
    </row>
    <row r="13" spans="1:59" x14ac:dyDescent="0.3">
      <c r="D13" t="s">
        <v>151</v>
      </c>
      <c r="E13" t="s">
        <v>747</v>
      </c>
      <c r="I13" s="56" t="s">
        <v>181</v>
      </c>
      <c r="J13" s="56" t="s">
        <v>198</v>
      </c>
      <c r="K13" s="56" t="s">
        <v>219</v>
      </c>
      <c r="L13" s="56" t="s">
        <v>250</v>
      </c>
      <c r="M13" s="56" t="s">
        <v>271</v>
      </c>
      <c r="O13" t="s">
        <v>551</v>
      </c>
      <c r="P13" s="56" t="s">
        <v>299</v>
      </c>
      <c r="Q13" s="56" t="s">
        <v>326</v>
      </c>
      <c r="S13" t="s">
        <v>581</v>
      </c>
      <c r="T13" s="56" t="s">
        <v>344</v>
      </c>
      <c r="V13" s="56" t="s">
        <v>600</v>
      </c>
      <c r="Y13" s="56" t="s">
        <v>633</v>
      </c>
      <c r="Z13" s="56" t="s">
        <v>362</v>
      </c>
      <c r="AA13" s="56" t="s">
        <v>660</v>
      </c>
      <c r="AD13" s="56" t="s">
        <v>389</v>
      </c>
      <c r="AE13" s="56" t="s">
        <v>688</v>
      </c>
      <c r="AF13" s="56" t="s">
        <v>410</v>
      </c>
      <c r="AH13" s="56" t="s">
        <v>714</v>
      </c>
      <c r="AI13" s="56" t="s">
        <v>426</v>
      </c>
      <c r="AK13" s="56"/>
      <c r="AL13" s="56"/>
      <c r="AM13" s="56" t="s">
        <v>751</v>
      </c>
      <c r="AN13" s="56" t="s">
        <v>782</v>
      </c>
      <c r="AO13" s="56" t="s">
        <v>451</v>
      </c>
      <c r="AP13" s="56" t="s">
        <v>474</v>
      </c>
      <c r="AQ13" s="56" t="s">
        <v>497</v>
      </c>
      <c r="AR13" s="56" t="s">
        <v>513</v>
      </c>
      <c r="AS13" s="56" t="s">
        <v>530</v>
      </c>
      <c r="AV13" t="s">
        <v>789</v>
      </c>
      <c r="AW13" t="s">
        <v>163</v>
      </c>
      <c r="AX13" t="s">
        <v>740</v>
      </c>
      <c r="AY13" s="81" t="s">
        <v>809</v>
      </c>
      <c r="AZ13" t="s">
        <v>810</v>
      </c>
      <c r="BA13" t="s">
        <v>536</v>
      </c>
      <c r="BB13" t="str">
        <f t="shared" si="0"/>
        <v>AHNIoyAtisbo</v>
      </c>
      <c r="BE13">
        <v>140</v>
      </c>
      <c r="BF13">
        <v>159</v>
      </c>
      <c r="BG13">
        <v>64</v>
      </c>
    </row>
    <row r="14" spans="1:59" x14ac:dyDescent="0.3">
      <c r="D14" t="s">
        <v>155</v>
      </c>
      <c r="E14" t="s">
        <v>748</v>
      </c>
      <c r="I14" s="56" t="s">
        <v>182</v>
      </c>
      <c r="J14" s="56" t="s">
        <v>199</v>
      </c>
      <c r="K14" s="56" t="s">
        <v>220</v>
      </c>
      <c r="L14" s="56" t="s">
        <v>251</v>
      </c>
      <c r="M14" s="56" t="s">
        <v>272</v>
      </c>
      <c r="O14" t="s">
        <v>552</v>
      </c>
      <c r="P14" s="56" t="s">
        <v>300</v>
      </c>
      <c r="Q14" s="56" t="s">
        <v>327</v>
      </c>
      <c r="S14" t="s">
        <v>582</v>
      </c>
      <c r="T14" s="56" t="s">
        <v>345</v>
      </c>
      <c r="V14" s="56" t="s">
        <v>601</v>
      </c>
      <c r="Y14" s="56" t="s">
        <v>634</v>
      </c>
      <c r="Z14" s="56" t="s">
        <v>363</v>
      </c>
      <c r="AA14" s="56" t="s">
        <v>661</v>
      </c>
      <c r="AD14" s="56" t="s">
        <v>390</v>
      </c>
      <c r="AE14" s="56" t="s">
        <v>689</v>
      </c>
      <c r="AF14" s="56" t="s">
        <v>411</v>
      </c>
      <c r="AH14" s="56"/>
      <c r="AI14" s="56" t="s">
        <v>427</v>
      </c>
      <c r="AK14" s="56"/>
      <c r="AL14" s="56"/>
      <c r="AM14" s="56" t="s">
        <v>752</v>
      </c>
      <c r="AN14" s="56" t="s">
        <v>783</v>
      </c>
      <c r="AO14" s="56" t="s">
        <v>452</v>
      </c>
      <c r="AP14" s="56" t="s">
        <v>475</v>
      </c>
      <c r="AQ14" s="56" t="s">
        <v>498</v>
      </c>
      <c r="AR14" s="56" t="s">
        <v>514</v>
      </c>
      <c r="AS14" s="56" t="s">
        <v>531</v>
      </c>
      <c r="AV14" t="s">
        <v>789</v>
      </c>
      <c r="AW14" t="s">
        <v>163</v>
      </c>
      <c r="AX14" t="s">
        <v>740</v>
      </c>
      <c r="AY14" s="81" t="s">
        <v>811</v>
      </c>
      <c r="AZ14" t="s">
        <v>812</v>
      </c>
      <c r="BA14" t="s">
        <v>536</v>
      </c>
      <c r="BB14" t="str">
        <f t="shared" si="0"/>
        <v>AHNIoyAtisbo</v>
      </c>
      <c r="BE14">
        <v>160</v>
      </c>
      <c r="BF14">
        <v>179</v>
      </c>
      <c r="BG14">
        <v>67</v>
      </c>
    </row>
    <row r="15" spans="1:59" x14ac:dyDescent="0.3">
      <c r="D15" t="s">
        <v>157</v>
      </c>
      <c r="E15" t="s">
        <v>749</v>
      </c>
      <c r="I15" s="56" t="s">
        <v>183</v>
      </c>
      <c r="J15" s="56" t="s">
        <v>200</v>
      </c>
      <c r="K15" s="56" t="s">
        <v>221</v>
      </c>
      <c r="L15" s="56" t="s">
        <v>252</v>
      </c>
      <c r="M15" s="56" t="s">
        <v>273</v>
      </c>
      <c r="O15" t="s">
        <v>553</v>
      </c>
      <c r="P15" s="56" t="s">
        <v>301</v>
      </c>
      <c r="Q15" s="56" t="s">
        <v>328</v>
      </c>
      <c r="T15" s="56" t="s">
        <v>346</v>
      </c>
      <c r="V15" s="56" t="s">
        <v>602</v>
      </c>
      <c r="Y15" s="56" t="s">
        <v>635</v>
      </c>
      <c r="Z15" s="56" t="s">
        <v>364</v>
      </c>
      <c r="AA15" s="56" t="s">
        <v>662</v>
      </c>
      <c r="AD15" s="56" t="s">
        <v>391</v>
      </c>
      <c r="AE15" s="56" t="s">
        <v>690</v>
      </c>
      <c r="AF15" s="56" t="s">
        <v>412</v>
      </c>
      <c r="AI15" s="56" t="s">
        <v>428</v>
      </c>
      <c r="AK15" s="56"/>
      <c r="AL15" s="56"/>
      <c r="AM15" s="56" t="s">
        <v>753</v>
      </c>
      <c r="AN15" s="56" t="s">
        <v>784</v>
      </c>
      <c r="AO15" s="56" t="s">
        <v>453</v>
      </c>
      <c r="AP15" s="56" t="s">
        <v>476</v>
      </c>
      <c r="AQ15" s="56" t="s">
        <v>499</v>
      </c>
      <c r="AR15" s="56" t="s">
        <v>515</v>
      </c>
      <c r="AS15" s="56" t="s">
        <v>532</v>
      </c>
      <c r="AV15" t="s">
        <v>789</v>
      </c>
      <c r="AW15" t="s">
        <v>163</v>
      </c>
      <c r="AX15" t="s">
        <v>740</v>
      </c>
      <c r="AY15" s="81" t="s">
        <v>813</v>
      </c>
      <c r="AZ15" t="s">
        <v>814</v>
      </c>
      <c r="BA15" t="s">
        <v>536</v>
      </c>
      <c r="BB15" t="str">
        <f t="shared" si="0"/>
        <v>AHNIoyAtisbo</v>
      </c>
      <c r="BE15">
        <v>180</v>
      </c>
      <c r="BF15">
        <v>199</v>
      </c>
      <c r="BG15">
        <v>70</v>
      </c>
    </row>
    <row r="16" spans="1:59" x14ac:dyDescent="0.3">
      <c r="D16" t="s">
        <v>158</v>
      </c>
      <c r="E16" t="s">
        <v>693</v>
      </c>
      <c r="I16" s="56" t="s">
        <v>184</v>
      </c>
      <c r="J16" s="56" t="s">
        <v>201</v>
      </c>
      <c r="K16" s="56" t="s">
        <v>222</v>
      </c>
      <c r="L16" s="56" t="s">
        <v>253</v>
      </c>
      <c r="M16" s="56" t="s">
        <v>274</v>
      </c>
      <c r="O16" t="s">
        <v>554</v>
      </c>
      <c r="P16" s="56" t="s">
        <v>302</v>
      </c>
      <c r="Q16" s="56" t="s">
        <v>329</v>
      </c>
      <c r="T16" s="56" t="s">
        <v>347</v>
      </c>
      <c r="V16" s="56" t="s">
        <v>603</v>
      </c>
      <c r="Y16" s="56" t="s">
        <v>636</v>
      </c>
      <c r="Z16" s="56" t="s">
        <v>365</v>
      </c>
      <c r="AA16" s="56" t="s">
        <v>663</v>
      </c>
      <c r="AD16" s="56" t="s">
        <v>392</v>
      </c>
      <c r="AE16" s="56" t="s">
        <v>691</v>
      </c>
      <c r="AF16" s="56" t="s">
        <v>413</v>
      </c>
      <c r="AI16" s="56" t="s">
        <v>429</v>
      </c>
      <c r="AK16" s="56"/>
      <c r="AL16" s="56"/>
      <c r="AM16" s="56" t="s">
        <v>754</v>
      </c>
      <c r="AN16" s="56" t="s">
        <v>785</v>
      </c>
      <c r="AO16" s="56" t="s">
        <v>454</v>
      </c>
      <c r="AP16" s="56" t="s">
        <v>477</v>
      </c>
      <c r="AQ16" s="56" t="s">
        <v>500</v>
      </c>
      <c r="AR16" s="56" t="s">
        <v>516</v>
      </c>
      <c r="AV16" t="s">
        <v>789</v>
      </c>
      <c r="AW16" t="s">
        <v>163</v>
      </c>
      <c r="AX16" t="s">
        <v>740</v>
      </c>
      <c r="AY16" s="81" t="s">
        <v>815</v>
      </c>
      <c r="AZ16" t="s">
        <v>816</v>
      </c>
      <c r="BA16" t="s">
        <v>536</v>
      </c>
      <c r="BB16" t="str">
        <f t="shared" si="0"/>
        <v>AHNIoyAtisbo</v>
      </c>
      <c r="BE16">
        <v>200</v>
      </c>
      <c r="BF16">
        <v>249</v>
      </c>
      <c r="BG16">
        <v>75</v>
      </c>
    </row>
    <row r="17" spans="4:59" x14ac:dyDescent="0.3">
      <c r="D17" t="s">
        <v>160</v>
      </c>
      <c r="E17" t="s">
        <v>694</v>
      </c>
      <c r="I17" s="56" t="s">
        <v>185</v>
      </c>
      <c r="J17" s="56" t="s">
        <v>202</v>
      </c>
      <c r="K17" s="56" t="s">
        <v>223</v>
      </c>
      <c r="L17" s="56" t="s">
        <v>254</v>
      </c>
      <c r="M17" s="56" t="s">
        <v>275</v>
      </c>
      <c r="O17" t="s">
        <v>555</v>
      </c>
      <c r="P17" s="56" t="s">
        <v>303</v>
      </c>
      <c r="Q17" s="56" t="s">
        <v>330</v>
      </c>
      <c r="T17" s="56" t="s">
        <v>348</v>
      </c>
      <c r="V17" s="56" t="s">
        <v>604</v>
      </c>
      <c r="Y17" s="56" t="s">
        <v>637</v>
      </c>
      <c r="Z17" s="56" t="s">
        <v>366</v>
      </c>
      <c r="AA17" s="56" t="s">
        <v>664</v>
      </c>
      <c r="AD17" s="56" t="s">
        <v>393</v>
      </c>
      <c r="AE17" s="56" t="s">
        <v>692</v>
      </c>
      <c r="AF17" s="56" t="s">
        <v>414</v>
      </c>
      <c r="AI17" s="56" t="s">
        <v>430</v>
      </c>
      <c r="AK17" s="56"/>
      <c r="AL17" s="56"/>
      <c r="AM17" s="56" t="s">
        <v>755</v>
      </c>
      <c r="AN17" s="56"/>
      <c r="AO17" s="56" t="s">
        <v>455</v>
      </c>
      <c r="AP17" s="56" t="s">
        <v>478</v>
      </c>
      <c r="AQ17" s="56" t="s">
        <v>501</v>
      </c>
      <c r="AR17" s="56" t="s">
        <v>517</v>
      </c>
      <c r="AV17" t="s">
        <v>789</v>
      </c>
      <c r="AW17" t="s">
        <v>163</v>
      </c>
      <c r="AX17" t="s">
        <v>741</v>
      </c>
      <c r="AY17" s="81" t="s">
        <v>817</v>
      </c>
      <c r="AZ17" t="s">
        <v>818</v>
      </c>
      <c r="BA17" t="s">
        <v>536</v>
      </c>
      <c r="BB17" t="str">
        <f t="shared" si="0"/>
        <v>AHNIoyIrepo</v>
      </c>
      <c r="BE17">
        <v>250</v>
      </c>
      <c r="BF17">
        <v>299</v>
      </c>
      <c r="BG17">
        <v>79</v>
      </c>
    </row>
    <row r="18" spans="4:59" x14ac:dyDescent="0.3">
      <c r="D18" t="s">
        <v>161</v>
      </c>
      <c r="E18" t="s">
        <v>695</v>
      </c>
      <c r="I18" s="56" t="s">
        <v>186</v>
      </c>
      <c r="J18" s="56" t="s">
        <v>203</v>
      </c>
      <c r="K18" s="56" t="s">
        <v>224</v>
      </c>
      <c r="L18" s="56" t="s">
        <v>255</v>
      </c>
      <c r="M18" s="56" t="s">
        <v>276</v>
      </c>
      <c r="O18" t="s">
        <v>556</v>
      </c>
      <c r="P18" s="56" t="s">
        <v>304</v>
      </c>
      <c r="Q18" s="56" t="s">
        <v>331</v>
      </c>
      <c r="T18" s="56" t="s">
        <v>349</v>
      </c>
      <c r="Y18" s="56" t="s">
        <v>638</v>
      </c>
      <c r="Z18" s="56" t="s">
        <v>367</v>
      </c>
      <c r="AA18" s="56" t="s">
        <v>665</v>
      </c>
      <c r="AD18" s="56" t="s">
        <v>394</v>
      </c>
      <c r="AI18" s="56" t="s">
        <v>431</v>
      </c>
      <c r="AK18" s="56"/>
      <c r="AL18" s="56"/>
      <c r="AM18" s="56" t="s">
        <v>756</v>
      </c>
      <c r="AN18" s="56"/>
      <c r="AO18" s="56" t="s">
        <v>456</v>
      </c>
      <c r="AP18" s="56" t="s">
        <v>479</v>
      </c>
      <c r="AR18" s="56" t="s">
        <v>518</v>
      </c>
      <c r="AV18" t="s">
        <v>789</v>
      </c>
      <c r="AW18" t="s">
        <v>163</v>
      </c>
      <c r="AX18" t="s">
        <v>741</v>
      </c>
      <c r="AY18" s="81" t="s">
        <v>819</v>
      </c>
      <c r="AZ18" t="s">
        <v>820</v>
      </c>
      <c r="BA18" t="s">
        <v>536</v>
      </c>
      <c r="BB18" t="str">
        <f t="shared" si="0"/>
        <v>AHNIoyIrepo</v>
      </c>
      <c r="BE18">
        <v>300</v>
      </c>
      <c r="BF18">
        <v>349</v>
      </c>
      <c r="BG18">
        <v>82</v>
      </c>
    </row>
    <row r="19" spans="4:59" x14ac:dyDescent="0.3">
      <c r="D19" t="s">
        <v>162</v>
      </c>
      <c r="E19" t="s">
        <v>696</v>
      </c>
      <c r="J19" s="56" t="s">
        <v>204</v>
      </c>
      <c r="K19" s="56" t="s">
        <v>225</v>
      </c>
      <c r="L19" s="56" t="s">
        <v>256</v>
      </c>
      <c r="M19" s="56" t="s">
        <v>277</v>
      </c>
      <c r="O19" t="s">
        <v>557</v>
      </c>
      <c r="P19" s="56" t="s">
        <v>305</v>
      </c>
      <c r="Q19" s="56" t="s">
        <v>332</v>
      </c>
      <c r="T19" s="56" t="s">
        <v>350</v>
      </c>
      <c r="Y19" s="56" t="s">
        <v>639</v>
      </c>
      <c r="Z19" s="56" t="s">
        <v>368</v>
      </c>
      <c r="AA19" s="56" t="s">
        <v>666</v>
      </c>
      <c r="AD19" s="56" t="s">
        <v>395</v>
      </c>
      <c r="AI19" s="56" t="s">
        <v>432</v>
      </c>
      <c r="AK19" s="56"/>
      <c r="AL19" s="56"/>
      <c r="AM19" s="56" t="s">
        <v>757</v>
      </c>
      <c r="AO19" s="56" t="s">
        <v>457</v>
      </c>
      <c r="AP19" s="56" t="s">
        <v>480</v>
      </c>
      <c r="AV19" t="s">
        <v>789</v>
      </c>
      <c r="AW19" t="s">
        <v>163</v>
      </c>
      <c r="AX19" t="s">
        <v>741</v>
      </c>
      <c r="AY19" s="81" t="s">
        <v>821</v>
      </c>
      <c r="AZ19" t="s">
        <v>822</v>
      </c>
      <c r="BA19" t="s">
        <v>536</v>
      </c>
      <c r="BB19" t="str">
        <f t="shared" si="0"/>
        <v>AHNIoyIrepo</v>
      </c>
      <c r="BE19">
        <v>350</v>
      </c>
      <c r="BF19">
        <v>399</v>
      </c>
      <c r="BG19">
        <v>85</v>
      </c>
    </row>
    <row r="20" spans="4:59" x14ac:dyDescent="0.3">
      <c r="D20" t="s">
        <v>163</v>
      </c>
      <c r="E20" t="s">
        <v>3792</v>
      </c>
      <c r="J20" s="56" t="s">
        <v>205</v>
      </c>
      <c r="K20" s="56" t="s">
        <v>226</v>
      </c>
      <c r="L20" s="56" t="s">
        <v>257</v>
      </c>
      <c r="M20" s="56" t="s">
        <v>278</v>
      </c>
      <c r="O20" t="s">
        <v>558</v>
      </c>
      <c r="P20" s="56" t="s">
        <v>306</v>
      </c>
      <c r="Y20" s="56" t="s">
        <v>640</v>
      </c>
      <c r="Z20" s="56" t="s">
        <v>369</v>
      </c>
      <c r="AA20" s="56" t="s">
        <v>667</v>
      </c>
      <c r="AD20" s="56" t="s">
        <v>396</v>
      </c>
      <c r="AI20" s="56" t="s">
        <v>433</v>
      </c>
      <c r="AL20" s="56"/>
      <c r="AM20" s="56" t="s">
        <v>758</v>
      </c>
      <c r="AO20" s="56" t="s">
        <v>458</v>
      </c>
      <c r="AP20" s="56" t="s">
        <v>481</v>
      </c>
      <c r="AV20" t="s">
        <v>789</v>
      </c>
      <c r="AW20" t="s">
        <v>163</v>
      </c>
      <c r="AX20" t="s">
        <v>741</v>
      </c>
      <c r="AY20" s="81" t="s">
        <v>823</v>
      </c>
      <c r="AZ20" t="s">
        <v>824</v>
      </c>
      <c r="BA20" t="s">
        <v>536</v>
      </c>
      <c r="BB20" t="str">
        <f t="shared" si="0"/>
        <v>AHNIoyIrepo</v>
      </c>
      <c r="BE20">
        <v>400</v>
      </c>
      <c r="BF20">
        <v>449</v>
      </c>
      <c r="BG20">
        <v>87</v>
      </c>
    </row>
    <row r="21" spans="4:59" x14ac:dyDescent="0.3">
      <c r="D21" s="55" t="s">
        <v>164</v>
      </c>
      <c r="E21" t="s">
        <v>698</v>
      </c>
      <c r="J21" s="56" t="s">
        <v>206</v>
      </c>
      <c r="K21" s="56" t="s">
        <v>227</v>
      </c>
      <c r="L21" s="56" t="s">
        <v>258</v>
      </c>
      <c r="M21" s="56" t="s">
        <v>279</v>
      </c>
      <c r="O21" t="s">
        <v>559</v>
      </c>
      <c r="P21" s="56" t="s">
        <v>307</v>
      </c>
      <c r="Y21" s="56" t="s">
        <v>641</v>
      </c>
      <c r="Z21" s="56" t="s">
        <v>370</v>
      </c>
      <c r="AA21" s="56" t="s">
        <v>668</v>
      </c>
      <c r="AD21" s="56" t="s">
        <v>397</v>
      </c>
      <c r="AE21" s="56"/>
      <c r="AI21" s="56" t="s">
        <v>434</v>
      </c>
      <c r="AL21" s="56"/>
      <c r="AM21" s="56" t="s">
        <v>759</v>
      </c>
      <c r="AO21" s="56" t="s">
        <v>459</v>
      </c>
      <c r="AP21" s="56" t="s">
        <v>482</v>
      </c>
      <c r="AV21" t="s">
        <v>789</v>
      </c>
      <c r="AW21" t="s">
        <v>163</v>
      </c>
      <c r="AX21" t="s">
        <v>742</v>
      </c>
      <c r="AY21" s="81" t="s">
        <v>825</v>
      </c>
      <c r="AZ21" t="s">
        <v>826</v>
      </c>
      <c r="BA21" t="s">
        <v>536</v>
      </c>
      <c r="BB21" t="str">
        <f t="shared" si="0"/>
        <v>AHNIoyIseyin</v>
      </c>
      <c r="BE21">
        <v>450</v>
      </c>
      <c r="BF21">
        <v>499</v>
      </c>
      <c r="BG21">
        <v>88</v>
      </c>
    </row>
    <row r="22" spans="4:59" x14ac:dyDescent="0.3">
      <c r="D22" s="55" t="s">
        <v>139</v>
      </c>
      <c r="E22" t="s">
        <v>699</v>
      </c>
      <c r="J22" s="56" t="s">
        <v>207</v>
      </c>
      <c r="K22" s="56" t="s">
        <v>228</v>
      </c>
      <c r="L22" s="56" t="s">
        <v>259</v>
      </c>
      <c r="O22" t="s">
        <v>560</v>
      </c>
      <c r="P22" s="56" t="s">
        <v>308</v>
      </c>
      <c r="Y22" s="56" t="s">
        <v>642</v>
      </c>
      <c r="Z22" s="56" t="s">
        <v>371</v>
      </c>
      <c r="AA22" s="56" t="s">
        <v>669</v>
      </c>
      <c r="AD22" s="56" t="s">
        <v>398</v>
      </c>
      <c r="AE22" s="56"/>
      <c r="AI22" s="56" t="s">
        <v>435</v>
      </c>
      <c r="AL22" s="56"/>
      <c r="AM22" s="56" t="s">
        <v>760</v>
      </c>
      <c r="AO22" s="56" t="s">
        <v>460</v>
      </c>
      <c r="AP22" s="56" t="s">
        <v>483</v>
      </c>
      <c r="AV22" t="s">
        <v>789</v>
      </c>
      <c r="AW22" t="s">
        <v>163</v>
      </c>
      <c r="AX22" t="s">
        <v>742</v>
      </c>
      <c r="AY22" s="81" t="s">
        <v>827</v>
      </c>
      <c r="AZ22" t="s">
        <v>828</v>
      </c>
      <c r="BA22" t="s">
        <v>536</v>
      </c>
      <c r="BB22" t="str">
        <f t="shared" si="0"/>
        <v>AHNIoyIseyin</v>
      </c>
      <c r="BE22">
        <v>500</v>
      </c>
      <c r="BF22">
        <v>749</v>
      </c>
      <c r="BG22">
        <v>94</v>
      </c>
    </row>
    <row r="23" spans="4:59" x14ac:dyDescent="0.3">
      <c r="D23" s="55" t="s">
        <v>148</v>
      </c>
      <c r="E23" t="s">
        <v>700</v>
      </c>
      <c r="K23" s="56" t="s">
        <v>229</v>
      </c>
      <c r="O23" t="s">
        <v>561</v>
      </c>
      <c r="P23" s="56" t="s">
        <v>309</v>
      </c>
      <c r="Y23" s="56" t="s">
        <v>643</v>
      </c>
      <c r="Z23" s="56" t="s">
        <v>372</v>
      </c>
      <c r="AE23" s="56"/>
      <c r="AI23" s="56" t="s">
        <v>436</v>
      </c>
      <c r="AL23" s="56"/>
      <c r="AM23" s="56" t="s">
        <v>761</v>
      </c>
      <c r="AO23" s="56" t="s">
        <v>461</v>
      </c>
      <c r="AP23" s="56" t="s">
        <v>484</v>
      </c>
      <c r="AV23" t="s">
        <v>789</v>
      </c>
      <c r="AW23" t="s">
        <v>163</v>
      </c>
      <c r="AX23" t="s">
        <v>742</v>
      </c>
      <c r="AY23" s="81" t="s">
        <v>829</v>
      </c>
      <c r="AZ23" t="s">
        <v>830</v>
      </c>
      <c r="BA23" t="s">
        <v>536</v>
      </c>
      <c r="BB23" t="str">
        <f t="shared" si="0"/>
        <v>AHNIoyIseyin</v>
      </c>
      <c r="BE23">
        <v>750</v>
      </c>
      <c r="BF23">
        <v>999</v>
      </c>
      <c r="BG23">
        <v>97</v>
      </c>
    </row>
    <row r="24" spans="4:59" x14ac:dyDescent="0.3">
      <c r="D24" s="55" t="s">
        <v>151</v>
      </c>
      <c r="E24" t="s">
        <v>701</v>
      </c>
      <c r="K24" s="56" t="s">
        <v>230</v>
      </c>
      <c r="O24" t="s">
        <v>562</v>
      </c>
      <c r="P24" s="56" t="s">
        <v>310</v>
      </c>
      <c r="Y24" s="56" t="s">
        <v>644</v>
      </c>
      <c r="Z24" s="56" t="s">
        <v>373</v>
      </c>
      <c r="AE24" s="56"/>
      <c r="AI24" s="56" t="s">
        <v>437</v>
      </c>
      <c r="AL24" s="56"/>
      <c r="AM24" s="56" t="s">
        <v>762</v>
      </c>
      <c r="AO24" s="56" t="s">
        <v>462</v>
      </c>
      <c r="AP24" s="56" t="s">
        <v>485</v>
      </c>
      <c r="AV24" t="s">
        <v>789</v>
      </c>
      <c r="AW24" t="s">
        <v>163</v>
      </c>
      <c r="AX24" t="s">
        <v>742</v>
      </c>
      <c r="AY24" s="81" t="s">
        <v>831</v>
      </c>
      <c r="AZ24" t="s">
        <v>832</v>
      </c>
      <c r="BA24" t="s">
        <v>536</v>
      </c>
      <c r="BB24" t="str">
        <f t="shared" si="0"/>
        <v>AHNIoyIseyin</v>
      </c>
      <c r="BE24">
        <v>1000</v>
      </c>
      <c r="BF24">
        <v>4999</v>
      </c>
      <c r="BG24">
        <v>105</v>
      </c>
    </row>
    <row r="25" spans="4:59" x14ac:dyDescent="0.3">
      <c r="D25" s="55" t="s">
        <v>155</v>
      </c>
      <c r="E25" t="s">
        <v>702</v>
      </c>
      <c r="K25" s="56" t="s">
        <v>231</v>
      </c>
      <c r="P25" s="56" t="s">
        <v>311</v>
      </c>
      <c r="Y25" s="56" t="s">
        <v>645</v>
      </c>
      <c r="Z25" s="56" t="s">
        <v>374</v>
      </c>
      <c r="AE25" s="56"/>
      <c r="AI25" s="56" t="s">
        <v>438</v>
      </c>
      <c r="AL25" s="56"/>
      <c r="AM25" s="56" t="s">
        <v>763</v>
      </c>
      <c r="AV25" t="s">
        <v>789</v>
      </c>
      <c r="AW25" t="s">
        <v>163</v>
      </c>
      <c r="AX25" t="s">
        <v>742</v>
      </c>
      <c r="AY25" s="81" t="s">
        <v>833</v>
      </c>
      <c r="AZ25" t="s">
        <v>834</v>
      </c>
      <c r="BA25" t="s">
        <v>536</v>
      </c>
      <c r="BB25" t="str">
        <f t="shared" si="0"/>
        <v>AHNIoyIseyin</v>
      </c>
      <c r="BE25">
        <v>5000</v>
      </c>
      <c r="BF25">
        <v>1000000</v>
      </c>
      <c r="BG25">
        <v>107</v>
      </c>
    </row>
    <row r="26" spans="4:59" x14ac:dyDescent="0.3">
      <c r="D26" s="55" t="s">
        <v>143</v>
      </c>
      <c r="E26" t="s">
        <v>750</v>
      </c>
      <c r="K26" s="56" t="s">
        <v>232</v>
      </c>
      <c r="P26" s="56" t="s">
        <v>312</v>
      </c>
      <c r="Y26" s="56" t="s">
        <v>646</v>
      </c>
      <c r="Z26" s="56" t="s">
        <v>375</v>
      </c>
      <c r="AE26" s="56"/>
      <c r="AI26" s="56" t="s">
        <v>439</v>
      </c>
      <c r="AL26" s="56"/>
      <c r="AM26" s="56" t="s">
        <v>764</v>
      </c>
      <c r="AV26" t="s">
        <v>789</v>
      </c>
      <c r="AW26" t="s">
        <v>163</v>
      </c>
      <c r="AX26" t="s">
        <v>742</v>
      </c>
      <c r="AY26" s="81" t="s">
        <v>835</v>
      </c>
      <c r="AZ26" t="s">
        <v>836</v>
      </c>
      <c r="BA26" t="s">
        <v>536</v>
      </c>
      <c r="BB26" t="str">
        <f t="shared" si="0"/>
        <v>AHNIoyIseyin</v>
      </c>
    </row>
    <row r="27" spans="4:59" x14ac:dyDescent="0.3">
      <c r="D27" s="55" t="s">
        <v>146</v>
      </c>
      <c r="E27" t="s">
        <v>751</v>
      </c>
      <c r="K27" s="56" t="s">
        <v>233</v>
      </c>
      <c r="P27" s="56" t="s">
        <v>313</v>
      </c>
      <c r="Y27" s="56" t="s">
        <v>647</v>
      </c>
      <c r="Z27" s="56" t="s">
        <v>376</v>
      </c>
      <c r="AE27" s="56"/>
      <c r="AL27" s="56"/>
      <c r="AM27" s="56" t="s">
        <v>765</v>
      </c>
      <c r="AV27" t="s">
        <v>789</v>
      </c>
      <c r="AW27" t="s">
        <v>163</v>
      </c>
      <c r="AX27" t="s">
        <v>743</v>
      </c>
      <c r="AY27" s="81" t="s">
        <v>837</v>
      </c>
      <c r="AZ27" t="s">
        <v>838</v>
      </c>
      <c r="BA27" t="s">
        <v>536</v>
      </c>
      <c r="BB27" t="str">
        <f t="shared" si="0"/>
        <v>AHNIoyIwajowa</v>
      </c>
    </row>
    <row r="28" spans="4:59" x14ac:dyDescent="0.3">
      <c r="D28" s="55" t="s">
        <v>149</v>
      </c>
      <c r="E28" t="s">
        <v>752</v>
      </c>
      <c r="K28" s="56" t="s">
        <v>234</v>
      </c>
      <c r="P28" s="56" t="s">
        <v>314</v>
      </c>
      <c r="Y28" s="56" t="s">
        <v>648</v>
      </c>
      <c r="Z28" s="56" t="s">
        <v>377</v>
      </c>
      <c r="AE28" s="56"/>
      <c r="AL28" s="56"/>
      <c r="AM28" s="56" t="s">
        <v>766</v>
      </c>
      <c r="AV28" t="s">
        <v>789</v>
      </c>
      <c r="AW28" t="s">
        <v>163</v>
      </c>
      <c r="AX28" t="s">
        <v>743</v>
      </c>
      <c r="AY28" s="81" t="s">
        <v>839</v>
      </c>
      <c r="AZ28" t="s">
        <v>840</v>
      </c>
      <c r="BA28" t="s">
        <v>536</v>
      </c>
      <c r="BB28" t="str">
        <f t="shared" si="0"/>
        <v>AHNIoyIwajowa</v>
      </c>
    </row>
    <row r="29" spans="4:59" x14ac:dyDescent="0.3">
      <c r="D29" s="55" t="s">
        <v>148</v>
      </c>
      <c r="E29" t="s">
        <v>753</v>
      </c>
      <c r="K29" s="56" t="s">
        <v>235</v>
      </c>
      <c r="AE29" s="56"/>
      <c r="AL29" s="56"/>
      <c r="AM29" s="56" t="s">
        <v>767</v>
      </c>
      <c r="AV29" t="s">
        <v>789</v>
      </c>
      <c r="AW29" t="s">
        <v>163</v>
      </c>
      <c r="AX29" t="s">
        <v>743</v>
      </c>
      <c r="AY29" s="81" t="s">
        <v>841</v>
      </c>
      <c r="AZ29" t="s">
        <v>842</v>
      </c>
      <c r="BA29" t="s">
        <v>536</v>
      </c>
      <c r="BB29" t="str">
        <f t="shared" si="0"/>
        <v>AHNIoyIwajowa</v>
      </c>
    </row>
    <row r="30" spans="4:59" x14ac:dyDescent="0.3">
      <c r="D30" s="55" t="s">
        <v>151</v>
      </c>
      <c r="E30" t="s">
        <v>754</v>
      </c>
      <c r="K30" s="56" t="s">
        <v>236</v>
      </c>
      <c r="AE30" s="56"/>
      <c r="AL30" s="56"/>
      <c r="AM30" s="56" t="s">
        <v>768</v>
      </c>
      <c r="AV30" t="s">
        <v>789</v>
      </c>
      <c r="AW30" t="s">
        <v>163</v>
      </c>
      <c r="AX30" t="s">
        <v>744</v>
      </c>
      <c r="AY30" s="81" t="s">
        <v>843</v>
      </c>
      <c r="AZ30" t="s">
        <v>844</v>
      </c>
      <c r="BA30" t="s">
        <v>536</v>
      </c>
      <c r="BB30" t="str">
        <f t="shared" si="0"/>
        <v>AHNIoyKajola</v>
      </c>
    </row>
    <row r="31" spans="4:59" x14ac:dyDescent="0.3">
      <c r="D31" s="55" t="s">
        <v>152</v>
      </c>
      <c r="E31" t="s">
        <v>755</v>
      </c>
      <c r="K31" s="56" t="s">
        <v>237</v>
      </c>
      <c r="AE31" s="56"/>
      <c r="AL31" s="56"/>
      <c r="AM31" s="56" t="s">
        <v>769</v>
      </c>
      <c r="AV31" t="s">
        <v>789</v>
      </c>
      <c r="AW31" t="s">
        <v>163</v>
      </c>
      <c r="AX31" t="s">
        <v>744</v>
      </c>
      <c r="AY31" s="81" t="s">
        <v>845</v>
      </c>
      <c r="AZ31" t="s">
        <v>846</v>
      </c>
      <c r="BA31" t="s">
        <v>536</v>
      </c>
      <c r="BB31" t="str">
        <f t="shared" si="0"/>
        <v>AHNIoyKajola</v>
      </c>
    </row>
    <row r="32" spans="4:59" x14ac:dyDescent="0.3">
      <c r="D32" s="55" t="s">
        <v>155</v>
      </c>
      <c r="E32" t="s">
        <v>756</v>
      </c>
      <c r="K32" s="56" t="s">
        <v>238</v>
      </c>
      <c r="AE32" s="56"/>
      <c r="AM32" s="56" t="s">
        <v>770</v>
      </c>
      <c r="AV32" t="s">
        <v>789</v>
      </c>
      <c r="AW32" t="s">
        <v>163</v>
      </c>
      <c r="AX32" t="s">
        <v>744</v>
      </c>
      <c r="AY32" s="81" t="s">
        <v>847</v>
      </c>
      <c r="AZ32" t="s">
        <v>848</v>
      </c>
      <c r="BA32" t="s">
        <v>536</v>
      </c>
      <c r="BB32" t="str">
        <f t="shared" si="0"/>
        <v>AHNIoyKajola</v>
      </c>
    </row>
    <row r="33" spans="4:54" x14ac:dyDescent="0.3">
      <c r="D33" s="55" t="s">
        <v>139</v>
      </c>
      <c r="E33" t="s">
        <v>757</v>
      </c>
      <c r="AE33" s="56"/>
      <c r="AM33" s="56"/>
      <c r="AV33" t="s">
        <v>789</v>
      </c>
      <c r="AW33" t="s">
        <v>163</v>
      </c>
      <c r="AX33" t="s">
        <v>744</v>
      </c>
      <c r="AY33" s="81" t="s">
        <v>849</v>
      </c>
      <c r="AZ33" t="s">
        <v>850</v>
      </c>
      <c r="BA33" t="s">
        <v>536</v>
      </c>
      <c r="BB33" t="str">
        <f t="shared" si="0"/>
        <v>AHNIoyKajola</v>
      </c>
    </row>
    <row r="34" spans="4:54" x14ac:dyDescent="0.3">
      <c r="D34" s="55" t="s">
        <v>142</v>
      </c>
      <c r="E34" t="s">
        <v>758</v>
      </c>
      <c r="AE34" s="56"/>
      <c r="AM34" s="56"/>
      <c r="AV34" t="s">
        <v>789</v>
      </c>
      <c r="AW34" t="s">
        <v>163</v>
      </c>
      <c r="AX34" t="s">
        <v>744</v>
      </c>
      <c r="AY34" s="81" t="s">
        <v>851</v>
      </c>
      <c r="AZ34" t="s">
        <v>852</v>
      </c>
      <c r="BA34" t="s">
        <v>536</v>
      </c>
      <c r="BB34" t="str">
        <f t="shared" si="0"/>
        <v>AHNIoyKajola</v>
      </c>
    </row>
    <row r="35" spans="4:54" x14ac:dyDescent="0.3">
      <c r="D35" s="55" t="s">
        <v>145</v>
      </c>
      <c r="E35" t="s">
        <v>759</v>
      </c>
      <c r="AE35" s="56"/>
      <c r="AV35" t="s">
        <v>789</v>
      </c>
      <c r="AW35" t="s">
        <v>163</v>
      </c>
      <c r="AX35" t="s">
        <v>745</v>
      </c>
      <c r="AY35" s="81" t="s">
        <v>853</v>
      </c>
      <c r="AZ35" t="s">
        <v>854</v>
      </c>
      <c r="BA35" t="s">
        <v>536</v>
      </c>
      <c r="BB35" t="str">
        <f t="shared" si="0"/>
        <v>AHNIoyOgoOluwa</v>
      </c>
    </row>
    <row r="36" spans="4:54" x14ac:dyDescent="0.3">
      <c r="D36" s="55" t="s">
        <v>147</v>
      </c>
      <c r="E36" t="s">
        <v>760</v>
      </c>
      <c r="AE36" s="56"/>
      <c r="AV36" t="s">
        <v>789</v>
      </c>
      <c r="AW36" t="s">
        <v>163</v>
      </c>
      <c r="AX36" t="s">
        <v>745</v>
      </c>
      <c r="AY36" s="81" t="s">
        <v>855</v>
      </c>
      <c r="AZ36" t="s">
        <v>856</v>
      </c>
      <c r="BA36" t="s">
        <v>536</v>
      </c>
      <c r="BB36" t="str">
        <f t="shared" si="0"/>
        <v>AHNIoyOgoOluwa</v>
      </c>
    </row>
    <row r="37" spans="4:54" x14ac:dyDescent="0.3">
      <c r="D37" s="55" t="s">
        <v>151</v>
      </c>
      <c r="E37" t="s">
        <v>761</v>
      </c>
      <c r="AV37" t="s">
        <v>789</v>
      </c>
      <c r="AW37" t="s">
        <v>163</v>
      </c>
      <c r="AX37" t="s">
        <v>746</v>
      </c>
      <c r="AY37" s="81" t="s">
        <v>857</v>
      </c>
      <c r="AZ37" t="s">
        <v>858</v>
      </c>
      <c r="BA37" t="s">
        <v>536</v>
      </c>
      <c r="BB37" t="str">
        <f t="shared" si="0"/>
        <v>AHNIoyOlorunsogo</v>
      </c>
    </row>
    <row r="38" spans="4:54" x14ac:dyDescent="0.3">
      <c r="D38" s="55" t="s">
        <v>152</v>
      </c>
      <c r="E38" t="s">
        <v>762</v>
      </c>
      <c r="AV38" t="s">
        <v>789</v>
      </c>
      <c r="AW38" t="s">
        <v>163</v>
      </c>
      <c r="AX38" t="s">
        <v>746</v>
      </c>
      <c r="AY38" s="81" t="s">
        <v>859</v>
      </c>
      <c r="AZ38" t="s">
        <v>860</v>
      </c>
      <c r="BA38" t="s">
        <v>536</v>
      </c>
      <c r="BB38" t="str">
        <f t="shared" si="0"/>
        <v>AHNIoyOlorunsogo</v>
      </c>
    </row>
    <row r="39" spans="4:54" x14ac:dyDescent="0.3">
      <c r="D39" s="55" t="s">
        <v>153</v>
      </c>
      <c r="E39" t="s">
        <v>763</v>
      </c>
      <c r="AV39" t="s">
        <v>789</v>
      </c>
      <c r="AW39" t="s">
        <v>163</v>
      </c>
      <c r="AX39" t="s">
        <v>747</v>
      </c>
      <c r="AY39" s="81" t="s">
        <v>861</v>
      </c>
      <c r="AZ39" t="s">
        <v>862</v>
      </c>
      <c r="BA39" t="s">
        <v>536</v>
      </c>
      <c r="BB39" t="str">
        <f t="shared" si="0"/>
        <v>AHNIoyOrelope</v>
      </c>
    </row>
    <row r="40" spans="4:54" x14ac:dyDescent="0.3">
      <c r="D40" t="s">
        <v>158</v>
      </c>
      <c r="E40" t="s">
        <v>764</v>
      </c>
      <c r="AV40" t="s">
        <v>789</v>
      </c>
      <c r="AW40" t="s">
        <v>163</v>
      </c>
      <c r="AX40" t="s">
        <v>747</v>
      </c>
      <c r="AY40" s="81" t="s">
        <v>863</v>
      </c>
      <c r="AZ40" t="s">
        <v>864</v>
      </c>
      <c r="BA40" t="s">
        <v>536</v>
      </c>
      <c r="BB40" t="str">
        <f t="shared" si="0"/>
        <v>AHNIoyOrelope</v>
      </c>
    </row>
    <row r="41" spans="4:54" x14ac:dyDescent="0.3">
      <c r="D41" t="s">
        <v>160</v>
      </c>
      <c r="E41" t="s">
        <v>765</v>
      </c>
      <c r="AV41" t="s">
        <v>789</v>
      </c>
      <c r="AW41" t="s">
        <v>163</v>
      </c>
      <c r="AX41" t="s">
        <v>748</v>
      </c>
      <c r="AY41" s="81" t="s">
        <v>865</v>
      </c>
      <c r="AZ41" t="s">
        <v>866</v>
      </c>
      <c r="BA41" t="s">
        <v>536</v>
      </c>
      <c r="BB41" t="str">
        <f t="shared" si="0"/>
        <v>AHNIoyOriIre</v>
      </c>
    </row>
    <row r="42" spans="4:54" x14ac:dyDescent="0.3">
      <c r="D42" t="s">
        <v>161</v>
      </c>
      <c r="E42" t="s">
        <v>766</v>
      </c>
      <c r="AV42" t="s">
        <v>789</v>
      </c>
      <c r="AW42" t="s">
        <v>163</v>
      </c>
      <c r="AX42" t="s">
        <v>749</v>
      </c>
      <c r="AY42" s="81" t="s">
        <v>867</v>
      </c>
      <c r="AZ42" t="s">
        <v>868</v>
      </c>
      <c r="BA42" t="s">
        <v>536</v>
      </c>
      <c r="BB42" t="str">
        <f t="shared" si="0"/>
        <v>AHNIoySakiEast</v>
      </c>
    </row>
    <row r="43" spans="4:54" x14ac:dyDescent="0.3">
      <c r="D43" t="s">
        <v>162</v>
      </c>
      <c r="E43" t="s">
        <v>767</v>
      </c>
      <c r="AV43" t="s">
        <v>789</v>
      </c>
      <c r="AW43" t="s">
        <v>163</v>
      </c>
      <c r="AX43" t="s">
        <v>749</v>
      </c>
      <c r="AY43" s="81" t="s">
        <v>869</v>
      </c>
      <c r="AZ43" t="s">
        <v>870</v>
      </c>
      <c r="BA43" t="s">
        <v>536</v>
      </c>
      <c r="BB43" t="str">
        <f t="shared" si="0"/>
        <v>AHNIoySakiEast</v>
      </c>
    </row>
    <row r="44" spans="4:54" x14ac:dyDescent="0.3">
      <c r="D44" t="s">
        <v>147</v>
      </c>
      <c r="E44" t="s">
        <v>768</v>
      </c>
      <c r="AV44" t="s">
        <v>789</v>
      </c>
      <c r="AW44" t="s">
        <v>163</v>
      </c>
      <c r="AX44" t="s">
        <v>749</v>
      </c>
      <c r="AY44" s="81" t="s">
        <v>871</v>
      </c>
      <c r="AZ44" t="s">
        <v>872</v>
      </c>
      <c r="BA44" t="s">
        <v>536</v>
      </c>
      <c r="BB44" t="str">
        <f t="shared" si="0"/>
        <v>AHNIoySakiEast</v>
      </c>
    </row>
    <row r="45" spans="4:54" x14ac:dyDescent="0.3">
      <c r="D45" t="s">
        <v>158</v>
      </c>
      <c r="E45" t="s">
        <v>769</v>
      </c>
      <c r="AV45" t="s">
        <v>789</v>
      </c>
      <c r="AW45" t="s">
        <v>157</v>
      </c>
      <c r="AX45" t="s">
        <v>693</v>
      </c>
      <c r="AY45" s="81" t="s">
        <v>873</v>
      </c>
      <c r="AZ45" t="s">
        <v>874</v>
      </c>
      <c r="BA45" t="s">
        <v>537</v>
      </c>
      <c r="BB45" t="str">
        <f t="shared" si="0"/>
        <v>APINlaAlimosho</v>
      </c>
    </row>
    <row r="46" spans="4:54" x14ac:dyDescent="0.3">
      <c r="D46" t="s">
        <v>164</v>
      </c>
      <c r="E46" t="s">
        <v>771</v>
      </c>
      <c r="AV46" t="s">
        <v>789</v>
      </c>
      <c r="AW46" t="s">
        <v>157</v>
      </c>
      <c r="AX46" t="s">
        <v>693</v>
      </c>
      <c r="AY46" s="81" t="s">
        <v>875</v>
      </c>
      <c r="AZ46" t="s">
        <v>876</v>
      </c>
      <c r="BA46" t="s">
        <v>537</v>
      </c>
      <c r="BB46" t="str">
        <f t="shared" si="0"/>
        <v>APINlaAlimosho</v>
      </c>
    </row>
    <row r="47" spans="4:54" x14ac:dyDescent="0.3">
      <c r="E47" t="s">
        <v>772</v>
      </c>
      <c r="AV47" t="s">
        <v>789</v>
      </c>
      <c r="AW47" t="s">
        <v>157</v>
      </c>
      <c r="AX47" t="s">
        <v>693</v>
      </c>
      <c r="AY47" s="81" t="s">
        <v>877</v>
      </c>
      <c r="AZ47" t="s">
        <v>878</v>
      </c>
      <c r="BA47" t="s">
        <v>537</v>
      </c>
      <c r="BB47" t="str">
        <f t="shared" si="0"/>
        <v>APINlaAlimosho</v>
      </c>
    </row>
    <row r="48" spans="4:54" x14ac:dyDescent="0.3">
      <c r="E48" t="s">
        <v>773</v>
      </c>
      <c r="AV48" t="s">
        <v>789</v>
      </c>
      <c r="AW48" t="s">
        <v>157</v>
      </c>
      <c r="AX48" t="s">
        <v>693</v>
      </c>
      <c r="AY48" s="81" t="s">
        <v>879</v>
      </c>
      <c r="AZ48" t="s">
        <v>880</v>
      </c>
      <c r="BA48" t="s">
        <v>537</v>
      </c>
      <c r="BB48" t="str">
        <f t="shared" si="0"/>
        <v>APINlaAlimosho</v>
      </c>
    </row>
    <row r="49" spans="5:54" x14ac:dyDescent="0.3">
      <c r="E49" t="s">
        <v>774</v>
      </c>
      <c r="AV49" t="s">
        <v>789</v>
      </c>
      <c r="AW49" t="s">
        <v>157</v>
      </c>
      <c r="AX49" t="s">
        <v>693</v>
      </c>
      <c r="AY49" s="81" t="s">
        <v>881</v>
      </c>
      <c r="AZ49" t="s">
        <v>882</v>
      </c>
      <c r="BA49" t="s">
        <v>537</v>
      </c>
      <c r="BB49" t="str">
        <f t="shared" si="0"/>
        <v>APINlaAlimosho</v>
      </c>
    </row>
    <row r="50" spans="5:54" x14ac:dyDescent="0.3">
      <c r="E50" t="s">
        <v>775</v>
      </c>
      <c r="AV50" t="s">
        <v>789</v>
      </c>
      <c r="AW50" t="s">
        <v>157</v>
      </c>
      <c r="AX50" t="s">
        <v>693</v>
      </c>
      <c r="AY50" s="81" t="s">
        <v>883</v>
      </c>
      <c r="AZ50" t="s">
        <v>884</v>
      </c>
      <c r="BA50" t="s">
        <v>537</v>
      </c>
      <c r="BB50" t="str">
        <f t="shared" si="0"/>
        <v>APINlaAlimosho</v>
      </c>
    </row>
    <row r="51" spans="5:54" x14ac:dyDescent="0.3">
      <c r="E51" t="s">
        <v>776</v>
      </c>
      <c r="AV51" t="s">
        <v>789</v>
      </c>
      <c r="AW51" t="s">
        <v>157</v>
      </c>
      <c r="AX51" t="s">
        <v>693</v>
      </c>
      <c r="AY51" s="81" t="s">
        <v>885</v>
      </c>
      <c r="AZ51" t="s">
        <v>886</v>
      </c>
      <c r="BA51" t="s">
        <v>537</v>
      </c>
      <c r="BB51" t="str">
        <f t="shared" si="0"/>
        <v>APINlaAlimosho</v>
      </c>
    </row>
    <row r="52" spans="5:54" x14ac:dyDescent="0.3">
      <c r="E52" t="s">
        <v>777</v>
      </c>
      <c r="AV52" t="s">
        <v>789</v>
      </c>
      <c r="AW52" t="s">
        <v>157</v>
      </c>
      <c r="AX52" t="s">
        <v>693</v>
      </c>
      <c r="AY52" s="81" t="s">
        <v>887</v>
      </c>
      <c r="AZ52" t="s">
        <v>888</v>
      </c>
      <c r="BA52" t="s">
        <v>537</v>
      </c>
      <c r="BB52" t="str">
        <f t="shared" si="0"/>
        <v>APINlaAlimosho</v>
      </c>
    </row>
    <row r="53" spans="5:54" x14ac:dyDescent="0.3">
      <c r="E53" t="s">
        <v>778</v>
      </c>
      <c r="AV53" t="s">
        <v>789</v>
      </c>
      <c r="AW53" t="s">
        <v>157</v>
      </c>
      <c r="AX53" t="s">
        <v>693</v>
      </c>
      <c r="AY53" s="81" t="s">
        <v>889</v>
      </c>
      <c r="AZ53" t="s">
        <v>890</v>
      </c>
      <c r="BA53" t="s">
        <v>537</v>
      </c>
      <c r="BB53" t="str">
        <f t="shared" si="0"/>
        <v>APINlaAlimosho</v>
      </c>
    </row>
    <row r="54" spans="5:54" x14ac:dyDescent="0.3">
      <c r="E54" t="s">
        <v>779</v>
      </c>
      <c r="AV54" t="s">
        <v>789</v>
      </c>
      <c r="AW54" t="s">
        <v>157</v>
      </c>
      <c r="AX54" t="s">
        <v>693</v>
      </c>
      <c r="AY54" s="81" t="s">
        <v>891</v>
      </c>
      <c r="AZ54" t="s">
        <v>892</v>
      </c>
      <c r="BA54" t="s">
        <v>537</v>
      </c>
      <c r="BB54" t="str">
        <f t="shared" si="0"/>
        <v>APINlaAlimosho</v>
      </c>
    </row>
    <row r="55" spans="5:54" x14ac:dyDescent="0.3">
      <c r="E55" t="s">
        <v>780</v>
      </c>
      <c r="AV55" t="s">
        <v>789</v>
      </c>
      <c r="AW55" t="s">
        <v>157</v>
      </c>
      <c r="AX55" t="s">
        <v>693</v>
      </c>
      <c r="AY55" s="81" t="s">
        <v>893</v>
      </c>
      <c r="AZ55" t="s">
        <v>894</v>
      </c>
      <c r="BA55" t="s">
        <v>537</v>
      </c>
      <c r="BB55" t="str">
        <f t="shared" si="0"/>
        <v>APINlaAlimosho</v>
      </c>
    </row>
    <row r="56" spans="5:54" x14ac:dyDescent="0.3">
      <c r="E56" t="s">
        <v>570</v>
      </c>
      <c r="AV56" t="s">
        <v>789</v>
      </c>
      <c r="AW56" t="s">
        <v>157</v>
      </c>
      <c r="AX56" t="s">
        <v>693</v>
      </c>
      <c r="AY56" s="81" t="s">
        <v>895</v>
      </c>
      <c r="AZ56" t="s">
        <v>896</v>
      </c>
      <c r="BA56" t="s">
        <v>537</v>
      </c>
      <c r="BB56" t="str">
        <f t="shared" si="0"/>
        <v>APINlaAlimosho</v>
      </c>
    </row>
    <row r="57" spans="5:54" x14ac:dyDescent="0.3">
      <c r="E57" t="s">
        <v>571</v>
      </c>
      <c r="AV57" t="s">
        <v>789</v>
      </c>
      <c r="AW57" t="s">
        <v>157</v>
      </c>
      <c r="AX57" t="s">
        <v>693</v>
      </c>
      <c r="AY57" s="81" t="s">
        <v>897</v>
      </c>
      <c r="AZ57" t="s">
        <v>898</v>
      </c>
      <c r="BA57" t="s">
        <v>537</v>
      </c>
      <c r="BB57" t="str">
        <f t="shared" si="0"/>
        <v>APINlaAlimosho</v>
      </c>
    </row>
    <row r="58" spans="5:54" x14ac:dyDescent="0.3">
      <c r="E58" t="s">
        <v>572</v>
      </c>
      <c r="AV58" t="s">
        <v>789</v>
      </c>
      <c r="AW58" t="s">
        <v>157</v>
      </c>
      <c r="AX58" t="s">
        <v>693</v>
      </c>
      <c r="AY58" s="81" t="s">
        <v>899</v>
      </c>
      <c r="AZ58" t="s">
        <v>900</v>
      </c>
      <c r="BA58" t="s">
        <v>537</v>
      </c>
      <c r="BB58" t="str">
        <f t="shared" si="0"/>
        <v>APINlaAlimosho</v>
      </c>
    </row>
    <row r="59" spans="5:54" x14ac:dyDescent="0.3">
      <c r="E59" t="s">
        <v>573</v>
      </c>
      <c r="AV59" t="s">
        <v>789</v>
      </c>
      <c r="AW59" t="s">
        <v>157</v>
      </c>
      <c r="AX59" t="s">
        <v>693</v>
      </c>
      <c r="AY59" s="81" t="s">
        <v>901</v>
      </c>
      <c r="AZ59" t="s">
        <v>902</v>
      </c>
      <c r="BA59" t="s">
        <v>537</v>
      </c>
      <c r="BB59" t="str">
        <f t="shared" si="0"/>
        <v>APINlaAlimosho</v>
      </c>
    </row>
    <row r="60" spans="5:54" x14ac:dyDescent="0.3">
      <c r="E60" t="s">
        <v>574</v>
      </c>
      <c r="AV60" t="s">
        <v>789</v>
      </c>
      <c r="AW60" t="s">
        <v>157</v>
      </c>
      <c r="AX60" t="s">
        <v>693</v>
      </c>
      <c r="AY60" s="81" t="s">
        <v>903</v>
      </c>
      <c r="AZ60" t="s">
        <v>904</v>
      </c>
      <c r="BA60" t="s">
        <v>537</v>
      </c>
      <c r="BB60" t="str">
        <f t="shared" si="0"/>
        <v>APINlaAlimosho</v>
      </c>
    </row>
    <row r="61" spans="5:54" x14ac:dyDescent="0.3">
      <c r="E61" t="s">
        <v>575</v>
      </c>
      <c r="AV61" t="s">
        <v>789</v>
      </c>
      <c r="AW61" t="s">
        <v>157</v>
      </c>
      <c r="AX61" t="s">
        <v>693</v>
      </c>
      <c r="AY61" s="81" t="s">
        <v>905</v>
      </c>
      <c r="AZ61" t="s">
        <v>906</v>
      </c>
      <c r="BA61" t="s">
        <v>537</v>
      </c>
      <c r="BB61" t="str">
        <f t="shared" si="0"/>
        <v>APINlaAlimosho</v>
      </c>
    </row>
    <row r="62" spans="5:54" x14ac:dyDescent="0.3">
      <c r="E62" t="s">
        <v>576</v>
      </c>
      <c r="AV62" t="s">
        <v>789</v>
      </c>
      <c r="AW62" t="s">
        <v>157</v>
      </c>
      <c r="AX62" t="s">
        <v>693</v>
      </c>
      <c r="AY62" s="81" t="s">
        <v>907</v>
      </c>
      <c r="AZ62" t="s">
        <v>908</v>
      </c>
      <c r="BA62" t="s">
        <v>537</v>
      </c>
      <c r="BB62" t="str">
        <f t="shared" si="0"/>
        <v>APINlaAlimosho</v>
      </c>
    </row>
    <row r="63" spans="5:54" x14ac:dyDescent="0.3">
      <c r="E63" t="s">
        <v>577</v>
      </c>
      <c r="AV63" t="s">
        <v>789</v>
      </c>
      <c r="AW63" t="s">
        <v>157</v>
      </c>
      <c r="AX63" t="s">
        <v>693</v>
      </c>
      <c r="AY63" s="81" t="s">
        <v>909</v>
      </c>
      <c r="AZ63" t="s">
        <v>910</v>
      </c>
      <c r="BA63" t="s">
        <v>537</v>
      </c>
      <c r="BB63" t="str">
        <f t="shared" si="0"/>
        <v>APINlaAlimosho</v>
      </c>
    </row>
    <row r="64" spans="5:54" x14ac:dyDescent="0.3">
      <c r="E64" t="s">
        <v>578</v>
      </c>
      <c r="AV64" t="s">
        <v>789</v>
      </c>
      <c r="AW64" t="s">
        <v>157</v>
      </c>
      <c r="AX64" t="s">
        <v>693</v>
      </c>
      <c r="AY64" s="81" t="s">
        <v>911</v>
      </c>
      <c r="AZ64" t="s">
        <v>912</v>
      </c>
      <c r="BA64" t="s">
        <v>537</v>
      </c>
      <c r="BB64" t="str">
        <f t="shared" si="0"/>
        <v>APINlaAlimosho</v>
      </c>
    </row>
    <row r="65" spans="3:54" x14ac:dyDescent="0.3">
      <c r="E65" t="s">
        <v>589</v>
      </c>
      <c r="AV65" t="s">
        <v>789</v>
      </c>
      <c r="AW65" t="s">
        <v>157</v>
      </c>
      <c r="AX65" t="s">
        <v>693</v>
      </c>
      <c r="AY65" s="81" t="s">
        <v>913</v>
      </c>
      <c r="AZ65" t="s">
        <v>914</v>
      </c>
      <c r="BA65" t="s">
        <v>537</v>
      </c>
      <c r="BB65" t="str">
        <f t="shared" si="0"/>
        <v>APINlaAlimosho</v>
      </c>
    </row>
    <row r="66" spans="3:54" x14ac:dyDescent="0.3">
      <c r="E66" t="s">
        <v>590</v>
      </c>
      <c r="AV66" t="s">
        <v>789</v>
      </c>
      <c r="AW66" t="s">
        <v>157</v>
      </c>
      <c r="AX66" t="s">
        <v>693</v>
      </c>
      <c r="AY66" s="81" t="s">
        <v>915</v>
      </c>
      <c r="AZ66" t="s">
        <v>916</v>
      </c>
      <c r="BA66" t="s">
        <v>537</v>
      </c>
      <c r="BB66" t="str">
        <f t="shared" si="0"/>
        <v>APINlaAlimosho</v>
      </c>
    </row>
    <row r="67" spans="3:54" x14ac:dyDescent="0.3">
      <c r="E67" t="s">
        <v>591</v>
      </c>
      <c r="AV67" t="s">
        <v>789</v>
      </c>
      <c r="AW67" t="s">
        <v>157</v>
      </c>
      <c r="AX67" t="s">
        <v>693</v>
      </c>
      <c r="AY67" s="81" t="s">
        <v>917</v>
      </c>
      <c r="AZ67" t="s">
        <v>918</v>
      </c>
      <c r="BA67" t="s">
        <v>537</v>
      </c>
      <c r="BB67" t="str">
        <f t="shared" ref="BB67:BB130" si="1">SUBSTITUTE(SUBSTITUTE(BA67&amp;AX67," ",""),"-","")</f>
        <v>APINlaAlimosho</v>
      </c>
    </row>
    <row r="68" spans="3:54" x14ac:dyDescent="0.3">
      <c r="E68" t="s">
        <v>592</v>
      </c>
      <c r="AV68" t="s">
        <v>789</v>
      </c>
      <c r="AW68" t="s">
        <v>157</v>
      </c>
      <c r="AX68" t="s">
        <v>693</v>
      </c>
      <c r="AY68" s="81" t="s">
        <v>919</v>
      </c>
      <c r="AZ68" t="s">
        <v>920</v>
      </c>
      <c r="BA68" t="s">
        <v>537</v>
      </c>
      <c r="BB68" t="str">
        <f t="shared" si="1"/>
        <v>APINlaAlimosho</v>
      </c>
    </row>
    <row r="69" spans="3:54" x14ac:dyDescent="0.3">
      <c r="E69" t="s">
        <v>593</v>
      </c>
      <c r="AV69" t="s">
        <v>789</v>
      </c>
      <c r="AW69" t="s">
        <v>157</v>
      </c>
      <c r="AX69" t="s">
        <v>693</v>
      </c>
      <c r="AY69" s="81" t="s">
        <v>921</v>
      </c>
      <c r="AZ69" t="s">
        <v>922</v>
      </c>
      <c r="BA69" t="s">
        <v>537</v>
      </c>
      <c r="BB69" t="str">
        <f t="shared" si="1"/>
        <v>APINlaAlimosho</v>
      </c>
    </row>
    <row r="70" spans="3:54" x14ac:dyDescent="0.3">
      <c r="E70" t="s">
        <v>594</v>
      </c>
      <c r="AV70" t="s">
        <v>789</v>
      </c>
      <c r="AW70" t="s">
        <v>157</v>
      </c>
      <c r="AX70" t="s">
        <v>693</v>
      </c>
      <c r="AY70" s="81" t="s">
        <v>923</v>
      </c>
      <c r="AZ70" t="s">
        <v>924</v>
      </c>
      <c r="BA70" t="s">
        <v>537</v>
      </c>
      <c r="BB70" t="str">
        <f t="shared" si="1"/>
        <v>APINlaAlimosho</v>
      </c>
    </row>
    <row r="71" spans="3:54" x14ac:dyDescent="0.3">
      <c r="E71" t="s">
        <v>595</v>
      </c>
      <c r="AV71" t="s">
        <v>789</v>
      </c>
      <c r="AW71" t="s">
        <v>157</v>
      </c>
      <c r="AX71" t="s">
        <v>693</v>
      </c>
      <c r="AY71" s="81" t="s">
        <v>925</v>
      </c>
      <c r="AZ71" t="s">
        <v>926</v>
      </c>
      <c r="BA71" t="s">
        <v>537</v>
      </c>
      <c r="BB71" t="str">
        <f t="shared" si="1"/>
        <v>APINlaAlimosho</v>
      </c>
    </row>
    <row r="72" spans="3:54" x14ac:dyDescent="0.3">
      <c r="E72" t="s">
        <v>596</v>
      </c>
      <c r="AV72" t="s">
        <v>789</v>
      </c>
      <c r="AW72" t="s">
        <v>157</v>
      </c>
      <c r="AX72" t="s">
        <v>693</v>
      </c>
      <c r="AY72" s="81" t="s">
        <v>927</v>
      </c>
      <c r="AZ72" t="s">
        <v>928</v>
      </c>
      <c r="BA72" t="s">
        <v>537</v>
      </c>
      <c r="BB72" t="str">
        <f t="shared" si="1"/>
        <v>APINlaAlimosho</v>
      </c>
    </row>
    <row r="73" spans="3:54" x14ac:dyDescent="0.3">
      <c r="E73" t="s">
        <v>597</v>
      </c>
      <c r="AV73" t="s">
        <v>789</v>
      </c>
      <c r="AW73" t="s">
        <v>157</v>
      </c>
      <c r="AX73" t="s">
        <v>693</v>
      </c>
      <c r="AY73" s="81" t="s">
        <v>929</v>
      </c>
      <c r="AZ73" t="s">
        <v>930</v>
      </c>
      <c r="BA73" t="s">
        <v>537</v>
      </c>
      <c r="BB73" t="str">
        <f t="shared" si="1"/>
        <v>APINlaAlimosho</v>
      </c>
    </row>
    <row r="74" spans="3:54" x14ac:dyDescent="0.3">
      <c r="E74" t="s">
        <v>598</v>
      </c>
      <c r="AV74" t="s">
        <v>789</v>
      </c>
      <c r="AW74" t="s">
        <v>157</v>
      </c>
      <c r="AX74" t="s">
        <v>693</v>
      </c>
      <c r="AY74" s="81" t="s">
        <v>931</v>
      </c>
      <c r="AZ74" t="s">
        <v>932</v>
      </c>
      <c r="BA74" t="s">
        <v>537</v>
      </c>
      <c r="BB74" t="str">
        <f t="shared" si="1"/>
        <v>APINlaAlimosho</v>
      </c>
    </row>
    <row r="75" spans="3:54" x14ac:dyDescent="0.3">
      <c r="E75" t="s">
        <v>599</v>
      </c>
      <c r="AV75" t="s">
        <v>789</v>
      </c>
      <c r="AW75" t="s">
        <v>157</v>
      </c>
      <c r="AX75" t="s">
        <v>693</v>
      </c>
      <c r="AY75" s="81" t="s">
        <v>933</v>
      </c>
      <c r="AZ75" t="s">
        <v>934</v>
      </c>
      <c r="BA75" t="s">
        <v>537</v>
      </c>
      <c r="BB75" t="str">
        <f t="shared" si="1"/>
        <v>APINlaAlimosho</v>
      </c>
    </row>
    <row r="76" spans="3:54" x14ac:dyDescent="0.3">
      <c r="E76" t="s">
        <v>622</v>
      </c>
      <c r="AV76" t="s">
        <v>789</v>
      </c>
      <c r="AW76" t="s">
        <v>157</v>
      </c>
      <c r="AX76" t="s">
        <v>693</v>
      </c>
      <c r="AY76" s="81" t="s">
        <v>935</v>
      </c>
      <c r="AZ76" t="s">
        <v>936</v>
      </c>
      <c r="BA76" t="s">
        <v>537</v>
      </c>
      <c r="BB76" t="str">
        <f t="shared" si="1"/>
        <v>APINlaAlimosho</v>
      </c>
    </row>
    <row r="77" spans="3:54" x14ac:dyDescent="0.3">
      <c r="C77" t="e">
        <f>SUBSTITUTE(#REF!&amp;#REF!," ","")</f>
        <v>#REF!</v>
      </c>
      <c r="E77" t="s">
        <v>623</v>
      </c>
      <c r="AV77" t="s">
        <v>789</v>
      </c>
      <c r="AW77" t="s">
        <v>157</v>
      </c>
      <c r="AX77" t="s">
        <v>693</v>
      </c>
      <c r="AY77" s="81" t="s">
        <v>937</v>
      </c>
      <c r="AZ77" t="s">
        <v>938</v>
      </c>
      <c r="BA77" t="s">
        <v>537</v>
      </c>
      <c r="BB77" t="str">
        <f t="shared" si="1"/>
        <v>APINlaAlimosho</v>
      </c>
    </row>
    <row r="78" spans="3:54" x14ac:dyDescent="0.3">
      <c r="E78" t="s">
        <v>624</v>
      </c>
      <c r="AV78" t="s">
        <v>789</v>
      </c>
      <c r="AW78" t="s">
        <v>157</v>
      </c>
      <c r="AX78" t="s">
        <v>693</v>
      </c>
      <c r="AY78" s="81" t="s">
        <v>939</v>
      </c>
      <c r="AZ78" t="s">
        <v>940</v>
      </c>
      <c r="BA78" t="s">
        <v>537</v>
      </c>
      <c r="BB78" t="str">
        <f t="shared" si="1"/>
        <v>APINlaAlimosho</v>
      </c>
    </row>
    <row r="79" spans="3:54" x14ac:dyDescent="0.3">
      <c r="E79" t="s">
        <v>625</v>
      </c>
      <c r="AV79" t="s">
        <v>789</v>
      </c>
      <c r="AW79" t="s">
        <v>157</v>
      </c>
      <c r="AX79" t="s">
        <v>693</v>
      </c>
      <c r="AY79" s="81" t="s">
        <v>941</v>
      </c>
      <c r="AZ79" t="s">
        <v>942</v>
      </c>
      <c r="BA79" t="s">
        <v>537</v>
      </c>
      <c r="BB79" t="str">
        <f t="shared" si="1"/>
        <v>APINlaAlimosho</v>
      </c>
    </row>
    <row r="80" spans="3:54" x14ac:dyDescent="0.3">
      <c r="E80" t="s">
        <v>626</v>
      </c>
      <c r="AV80" t="s">
        <v>789</v>
      </c>
      <c r="AW80" t="s">
        <v>157</v>
      </c>
      <c r="AX80" t="s">
        <v>693</v>
      </c>
      <c r="AY80" s="81" t="s">
        <v>943</v>
      </c>
      <c r="AZ80" t="s">
        <v>944</v>
      </c>
      <c r="BA80" t="s">
        <v>537</v>
      </c>
      <c r="BB80" t="str">
        <f t="shared" si="1"/>
        <v>APINlaAlimosho</v>
      </c>
    </row>
    <row r="81" spans="5:54" x14ac:dyDescent="0.3">
      <c r="E81" t="s">
        <v>627</v>
      </c>
      <c r="AV81" t="s">
        <v>789</v>
      </c>
      <c r="AW81" t="s">
        <v>157</v>
      </c>
      <c r="AX81" t="s">
        <v>693</v>
      </c>
      <c r="AY81" s="81" t="s">
        <v>945</v>
      </c>
      <c r="AZ81" t="s">
        <v>946</v>
      </c>
      <c r="BA81" t="s">
        <v>537</v>
      </c>
      <c r="BB81" t="str">
        <f t="shared" si="1"/>
        <v>APINlaAlimosho</v>
      </c>
    </row>
    <row r="82" spans="5:54" x14ac:dyDescent="0.3">
      <c r="E82" t="s">
        <v>628</v>
      </c>
      <c r="AV82" t="s">
        <v>789</v>
      </c>
      <c r="AW82" t="s">
        <v>157</v>
      </c>
      <c r="AX82" t="s">
        <v>693</v>
      </c>
      <c r="AY82" s="81" t="s">
        <v>947</v>
      </c>
      <c r="AZ82" t="s">
        <v>948</v>
      </c>
      <c r="BA82" t="s">
        <v>537</v>
      </c>
      <c r="BB82" t="str">
        <f t="shared" si="1"/>
        <v>APINlaAlimosho</v>
      </c>
    </row>
    <row r="83" spans="5:54" x14ac:dyDescent="0.3">
      <c r="E83" t="s">
        <v>629</v>
      </c>
      <c r="AV83" t="s">
        <v>789</v>
      </c>
      <c r="AW83" t="s">
        <v>157</v>
      </c>
      <c r="AX83" t="s">
        <v>693</v>
      </c>
      <c r="AY83" s="81" t="s">
        <v>949</v>
      </c>
      <c r="AZ83" t="s">
        <v>950</v>
      </c>
      <c r="BA83" t="s">
        <v>537</v>
      </c>
      <c r="BB83" t="str">
        <f t="shared" si="1"/>
        <v>APINlaAlimosho</v>
      </c>
    </row>
    <row r="84" spans="5:54" x14ac:dyDescent="0.3">
      <c r="E84" t="s">
        <v>630</v>
      </c>
      <c r="AV84" t="s">
        <v>789</v>
      </c>
      <c r="AW84" t="s">
        <v>157</v>
      </c>
      <c r="AX84" t="s">
        <v>693</v>
      </c>
      <c r="AY84" s="81" t="s">
        <v>951</v>
      </c>
      <c r="AZ84" t="s">
        <v>952</v>
      </c>
      <c r="BA84" t="s">
        <v>537</v>
      </c>
      <c r="BB84" t="str">
        <f t="shared" si="1"/>
        <v>APINlaAlimosho</v>
      </c>
    </row>
    <row r="85" spans="5:54" x14ac:dyDescent="0.3">
      <c r="E85" t="s">
        <v>631</v>
      </c>
      <c r="AV85" t="s">
        <v>789</v>
      </c>
      <c r="AW85" t="s">
        <v>157</v>
      </c>
      <c r="AX85" t="s">
        <v>693</v>
      </c>
      <c r="AY85" s="81" t="s">
        <v>953</v>
      </c>
      <c r="AZ85" t="s">
        <v>954</v>
      </c>
      <c r="BA85" t="s">
        <v>537</v>
      </c>
      <c r="BB85" t="str">
        <f t="shared" si="1"/>
        <v>APINlaAlimosho</v>
      </c>
    </row>
    <row r="86" spans="5:54" x14ac:dyDescent="0.3">
      <c r="E86" t="s">
        <v>632</v>
      </c>
      <c r="AV86" t="s">
        <v>789</v>
      </c>
      <c r="AW86" t="s">
        <v>157</v>
      </c>
      <c r="AX86" t="s">
        <v>694</v>
      </c>
      <c r="AY86" s="81" t="s">
        <v>955</v>
      </c>
      <c r="AZ86" t="s">
        <v>956</v>
      </c>
      <c r="BA86" t="s">
        <v>537</v>
      </c>
      <c r="BB86" t="str">
        <f t="shared" si="1"/>
        <v>APINlaAmuwoOdofin</v>
      </c>
    </row>
    <row r="87" spans="5:54" x14ac:dyDescent="0.3">
      <c r="E87" t="s">
        <v>633</v>
      </c>
      <c r="AV87" t="s">
        <v>789</v>
      </c>
      <c r="AW87" t="s">
        <v>157</v>
      </c>
      <c r="AX87" t="s">
        <v>694</v>
      </c>
      <c r="AY87" s="81" t="s">
        <v>957</v>
      </c>
      <c r="AZ87" t="s">
        <v>958</v>
      </c>
      <c r="BA87" t="s">
        <v>537</v>
      </c>
      <c r="BB87" t="str">
        <f t="shared" si="1"/>
        <v>APINlaAmuwoOdofin</v>
      </c>
    </row>
    <row r="88" spans="5:54" x14ac:dyDescent="0.3">
      <c r="E88" t="s">
        <v>634</v>
      </c>
      <c r="AV88" t="s">
        <v>789</v>
      </c>
      <c r="AW88" t="s">
        <v>157</v>
      </c>
      <c r="AX88" t="s">
        <v>694</v>
      </c>
      <c r="AY88" s="81" t="s">
        <v>959</v>
      </c>
      <c r="AZ88" t="s">
        <v>960</v>
      </c>
      <c r="BA88" t="s">
        <v>537</v>
      </c>
      <c r="BB88" t="str">
        <f t="shared" si="1"/>
        <v>APINlaAmuwoOdofin</v>
      </c>
    </row>
    <row r="89" spans="5:54" x14ac:dyDescent="0.3">
      <c r="E89" t="s">
        <v>3793</v>
      </c>
      <c r="AV89" t="s">
        <v>789</v>
      </c>
      <c r="AW89" t="s">
        <v>157</v>
      </c>
      <c r="AX89" t="s">
        <v>694</v>
      </c>
      <c r="AY89" s="81" t="s">
        <v>961</v>
      </c>
      <c r="AZ89" t="s">
        <v>962</v>
      </c>
      <c r="BA89" t="s">
        <v>537</v>
      </c>
      <c r="BB89" t="str">
        <f t="shared" si="1"/>
        <v>APINlaAmuwoOdofin</v>
      </c>
    </row>
    <row r="90" spans="5:54" x14ac:dyDescent="0.3">
      <c r="E90" t="s">
        <v>636</v>
      </c>
      <c r="AV90" t="s">
        <v>789</v>
      </c>
      <c r="AW90" t="s">
        <v>157</v>
      </c>
      <c r="AX90" t="s">
        <v>694</v>
      </c>
      <c r="AY90" s="81" t="s">
        <v>963</v>
      </c>
      <c r="AZ90" t="s">
        <v>964</v>
      </c>
      <c r="BA90" t="s">
        <v>537</v>
      </c>
      <c r="BB90" t="str">
        <f t="shared" si="1"/>
        <v>APINlaAmuwoOdofin</v>
      </c>
    </row>
    <row r="91" spans="5:54" x14ac:dyDescent="0.3">
      <c r="E91" t="s">
        <v>637</v>
      </c>
      <c r="AV91" t="s">
        <v>789</v>
      </c>
      <c r="AW91" t="s">
        <v>157</v>
      </c>
      <c r="AX91" t="s">
        <v>694</v>
      </c>
      <c r="AY91" s="81" t="s">
        <v>965</v>
      </c>
      <c r="AZ91" t="s">
        <v>966</v>
      </c>
      <c r="BA91" t="s">
        <v>537</v>
      </c>
      <c r="BB91" t="str">
        <f t="shared" si="1"/>
        <v>APINlaAmuwoOdofin</v>
      </c>
    </row>
    <row r="92" spans="5:54" x14ac:dyDescent="0.3">
      <c r="E92" t="s">
        <v>638</v>
      </c>
      <c r="AV92" t="s">
        <v>789</v>
      </c>
      <c r="AW92" t="s">
        <v>157</v>
      </c>
      <c r="AX92" t="s">
        <v>694</v>
      </c>
      <c r="AY92" s="81" t="s">
        <v>967</v>
      </c>
      <c r="AZ92" t="s">
        <v>968</v>
      </c>
      <c r="BA92" t="s">
        <v>537</v>
      </c>
      <c r="BB92" t="str">
        <f t="shared" si="1"/>
        <v>APINlaAmuwoOdofin</v>
      </c>
    </row>
    <row r="93" spans="5:54" x14ac:dyDescent="0.3">
      <c r="E93" t="s">
        <v>639</v>
      </c>
      <c r="AV93" t="s">
        <v>789</v>
      </c>
      <c r="AW93" t="s">
        <v>157</v>
      </c>
      <c r="AX93" t="s">
        <v>694</v>
      </c>
      <c r="AY93" s="81" t="s">
        <v>969</v>
      </c>
      <c r="AZ93" t="s">
        <v>970</v>
      </c>
      <c r="BA93" t="s">
        <v>537</v>
      </c>
      <c r="BB93" t="str">
        <f t="shared" si="1"/>
        <v>APINlaAmuwoOdofin</v>
      </c>
    </row>
    <row r="94" spans="5:54" x14ac:dyDescent="0.3">
      <c r="E94" t="s">
        <v>640</v>
      </c>
      <c r="AV94" t="s">
        <v>789</v>
      </c>
      <c r="AW94" t="s">
        <v>157</v>
      </c>
      <c r="AX94" t="s">
        <v>694</v>
      </c>
      <c r="AY94" s="81" t="s">
        <v>971</v>
      </c>
      <c r="AZ94" t="s">
        <v>972</v>
      </c>
      <c r="BA94" t="s">
        <v>537</v>
      </c>
      <c r="BB94" t="str">
        <f t="shared" si="1"/>
        <v>APINlaAmuwoOdofin</v>
      </c>
    </row>
    <row r="95" spans="5:54" x14ac:dyDescent="0.3">
      <c r="E95" t="s">
        <v>641</v>
      </c>
      <c r="AV95" t="s">
        <v>789</v>
      </c>
      <c r="AW95" t="s">
        <v>157</v>
      </c>
      <c r="AX95" t="s">
        <v>695</v>
      </c>
      <c r="AY95" s="81" t="s">
        <v>973</v>
      </c>
      <c r="AZ95" t="s">
        <v>974</v>
      </c>
      <c r="BA95" t="s">
        <v>537</v>
      </c>
      <c r="BB95" t="str">
        <f t="shared" si="1"/>
        <v>APINlaEpe</v>
      </c>
    </row>
    <row r="96" spans="5:54" x14ac:dyDescent="0.3">
      <c r="E96" t="s">
        <v>642</v>
      </c>
      <c r="AV96" t="s">
        <v>789</v>
      </c>
      <c r="AW96" t="s">
        <v>157</v>
      </c>
      <c r="AX96" t="s">
        <v>695</v>
      </c>
      <c r="AY96" s="81" t="s">
        <v>975</v>
      </c>
      <c r="AZ96" t="s">
        <v>976</v>
      </c>
      <c r="BA96" t="s">
        <v>537</v>
      </c>
      <c r="BB96" t="str">
        <f t="shared" si="1"/>
        <v>APINlaEpe</v>
      </c>
    </row>
    <row r="97" spans="5:54" x14ac:dyDescent="0.3">
      <c r="E97" t="s">
        <v>540</v>
      </c>
      <c r="AV97" t="s">
        <v>789</v>
      </c>
      <c r="AW97" t="s">
        <v>157</v>
      </c>
      <c r="AX97" t="s">
        <v>695</v>
      </c>
      <c r="AY97" s="81" t="s">
        <v>977</v>
      </c>
      <c r="AZ97" t="s">
        <v>978</v>
      </c>
      <c r="BA97" t="s">
        <v>537</v>
      </c>
      <c r="BB97" t="str">
        <f t="shared" si="1"/>
        <v>APINlaEpe</v>
      </c>
    </row>
    <row r="98" spans="5:54" x14ac:dyDescent="0.3">
      <c r="E98" t="s">
        <v>541</v>
      </c>
      <c r="AV98" t="s">
        <v>789</v>
      </c>
      <c r="AW98" t="s">
        <v>157</v>
      </c>
      <c r="AX98" t="s">
        <v>695</v>
      </c>
      <c r="AY98" s="81" t="s">
        <v>979</v>
      </c>
      <c r="AZ98" t="s">
        <v>980</v>
      </c>
      <c r="BA98" t="s">
        <v>537</v>
      </c>
      <c r="BB98" t="str">
        <f t="shared" si="1"/>
        <v>APINlaEpe</v>
      </c>
    </row>
    <row r="99" spans="5:54" x14ac:dyDescent="0.3">
      <c r="E99" t="s">
        <v>542</v>
      </c>
      <c r="AV99" t="s">
        <v>789</v>
      </c>
      <c r="AW99" t="s">
        <v>157</v>
      </c>
      <c r="AX99" t="s">
        <v>696</v>
      </c>
      <c r="AY99" s="81" t="s">
        <v>981</v>
      </c>
      <c r="AZ99" t="s">
        <v>982</v>
      </c>
      <c r="BA99" t="s">
        <v>537</v>
      </c>
      <c r="BB99" t="str">
        <f t="shared" si="1"/>
        <v>APINlaEtiOsa</v>
      </c>
    </row>
    <row r="100" spans="5:54" x14ac:dyDescent="0.3">
      <c r="E100" t="s">
        <v>543</v>
      </c>
      <c r="AV100" t="s">
        <v>789</v>
      </c>
      <c r="AW100" t="s">
        <v>157</v>
      </c>
      <c r="AX100" t="s">
        <v>696</v>
      </c>
      <c r="AY100" s="81" t="s">
        <v>983</v>
      </c>
      <c r="AZ100" t="s">
        <v>984</v>
      </c>
      <c r="BA100" t="s">
        <v>537</v>
      </c>
      <c r="BB100" t="str">
        <f t="shared" si="1"/>
        <v>APINlaEtiOsa</v>
      </c>
    </row>
    <row r="101" spans="5:54" x14ac:dyDescent="0.3">
      <c r="E101" t="s">
        <v>544</v>
      </c>
      <c r="AV101" t="s">
        <v>789</v>
      </c>
      <c r="AW101" t="s">
        <v>157</v>
      </c>
      <c r="AX101" t="s">
        <v>696</v>
      </c>
      <c r="AY101" s="81" t="s">
        <v>985</v>
      </c>
      <c r="AZ101" t="s">
        <v>986</v>
      </c>
      <c r="BA101" t="s">
        <v>537</v>
      </c>
      <c r="BB101" t="str">
        <f t="shared" si="1"/>
        <v>APINlaEtiOsa</v>
      </c>
    </row>
    <row r="102" spans="5:54" x14ac:dyDescent="0.3">
      <c r="E102" t="s">
        <v>545</v>
      </c>
      <c r="AV102" t="s">
        <v>789</v>
      </c>
      <c r="AW102" t="s">
        <v>157</v>
      </c>
      <c r="AX102" t="s">
        <v>696</v>
      </c>
      <c r="AY102" s="81" t="s">
        <v>987</v>
      </c>
      <c r="AZ102" t="s">
        <v>988</v>
      </c>
      <c r="BA102" t="s">
        <v>537</v>
      </c>
      <c r="BB102" t="str">
        <f t="shared" si="1"/>
        <v>APINlaEtiOsa</v>
      </c>
    </row>
    <row r="103" spans="5:54" x14ac:dyDescent="0.3">
      <c r="E103" t="s">
        <v>546</v>
      </c>
      <c r="AV103" t="s">
        <v>789</v>
      </c>
      <c r="AW103" t="s">
        <v>157</v>
      </c>
      <c r="AX103" t="s">
        <v>696</v>
      </c>
      <c r="AY103" s="81" t="s">
        <v>989</v>
      </c>
      <c r="AZ103" t="s">
        <v>990</v>
      </c>
      <c r="BA103" t="s">
        <v>537</v>
      </c>
      <c r="BB103" t="str">
        <f t="shared" si="1"/>
        <v>APINlaEtiOsa</v>
      </c>
    </row>
    <row r="104" spans="5:54" x14ac:dyDescent="0.3">
      <c r="E104" t="s">
        <v>547</v>
      </c>
      <c r="AV104" t="s">
        <v>789</v>
      </c>
      <c r="AW104" t="s">
        <v>157</v>
      </c>
      <c r="AX104" t="s">
        <v>696</v>
      </c>
      <c r="AY104" s="81" t="s">
        <v>991</v>
      </c>
      <c r="AZ104" t="s">
        <v>992</v>
      </c>
      <c r="BA104" t="s">
        <v>537</v>
      </c>
      <c r="BB104" t="str">
        <f t="shared" si="1"/>
        <v>APINlaEtiOsa</v>
      </c>
    </row>
    <row r="105" spans="5:54" x14ac:dyDescent="0.3">
      <c r="E105" t="s">
        <v>548</v>
      </c>
      <c r="AV105" t="s">
        <v>789</v>
      </c>
      <c r="AW105" t="s">
        <v>157</v>
      </c>
      <c r="AX105" t="s">
        <v>696</v>
      </c>
      <c r="AY105" s="81" t="s">
        <v>993</v>
      </c>
      <c r="AZ105" t="s">
        <v>994</v>
      </c>
      <c r="BA105" t="s">
        <v>537</v>
      </c>
      <c r="BB105" t="str">
        <f t="shared" si="1"/>
        <v>APINlaEtiOsa</v>
      </c>
    </row>
    <row r="106" spans="5:54" x14ac:dyDescent="0.3">
      <c r="E106" t="s">
        <v>549</v>
      </c>
      <c r="AV106" t="s">
        <v>789</v>
      </c>
      <c r="AW106" t="s">
        <v>157</v>
      </c>
      <c r="AX106" t="s">
        <v>3792</v>
      </c>
      <c r="AY106" s="81" t="s">
        <v>3788</v>
      </c>
      <c r="AZ106" t="s">
        <v>995</v>
      </c>
      <c r="BA106" t="s">
        <v>537</v>
      </c>
      <c r="BB106" t="str">
        <f t="shared" si="1"/>
        <v>APINlaIbejuLekki</v>
      </c>
    </row>
    <row r="107" spans="5:54" x14ac:dyDescent="0.3">
      <c r="E107" t="s">
        <v>550</v>
      </c>
      <c r="AV107" t="s">
        <v>789</v>
      </c>
      <c r="AW107" t="s">
        <v>157</v>
      </c>
      <c r="AX107" t="s">
        <v>3792</v>
      </c>
      <c r="AY107" s="81" t="s">
        <v>3789</v>
      </c>
      <c r="AZ107" t="s">
        <v>996</v>
      </c>
      <c r="BA107" t="s">
        <v>537</v>
      </c>
      <c r="BB107" t="str">
        <f t="shared" si="1"/>
        <v>APINlaIbejuLekki</v>
      </c>
    </row>
    <row r="108" spans="5:54" x14ac:dyDescent="0.3">
      <c r="E108" t="s">
        <v>551</v>
      </c>
      <c r="AV108" t="s">
        <v>789</v>
      </c>
      <c r="AW108" t="s">
        <v>157</v>
      </c>
      <c r="AX108" t="s">
        <v>3792</v>
      </c>
      <c r="AY108" s="81" t="s">
        <v>3790</v>
      </c>
      <c r="AZ108" t="s">
        <v>997</v>
      </c>
      <c r="BA108" t="s">
        <v>537</v>
      </c>
      <c r="BB108" t="str">
        <f t="shared" si="1"/>
        <v>APINlaIbejuLekki</v>
      </c>
    </row>
    <row r="109" spans="5:54" x14ac:dyDescent="0.3">
      <c r="E109" t="s">
        <v>552</v>
      </c>
      <c r="AV109" t="s">
        <v>789</v>
      </c>
      <c r="AW109" t="s">
        <v>157</v>
      </c>
      <c r="AX109" t="s">
        <v>3792</v>
      </c>
      <c r="AY109" s="81" t="s">
        <v>3791</v>
      </c>
      <c r="AZ109" t="s">
        <v>998</v>
      </c>
      <c r="BA109" t="s">
        <v>537</v>
      </c>
      <c r="BB109" t="str">
        <f t="shared" si="1"/>
        <v>APINlaIbejuLekki</v>
      </c>
    </row>
    <row r="110" spans="5:54" x14ac:dyDescent="0.3">
      <c r="E110" t="s">
        <v>553</v>
      </c>
      <c r="AV110" t="s">
        <v>789</v>
      </c>
      <c r="AW110" t="s">
        <v>157</v>
      </c>
      <c r="AX110" t="s">
        <v>698</v>
      </c>
      <c r="AY110" s="81" t="s">
        <v>999</v>
      </c>
      <c r="AZ110" t="s">
        <v>1000</v>
      </c>
      <c r="BA110" t="s">
        <v>537</v>
      </c>
      <c r="BB110" t="str">
        <f t="shared" si="1"/>
        <v>APINlaIfakoIjaiye</v>
      </c>
    </row>
    <row r="111" spans="5:54" x14ac:dyDescent="0.3">
      <c r="E111" t="s">
        <v>554</v>
      </c>
      <c r="AV111" t="s">
        <v>789</v>
      </c>
      <c r="AW111" t="s">
        <v>157</v>
      </c>
      <c r="AX111" t="s">
        <v>698</v>
      </c>
      <c r="AY111" s="81" t="s">
        <v>1001</v>
      </c>
      <c r="AZ111" t="s">
        <v>1002</v>
      </c>
      <c r="BA111" t="s">
        <v>537</v>
      </c>
      <c r="BB111" t="str">
        <f t="shared" si="1"/>
        <v>APINlaIfakoIjaiye</v>
      </c>
    </row>
    <row r="112" spans="5:54" x14ac:dyDescent="0.3">
      <c r="E112" t="s">
        <v>555</v>
      </c>
      <c r="AV112" t="s">
        <v>789</v>
      </c>
      <c r="AW112" t="s">
        <v>157</v>
      </c>
      <c r="AX112" t="s">
        <v>698</v>
      </c>
      <c r="AY112" s="81" t="s">
        <v>1003</v>
      </c>
      <c r="AZ112" t="s">
        <v>1004</v>
      </c>
      <c r="BA112" t="s">
        <v>537</v>
      </c>
      <c r="BB112" t="str">
        <f t="shared" si="1"/>
        <v>APINlaIfakoIjaiye</v>
      </c>
    </row>
    <row r="113" spans="5:54" x14ac:dyDescent="0.3">
      <c r="E113" t="s">
        <v>556</v>
      </c>
      <c r="AV113" t="s">
        <v>789</v>
      </c>
      <c r="AW113" t="s">
        <v>157</v>
      </c>
      <c r="AX113" t="s">
        <v>698</v>
      </c>
      <c r="AY113" s="81" t="s">
        <v>1005</v>
      </c>
      <c r="AZ113" t="s">
        <v>1006</v>
      </c>
      <c r="BA113" t="s">
        <v>537</v>
      </c>
      <c r="BB113" t="str">
        <f t="shared" si="1"/>
        <v>APINlaIfakoIjaiye</v>
      </c>
    </row>
    <row r="114" spans="5:54" x14ac:dyDescent="0.3">
      <c r="E114" t="s">
        <v>563</v>
      </c>
      <c r="AV114" t="s">
        <v>789</v>
      </c>
      <c r="AW114" t="s">
        <v>157</v>
      </c>
      <c r="AX114" t="s">
        <v>698</v>
      </c>
      <c r="AY114" s="81" t="s">
        <v>1007</v>
      </c>
      <c r="AZ114" t="s">
        <v>1008</v>
      </c>
      <c r="BA114" t="s">
        <v>537</v>
      </c>
      <c r="BB114" t="str">
        <f t="shared" si="1"/>
        <v>APINlaIfakoIjaiye</v>
      </c>
    </row>
    <row r="115" spans="5:54" x14ac:dyDescent="0.3">
      <c r="E115" t="s">
        <v>564</v>
      </c>
      <c r="AV115" t="s">
        <v>789</v>
      </c>
      <c r="AW115" t="s">
        <v>157</v>
      </c>
      <c r="AX115" t="s">
        <v>698</v>
      </c>
      <c r="AY115" s="81" t="s">
        <v>1009</v>
      </c>
      <c r="AZ115" t="s">
        <v>1010</v>
      </c>
      <c r="BA115" t="s">
        <v>537</v>
      </c>
      <c r="BB115" t="str">
        <f t="shared" si="1"/>
        <v>APINlaIfakoIjaiye</v>
      </c>
    </row>
    <row r="116" spans="5:54" x14ac:dyDescent="0.3">
      <c r="E116" t="s">
        <v>565</v>
      </c>
      <c r="AV116" t="s">
        <v>789</v>
      </c>
      <c r="AW116" t="s">
        <v>157</v>
      </c>
      <c r="AX116" t="s">
        <v>698</v>
      </c>
      <c r="AY116" s="81" t="s">
        <v>1011</v>
      </c>
      <c r="AZ116" t="s">
        <v>1012</v>
      </c>
      <c r="BA116" t="s">
        <v>537</v>
      </c>
      <c r="BB116" t="str">
        <f t="shared" si="1"/>
        <v>APINlaIfakoIjaiye</v>
      </c>
    </row>
    <row r="117" spans="5:54" x14ac:dyDescent="0.3">
      <c r="E117" t="s">
        <v>566</v>
      </c>
      <c r="AV117" t="s">
        <v>789</v>
      </c>
      <c r="AW117" t="s">
        <v>157</v>
      </c>
      <c r="AX117" t="s">
        <v>698</v>
      </c>
      <c r="AY117" s="81" t="s">
        <v>1013</v>
      </c>
      <c r="AZ117" t="s">
        <v>1014</v>
      </c>
      <c r="BA117" t="s">
        <v>537</v>
      </c>
      <c r="BB117" t="str">
        <f t="shared" si="1"/>
        <v>APINlaIfakoIjaiye</v>
      </c>
    </row>
    <row r="118" spans="5:54" x14ac:dyDescent="0.3">
      <c r="E118" t="s">
        <v>605</v>
      </c>
      <c r="AV118" t="s">
        <v>789</v>
      </c>
      <c r="AW118" t="s">
        <v>157</v>
      </c>
      <c r="AX118" t="s">
        <v>698</v>
      </c>
      <c r="AY118" s="81" t="s">
        <v>1015</v>
      </c>
      <c r="AZ118" t="s">
        <v>1016</v>
      </c>
      <c r="BA118" t="s">
        <v>537</v>
      </c>
      <c r="BB118" t="str">
        <f t="shared" si="1"/>
        <v>APINlaIfakoIjaiye</v>
      </c>
    </row>
    <row r="119" spans="5:54" x14ac:dyDescent="0.3">
      <c r="E119" t="s">
        <v>606</v>
      </c>
      <c r="AV119" t="s">
        <v>789</v>
      </c>
      <c r="AW119" t="s">
        <v>157</v>
      </c>
      <c r="AX119" t="s">
        <v>698</v>
      </c>
      <c r="AY119" s="81" t="s">
        <v>1017</v>
      </c>
      <c r="AZ119" t="s">
        <v>1018</v>
      </c>
      <c r="BA119" t="s">
        <v>537</v>
      </c>
      <c r="BB119" t="str">
        <f t="shared" si="1"/>
        <v>APINlaIfakoIjaiye</v>
      </c>
    </row>
    <row r="120" spans="5:54" x14ac:dyDescent="0.3">
      <c r="E120" t="s">
        <v>649</v>
      </c>
      <c r="AV120" t="s">
        <v>789</v>
      </c>
      <c r="AW120" t="s">
        <v>157</v>
      </c>
      <c r="AX120" t="s">
        <v>698</v>
      </c>
      <c r="AY120" s="81" t="s">
        <v>1019</v>
      </c>
      <c r="AZ120" t="s">
        <v>1020</v>
      </c>
      <c r="BA120" t="s">
        <v>537</v>
      </c>
      <c r="BB120" t="str">
        <f t="shared" si="1"/>
        <v>APINlaIfakoIjaiye</v>
      </c>
    </row>
    <row r="121" spans="5:54" x14ac:dyDescent="0.3">
      <c r="E121" t="s">
        <v>650</v>
      </c>
      <c r="AV121" t="s">
        <v>789</v>
      </c>
      <c r="AW121" t="s">
        <v>157</v>
      </c>
      <c r="AX121" t="s">
        <v>698</v>
      </c>
      <c r="AY121" s="81" t="s">
        <v>1021</v>
      </c>
      <c r="AZ121" t="s">
        <v>1022</v>
      </c>
      <c r="BA121" t="s">
        <v>537</v>
      </c>
      <c r="BB121" t="str">
        <f t="shared" si="1"/>
        <v>APINlaIfakoIjaiye</v>
      </c>
    </row>
    <row r="122" spans="5:54" x14ac:dyDescent="0.3">
      <c r="E122" t="s">
        <v>651</v>
      </c>
      <c r="AV122" t="s">
        <v>789</v>
      </c>
      <c r="AW122" t="s">
        <v>157</v>
      </c>
      <c r="AX122" t="s">
        <v>699</v>
      </c>
      <c r="AY122" s="81" t="s">
        <v>1023</v>
      </c>
      <c r="AZ122" t="s">
        <v>1024</v>
      </c>
      <c r="BA122" t="s">
        <v>537</v>
      </c>
      <c r="BB122" t="str">
        <f t="shared" si="1"/>
        <v>APINlaIkeja</v>
      </c>
    </row>
    <row r="123" spans="5:54" x14ac:dyDescent="0.3">
      <c r="E123" t="s">
        <v>652</v>
      </c>
      <c r="AV123" t="s">
        <v>789</v>
      </c>
      <c r="AW123" t="s">
        <v>157</v>
      </c>
      <c r="AX123" t="s">
        <v>699</v>
      </c>
      <c r="AY123" s="81" t="s">
        <v>1025</v>
      </c>
      <c r="AZ123" t="s">
        <v>1026</v>
      </c>
      <c r="BA123" t="s">
        <v>537</v>
      </c>
      <c r="BB123" t="str">
        <f t="shared" si="1"/>
        <v>APINlaIkeja</v>
      </c>
    </row>
    <row r="124" spans="5:54" x14ac:dyDescent="0.3">
      <c r="E124" t="s">
        <v>653</v>
      </c>
      <c r="AV124" t="s">
        <v>789</v>
      </c>
      <c r="AW124" t="s">
        <v>157</v>
      </c>
      <c r="AX124" t="s">
        <v>699</v>
      </c>
      <c r="AY124" s="81" t="s">
        <v>1027</v>
      </c>
      <c r="AZ124" t="s">
        <v>1028</v>
      </c>
      <c r="BA124" t="s">
        <v>537</v>
      </c>
      <c r="BB124" t="str">
        <f t="shared" si="1"/>
        <v>APINlaIkeja</v>
      </c>
    </row>
    <row r="125" spans="5:54" x14ac:dyDescent="0.3">
      <c r="E125" t="s">
        <v>654</v>
      </c>
      <c r="AV125" t="s">
        <v>789</v>
      </c>
      <c r="AW125" t="s">
        <v>157</v>
      </c>
      <c r="AX125" t="s">
        <v>699</v>
      </c>
      <c r="AY125" s="81" t="s">
        <v>1029</v>
      </c>
      <c r="AZ125" t="s">
        <v>1030</v>
      </c>
      <c r="BA125" t="s">
        <v>537</v>
      </c>
      <c r="BB125" t="str">
        <f t="shared" si="1"/>
        <v>APINlaIkeja</v>
      </c>
    </row>
    <row r="126" spans="5:54" x14ac:dyDescent="0.3">
      <c r="E126" t="s">
        <v>655</v>
      </c>
      <c r="AV126" t="s">
        <v>789</v>
      </c>
      <c r="AW126" t="s">
        <v>157</v>
      </c>
      <c r="AX126" t="s">
        <v>699</v>
      </c>
      <c r="AY126" s="81" t="s">
        <v>1031</v>
      </c>
      <c r="AZ126" t="s">
        <v>1032</v>
      </c>
      <c r="BA126" t="s">
        <v>537</v>
      </c>
      <c r="BB126" t="str">
        <f t="shared" si="1"/>
        <v>APINlaIkeja</v>
      </c>
    </row>
    <row r="127" spans="5:54" x14ac:dyDescent="0.3">
      <c r="E127" t="s">
        <v>678</v>
      </c>
      <c r="AV127" t="s">
        <v>789</v>
      </c>
      <c r="AW127" t="s">
        <v>157</v>
      </c>
      <c r="AX127" t="s">
        <v>699</v>
      </c>
      <c r="AY127" s="81" t="s">
        <v>1033</v>
      </c>
      <c r="AZ127" t="s">
        <v>1034</v>
      </c>
      <c r="BA127" t="s">
        <v>537</v>
      </c>
      <c r="BB127" t="str">
        <f t="shared" si="1"/>
        <v>APINlaIkeja</v>
      </c>
    </row>
    <row r="128" spans="5:54" x14ac:dyDescent="0.3">
      <c r="E128" t="s">
        <v>679</v>
      </c>
      <c r="AV128" t="s">
        <v>789</v>
      </c>
      <c r="AW128" t="s">
        <v>157</v>
      </c>
      <c r="AX128" t="s">
        <v>699</v>
      </c>
      <c r="AY128" s="81" t="s">
        <v>1035</v>
      </c>
      <c r="AZ128" t="s">
        <v>1036</v>
      </c>
      <c r="BA128" t="s">
        <v>537</v>
      </c>
      <c r="BB128" t="str">
        <f t="shared" si="1"/>
        <v>APINlaIkeja</v>
      </c>
    </row>
    <row r="129" spans="5:54" x14ac:dyDescent="0.3">
      <c r="E129" t="s">
        <v>3829</v>
      </c>
      <c r="AV129" t="s">
        <v>789</v>
      </c>
      <c r="AW129" t="s">
        <v>157</v>
      </c>
      <c r="AX129" t="s">
        <v>699</v>
      </c>
      <c r="AY129" s="81" t="s">
        <v>1037</v>
      </c>
      <c r="AZ129" t="s">
        <v>1038</v>
      </c>
      <c r="BA129" t="s">
        <v>537</v>
      </c>
      <c r="BB129" t="str">
        <f t="shared" si="1"/>
        <v>APINlaIkeja</v>
      </c>
    </row>
    <row r="130" spans="5:54" x14ac:dyDescent="0.3">
      <c r="E130" t="s">
        <v>693</v>
      </c>
      <c r="AV130" t="s">
        <v>789</v>
      </c>
      <c r="AW130" t="s">
        <v>157</v>
      </c>
      <c r="AX130" t="s">
        <v>699</v>
      </c>
      <c r="AY130" s="81" t="s">
        <v>1039</v>
      </c>
      <c r="AZ130" t="s">
        <v>1040</v>
      </c>
      <c r="BA130" t="s">
        <v>537</v>
      </c>
      <c r="BB130" t="str">
        <f t="shared" si="1"/>
        <v>APINlaIkeja</v>
      </c>
    </row>
    <row r="131" spans="5:54" x14ac:dyDescent="0.3">
      <c r="E131" t="s">
        <v>699</v>
      </c>
      <c r="AV131" t="s">
        <v>789</v>
      </c>
      <c r="AW131" t="s">
        <v>157</v>
      </c>
      <c r="AX131" t="s">
        <v>699</v>
      </c>
      <c r="AY131" s="81" t="s">
        <v>1041</v>
      </c>
      <c r="AZ131" t="s">
        <v>1042</v>
      </c>
      <c r="BA131" t="s">
        <v>537</v>
      </c>
      <c r="BB131" t="str">
        <f t="shared" ref="BB131:BB194" si="2">SUBSTITUTE(SUBSTITUTE(BA131&amp;AX131," ",""),"-","")</f>
        <v>APINlaIkeja</v>
      </c>
    </row>
    <row r="132" spans="5:54" x14ac:dyDescent="0.3">
      <c r="E132" t="s">
        <v>703</v>
      </c>
      <c r="AV132" t="s">
        <v>789</v>
      </c>
      <c r="AW132" t="s">
        <v>157</v>
      </c>
      <c r="AX132" t="s">
        <v>699</v>
      </c>
      <c r="AY132" s="81" t="s">
        <v>1043</v>
      </c>
      <c r="AZ132" t="s">
        <v>1044</v>
      </c>
      <c r="BA132" t="s">
        <v>537</v>
      </c>
      <c r="BB132" t="str">
        <f t="shared" si="2"/>
        <v>APINlaIkeja</v>
      </c>
    </row>
    <row r="133" spans="5:54" x14ac:dyDescent="0.3">
      <c r="E133" t="s">
        <v>704</v>
      </c>
      <c r="AV133" t="s">
        <v>789</v>
      </c>
      <c r="AW133" t="s">
        <v>157</v>
      </c>
      <c r="AX133" t="s">
        <v>699</v>
      </c>
      <c r="AY133" s="81" t="s">
        <v>1045</v>
      </c>
      <c r="AZ133" t="s">
        <v>1046</v>
      </c>
      <c r="BA133" t="s">
        <v>537</v>
      </c>
      <c r="BB133" t="str">
        <f t="shared" si="2"/>
        <v>APINlaIkeja</v>
      </c>
    </row>
    <row r="134" spans="5:54" x14ac:dyDescent="0.3">
      <c r="E134" t="s">
        <v>705</v>
      </c>
      <c r="AV134" t="s">
        <v>789</v>
      </c>
      <c r="AW134" t="s">
        <v>157</v>
      </c>
      <c r="AX134" t="s">
        <v>699</v>
      </c>
      <c r="AY134" s="81" t="s">
        <v>1047</v>
      </c>
      <c r="AZ134" t="s">
        <v>1048</v>
      </c>
      <c r="BA134" t="s">
        <v>537</v>
      </c>
      <c r="BB134" t="str">
        <f t="shared" si="2"/>
        <v>APINlaIkeja</v>
      </c>
    </row>
    <row r="135" spans="5:54" x14ac:dyDescent="0.3">
      <c r="E135" t="s">
        <v>706</v>
      </c>
      <c r="AV135" t="s">
        <v>789</v>
      </c>
      <c r="AW135" t="s">
        <v>157</v>
      </c>
      <c r="AX135" t="s">
        <v>699</v>
      </c>
      <c r="AY135" s="81" t="s">
        <v>1049</v>
      </c>
      <c r="AZ135" t="s">
        <v>1050</v>
      </c>
      <c r="BA135" t="s">
        <v>537</v>
      </c>
      <c r="BB135" t="str">
        <f t="shared" si="2"/>
        <v>APINlaIkeja</v>
      </c>
    </row>
    <row r="136" spans="5:54" x14ac:dyDescent="0.3">
      <c r="E136" t="s">
        <v>707</v>
      </c>
      <c r="AV136" t="s">
        <v>789</v>
      </c>
      <c r="AW136" t="s">
        <v>157</v>
      </c>
      <c r="AX136" t="s">
        <v>699</v>
      </c>
      <c r="AY136" s="81" t="s">
        <v>1051</v>
      </c>
      <c r="AZ136" t="s">
        <v>1052</v>
      </c>
      <c r="BA136" t="s">
        <v>537</v>
      </c>
      <c r="BB136" t="str">
        <f t="shared" si="2"/>
        <v>APINlaIkeja</v>
      </c>
    </row>
    <row r="137" spans="5:54" x14ac:dyDescent="0.3">
      <c r="E137" t="s">
        <v>719</v>
      </c>
      <c r="AV137" t="s">
        <v>789</v>
      </c>
      <c r="AW137" t="s">
        <v>157</v>
      </c>
      <c r="AX137" t="s">
        <v>699</v>
      </c>
      <c r="AY137" s="81" t="s">
        <v>1053</v>
      </c>
      <c r="AZ137" t="s">
        <v>1054</v>
      </c>
      <c r="BA137" t="s">
        <v>537</v>
      </c>
      <c r="BB137" t="str">
        <f t="shared" si="2"/>
        <v>APINlaIkeja</v>
      </c>
    </row>
    <row r="138" spans="5:54" x14ac:dyDescent="0.3">
      <c r="E138" t="s">
        <v>717</v>
      </c>
      <c r="AV138" t="s">
        <v>789</v>
      </c>
      <c r="AW138" t="s">
        <v>157</v>
      </c>
      <c r="AX138" t="s">
        <v>700</v>
      </c>
      <c r="AY138" s="81" t="s">
        <v>1055</v>
      </c>
      <c r="AZ138" t="s">
        <v>1056</v>
      </c>
      <c r="BA138" t="s">
        <v>537</v>
      </c>
      <c r="BB138" t="str">
        <f t="shared" si="2"/>
        <v>APINlaIkorodu</v>
      </c>
    </row>
    <row r="139" spans="5:54" x14ac:dyDescent="0.3">
      <c r="E139" t="s">
        <v>724</v>
      </c>
      <c r="AV139" t="s">
        <v>789</v>
      </c>
      <c r="AW139" t="s">
        <v>157</v>
      </c>
      <c r="AX139" t="s">
        <v>700</v>
      </c>
      <c r="AY139" s="81" t="s">
        <v>1057</v>
      </c>
      <c r="AZ139" t="s">
        <v>1058</v>
      </c>
      <c r="BA139" t="s">
        <v>537</v>
      </c>
      <c r="BB139" t="str">
        <f t="shared" si="2"/>
        <v>APINlaIkorodu</v>
      </c>
    </row>
    <row r="140" spans="5:54" x14ac:dyDescent="0.3">
      <c r="E140" t="s">
        <v>725</v>
      </c>
      <c r="AV140" t="s">
        <v>789</v>
      </c>
      <c r="AW140" t="s">
        <v>157</v>
      </c>
      <c r="AX140" t="s">
        <v>700</v>
      </c>
      <c r="AY140" s="81" t="s">
        <v>1059</v>
      </c>
      <c r="AZ140" t="s">
        <v>1060</v>
      </c>
      <c r="BA140" t="s">
        <v>537</v>
      </c>
      <c r="BB140" t="str">
        <f t="shared" si="2"/>
        <v>APINlaIkorodu</v>
      </c>
    </row>
    <row r="141" spans="5:54" x14ac:dyDescent="0.3">
      <c r="E141" t="s">
        <v>726</v>
      </c>
      <c r="AV141" t="s">
        <v>789</v>
      </c>
      <c r="AW141" t="s">
        <v>157</v>
      </c>
      <c r="AX141" t="s">
        <v>700</v>
      </c>
      <c r="AY141" s="81" t="s">
        <v>1061</v>
      </c>
      <c r="AZ141" t="s">
        <v>1062</v>
      </c>
      <c r="BA141" t="s">
        <v>537</v>
      </c>
      <c r="BB141" t="str">
        <f t="shared" si="2"/>
        <v>APINlaIkorodu</v>
      </c>
    </row>
    <row r="142" spans="5:54" x14ac:dyDescent="0.3">
      <c r="E142" t="s">
        <v>727</v>
      </c>
      <c r="AV142" t="s">
        <v>789</v>
      </c>
      <c r="AW142" t="s">
        <v>157</v>
      </c>
      <c r="AX142" t="s">
        <v>700</v>
      </c>
      <c r="AY142" s="81" t="s">
        <v>1063</v>
      </c>
      <c r="AZ142" t="s">
        <v>1064</v>
      </c>
      <c r="BA142" t="s">
        <v>537</v>
      </c>
      <c r="BB142" t="str">
        <f t="shared" si="2"/>
        <v>APINlaIkorodu</v>
      </c>
    </row>
    <row r="143" spans="5:54" x14ac:dyDescent="0.3">
      <c r="E143" t="s">
        <v>731</v>
      </c>
      <c r="AV143" t="s">
        <v>789</v>
      </c>
      <c r="AW143" t="s">
        <v>157</v>
      </c>
      <c r="AX143" t="s">
        <v>700</v>
      </c>
      <c r="AY143" s="81" t="s">
        <v>1065</v>
      </c>
      <c r="AZ143" t="s">
        <v>1066</v>
      </c>
      <c r="BA143" t="s">
        <v>537</v>
      </c>
      <c r="BB143" t="str">
        <f t="shared" si="2"/>
        <v>APINlaIkorodu</v>
      </c>
    </row>
    <row r="144" spans="5:54" x14ac:dyDescent="0.3">
      <c r="E144" t="s">
        <v>732</v>
      </c>
      <c r="AV144" t="s">
        <v>789</v>
      </c>
      <c r="AW144" t="s">
        <v>157</v>
      </c>
      <c r="AX144" t="s">
        <v>700</v>
      </c>
      <c r="AY144" s="81" t="s">
        <v>1067</v>
      </c>
      <c r="AZ144" t="s">
        <v>1068</v>
      </c>
      <c r="BA144" t="s">
        <v>537</v>
      </c>
      <c r="BB144" t="str">
        <f t="shared" si="2"/>
        <v>APINlaIkorodu</v>
      </c>
    </row>
    <row r="145" spans="5:54" x14ac:dyDescent="0.3">
      <c r="E145" t="s">
        <v>733</v>
      </c>
      <c r="AV145" t="s">
        <v>789</v>
      </c>
      <c r="AW145" t="s">
        <v>157</v>
      </c>
      <c r="AX145" t="s">
        <v>700</v>
      </c>
      <c r="AY145" s="81" t="s">
        <v>1069</v>
      </c>
      <c r="AZ145" t="s">
        <v>1070</v>
      </c>
      <c r="BA145" t="s">
        <v>537</v>
      </c>
      <c r="BB145" t="str">
        <f t="shared" si="2"/>
        <v>APINlaIkorodu</v>
      </c>
    </row>
    <row r="146" spans="5:54" x14ac:dyDescent="0.3">
      <c r="E146" t="s">
        <v>770</v>
      </c>
      <c r="AV146" t="s">
        <v>789</v>
      </c>
      <c r="AW146" t="s">
        <v>157</v>
      </c>
      <c r="AX146" t="s">
        <v>700</v>
      </c>
      <c r="AY146" s="81" t="s">
        <v>1071</v>
      </c>
      <c r="AZ146" t="s">
        <v>1072</v>
      </c>
      <c r="BA146" t="s">
        <v>537</v>
      </c>
      <c r="BB146" t="str">
        <f t="shared" si="2"/>
        <v>APINlaIkorodu</v>
      </c>
    </row>
    <row r="147" spans="5:54" x14ac:dyDescent="0.3">
      <c r="E147" t="s">
        <v>772</v>
      </c>
      <c r="AV147" t="s">
        <v>789</v>
      </c>
      <c r="AW147" t="s">
        <v>157</v>
      </c>
      <c r="AX147" t="s">
        <v>701</v>
      </c>
      <c r="AY147" s="81" t="s">
        <v>1073</v>
      </c>
      <c r="AZ147" t="s">
        <v>1074</v>
      </c>
      <c r="BA147" t="s">
        <v>537</v>
      </c>
      <c r="BB147" t="str">
        <f t="shared" si="2"/>
        <v>APINlaMushin</v>
      </c>
    </row>
    <row r="148" spans="5:54" x14ac:dyDescent="0.3">
      <c r="E148" t="s">
        <v>781</v>
      </c>
      <c r="AV148" t="s">
        <v>789</v>
      </c>
      <c r="AW148" t="s">
        <v>157</v>
      </c>
      <c r="AX148" t="s">
        <v>701</v>
      </c>
      <c r="AY148" s="81" t="s">
        <v>1075</v>
      </c>
      <c r="AZ148" t="s">
        <v>1076</v>
      </c>
      <c r="BA148" t="s">
        <v>537</v>
      </c>
      <c r="BB148" t="str">
        <f t="shared" si="2"/>
        <v>APINlaMushin</v>
      </c>
    </row>
    <row r="149" spans="5:54" x14ac:dyDescent="0.3">
      <c r="E149" t="s">
        <v>774</v>
      </c>
      <c r="AV149" t="s">
        <v>789</v>
      </c>
      <c r="AW149" t="s">
        <v>157</v>
      </c>
      <c r="AX149" t="s">
        <v>701</v>
      </c>
      <c r="AY149" s="81" t="s">
        <v>1077</v>
      </c>
      <c r="AZ149" t="s">
        <v>1078</v>
      </c>
      <c r="BA149" t="s">
        <v>537</v>
      </c>
      <c r="BB149" t="str">
        <f t="shared" si="2"/>
        <v>APINlaMushin</v>
      </c>
    </row>
    <row r="150" spans="5:54" x14ac:dyDescent="0.3">
      <c r="E150" t="s">
        <v>775</v>
      </c>
      <c r="AV150" t="s">
        <v>789</v>
      </c>
      <c r="AW150" t="s">
        <v>157</v>
      </c>
      <c r="AX150" t="s">
        <v>701</v>
      </c>
      <c r="AY150" s="81" t="s">
        <v>1079</v>
      </c>
      <c r="AZ150" t="s">
        <v>1080</v>
      </c>
      <c r="BA150" t="s">
        <v>537</v>
      </c>
      <c r="BB150" t="str">
        <f t="shared" si="2"/>
        <v>APINlaMushin</v>
      </c>
    </row>
    <row r="151" spans="5:54" x14ac:dyDescent="0.3">
      <c r="E151" t="s">
        <v>779</v>
      </c>
      <c r="AV151" t="s">
        <v>789</v>
      </c>
      <c r="AW151" t="s">
        <v>157</v>
      </c>
      <c r="AX151" t="s">
        <v>701</v>
      </c>
      <c r="AY151" s="81" t="s">
        <v>1081</v>
      </c>
      <c r="AZ151" t="s">
        <v>1082</v>
      </c>
      <c r="BA151" t="s">
        <v>537</v>
      </c>
      <c r="BB151" t="str">
        <f t="shared" si="2"/>
        <v>APINlaMushin</v>
      </c>
    </row>
    <row r="152" spans="5:54" x14ac:dyDescent="0.3">
      <c r="E152" t="s">
        <v>780</v>
      </c>
      <c r="AV152" t="s">
        <v>789</v>
      </c>
      <c r="AW152" t="s">
        <v>157</v>
      </c>
      <c r="AX152" t="s">
        <v>701</v>
      </c>
      <c r="AY152" s="81" t="s">
        <v>1083</v>
      </c>
      <c r="AZ152" t="s">
        <v>1084</v>
      </c>
      <c r="BA152" t="s">
        <v>537</v>
      </c>
      <c r="BB152" t="str">
        <f t="shared" si="2"/>
        <v>APINlaMushin</v>
      </c>
    </row>
    <row r="153" spans="5:54" x14ac:dyDescent="0.3">
      <c r="E153" t="s">
        <v>557</v>
      </c>
      <c r="AV153" t="s">
        <v>789</v>
      </c>
      <c r="AW153" t="s">
        <v>157</v>
      </c>
      <c r="AX153" t="s">
        <v>701</v>
      </c>
      <c r="AY153" s="81" t="s">
        <v>1085</v>
      </c>
      <c r="AZ153" t="s">
        <v>1086</v>
      </c>
      <c r="BA153" t="s">
        <v>537</v>
      </c>
      <c r="BB153" t="str">
        <f t="shared" si="2"/>
        <v>APINlaMushin</v>
      </c>
    </row>
    <row r="154" spans="5:54" x14ac:dyDescent="0.3">
      <c r="E154" t="s">
        <v>540</v>
      </c>
      <c r="AV154" t="s">
        <v>789</v>
      </c>
      <c r="AW154" t="s">
        <v>157</v>
      </c>
      <c r="AX154" t="s">
        <v>701</v>
      </c>
      <c r="AY154" s="81" t="s">
        <v>1087</v>
      </c>
      <c r="AZ154" t="s">
        <v>1088</v>
      </c>
      <c r="BA154" t="s">
        <v>537</v>
      </c>
      <c r="BB154" t="str">
        <f t="shared" si="2"/>
        <v>APINlaMushin</v>
      </c>
    </row>
    <row r="155" spans="5:54" x14ac:dyDescent="0.3">
      <c r="E155" t="s">
        <v>558</v>
      </c>
      <c r="AV155" t="s">
        <v>789</v>
      </c>
      <c r="AW155" t="s">
        <v>157</v>
      </c>
      <c r="AX155" t="s">
        <v>701</v>
      </c>
      <c r="AY155" s="81" t="s">
        <v>1089</v>
      </c>
      <c r="AZ155" t="s">
        <v>1090</v>
      </c>
      <c r="BA155" t="s">
        <v>537</v>
      </c>
      <c r="BB155" t="str">
        <f t="shared" si="2"/>
        <v>APINlaMushin</v>
      </c>
    </row>
    <row r="156" spans="5:54" x14ac:dyDescent="0.3">
      <c r="E156" t="s">
        <v>541</v>
      </c>
      <c r="AV156" t="s">
        <v>789</v>
      </c>
      <c r="AW156" t="s">
        <v>157</v>
      </c>
      <c r="AX156" t="s">
        <v>701</v>
      </c>
      <c r="AY156" s="81" t="s">
        <v>1091</v>
      </c>
      <c r="AZ156" t="s">
        <v>1092</v>
      </c>
      <c r="BA156" t="s">
        <v>537</v>
      </c>
      <c r="BB156" t="str">
        <f t="shared" si="2"/>
        <v>APINlaMushin</v>
      </c>
    </row>
    <row r="157" spans="5:54" x14ac:dyDescent="0.3">
      <c r="E157" t="s">
        <v>542</v>
      </c>
      <c r="AV157" t="s">
        <v>789</v>
      </c>
      <c r="AW157" t="s">
        <v>157</v>
      </c>
      <c r="AX157" t="s">
        <v>701</v>
      </c>
      <c r="AY157" s="81" t="s">
        <v>1093</v>
      </c>
      <c r="AZ157" t="s">
        <v>1094</v>
      </c>
      <c r="BA157" t="s">
        <v>537</v>
      </c>
      <c r="BB157" t="str">
        <f t="shared" si="2"/>
        <v>APINlaMushin</v>
      </c>
    </row>
    <row r="158" spans="5:54" x14ac:dyDescent="0.3">
      <c r="E158" t="s">
        <v>543</v>
      </c>
      <c r="AV158" t="s">
        <v>789</v>
      </c>
      <c r="AW158" t="s">
        <v>157</v>
      </c>
      <c r="AX158" t="s">
        <v>701</v>
      </c>
      <c r="AY158" s="81" t="s">
        <v>1095</v>
      </c>
      <c r="AZ158" t="s">
        <v>1096</v>
      </c>
      <c r="BA158" t="s">
        <v>537</v>
      </c>
      <c r="BB158" t="str">
        <f t="shared" si="2"/>
        <v>APINlaMushin</v>
      </c>
    </row>
    <row r="159" spans="5:54" x14ac:dyDescent="0.3">
      <c r="E159" t="s">
        <v>544</v>
      </c>
      <c r="AV159" t="s">
        <v>789</v>
      </c>
      <c r="AW159" t="s">
        <v>157</v>
      </c>
      <c r="AX159" t="s">
        <v>701</v>
      </c>
      <c r="AY159" s="81" t="s">
        <v>1097</v>
      </c>
      <c r="AZ159" t="s">
        <v>1098</v>
      </c>
      <c r="BA159" t="s">
        <v>537</v>
      </c>
      <c r="BB159" t="str">
        <f t="shared" si="2"/>
        <v>APINlaMushin</v>
      </c>
    </row>
    <row r="160" spans="5:54" x14ac:dyDescent="0.3">
      <c r="E160" t="s">
        <v>545</v>
      </c>
      <c r="AV160" t="s">
        <v>789</v>
      </c>
      <c r="AW160" t="s">
        <v>157</v>
      </c>
      <c r="AX160" t="s">
        <v>701</v>
      </c>
      <c r="AY160" s="81" t="s">
        <v>1099</v>
      </c>
      <c r="AZ160" t="s">
        <v>1100</v>
      </c>
      <c r="BA160" t="s">
        <v>537</v>
      </c>
      <c r="BB160" t="str">
        <f t="shared" si="2"/>
        <v>APINlaMushin</v>
      </c>
    </row>
    <row r="161" spans="5:54" x14ac:dyDescent="0.3">
      <c r="E161" t="s">
        <v>548</v>
      </c>
      <c r="AV161" t="s">
        <v>789</v>
      </c>
      <c r="AW161" t="s">
        <v>157</v>
      </c>
      <c r="AX161" t="s">
        <v>702</v>
      </c>
      <c r="AY161" s="81" t="s">
        <v>1101</v>
      </c>
      <c r="AZ161" t="s">
        <v>1102</v>
      </c>
      <c r="BA161" t="s">
        <v>537</v>
      </c>
      <c r="BB161" t="str">
        <f t="shared" si="2"/>
        <v>APINlaOshodiIsolo</v>
      </c>
    </row>
    <row r="162" spans="5:54" x14ac:dyDescent="0.3">
      <c r="E162" t="s">
        <v>549</v>
      </c>
      <c r="AV162" t="s">
        <v>789</v>
      </c>
      <c r="AW162" t="s">
        <v>157</v>
      </c>
      <c r="AX162" t="s">
        <v>702</v>
      </c>
      <c r="AY162" s="81" t="s">
        <v>1103</v>
      </c>
      <c r="AZ162" t="s">
        <v>1104</v>
      </c>
      <c r="BA162" t="s">
        <v>537</v>
      </c>
      <c r="BB162" t="str">
        <f t="shared" si="2"/>
        <v>APINlaOshodiIsolo</v>
      </c>
    </row>
    <row r="163" spans="5:54" x14ac:dyDescent="0.3">
      <c r="E163" t="s">
        <v>550</v>
      </c>
      <c r="AV163" t="s">
        <v>789</v>
      </c>
      <c r="AW163" t="s">
        <v>157</v>
      </c>
      <c r="AX163" t="s">
        <v>702</v>
      </c>
      <c r="AY163" s="81" t="s">
        <v>1105</v>
      </c>
      <c r="AZ163" t="s">
        <v>1106</v>
      </c>
      <c r="BA163" t="s">
        <v>537</v>
      </c>
      <c r="BB163" t="str">
        <f t="shared" si="2"/>
        <v>APINlaOshodiIsolo</v>
      </c>
    </row>
    <row r="164" spans="5:54" x14ac:dyDescent="0.3">
      <c r="E164" t="s">
        <v>559</v>
      </c>
      <c r="AV164" t="s">
        <v>789</v>
      </c>
      <c r="AW164" t="s">
        <v>157</v>
      </c>
      <c r="AX164" t="s">
        <v>702</v>
      </c>
      <c r="AY164" s="81" t="s">
        <v>1107</v>
      </c>
      <c r="AZ164" t="s">
        <v>1108</v>
      </c>
      <c r="BA164" t="s">
        <v>537</v>
      </c>
      <c r="BB164" t="str">
        <f t="shared" si="2"/>
        <v>APINlaOshodiIsolo</v>
      </c>
    </row>
    <row r="165" spans="5:54" x14ac:dyDescent="0.3">
      <c r="E165" t="s">
        <v>560</v>
      </c>
      <c r="AV165" t="s">
        <v>789</v>
      </c>
      <c r="AW165" t="s">
        <v>157</v>
      </c>
      <c r="AX165" t="s">
        <v>702</v>
      </c>
      <c r="AY165" s="81" t="s">
        <v>1109</v>
      </c>
      <c r="AZ165" t="s">
        <v>1110</v>
      </c>
      <c r="BA165" t="s">
        <v>537</v>
      </c>
      <c r="BB165" t="str">
        <f t="shared" si="2"/>
        <v>APINlaOshodiIsolo</v>
      </c>
    </row>
    <row r="166" spans="5:54" x14ac:dyDescent="0.3">
      <c r="E166" t="s">
        <v>561</v>
      </c>
      <c r="AV166" t="s">
        <v>789</v>
      </c>
      <c r="AW166" t="s">
        <v>157</v>
      </c>
      <c r="AX166" t="s">
        <v>702</v>
      </c>
      <c r="AY166" s="81" t="s">
        <v>1111</v>
      </c>
      <c r="AZ166" t="s">
        <v>1112</v>
      </c>
      <c r="BA166" t="s">
        <v>537</v>
      </c>
      <c r="BB166" t="str">
        <f t="shared" si="2"/>
        <v>APINlaOshodiIsolo</v>
      </c>
    </row>
    <row r="167" spans="5:54" x14ac:dyDescent="0.3">
      <c r="E167" t="s">
        <v>551</v>
      </c>
      <c r="AV167" t="s">
        <v>789</v>
      </c>
      <c r="AW167" t="s">
        <v>157</v>
      </c>
      <c r="AX167" t="s">
        <v>702</v>
      </c>
      <c r="AY167" s="81" t="s">
        <v>1113</v>
      </c>
      <c r="AZ167" t="s">
        <v>1114</v>
      </c>
      <c r="BA167" t="s">
        <v>537</v>
      </c>
      <c r="BB167" t="str">
        <f t="shared" si="2"/>
        <v>APINlaOshodiIsolo</v>
      </c>
    </row>
    <row r="168" spans="5:54" x14ac:dyDescent="0.3">
      <c r="E168" t="s">
        <v>552</v>
      </c>
      <c r="AV168" t="s">
        <v>789</v>
      </c>
      <c r="AW168" t="s">
        <v>157</v>
      </c>
      <c r="AX168" t="s">
        <v>702</v>
      </c>
      <c r="AY168" s="81" t="s">
        <v>1115</v>
      </c>
      <c r="AZ168" t="s">
        <v>1116</v>
      </c>
      <c r="BA168" t="s">
        <v>537</v>
      </c>
      <c r="BB168" t="str">
        <f t="shared" si="2"/>
        <v>APINlaOshodiIsolo</v>
      </c>
    </row>
    <row r="169" spans="5:54" x14ac:dyDescent="0.3">
      <c r="E169" t="s">
        <v>553</v>
      </c>
      <c r="AV169" t="s">
        <v>789</v>
      </c>
      <c r="AW169" t="s">
        <v>157</v>
      </c>
      <c r="AX169" t="s">
        <v>702</v>
      </c>
      <c r="AY169" s="81" t="s">
        <v>1117</v>
      </c>
      <c r="AZ169" t="s">
        <v>1118</v>
      </c>
      <c r="BA169" t="s">
        <v>537</v>
      </c>
      <c r="BB169" t="str">
        <f t="shared" si="2"/>
        <v>APINlaOshodiIsolo</v>
      </c>
    </row>
    <row r="170" spans="5:54" x14ac:dyDescent="0.3">
      <c r="E170" t="s">
        <v>554</v>
      </c>
      <c r="AV170" t="s">
        <v>789</v>
      </c>
      <c r="AW170" t="s">
        <v>157</v>
      </c>
      <c r="AX170" t="s">
        <v>702</v>
      </c>
      <c r="AY170" s="81" t="s">
        <v>1119</v>
      </c>
      <c r="AZ170" t="s">
        <v>1120</v>
      </c>
      <c r="BA170" t="s">
        <v>537</v>
      </c>
      <c r="BB170" t="str">
        <f t="shared" si="2"/>
        <v>APINlaOshodiIsolo</v>
      </c>
    </row>
    <row r="171" spans="5:54" x14ac:dyDescent="0.3">
      <c r="E171" t="s">
        <v>556</v>
      </c>
      <c r="AV171" t="s">
        <v>789</v>
      </c>
      <c r="AW171" t="s">
        <v>157</v>
      </c>
      <c r="AX171" t="s">
        <v>702</v>
      </c>
      <c r="AY171" s="81" t="s">
        <v>1121</v>
      </c>
      <c r="AZ171" t="s">
        <v>1122</v>
      </c>
      <c r="BA171" t="s">
        <v>537</v>
      </c>
      <c r="BB171" t="str">
        <f t="shared" si="2"/>
        <v>APINlaOshodiIsolo</v>
      </c>
    </row>
    <row r="172" spans="5:54" x14ac:dyDescent="0.3">
      <c r="E172" t="s">
        <v>611</v>
      </c>
      <c r="AV172" t="s">
        <v>789</v>
      </c>
      <c r="AW172" t="s">
        <v>157</v>
      </c>
      <c r="AX172" t="s">
        <v>702</v>
      </c>
      <c r="AY172" s="81" t="s">
        <v>1123</v>
      </c>
      <c r="AZ172" t="s">
        <v>1124</v>
      </c>
      <c r="BA172" t="s">
        <v>537</v>
      </c>
      <c r="BB172" t="str">
        <f t="shared" si="2"/>
        <v>APINlaOshodiIsolo</v>
      </c>
    </row>
    <row r="173" spans="5:54" x14ac:dyDescent="0.3">
      <c r="E173" t="s">
        <v>612</v>
      </c>
      <c r="AV173" t="s">
        <v>789</v>
      </c>
      <c r="AW173" t="s">
        <v>157</v>
      </c>
      <c r="AX173" t="s">
        <v>702</v>
      </c>
      <c r="AY173" s="81" t="s">
        <v>1125</v>
      </c>
      <c r="AZ173" t="s">
        <v>1126</v>
      </c>
      <c r="BA173" t="s">
        <v>537</v>
      </c>
      <c r="BB173" t="str">
        <f t="shared" si="2"/>
        <v>APINlaOshodiIsolo</v>
      </c>
    </row>
    <row r="174" spans="5:54" x14ac:dyDescent="0.3">
      <c r="E174" t="s">
        <v>613</v>
      </c>
      <c r="AV174" t="s">
        <v>789</v>
      </c>
      <c r="AW174" t="s">
        <v>157</v>
      </c>
      <c r="AX174" t="s">
        <v>702</v>
      </c>
      <c r="AY174" s="81" t="s">
        <v>1127</v>
      </c>
      <c r="AZ174" t="s">
        <v>1128</v>
      </c>
      <c r="BA174" t="s">
        <v>537</v>
      </c>
      <c r="BB174" t="str">
        <f t="shared" si="2"/>
        <v>APINlaOshodiIsolo</v>
      </c>
    </row>
    <row r="175" spans="5:54" x14ac:dyDescent="0.3">
      <c r="E175" t="s">
        <v>614</v>
      </c>
      <c r="AV175" t="s">
        <v>789</v>
      </c>
      <c r="AW175" t="s">
        <v>163</v>
      </c>
      <c r="AX175" t="s">
        <v>750</v>
      </c>
      <c r="AY175" s="81" t="s">
        <v>1129</v>
      </c>
      <c r="AZ175" t="s">
        <v>1130</v>
      </c>
      <c r="BA175" t="s">
        <v>537</v>
      </c>
      <c r="BB175" t="str">
        <f t="shared" si="2"/>
        <v>APINoyAfijio</v>
      </c>
    </row>
    <row r="176" spans="5:54" x14ac:dyDescent="0.3">
      <c r="E176" t="s">
        <v>615</v>
      </c>
      <c r="AV176" t="s">
        <v>789</v>
      </c>
      <c r="AW176" t="s">
        <v>163</v>
      </c>
      <c r="AX176" t="s">
        <v>751</v>
      </c>
      <c r="AY176" s="81" t="s">
        <v>1131</v>
      </c>
      <c r="AZ176" t="s">
        <v>1132</v>
      </c>
      <c r="BA176" t="s">
        <v>537</v>
      </c>
      <c r="BB176" t="str">
        <f t="shared" si="2"/>
        <v>APINoyAkinyele</v>
      </c>
    </row>
    <row r="177" spans="5:54" x14ac:dyDescent="0.3">
      <c r="E177" t="s">
        <v>616</v>
      </c>
      <c r="AV177" t="s">
        <v>789</v>
      </c>
      <c r="AW177" t="s">
        <v>163</v>
      </c>
      <c r="AX177" t="s">
        <v>752</v>
      </c>
      <c r="AY177" s="81" t="s">
        <v>1133</v>
      </c>
      <c r="AZ177" t="s">
        <v>1134</v>
      </c>
      <c r="BA177" t="s">
        <v>537</v>
      </c>
      <c r="BB177" t="str">
        <f t="shared" si="2"/>
        <v>APINoyAtiba</v>
      </c>
    </row>
    <row r="178" spans="5:54" x14ac:dyDescent="0.3">
      <c r="E178" t="s">
        <v>617</v>
      </c>
      <c r="AV178" t="s">
        <v>789</v>
      </c>
      <c r="AW178" t="s">
        <v>163</v>
      </c>
      <c r="AX178" t="s">
        <v>753</v>
      </c>
      <c r="AY178" s="81" t="s">
        <v>1135</v>
      </c>
      <c r="AZ178" t="s">
        <v>1136</v>
      </c>
      <c r="BA178" t="s">
        <v>537</v>
      </c>
      <c r="BB178" t="str">
        <f t="shared" si="2"/>
        <v>APINoyIbadanNorth</v>
      </c>
    </row>
    <row r="179" spans="5:54" x14ac:dyDescent="0.3">
      <c r="E179" s="81" t="s">
        <v>3834</v>
      </c>
      <c r="AV179" t="s">
        <v>789</v>
      </c>
      <c r="AW179" t="s">
        <v>163</v>
      </c>
      <c r="AX179" t="s">
        <v>753</v>
      </c>
      <c r="AY179" s="81" t="s">
        <v>1137</v>
      </c>
      <c r="AZ179" t="s">
        <v>1138</v>
      </c>
      <c r="BA179" t="s">
        <v>537</v>
      </c>
      <c r="BB179" t="str">
        <f t="shared" si="2"/>
        <v>APINoyIbadanNorth</v>
      </c>
    </row>
    <row r="180" spans="5:54" x14ac:dyDescent="0.3">
      <c r="E180" t="s">
        <v>619</v>
      </c>
      <c r="AV180" t="s">
        <v>789</v>
      </c>
      <c r="AW180" t="s">
        <v>163</v>
      </c>
      <c r="AX180" t="s">
        <v>753</v>
      </c>
      <c r="AY180" s="81" t="s">
        <v>1139</v>
      </c>
      <c r="AZ180" t="s">
        <v>1140</v>
      </c>
      <c r="BA180" t="s">
        <v>537</v>
      </c>
      <c r="BB180" t="str">
        <f t="shared" si="2"/>
        <v>APINoyIbadanNorth</v>
      </c>
    </row>
    <row r="181" spans="5:54" x14ac:dyDescent="0.3">
      <c r="E181" t="s">
        <v>649</v>
      </c>
      <c r="AV181" t="s">
        <v>789</v>
      </c>
      <c r="AW181" t="s">
        <v>163</v>
      </c>
      <c r="AX181" t="s">
        <v>753</v>
      </c>
      <c r="AY181" s="81" t="s">
        <v>1141</v>
      </c>
      <c r="AZ181" t="s">
        <v>1142</v>
      </c>
      <c r="BA181" t="s">
        <v>537</v>
      </c>
      <c r="BB181" t="str">
        <f t="shared" si="2"/>
        <v>APINoyIbadanNorth</v>
      </c>
    </row>
    <row r="182" spans="5:54" x14ac:dyDescent="0.3">
      <c r="E182" t="s">
        <v>656</v>
      </c>
      <c r="AV182" t="s">
        <v>789</v>
      </c>
      <c r="AW182" t="s">
        <v>163</v>
      </c>
      <c r="AX182" t="s">
        <v>753</v>
      </c>
      <c r="AY182" s="81" t="s">
        <v>1143</v>
      </c>
      <c r="AZ182" t="s">
        <v>1144</v>
      </c>
      <c r="BA182" t="s">
        <v>537</v>
      </c>
      <c r="BB182" t="str">
        <f t="shared" si="2"/>
        <v>APINoyIbadanNorth</v>
      </c>
    </row>
    <row r="183" spans="5:54" x14ac:dyDescent="0.3">
      <c r="E183" t="s">
        <v>657</v>
      </c>
      <c r="AV183" t="s">
        <v>789</v>
      </c>
      <c r="AW183" t="s">
        <v>163</v>
      </c>
      <c r="AX183" t="s">
        <v>754</v>
      </c>
      <c r="AY183" s="81" t="s">
        <v>1145</v>
      </c>
      <c r="AZ183" t="s">
        <v>1146</v>
      </c>
      <c r="BA183" t="s">
        <v>537</v>
      </c>
      <c r="BB183" t="str">
        <f t="shared" si="2"/>
        <v>APINoyIbadanNorthEast</v>
      </c>
    </row>
    <row r="184" spans="5:54" x14ac:dyDescent="0.3">
      <c r="E184" t="s">
        <v>650</v>
      </c>
      <c r="AV184" t="s">
        <v>789</v>
      </c>
      <c r="AW184" t="s">
        <v>163</v>
      </c>
      <c r="AX184" t="s">
        <v>754</v>
      </c>
      <c r="AY184" s="81" t="s">
        <v>1147</v>
      </c>
      <c r="AZ184" t="s">
        <v>1148</v>
      </c>
      <c r="BA184" t="s">
        <v>537</v>
      </c>
      <c r="BB184" t="str">
        <f t="shared" si="2"/>
        <v>APINoyIbadanNorthEast</v>
      </c>
    </row>
    <row r="185" spans="5:54" x14ac:dyDescent="0.3">
      <c r="E185" t="s">
        <v>658</v>
      </c>
      <c r="AV185" t="s">
        <v>789</v>
      </c>
      <c r="AW185" t="s">
        <v>163</v>
      </c>
      <c r="AX185" t="s">
        <v>755</v>
      </c>
      <c r="AY185" s="81" t="s">
        <v>1149</v>
      </c>
      <c r="AZ185" t="s">
        <v>1150</v>
      </c>
      <c r="BA185" t="s">
        <v>537</v>
      </c>
      <c r="BB185" t="str">
        <f t="shared" si="2"/>
        <v>APINoyIbadanNorthWest</v>
      </c>
    </row>
    <row r="186" spans="5:54" x14ac:dyDescent="0.3">
      <c r="E186" t="s">
        <v>659</v>
      </c>
      <c r="AV186" t="s">
        <v>789</v>
      </c>
      <c r="AW186" t="s">
        <v>163</v>
      </c>
      <c r="AX186" t="s">
        <v>755</v>
      </c>
      <c r="AY186" s="81" t="s">
        <v>1151</v>
      </c>
      <c r="AZ186" t="s">
        <v>1152</v>
      </c>
      <c r="BA186" t="s">
        <v>537</v>
      </c>
      <c r="BB186" t="str">
        <f t="shared" si="2"/>
        <v>APINoyIbadanNorthWest</v>
      </c>
    </row>
    <row r="187" spans="5:54" x14ac:dyDescent="0.3">
      <c r="E187" t="s">
        <v>651</v>
      </c>
      <c r="AV187" t="s">
        <v>789</v>
      </c>
      <c r="AW187" t="s">
        <v>163</v>
      </c>
      <c r="AX187" t="s">
        <v>756</v>
      </c>
      <c r="AY187" s="81" t="s">
        <v>1153</v>
      </c>
      <c r="AZ187" t="s">
        <v>1154</v>
      </c>
      <c r="BA187" t="s">
        <v>537</v>
      </c>
      <c r="BB187" t="str">
        <f t="shared" si="2"/>
        <v>APINoyIbadanSouthEast</v>
      </c>
    </row>
    <row r="188" spans="5:54" x14ac:dyDescent="0.3">
      <c r="E188" t="s">
        <v>660</v>
      </c>
      <c r="AV188" t="s">
        <v>789</v>
      </c>
      <c r="AW188" t="s">
        <v>163</v>
      </c>
      <c r="AX188" t="s">
        <v>756</v>
      </c>
      <c r="AY188" s="81" t="s">
        <v>1155</v>
      </c>
      <c r="AZ188" t="s">
        <v>1156</v>
      </c>
      <c r="BA188" t="s">
        <v>537</v>
      </c>
      <c r="BB188" t="str">
        <f t="shared" si="2"/>
        <v>APINoyIbadanSouthEast</v>
      </c>
    </row>
    <row r="189" spans="5:54" x14ac:dyDescent="0.3">
      <c r="E189" t="s">
        <v>661</v>
      </c>
      <c r="AV189" t="s">
        <v>789</v>
      </c>
      <c r="AW189" t="s">
        <v>163</v>
      </c>
      <c r="AX189" t="s">
        <v>756</v>
      </c>
      <c r="AY189" s="81" t="s">
        <v>1157</v>
      </c>
      <c r="AZ189" t="s">
        <v>1158</v>
      </c>
      <c r="BA189" t="s">
        <v>537</v>
      </c>
      <c r="BB189" t="str">
        <f t="shared" si="2"/>
        <v>APINoyIbadanSouthEast</v>
      </c>
    </row>
    <row r="190" spans="5:54" x14ac:dyDescent="0.3">
      <c r="E190" t="s">
        <v>662</v>
      </c>
      <c r="AV190" t="s">
        <v>789</v>
      </c>
      <c r="AW190" t="s">
        <v>163</v>
      </c>
      <c r="AX190" t="s">
        <v>756</v>
      </c>
      <c r="AY190" s="81" t="s">
        <v>1159</v>
      </c>
      <c r="AZ190" t="s">
        <v>1160</v>
      </c>
      <c r="BA190" t="s">
        <v>537</v>
      </c>
      <c r="BB190" t="str">
        <f t="shared" si="2"/>
        <v>APINoyIbadanSouthEast</v>
      </c>
    </row>
    <row r="191" spans="5:54" x14ac:dyDescent="0.3">
      <c r="E191" t="s">
        <v>652</v>
      </c>
      <c r="AV191" t="s">
        <v>789</v>
      </c>
      <c r="AW191" t="s">
        <v>163</v>
      </c>
      <c r="AX191" t="s">
        <v>756</v>
      </c>
      <c r="AY191" s="81" t="s">
        <v>1161</v>
      </c>
      <c r="AZ191" t="s">
        <v>1162</v>
      </c>
      <c r="BA191" t="s">
        <v>537</v>
      </c>
      <c r="BB191" t="str">
        <f t="shared" si="2"/>
        <v>APINoyIbadanSouthEast</v>
      </c>
    </row>
    <row r="192" spans="5:54" x14ac:dyDescent="0.3">
      <c r="E192" t="s">
        <v>654</v>
      </c>
      <c r="AV192" t="s">
        <v>789</v>
      </c>
      <c r="AW192" t="s">
        <v>163</v>
      </c>
      <c r="AX192" t="s">
        <v>756</v>
      </c>
      <c r="AY192" s="81" t="s">
        <v>1163</v>
      </c>
      <c r="AZ192" t="s">
        <v>1164</v>
      </c>
      <c r="BA192" t="s">
        <v>537</v>
      </c>
      <c r="BB192" t="str">
        <f t="shared" si="2"/>
        <v>APINoyIbadanSouthEast</v>
      </c>
    </row>
    <row r="193" spans="5:54" x14ac:dyDescent="0.3">
      <c r="E193" t="s">
        <v>663</v>
      </c>
      <c r="AV193" t="s">
        <v>789</v>
      </c>
      <c r="AW193" t="s">
        <v>163</v>
      </c>
      <c r="AX193" t="s">
        <v>757</v>
      </c>
      <c r="AY193" s="81" t="s">
        <v>1165</v>
      </c>
      <c r="AZ193" t="s">
        <v>1166</v>
      </c>
      <c r="BA193" t="s">
        <v>537</v>
      </c>
      <c r="BB193" t="str">
        <f t="shared" si="2"/>
        <v>APINoyIbadanSouthWest</v>
      </c>
    </row>
    <row r="194" spans="5:54" x14ac:dyDescent="0.3">
      <c r="E194" t="s">
        <v>655</v>
      </c>
      <c r="AV194" t="s">
        <v>789</v>
      </c>
      <c r="AW194" t="s">
        <v>163</v>
      </c>
      <c r="AX194" t="s">
        <v>757</v>
      </c>
      <c r="AY194" s="81" t="s">
        <v>1167</v>
      </c>
      <c r="AZ194" t="s">
        <v>1168</v>
      </c>
      <c r="BA194" t="s">
        <v>537</v>
      </c>
      <c r="BB194" t="str">
        <f t="shared" si="2"/>
        <v>APINoyIbadanSouthWest</v>
      </c>
    </row>
    <row r="195" spans="5:54" x14ac:dyDescent="0.3">
      <c r="E195" t="s">
        <v>664</v>
      </c>
      <c r="AV195" t="s">
        <v>789</v>
      </c>
      <c r="AW195" t="s">
        <v>163</v>
      </c>
      <c r="AX195" t="s">
        <v>758</v>
      </c>
      <c r="AY195" s="81" t="s">
        <v>1169</v>
      </c>
      <c r="AZ195" t="s">
        <v>1170</v>
      </c>
      <c r="BA195" t="s">
        <v>537</v>
      </c>
      <c r="BB195" t="str">
        <f t="shared" ref="BB195:BB258" si="3">SUBSTITUTE(SUBSTITUTE(BA195&amp;AX195," ",""),"-","")</f>
        <v>APINoyIbarapaCentral</v>
      </c>
    </row>
    <row r="196" spans="5:54" x14ac:dyDescent="0.3">
      <c r="E196" t="s">
        <v>680</v>
      </c>
      <c r="AV196" t="s">
        <v>789</v>
      </c>
      <c r="AW196" t="s">
        <v>163</v>
      </c>
      <c r="AX196" t="s">
        <v>759</v>
      </c>
      <c r="AY196" s="81" t="s">
        <v>1171</v>
      </c>
      <c r="AZ196" t="s">
        <v>1172</v>
      </c>
      <c r="BA196" t="s">
        <v>537</v>
      </c>
      <c r="BB196" t="str">
        <f t="shared" si="3"/>
        <v>APINoyIdo</v>
      </c>
    </row>
    <row r="197" spans="5:54" x14ac:dyDescent="0.3">
      <c r="E197" t="s">
        <v>681</v>
      </c>
      <c r="AV197" t="s">
        <v>789</v>
      </c>
      <c r="AW197" t="s">
        <v>163</v>
      </c>
      <c r="AX197" t="s">
        <v>760</v>
      </c>
      <c r="AY197" s="81" t="s">
        <v>1173</v>
      </c>
      <c r="AZ197" t="s">
        <v>1174</v>
      </c>
      <c r="BA197" t="s">
        <v>537</v>
      </c>
      <c r="BB197" t="str">
        <f t="shared" si="3"/>
        <v>APINoyItesiwaju</v>
      </c>
    </row>
    <row r="198" spans="5:54" x14ac:dyDescent="0.3">
      <c r="E198" t="s">
        <v>682</v>
      </c>
      <c r="AV198" t="s">
        <v>789</v>
      </c>
      <c r="AW198" t="s">
        <v>163</v>
      </c>
      <c r="AX198" t="s">
        <v>760</v>
      </c>
      <c r="AY198" s="81" t="s">
        <v>1175</v>
      </c>
      <c r="AZ198" t="s">
        <v>1176</v>
      </c>
      <c r="BA198" t="s">
        <v>537</v>
      </c>
      <c r="BB198" t="str">
        <f t="shared" si="3"/>
        <v>APINoyItesiwaju</v>
      </c>
    </row>
    <row r="199" spans="5:54" x14ac:dyDescent="0.3">
      <c r="E199" t="s">
        <v>678</v>
      </c>
      <c r="AV199" t="s">
        <v>789</v>
      </c>
      <c r="AW199" t="s">
        <v>163</v>
      </c>
      <c r="AX199" t="s">
        <v>761</v>
      </c>
      <c r="AY199" s="81" t="s">
        <v>1177</v>
      </c>
      <c r="AZ199" t="s">
        <v>1178</v>
      </c>
      <c r="BA199" t="s">
        <v>537</v>
      </c>
      <c r="BB199" t="str">
        <f t="shared" si="3"/>
        <v>APINoyLagelu</v>
      </c>
    </row>
    <row r="200" spans="5:54" x14ac:dyDescent="0.3">
      <c r="E200" t="s">
        <v>683</v>
      </c>
      <c r="AV200" t="s">
        <v>789</v>
      </c>
      <c r="AW200" t="s">
        <v>163</v>
      </c>
      <c r="AX200" t="s">
        <v>761</v>
      </c>
      <c r="AY200" s="81" t="s">
        <v>1179</v>
      </c>
      <c r="AZ200" t="s">
        <v>1180</v>
      </c>
      <c r="BA200" t="s">
        <v>537</v>
      </c>
      <c r="BB200" t="str">
        <f t="shared" si="3"/>
        <v>APINoyLagelu</v>
      </c>
    </row>
    <row r="201" spans="5:54" x14ac:dyDescent="0.3">
      <c r="E201" t="s">
        <v>679</v>
      </c>
      <c r="AV201" t="s">
        <v>789</v>
      </c>
      <c r="AW201" t="s">
        <v>163</v>
      </c>
      <c r="AX201" t="s">
        <v>762</v>
      </c>
      <c r="AY201" s="81" t="s">
        <v>1181</v>
      </c>
      <c r="AZ201" t="s">
        <v>1182</v>
      </c>
      <c r="BA201" t="s">
        <v>537</v>
      </c>
      <c r="BB201" t="str">
        <f t="shared" si="3"/>
        <v>APINoyOgbomosoNorth</v>
      </c>
    </row>
    <row r="202" spans="5:54" x14ac:dyDescent="0.3">
      <c r="E202" t="s">
        <v>684</v>
      </c>
      <c r="AV202" t="s">
        <v>789</v>
      </c>
      <c r="AW202" t="s">
        <v>163</v>
      </c>
      <c r="AX202" t="s">
        <v>762</v>
      </c>
      <c r="AY202" s="81" t="s">
        <v>1183</v>
      </c>
      <c r="AZ202" t="s">
        <v>1184</v>
      </c>
      <c r="BA202" t="s">
        <v>537</v>
      </c>
      <c r="BB202" t="str">
        <f t="shared" si="3"/>
        <v>APINoyOgbomosoNorth</v>
      </c>
    </row>
    <row r="203" spans="5:54" x14ac:dyDescent="0.3">
      <c r="E203" t="s">
        <v>685</v>
      </c>
      <c r="AV203" t="s">
        <v>789</v>
      </c>
      <c r="AW203" t="s">
        <v>163</v>
      </c>
      <c r="AX203" t="s">
        <v>763</v>
      </c>
      <c r="AY203" s="81" t="s">
        <v>1185</v>
      </c>
      <c r="AZ203" t="s">
        <v>1186</v>
      </c>
      <c r="BA203" t="s">
        <v>537</v>
      </c>
      <c r="BB203" t="str">
        <f t="shared" si="3"/>
        <v>APINoyOgbomosoSouth</v>
      </c>
    </row>
    <row r="204" spans="5:54" x14ac:dyDescent="0.3">
      <c r="E204" t="s">
        <v>686</v>
      </c>
      <c r="AV204" t="s">
        <v>789</v>
      </c>
      <c r="AW204" t="s">
        <v>163</v>
      </c>
      <c r="AX204" t="s">
        <v>764</v>
      </c>
      <c r="AY204" s="81" t="s">
        <v>1187</v>
      </c>
      <c r="AZ204" t="s">
        <v>1188</v>
      </c>
      <c r="BA204" t="s">
        <v>537</v>
      </c>
      <c r="BB204" t="str">
        <f t="shared" si="3"/>
        <v>APINoyOluyole</v>
      </c>
    </row>
    <row r="205" spans="5:54" x14ac:dyDescent="0.3">
      <c r="E205" t="s">
        <v>687</v>
      </c>
      <c r="AV205" t="s">
        <v>789</v>
      </c>
      <c r="AW205" t="s">
        <v>163</v>
      </c>
      <c r="AX205" t="s">
        <v>765</v>
      </c>
      <c r="AY205" s="81" t="s">
        <v>1189</v>
      </c>
      <c r="AZ205" t="s">
        <v>1190</v>
      </c>
      <c r="BA205" t="s">
        <v>537</v>
      </c>
      <c r="BB205" t="str">
        <f t="shared" si="3"/>
        <v>APINoyOnaAra</v>
      </c>
    </row>
    <row r="206" spans="5:54" x14ac:dyDescent="0.3">
      <c r="E206" t="s">
        <v>688</v>
      </c>
      <c r="AV206" t="s">
        <v>789</v>
      </c>
      <c r="AW206" t="s">
        <v>163</v>
      </c>
      <c r="AX206" t="s">
        <v>765</v>
      </c>
      <c r="AY206" s="81" t="s">
        <v>1191</v>
      </c>
      <c r="AZ206" t="s">
        <v>1192</v>
      </c>
      <c r="BA206" t="s">
        <v>537</v>
      </c>
      <c r="BB206" t="str">
        <f t="shared" si="3"/>
        <v>APINoyOnaAra</v>
      </c>
    </row>
    <row r="207" spans="5:54" x14ac:dyDescent="0.3">
      <c r="E207" t="s">
        <v>689</v>
      </c>
      <c r="AV207" t="s">
        <v>789</v>
      </c>
      <c r="AW207" t="s">
        <v>163</v>
      </c>
      <c r="AX207" t="s">
        <v>766</v>
      </c>
      <c r="AY207" s="81" t="s">
        <v>1193</v>
      </c>
      <c r="AZ207" t="s">
        <v>1194</v>
      </c>
      <c r="BA207" t="s">
        <v>537</v>
      </c>
      <c r="BB207" t="str">
        <f t="shared" si="3"/>
        <v>APINoyOyoEast</v>
      </c>
    </row>
    <row r="208" spans="5:54" x14ac:dyDescent="0.3">
      <c r="E208" t="s">
        <v>690</v>
      </c>
      <c r="AV208" t="s">
        <v>789</v>
      </c>
      <c r="AW208" t="s">
        <v>163</v>
      </c>
      <c r="AX208" t="s">
        <v>767</v>
      </c>
      <c r="AY208" s="81" t="s">
        <v>1195</v>
      </c>
      <c r="AZ208" t="s">
        <v>1196</v>
      </c>
      <c r="BA208" t="s">
        <v>537</v>
      </c>
      <c r="BB208" t="str">
        <f t="shared" si="3"/>
        <v>APINoyOyoWest</v>
      </c>
    </row>
    <row r="209" spans="5:54" x14ac:dyDescent="0.3">
      <c r="E209" t="s">
        <v>691</v>
      </c>
      <c r="AV209" t="s">
        <v>789</v>
      </c>
      <c r="AW209" t="s">
        <v>163</v>
      </c>
      <c r="AX209" t="s">
        <v>768</v>
      </c>
      <c r="AY209" s="81" t="s">
        <v>1197</v>
      </c>
      <c r="AZ209" t="s">
        <v>1198</v>
      </c>
      <c r="BA209" t="s">
        <v>537</v>
      </c>
      <c r="BB209" t="str">
        <f t="shared" si="3"/>
        <v>APINoySakiWest</v>
      </c>
    </row>
    <row r="210" spans="5:54" x14ac:dyDescent="0.3">
      <c r="E210" t="s">
        <v>579</v>
      </c>
      <c r="AV210" t="s">
        <v>789</v>
      </c>
      <c r="AW210" t="s">
        <v>163</v>
      </c>
      <c r="AX210" t="s">
        <v>769</v>
      </c>
      <c r="AY210" s="81" t="s">
        <v>1199</v>
      </c>
      <c r="AZ210" t="s">
        <v>1200</v>
      </c>
      <c r="BA210" t="s">
        <v>537</v>
      </c>
      <c r="BB210" t="str">
        <f t="shared" si="3"/>
        <v>APINoySurulere</v>
      </c>
    </row>
    <row r="211" spans="5:54" x14ac:dyDescent="0.3">
      <c r="E211" t="s">
        <v>580</v>
      </c>
      <c r="AV211" t="s">
        <v>789</v>
      </c>
      <c r="AW211" t="s">
        <v>164</v>
      </c>
      <c r="AX211" t="s">
        <v>771</v>
      </c>
      <c r="AY211" s="81" t="s">
        <v>1201</v>
      </c>
      <c r="AZ211" t="s">
        <v>1202</v>
      </c>
      <c r="BA211" t="s">
        <v>537</v>
      </c>
      <c r="BB211" t="str">
        <f t="shared" si="3"/>
        <v>APINplBarkinLadi</v>
      </c>
    </row>
    <row r="212" spans="5:54" x14ac:dyDescent="0.3">
      <c r="E212" t="s">
        <v>581</v>
      </c>
      <c r="AV212" t="s">
        <v>789</v>
      </c>
      <c r="AW212" t="s">
        <v>164</v>
      </c>
      <c r="AX212" t="s">
        <v>772</v>
      </c>
      <c r="AY212" s="81" t="s">
        <v>1203</v>
      </c>
      <c r="AZ212" t="s">
        <v>1204</v>
      </c>
      <c r="BA212" t="s">
        <v>537</v>
      </c>
      <c r="BB212" t="str">
        <f t="shared" si="3"/>
        <v>APINplBassa</v>
      </c>
    </row>
    <row r="213" spans="5:54" x14ac:dyDescent="0.3">
      <c r="E213" t="s">
        <v>582</v>
      </c>
      <c r="AV213" t="s">
        <v>789</v>
      </c>
      <c r="AW213" t="s">
        <v>164</v>
      </c>
      <c r="AX213" t="s">
        <v>773</v>
      </c>
      <c r="AY213" s="81" t="s">
        <v>1205</v>
      </c>
      <c r="AZ213" t="s">
        <v>1206</v>
      </c>
      <c r="BA213" t="s">
        <v>537</v>
      </c>
      <c r="BB213" t="str">
        <f t="shared" si="3"/>
        <v>APINplJosEast</v>
      </c>
    </row>
    <row r="214" spans="5:54" x14ac:dyDescent="0.3">
      <c r="E214" t="s">
        <v>600</v>
      </c>
      <c r="AV214" t="s">
        <v>789</v>
      </c>
      <c r="AW214" t="s">
        <v>164</v>
      </c>
      <c r="AX214" t="s">
        <v>773</v>
      </c>
      <c r="AY214" s="81" t="s">
        <v>1207</v>
      </c>
      <c r="AZ214" t="s">
        <v>1208</v>
      </c>
      <c r="BA214" t="s">
        <v>537</v>
      </c>
      <c r="BB214" t="str">
        <f t="shared" si="3"/>
        <v>APINplJosEast</v>
      </c>
    </row>
    <row r="215" spans="5:54" x14ac:dyDescent="0.3">
      <c r="E215" t="s">
        <v>601</v>
      </c>
      <c r="AV215" t="s">
        <v>789</v>
      </c>
      <c r="AW215" t="s">
        <v>164</v>
      </c>
      <c r="AX215" t="s">
        <v>774</v>
      </c>
      <c r="AY215" s="81" t="s">
        <v>1209</v>
      </c>
      <c r="AZ215" t="s">
        <v>1210</v>
      </c>
      <c r="BA215" t="s">
        <v>537</v>
      </c>
      <c r="BB215" t="str">
        <f t="shared" si="3"/>
        <v>APINplJosNorth</v>
      </c>
    </row>
    <row r="216" spans="5:54" x14ac:dyDescent="0.3">
      <c r="E216" t="s">
        <v>602</v>
      </c>
      <c r="AV216" t="s">
        <v>789</v>
      </c>
      <c r="AW216" t="s">
        <v>164</v>
      </c>
      <c r="AX216" t="s">
        <v>774</v>
      </c>
      <c r="AY216" s="81" t="s">
        <v>1211</v>
      </c>
      <c r="AZ216" t="s">
        <v>1212</v>
      </c>
      <c r="BA216" t="s">
        <v>537</v>
      </c>
      <c r="BB216" t="str">
        <f t="shared" si="3"/>
        <v>APINplJosNorth</v>
      </c>
    </row>
    <row r="217" spans="5:54" x14ac:dyDescent="0.3">
      <c r="E217" t="s">
        <v>603</v>
      </c>
      <c r="AV217" t="s">
        <v>789</v>
      </c>
      <c r="AW217" t="s">
        <v>164</v>
      </c>
      <c r="AX217" t="s">
        <v>774</v>
      </c>
      <c r="AY217" s="81" t="s">
        <v>1213</v>
      </c>
      <c r="AZ217" t="s">
        <v>1214</v>
      </c>
      <c r="BA217" t="s">
        <v>537</v>
      </c>
      <c r="BB217" t="str">
        <f t="shared" si="3"/>
        <v>APINplJosNorth</v>
      </c>
    </row>
    <row r="218" spans="5:54" x14ac:dyDescent="0.3">
      <c r="E218" t="s">
        <v>604</v>
      </c>
      <c r="AV218" t="s">
        <v>789</v>
      </c>
      <c r="AW218" t="s">
        <v>164</v>
      </c>
      <c r="AX218" t="s">
        <v>774</v>
      </c>
      <c r="AY218" s="81" t="s">
        <v>1215</v>
      </c>
      <c r="AZ218" t="s">
        <v>1216</v>
      </c>
      <c r="BA218" t="s">
        <v>537</v>
      </c>
      <c r="BB218" t="str">
        <f t="shared" si="3"/>
        <v>APINplJosNorth</v>
      </c>
    </row>
    <row r="219" spans="5:54" x14ac:dyDescent="0.3">
      <c r="E219" t="s">
        <v>643</v>
      </c>
      <c r="AV219" t="s">
        <v>789</v>
      </c>
      <c r="AW219" t="s">
        <v>164</v>
      </c>
      <c r="AX219" t="s">
        <v>774</v>
      </c>
      <c r="AY219" s="81" t="s">
        <v>1217</v>
      </c>
      <c r="AZ219" t="s">
        <v>1218</v>
      </c>
      <c r="BA219" t="s">
        <v>537</v>
      </c>
      <c r="BB219" t="str">
        <f t="shared" si="3"/>
        <v>APINplJosNorth</v>
      </c>
    </row>
    <row r="220" spans="5:54" x14ac:dyDescent="0.3">
      <c r="E220" t="s">
        <v>3799</v>
      </c>
      <c r="AV220" t="s">
        <v>789</v>
      </c>
      <c r="AW220" t="s">
        <v>164</v>
      </c>
      <c r="AX220" t="s">
        <v>774</v>
      </c>
      <c r="AY220" s="81" t="s">
        <v>1219</v>
      </c>
      <c r="AZ220" t="s">
        <v>1220</v>
      </c>
      <c r="BA220" t="s">
        <v>537</v>
      </c>
      <c r="BB220" t="str">
        <f t="shared" si="3"/>
        <v>APINplJosNorth</v>
      </c>
    </row>
    <row r="221" spans="5:54" x14ac:dyDescent="0.3">
      <c r="E221" t="s">
        <v>645</v>
      </c>
      <c r="AV221" t="s">
        <v>789</v>
      </c>
      <c r="AW221" t="s">
        <v>164</v>
      </c>
      <c r="AX221" t="s">
        <v>774</v>
      </c>
      <c r="AY221" s="81" t="s">
        <v>1221</v>
      </c>
      <c r="AZ221" t="s">
        <v>1222</v>
      </c>
      <c r="BA221" t="s">
        <v>537</v>
      </c>
      <c r="BB221" t="str">
        <f t="shared" si="3"/>
        <v>APINplJosNorth</v>
      </c>
    </row>
    <row r="222" spans="5:54" x14ac:dyDescent="0.3">
      <c r="E222" t="s">
        <v>646</v>
      </c>
      <c r="AV222" t="s">
        <v>789</v>
      </c>
      <c r="AW222" t="s">
        <v>164</v>
      </c>
      <c r="AX222" t="s">
        <v>775</v>
      </c>
      <c r="AY222" s="81" t="s">
        <v>1223</v>
      </c>
      <c r="AZ222" t="s">
        <v>1224</v>
      </c>
      <c r="BA222" t="s">
        <v>537</v>
      </c>
      <c r="BB222" t="str">
        <f t="shared" si="3"/>
        <v>APINplJosSouth</v>
      </c>
    </row>
    <row r="223" spans="5:54" x14ac:dyDescent="0.3">
      <c r="E223" t="s">
        <v>647</v>
      </c>
      <c r="AV223" t="s">
        <v>789</v>
      </c>
      <c r="AW223" t="s">
        <v>164</v>
      </c>
      <c r="AX223" t="s">
        <v>775</v>
      </c>
      <c r="AY223" s="81" t="s">
        <v>1225</v>
      </c>
      <c r="AZ223" t="s">
        <v>1226</v>
      </c>
      <c r="BA223" t="s">
        <v>537</v>
      </c>
      <c r="BB223" t="str">
        <f t="shared" si="3"/>
        <v>APINplJosSouth</v>
      </c>
    </row>
    <row r="224" spans="5:54" x14ac:dyDescent="0.3">
      <c r="E224" t="s">
        <v>648</v>
      </c>
      <c r="AV224" t="s">
        <v>789</v>
      </c>
      <c r="AW224" t="s">
        <v>164</v>
      </c>
      <c r="AX224" t="s">
        <v>775</v>
      </c>
      <c r="AY224" s="81" t="s">
        <v>1227</v>
      </c>
      <c r="AZ224" t="s">
        <v>1228</v>
      </c>
      <c r="BA224" t="s">
        <v>537</v>
      </c>
      <c r="BB224" t="str">
        <f t="shared" si="3"/>
        <v>APINplJosSouth</v>
      </c>
    </row>
    <row r="225" spans="5:54" x14ac:dyDescent="0.3">
      <c r="E225" t="s">
        <v>620</v>
      </c>
      <c r="AV225" t="s">
        <v>789</v>
      </c>
      <c r="AW225" t="s">
        <v>164</v>
      </c>
      <c r="AX225" t="s">
        <v>775</v>
      </c>
      <c r="AY225" s="81" t="s">
        <v>1229</v>
      </c>
      <c r="AZ225" t="s">
        <v>1230</v>
      </c>
      <c r="BA225" t="s">
        <v>537</v>
      </c>
      <c r="BB225" t="str">
        <f t="shared" si="3"/>
        <v>APINplJosSouth</v>
      </c>
    </row>
    <row r="226" spans="5:54" x14ac:dyDescent="0.3">
      <c r="E226" t="s">
        <v>3802</v>
      </c>
      <c r="AV226" t="s">
        <v>789</v>
      </c>
      <c r="AW226" t="s">
        <v>164</v>
      </c>
      <c r="AX226" t="s">
        <v>776</v>
      </c>
      <c r="AY226" s="81" t="s">
        <v>1231</v>
      </c>
      <c r="AZ226" t="s">
        <v>1232</v>
      </c>
      <c r="BA226" t="s">
        <v>537</v>
      </c>
      <c r="BB226" t="str">
        <f t="shared" si="3"/>
        <v>APINplLangtangNorth</v>
      </c>
    </row>
    <row r="227" spans="5:54" x14ac:dyDescent="0.3">
      <c r="E227" t="s">
        <v>665</v>
      </c>
      <c r="AV227" t="s">
        <v>789</v>
      </c>
      <c r="AW227" t="s">
        <v>164</v>
      </c>
      <c r="AX227" t="s">
        <v>777</v>
      </c>
      <c r="AY227" s="81" t="s">
        <v>1233</v>
      </c>
      <c r="AZ227" t="s">
        <v>1234</v>
      </c>
      <c r="BA227" t="s">
        <v>537</v>
      </c>
      <c r="BB227" t="str">
        <f t="shared" si="3"/>
        <v>APINplMangu</v>
      </c>
    </row>
    <row r="228" spans="5:54" x14ac:dyDescent="0.3">
      <c r="E228" t="s">
        <v>666</v>
      </c>
      <c r="AV228" t="s">
        <v>789</v>
      </c>
      <c r="AW228" t="s">
        <v>164</v>
      </c>
      <c r="AX228" t="s">
        <v>777</v>
      </c>
      <c r="AY228" s="81" t="s">
        <v>1235</v>
      </c>
      <c r="AZ228" t="s">
        <v>1236</v>
      </c>
      <c r="BA228" t="s">
        <v>537</v>
      </c>
      <c r="BB228" t="str">
        <f t="shared" si="3"/>
        <v>APINplMangu</v>
      </c>
    </row>
    <row r="229" spans="5:54" x14ac:dyDescent="0.3">
      <c r="E229" t="s">
        <v>667</v>
      </c>
      <c r="AV229" t="s">
        <v>789</v>
      </c>
      <c r="AW229" t="s">
        <v>164</v>
      </c>
      <c r="AX229" t="s">
        <v>777</v>
      </c>
      <c r="AY229" s="81" t="s">
        <v>1237</v>
      </c>
      <c r="AZ229" t="s">
        <v>1238</v>
      </c>
      <c r="BA229" t="s">
        <v>537</v>
      </c>
      <c r="BB229" t="str">
        <f t="shared" si="3"/>
        <v>APINplMangu</v>
      </c>
    </row>
    <row r="230" spans="5:54" x14ac:dyDescent="0.3">
      <c r="E230" t="s">
        <v>653</v>
      </c>
      <c r="AV230" t="s">
        <v>789</v>
      </c>
      <c r="AW230" t="s">
        <v>164</v>
      </c>
      <c r="AX230" t="s">
        <v>778</v>
      </c>
      <c r="AY230" s="81" t="s">
        <v>1239</v>
      </c>
      <c r="AZ230" t="s">
        <v>1240</v>
      </c>
      <c r="BA230" t="s">
        <v>537</v>
      </c>
      <c r="BB230" t="str">
        <f t="shared" si="3"/>
        <v>APINplPankshin</v>
      </c>
    </row>
    <row r="231" spans="5:54" x14ac:dyDescent="0.3">
      <c r="E231" t="s">
        <v>668</v>
      </c>
      <c r="AV231" t="s">
        <v>789</v>
      </c>
      <c r="AW231" t="s">
        <v>164</v>
      </c>
      <c r="AX231" t="s">
        <v>778</v>
      </c>
      <c r="AY231" s="81" t="s">
        <v>1241</v>
      </c>
      <c r="AZ231" t="s">
        <v>1242</v>
      </c>
      <c r="BA231" t="s">
        <v>537</v>
      </c>
      <c r="BB231" t="str">
        <f t="shared" si="3"/>
        <v>APINplPankshin</v>
      </c>
    </row>
    <row r="232" spans="5:54" x14ac:dyDescent="0.3">
      <c r="E232" t="s">
        <v>669</v>
      </c>
      <c r="AV232" t="s">
        <v>789</v>
      </c>
      <c r="AW232" t="s">
        <v>164</v>
      </c>
      <c r="AX232" t="s">
        <v>3759</v>
      </c>
      <c r="AY232" s="81" t="s">
        <v>1243</v>
      </c>
      <c r="AZ232" t="s">
        <v>1244</v>
      </c>
      <c r="BA232" t="s">
        <v>537</v>
      </c>
      <c r="BB232" t="str">
        <f t="shared" si="3"/>
        <v>APINplQuaanPan</v>
      </c>
    </row>
    <row r="233" spans="5:54" x14ac:dyDescent="0.3">
      <c r="E233" t="s">
        <v>670</v>
      </c>
      <c r="AV233" t="s">
        <v>789</v>
      </c>
      <c r="AW233" t="s">
        <v>164</v>
      </c>
      <c r="AX233" t="s">
        <v>780</v>
      </c>
      <c r="AY233" s="81" t="s">
        <v>1245</v>
      </c>
      <c r="AZ233" t="s">
        <v>1246</v>
      </c>
      <c r="BA233" t="s">
        <v>537</v>
      </c>
      <c r="BB233" t="str">
        <f t="shared" si="3"/>
        <v>APINplShendam</v>
      </c>
    </row>
    <row r="234" spans="5:54" x14ac:dyDescent="0.3">
      <c r="E234" t="s">
        <v>671</v>
      </c>
      <c r="AV234" t="s">
        <v>789</v>
      </c>
      <c r="AW234" t="s">
        <v>164</v>
      </c>
      <c r="AX234" t="s">
        <v>780</v>
      </c>
      <c r="AY234" s="81" t="s">
        <v>1247</v>
      </c>
      <c r="AZ234" t="s">
        <v>1248</v>
      </c>
      <c r="BA234" t="s">
        <v>537</v>
      </c>
      <c r="BB234" t="str">
        <f t="shared" si="3"/>
        <v>APINplShendam</v>
      </c>
    </row>
    <row r="235" spans="5:54" x14ac:dyDescent="0.3">
      <c r="E235" t="s">
        <v>672</v>
      </c>
      <c r="AV235" t="s">
        <v>789</v>
      </c>
      <c r="AW235" t="s">
        <v>164</v>
      </c>
      <c r="AX235" t="s">
        <v>780</v>
      </c>
      <c r="AY235" s="81" t="s">
        <v>1249</v>
      </c>
      <c r="AZ235" t="s">
        <v>1250</v>
      </c>
      <c r="BA235" t="s">
        <v>537</v>
      </c>
      <c r="BB235" t="str">
        <f t="shared" si="3"/>
        <v>APINplShendam</v>
      </c>
    </row>
    <row r="236" spans="5:54" x14ac:dyDescent="0.3">
      <c r="E236" t="s">
        <v>692</v>
      </c>
      <c r="AV236" t="s">
        <v>789</v>
      </c>
      <c r="AW236" t="s">
        <v>143</v>
      </c>
      <c r="AX236" t="s">
        <v>570</v>
      </c>
      <c r="AY236" s="81" t="s">
        <v>1251</v>
      </c>
      <c r="AZ236" t="s">
        <v>1252</v>
      </c>
      <c r="BA236" t="s">
        <v>119</v>
      </c>
      <c r="BB236" t="str">
        <f t="shared" si="3"/>
        <v>CCCRNebAbakaliki</v>
      </c>
    </row>
    <row r="237" spans="5:54" x14ac:dyDescent="0.3">
      <c r="E237" t="s">
        <v>3829</v>
      </c>
      <c r="AV237" t="s">
        <v>789</v>
      </c>
      <c r="AW237" t="s">
        <v>143</v>
      </c>
      <c r="AX237" t="s">
        <v>570</v>
      </c>
      <c r="AY237" s="81" t="s">
        <v>1253</v>
      </c>
      <c r="AZ237" t="s">
        <v>1254</v>
      </c>
      <c r="BA237" t="s">
        <v>119</v>
      </c>
      <c r="BB237" t="str">
        <f t="shared" si="3"/>
        <v>CCCRNebAbakaliki</v>
      </c>
    </row>
    <row r="238" spans="5:54" x14ac:dyDescent="0.3">
      <c r="E238" t="s">
        <v>546</v>
      </c>
      <c r="AV238" t="s">
        <v>789</v>
      </c>
      <c r="AW238" t="s">
        <v>143</v>
      </c>
      <c r="AX238" t="s">
        <v>570</v>
      </c>
      <c r="AY238" s="81" t="s">
        <v>1255</v>
      </c>
      <c r="AZ238" t="s">
        <v>1256</v>
      </c>
      <c r="BA238" t="s">
        <v>119</v>
      </c>
      <c r="BB238" t="str">
        <f t="shared" si="3"/>
        <v>CCCRNebAbakaliki</v>
      </c>
    </row>
    <row r="239" spans="5:54" x14ac:dyDescent="0.3">
      <c r="E239" t="s">
        <v>547</v>
      </c>
      <c r="AV239" t="s">
        <v>789</v>
      </c>
      <c r="AW239" t="s">
        <v>143</v>
      </c>
      <c r="AX239" t="s">
        <v>570</v>
      </c>
      <c r="AY239" s="81" t="s">
        <v>1257</v>
      </c>
      <c r="AZ239" t="s">
        <v>1258</v>
      </c>
      <c r="BA239" t="s">
        <v>119</v>
      </c>
      <c r="BB239" t="str">
        <f t="shared" si="3"/>
        <v>CCCRNebAbakaliki</v>
      </c>
    </row>
    <row r="240" spans="5:54" x14ac:dyDescent="0.3">
      <c r="E240" t="s">
        <v>550</v>
      </c>
      <c r="AV240" t="s">
        <v>789</v>
      </c>
      <c r="AW240" t="s">
        <v>143</v>
      </c>
      <c r="AX240" t="s">
        <v>570</v>
      </c>
      <c r="AY240" s="81" t="s">
        <v>1259</v>
      </c>
      <c r="AZ240" t="s">
        <v>1260</v>
      </c>
      <c r="BA240" t="s">
        <v>119</v>
      </c>
      <c r="BB240" t="str">
        <f t="shared" si="3"/>
        <v>CCCRNebAbakaliki</v>
      </c>
    </row>
    <row r="241" spans="5:54" x14ac:dyDescent="0.3">
      <c r="E241" t="s">
        <v>562</v>
      </c>
      <c r="AV241" t="s">
        <v>789</v>
      </c>
      <c r="AW241" t="s">
        <v>143</v>
      </c>
      <c r="AX241" t="s">
        <v>570</v>
      </c>
      <c r="AY241" s="81" t="s">
        <v>1261</v>
      </c>
      <c r="AZ241" t="s">
        <v>1262</v>
      </c>
      <c r="BA241" t="s">
        <v>119</v>
      </c>
      <c r="BB241" t="str">
        <f t="shared" si="3"/>
        <v>CCCRNebAbakaliki</v>
      </c>
    </row>
    <row r="242" spans="5:54" x14ac:dyDescent="0.3">
      <c r="E242" t="s">
        <v>555</v>
      </c>
      <c r="AV242" t="s">
        <v>789</v>
      </c>
      <c r="AW242" t="s">
        <v>143</v>
      </c>
      <c r="AX242" t="s">
        <v>570</v>
      </c>
      <c r="AY242" s="81" t="s">
        <v>1263</v>
      </c>
      <c r="AZ242" t="s">
        <v>1264</v>
      </c>
      <c r="BA242" t="s">
        <v>119</v>
      </c>
      <c r="BB242" t="str">
        <f t="shared" si="3"/>
        <v>CCCRNebAbakaliki</v>
      </c>
    </row>
    <row r="243" spans="5:54" x14ac:dyDescent="0.3">
      <c r="E243" t="s">
        <v>564</v>
      </c>
      <c r="AV243" t="s">
        <v>789</v>
      </c>
      <c r="AW243" t="s">
        <v>143</v>
      </c>
      <c r="AX243" t="s">
        <v>571</v>
      </c>
      <c r="AY243" s="81" t="s">
        <v>1265</v>
      </c>
      <c r="AZ243" t="s">
        <v>1266</v>
      </c>
      <c r="BA243" t="s">
        <v>119</v>
      </c>
      <c r="BB243" t="str">
        <f t="shared" si="3"/>
        <v>CCCRNebAfikpoNorth</v>
      </c>
    </row>
    <row r="244" spans="5:54" x14ac:dyDescent="0.3">
      <c r="E244" t="s">
        <v>567</v>
      </c>
      <c r="AV244" t="s">
        <v>789</v>
      </c>
      <c r="AW244" t="s">
        <v>143</v>
      </c>
      <c r="AX244" t="s">
        <v>571</v>
      </c>
      <c r="AY244" s="81" t="s">
        <v>1267</v>
      </c>
      <c r="AZ244" t="s">
        <v>1268</v>
      </c>
      <c r="BA244" t="s">
        <v>119</v>
      </c>
      <c r="BB244" t="str">
        <f t="shared" si="3"/>
        <v>CCCRNebAfikpoNorth</v>
      </c>
    </row>
    <row r="245" spans="5:54" x14ac:dyDescent="0.3">
      <c r="E245" t="s">
        <v>568</v>
      </c>
      <c r="AV245" t="s">
        <v>789</v>
      </c>
      <c r="AW245" t="s">
        <v>143</v>
      </c>
      <c r="AX245" t="s">
        <v>571</v>
      </c>
      <c r="AY245" s="81" t="s">
        <v>1269</v>
      </c>
      <c r="AZ245" t="s">
        <v>1270</v>
      </c>
      <c r="BA245" t="s">
        <v>119</v>
      </c>
      <c r="BB245" t="str">
        <f t="shared" si="3"/>
        <v>CCCRNebAfikpoNorth</v>
      </c>
    </row>
    <row r="246" spans="5:54" x14ac:dyDescent="0.3">
      <c r="E246" t="s">
        <v>569</v>
      </c>
      <c r="AV246" t="s">
        <v>789</v>
      </c>
      <c r="AW246" t="s">
        <v>143</v>
      </c>
      <c r="AX246" t="s">
        <v>571</v>
      </c>
      <c r="AY246" s="81" t="s">
        <v>1271</v>
      </c>
      <c r="AZ246" t="s">
        <v>1272</v>
      </c>
      <c r="BA246" t="s">
        <v>119</v>
      </c>
      <c r="BB246" t="str">
        <f t="shared" si="3"/>
        <v>CCCRNebAfikpoNorth</v>
      </c>
    </row>
    <row r="247" spans="5:54" x14ac:dyDescent="0.3">
      <c r="E247" t="s">
        <v>583</v>
      </c>
      <c r="AV247" t="s">
        <v>789</v>
      </c>
      <c r="AW247" t="s">
        <v>143</v>
      </c>
      <c r="AX247" t="s">
        <v>571</v>
      </c>
      <c r="AY247" s="81" t="s">
        <v>1273</v>
      </c>
      <c r="AZ247" t="s">
        <v>1274</v>
      </c>
      <c r="BA247" t="s">
        <v>119</v>
      </c>
      <c r="BB247" t="str">
        <f t="shared" si="3"/>
        <v>CCCRNebAfikpoNorth</v>
      </c>
    </row>
    <row r="248" spans="5:54" x14ac:dyDescent="0.3">
      <c r="E248" t="s">
        <v>584</v>
      </c>
      <c r="AV248" t="s">
        <v>789</v>
      </c>
      <c r="AW248" t="s">
        <v>143</v>
      </c>
      <c r="AX248" t="s">
        <v>571</v>
      </c>
      <c r="AY248" s="81" t="s">
        <v>1275</v>
      </c>
      <c r="AZ248" t="s">
        <v>1276</v>
      </c>
      <c r="BA248" t="s">
        <v>119</v>
      </c>
      <c r="BB248" t="str">
        <f t="shared" si="3"/>
        <v>CCCRNebAfikpoNorth</v>
      </c>
    </row>
    <row r="249" spans="5:54" x14ac:dyDescent="0.3">
      <c r="E249" t="s">
        <v>585</v>
      </c>
      <c r="AV249" t="s">
        <v>789</v>
      </c>
      <c r="AW249" t="s">
        <v>143</v>
      </c>
      <c r="AX249" t="s">
        <v>571</v>
      </c>
      <c r="AY249" s="81" t="s">
        <v>1277</v>
      </c>
      <c r="AZ249" t="s">
        <v>1278</v>
      </c>
      <c r="BA249" t="s">
        <v>119</v>
      </c>
      <c r="BB249" t="str">
        <f t="shared" si="3"/>
        <v>CCCRNebAfikpoNorth</v>
      </c>
    </row>
    <row r="250" spans="5:54" x14ac:dyDescent="0.3">
      <c r="E250" t="s">
        <v>586</v>
      </c>
      <c r="AV250" t="s">
        <v>789</v>
      </c>
      <c r="AW250" t="s">
        <v>143</v>
      </c>
      <c r="AX250" t="s">
        <v>571</v>
      </c>
      <c r="AY250" s="81" t="s">
        <v>1279</v>
      </c>
      <c r="AZ250" t="s">
        <v>1280</v>
      </c>
      <c r="BA250" t="s">
        <v>119</v>
      </c>
      <c r="BB250" t="str">
        <f t="shared" si="3"/>
        <v>CCCRNebAfikpoNorth</v>
      </c>
    </row>
    <row r="251" spans="5:54" x14ac:dyDescent="0.3">
      <c r="E251" t="s">
        <v>3831</v>
      </c>
      <c r="AV251" t="s">
        <v>789</v>
      </c>
      <c r="AW251" t="s">
        <v>143</v>
      </c>
      <c r="AX251" t="s">
        <v>572</v>
      </c>
      <c r="AY251" s="81" t="s">
        <v>1281</v>
      </c>
      <c r="AZ251" t="s">
        <v>1282</v>
      </c>
      <c r="BA251" t="s">
        <v>119</v>
      </c>
      <c r="BB251" t="str">
        <f t="shared" si="3"/>
        <v>CCCRNebAfikpoSouth</v>
      </c>
    </row>
    <row r="252" spans="5:54" x14ac:dyDescent="0.3">
      <c r="E252" t="s">
        <v>588</v>
      </c>
      <c r="AV252" t="s">
        <v>789</v>
      </c>
      <c r="AW252" t="s">
        <v>143</v>
      </c>
      <c r="AX252" t="s">
        <v>572</v>
      </c>
      <c r="AY252" s="81" t="s">
        <v>1283</v>
      </c>
      <c r="AZ252" t="s">
        <v>1284</v>
      </c>
      <c r="BA252" t="s">
        <v>119</v>
      </c>
      <c r="BB252" t="str">
        <f t="shared" si="3"/>
        <v>CCCRNebAfikpoSouth</v>
      </c>
    </row>
    <row r="253" spans="5:54" x14ac:dyDescent="0.3">
      <c r="E253" t="s">
        <v>607</v>
      </c>
      <c r="AV253" t="s">
        <v>789</v>
      </c>
      <c r="AW253" t="s">
        <v>143</v>
      </c>
      <c r="AX253" t="s">
        <v>573</v>
      </c>
      <c r="AY253" s="81" t="s">
        <v>1285</v>
      </c>
      <c r="AZ253" t="s">
        <v>1286</v>
      </c>
      <c r="BA253" t="s">
        <v>119</v>
      </c>
      <c r="BB253" t="str">
        <f t="shared" si="3"/>
        <v>CCCRNebEbonyi</v>
      </c>
    </row>
    <row r="254" spans="5:54" x14ac:dyDescent="0.3">
      <c r="E254" t="s">
        <v>605</v>
      </c>
      <c r="AV254" t="s">
        <v>789</v>
      </c>
      <c r="AW254" t="s">
        <v>143</v>
      </c>
      <c r="AX254" t="s">
        <v>573</v>
      </c>
      <c r="AY254" s="81" t="s">
        <v>1287</v>
      </c>
      <c r="AZ254" t="s">
        <v>1288</v>
      </c>
      <c r="BA254" t="s">
        <v>119</v>
      </c>
      <c r="BB254" t="str">
        <f t="shared" si="3"/>
        <v>CCCRNebEbonyi</v>
      </c>
    </row>
    <row r="255" spans="5:54" x14ac:dyDescent="0.3">
      <c r="E255" t="s">
        <v>606</v>
      </c>
      <c r="AV255" t="s">
        <v>789</v>
      </c>
      <c r="AW255" t="s">
        <v>143</v>
      </c>
      <c r="AX255" t="s">
        <v>573</v>
      </c>
      <c r="AY255" s="81" t="s">
        <v>1289</v>
      </c>
      <c r="AZ255" t="s">
        <v>1290</v>
      </c>
      <c r="BA255" t="s">
        <v>119</v>
      </c>
      <c r="BB255" t="str">
        <f t="shared" si="3"/>
        <v>CCCRNebEbonyi</v>
      </c>
    </row>
    <row r="256" spans="5:54" x14ac:dyDescent="0.3">
      <c r="E256" t="s">
        <v>608</v>
      </c>
      <c r="AV256" t="s">
        <v>789</v>
      </c>
      <c r="AW256" t="s">
        <v>143</v>
      </c>
      <c r="AX256" t="s">
        <v>573</v>
      </c>
      <c r="AY256" s="81" t="s">
        <v>1291</v>
      </c>
      <c r="AZ256" t="s">
        <v>1292</v>
      </c>
      <c r="BA256" t="s">
        <v>119</v>
      </c>
      <c r="BB256" t="str">
        <f t="shared" si="3"/>
        <v>CCCRNebEbonyi</v>
      </c>
    </row>
    <row r="257" spans="5:54" x14ac:dyDescent="0.3">
      <c r="E257" t="s">
        <v>609</v>
      </c>
      <c r="AV257" t="s">
        <v>789</v>
      </c>
      <c r="AW257" t="s">
        <v>143</v>
      </c>
      <c r="AX257" t="s">
        <v>573</v>
      </c>
      <c r="AY257" s="81" t="s">
        <v>1293</v>
      </c>
      <c r="AZ257" t="s">
        <v>1294</v>
      </c>
      <c r="BA257" t="s">
        <v>119</v>
      </c>
      <c r="BB257" t="str">
        <f t="shared" si="3"/>
        <v>CCCRNebEbonyi</v>
      </c>
    </row>
    <row r="258" spans="5:54" x14ac:dyDescent="0.3">
      <c r="E258" t="s">
        <v>664</v>
      </c>
      <c r="AV258" t="s">
        <v>789</v>
      </c>
      <c r="AW258" t="s">
        <v>143</v>
      </c>
      <c r="AX258" t="s">
        <v>573</v>
      </c>
      <c r="AY258" s="81" t="s">
        <v>1295</v>
      </c>
      <c r="AZ258" t="s">
        <v>1296</v>
      </c>
      <c r="BA258" t="s">
        <v>119</v>
      </c>
      <c r="BB258" t="str">
        <f t="shared" si="3"/>
        <v>CCCRNebEbonyi</v>
      </c>
    </row>
    <row r="259" spans="5:54" x14ac:dyDescent="0.3">
      <c r="E259" t="s">
        <v>671</v>
      </c>
      <c r="AV259" t="s">
        <v>789</v>
      </c>
      <c r="AW259" t="s">
        <v>143</v>
      </c>
      <c r="AX259" t="s">
        <v>574</v>
      </c>
      <c r="AY259" s="81" t="s">
        <v>1297</v>
      </c>
      <c r="AZ259" t="s">
        <v>1298</v>
      </c>
      <c r="BA259" t="s">
        <v>119</v>
      </c>
      <c r="BB259" t="str">
        <f t="shared" ref="BB259:BB322" si="4">SUBSTITUTE(SUBSTITUTE(BA259&amp;AX259," ",""),"-","")</f>
        <v>CCCRNebIvo</v>
      </c>
    </row>
    <row r="260" spans="5:54" x14ac:dyDescent="0.3">
      <c r="E260" t="s">
        <v>672</v>
      </c>
      <c r="AV260" t="s">
        <v>789</v>
      </c>
      <c r="AW260" t="s">
        <v>143</v>
      </c>
      <c r="AX260" t="s">
        <v>574</v>
      </c>
      <c r="AY260" s="81" t="s">
        <v>1299</v>
      </c>
      <c r="AZ260" t="s">
        <v>1300</v>
      </c>
      <c r="BA260" t="s">
        <v>119</v>
      </c>
      <c r="BB260" t="str">
        <f t="shared" si="4"/>
        <v>CCCRNebIvo</v>
      </c>
    </row>
    <row r="261" spans="5:54" x14ac:dyDescent="0.3">
      <c r="E261" t="s">
        <v>673</v>
      </c>
      <c r="AV261" t="s">
        <v>789</v>
      </c>
      <c r="AW261" t="s">
        <v>143</v>
      </c>
      <c r="AX261" t="s">
        <v>574</v>
      </c>
      <c r="AY261" s="81" t="s">
        <v>1301</v>
      </c>
      <c r="AZ261" t="s">
        <v>1302</v>
      </c>
      <c r="BA261" t="s">
        <v>119</v>
      </c>
      <c r="BB261" t="str">
        <f t="shared" si="4"/>
        <v>CCCRNebIvo</v>
      </c>
    </row>
    <row r="262" spans="5:54" x14ac:dyDescent="0.3">
      <c r="E262" t="s">
        <v>674</v>
      </c>
      <c r="AV262" t="s">
        <v>789</v>
      </c>
      <c r="AW262" t="s">
        <v>143</v>
      </c>
      <c r="AX262" t="s">
        <v>574</v>
      </c>
      <c r="AY262" s="81" t="s">
        <v>1303</v>
      </c>
      <c r="AZ262" t="s">
        <v>1304</v>
      </c>
      <c r="BA262" t="s">
        <v>119</v>
      </c>
      <c r="BB262" t="str">
        <f t="shared" si="4"/>
        <v>CCCRNebIvo</v>
      </c>
    </row>
    <row r="263" spans="5:54" x14ac:dyDescent="0.3">
      <c r="E263" t="s">
        <v>675</v>
      </c>
      <c r="AV263" t="s">
        <v>789</v>
      </c>
      <c r="AW263" t="s">
        <v>143</v>
      </c>
      <c r="AX263" t="s">
        <v>574</v>
      </c>
      <c r="AY263" s="81" t="s">
        <v>1305</v>
      </c>
      <c r="AZ263" t="s">
        <v>1306</v>
      </c>
      <c r="BA263" t="s">
        <v>119</v>
      </c>
      <c r="BB263" t="str">
        <f t="shared" si="4"/>
        <v>CCCRNebIvo</v>
      </c>
    </row>
    <row r="264" spans="5:54" x14ac:dyDescent="0.3">
      <c r="E264" t="s">
        <v>676</v>
      </c>
      <c r="AV264" t="s">
        <v>789</v>
      </c>
      <c r="AW264" t="s">
        <v>143</v>
      </c>
      <c r="AX264" t="s">
        <v>574</v>
      </c>
      <c r="AY264" s="81" t="s">
        <v>1307</v>
      </c>
      <c r="AZ264" t="s">
        <v>1308</v>
      </c>
      <c r="BA264" t="s">
        <v>119</v>
      </c>
      <c r="BB264" t="str">
        <f t="shared" si="4"/>
        <v>CCCRNebIvo</v>
      </c>
    </row>
    <row r="265" spans="5:54" x14ac:dyDescent="0.3">
      <c r="E265" t="s">
        <v>677</v>
      </c>
      <c r="AV265" t="s">
        <v>789</v>
      </c>
      <c r="AW265" t="s">
        <v>143</v>
      </c>
      <c r="AX265" t="s">
        <v>575</v>
      </c>
      <c r="AY265" s="81" t="s">
        <v>1309</v>
      </c>
      <c r="AZ265" t="s">
        <v>1310</v>
      </c>
      <c r="BA265" t="s">
        <v>119</v>
      </c>
      <c r="BB265" t="str">
        <f t="shared" si="4"/>
        <v>CCCRNebIzzi</v>
      </c>
    </row>
    <row r="266" spans="5:54" x14ac:dyDescent="0.3">
      <c r="E266" t="s">
        <v>704</v>
      </c>
      <c r="AV266" t="s">
        <v>789</v>
      </c>
      <c r="AW266" t="s">
        <v>143</v>
      </c>
      <c r="AX266" t="s">
        <v>575</v>
      </c>
      <c r="AY266" s="81" t="s">
        <v>1311</v>
      </c>
      <c r="AZ266" t="s">
        <v>1312</v>
      </c>
      <c r="BA266" t="s">
        <v>119</v>
      </c>
      <c r="BB266" t="str">
        <f t="shared" si="4"/>
        <v>CCCRNebIzzi</v>
      </c>
    </row>
    <row r="267" spans="5:54" x14ac:dyDescent="0.3">
      <c r="E267" t="s">
        <v>708</v>
      </c>
      <c r="AV267" t="s">
        <v>789</v>
      </c>
      <c r="AW267" t="s">
        <v>143</v>
      </c>
      <c r="AX267" t="s">
        <v>575</v>
      </c>
      <c r="AY267" s="81" t="s">
        <v>1313</v>
      </c>
      <c r="AZ267" t="s">
        <v>1314</v>
      </c>
      <c r="BA267" t="s">
        <v>119</v>
      </c>
      <c r="BB267" t="str">
        <f t="shared" si="4"/>
        <v>CCCRNebIzzi</v>
      </c>
    </row>
    <row r="268" spans="5:54" x14ac:dyDescent="0.3">
      <c r="E268" t="s">
        <v>709</v>
      </c>
      <c r="AV268" t="s">
        <v>789</v>
      </c>
      <c r="AW268" t="s">
        <v>143</v>
      </c>
      <c r="AX268" t="s">
        <v>576</v>
      </c>
      <c r="AY268" s="81" t="s">
        <v>1315</v>
      </c>
      <c r="AZ268" t="s">
        <v>1316</v>
      </c>
      <c r="BA268" t="s">
        <v>119</v>
      </c>
      <c r="BB268" t="str">
        <f t="shared" si="4"/>
        <v>CCCRNebOhaozara</v>
      </c>
    </row>
    <row r="269" spans="5:54" x14ac:dyDescent="0.3">
      <c r="E269" t="s">
        <v>705</v>
      </c>
      <c r="AV269" t="s">
        <v>789</v>
      </c>
      <c r="AW269" t="s">
        <v>143</v>
      </c>
      <c r="AX269" t="s">
        <v>576</v>
      </c>
      <c r="AY269" s="81" t="s">
        <v>1317</v>
      </c>
      <c r="AZ269" t="s">
        <v>1318</v>
      </c>
      <c r="BA269" t="s">
        <v>119</v>
      </c>
      <c r="BB269" t="str">
        <f t="shared" si="4"/>
        <v>CCCRNebOhaozara</v>
      </c>
    </row>
    <row r="270" spans="5:54" x14ac:dyDescent="0.3">
      <c r="E270" t="s">
        <v>710</v>
      </c>
      <c r="AV270" t="s">
        <v>789</v>
      </c>
      <c r="AW270" t="s">
        <v>143</v>
      </c>
      <c r="AX270" t="s">
        <v>576</v>
      </c>
      <c r="AY270" s="81" t="s">
        <v>1319</v>
      </c>
      <c r="AZ270" t="s">
        <v>1320</v>
      </c>
      <c r="BA270" t="s">
        <v>119</v>
      </c>
      <c r="BB270" t="str">
        <f t="shared" si="4"/>
        <v>CCCRNebOhaozara</v>
      </c>
    </row>
    <row r="271" spans="5:54" x14ac:dyDescent="0.3">
      <c r="E271" t="s">
        <v>706</v>
      </c>
      <c r="AV271" t="s">
        <v>789</v>
      </c>
      <c r="AW271" t="s">
        <v>143</v>
      </c>
      <c r="AX271" t="s">
        <v>576</v>
      </c>
      <c r="AY271" s="81" t="s">
        <v>1321</v>
      </c>
      <c r="AZ271" t="s">
        <v>1322</v>
      </c>
      <c r="BA271" t="s">
        <v>119</v>
      </c>
      <c r="BB271" t="str">
        <f t="shared" si="4"/>
        <v>CCCRNebOhaozara</v>
      </c>
    </row>
    <row r="272" spans="5:54" x14ac:dyDescent="0.3">
      <c r="E272" t="s">
        <v>711</v>
      </c>
      <c r="AV272" t="s">
        <v>789</v>
      </c>
      <c r="AW272" t="s">
        <v>143</v>
      </c>
      <c r="AX272" t="s">
        <v>576</v>
      </c>
      <c r="AY272" s="81" t="s">
        <v>1323</v>
      </c>
      <c r="AZ272" t="s">
        <v>1324</v>
      </c>
      <c r="BA272" t="s">
        <v>119</v>
      </c>
      <c r="BB272" t="str">
        <f t="shared" si="4"/>
        <v>CCCRNebOhaozara</v>
      </c>
    </row>
    <row r="273" spans="5:54" x14ac:dyDescent="0.3">
      <c r="E273" t="s">
        <v>712</v>
      </c>
      <c r="AV273" t="s">
        <v>789</v>
      </c>
      <c r="AW273" t="s">
        <v>143</v>
      </c>
      <c r="AX273" t="s">
        <v>577</v>
      </c>
      <c r="AY273" s="81" t="s">
        <v>1325</v>
      </c>
      <c r="AZ273" t="s">
        <v>1326</v>
      </c>
      <c r="BA273" t="s">
        <v>119</v>
      </c>
      <c r="BB273" t="str">
        <f t="shared" si="4"/>
        <v>CCCRNebOhaukwu</v>
      </c>
    </row>
    <row r="274" spans="5:54" x14ac:dyDescent="0.3">
      <c r="E274" t="s">
        <v>707</v>
      </c>
      <c r="AV274" t="s">
        <v>789</v>
      </c>
      <c r="AW274" t="s">
        <v>143</v>
      </c>
      <c r="AX274" t="s">
        <v>577</v>
      </c>
      <c r="AY274" s="81" t="s">
        <v>1327</v>
      </c>
      <c r="AZ274" t="s">
        <v>1328</v>
      </c>
      <c r="BA274" t="s">
        <v>119</v>
      </c>
      <c r="BB274" t="str">
        <f t="shared" si="4"/>
        <v>CCCRNebOhaukwu</v>
      </c>
    </row>
    <row r="275" spans="5:54" x14ac:dyDescent="0.3">
      <c r="E275" t="s">
        <v>713</v>
      </c>
      <c r="AV275" t="s">
        <v>789</v>
      </c>
      <c r="AW275" t="s">
        <v>143</v>
      </c>
      <c r="AX275" t="s">
        <v>577</v>
      </c>
      <c r="AY275" s="81" t="s">
        <v>1329</v>
      </c>
      <c r="AZ275" t="s">
        <v>1330</v>
      </c>
      <c r="BA275" t="s">
        <v>119</v>
      </c>
      <c r="BB275" t="str">
        <f t="shared" si="4"/>
        <v>CCCRNebOhaukwu</v>
      </c>
    </row>
    <row r="276" spans="5:54" x14ac:dyDescent="0.3">
      <c r="E276" t="s">
        <v>720</v>
      </c>
      <c r="AV276" t="s">
        <v>789</v>
      </c>
      <c r="AW276" t="s">
        <v>143</v>
      </c>
      <c r="AX276" t="s">
        <v>577</v>
      </c>
      <c r="AY276" s="81" t="s">
        <v>1331</v>
      </c>
      <c r="AZ276" t="s">
        <v>1332</v>
      </c>
      <c r="BA276" t="s">
        <v>119</v>
      </c>
      <c r="BB276" t="str">
        <f t="shared" si="4"/>
        <v>CCCRNebOhaukwu</v>
      </c>
    </row>
    <row r="277" spans="5:54" x14ac:dyDescent="0.3">
      <c r="E277" t="s">
        <v>721</v>
      </c>
      <c r="AV277" t="s">
        <v>789</v>
      </c>
      <c r="AW277" t="s">
        <v>143</v>
      </c>
      <c r="AX277" t="s">
        <v>577</v>
      </c>
      <c r="AY277" s="81" t="s">
        <v>1333</v>
      </c>
      <c r="AZ277" t="s">
        <v>1334</v>
      </c>
      <c r="BA277" t="s">
        <v>119</v>
      </c>
      <c r="BB277" t="str">
        <f t="shared" si="4"/>
        <v>CCCRNebOhaukwu</v>
      </c>
    </row>
    <row r="278" spans="5:54" x14ac:dyDescent="0.3">
      <c r="E278" t="s">
        <v>719</v>
      </c>
      <c r="AV278" t="s">
        <v>789</v>
      </c>
      <c r="AW278" t="s">
        <v>143</v>
      </c>
      <c r="AX278" t="s">
        <v>578</v>
      </c>
      <c r="AY278" s="81" t="s">
        <v>1335</v>
      </c>
      <c r="AZ278" t="s">
        <v>1336</v>
      </c>
      <c r="BA278" t="s">
        <v>119</v>
      </c>
      <c r="BB278" t="str">
        <f t="shared" si="4"/>
        <v>CCCRNebOnicha</v>
      </c>
    </row>
    <row r="279" spans="5:54" x14ac:dyDescent="0.3">
      <c r="E279" t="s">
        <v>722</v>
      </c>
      <c r="AV279" t="s">
        <v>789</v>
      </c>
      <c r="AW279" t="s">
        <v>143</v>
      </c>
      <c r="AX279" t="s">
        <v>578</v>
      </c>
      <c r="AY279" s="81" t="s">
        <v>1337</v>
      </c>
      <c r="AZ279" t="s">
        <v>1338</v>
      </c>
      <c r="BA279" t="s">
        <v>119</v>
      </c>
      <c r="BB279" t="str">
        <f t="shared" si="4"/>
        <v>CCCRNebOnicha</v>
      </c>
    </row>
    <row r="280" spans="5:54" x14ac:dyDescent="0.3">
      <c r="E280" t="s">
        <v>723</v>
      </c>
      <c r="AV280" t="s">
        <v>789</v>
      </c>
      <c r="AW280" t="s">
        <v>143</v>
      </c>
      <c r="AX280" t="s">
        <v>578</v>
      </c>
      <c r="AY280" s="81" t="s">
        <v>1339</v>
      </c>
      <c r="AZ280" t="s">
        <v>1340</v>
      </c>
      <c r="BA280" t="s">
        <v>119</v>
      </c>
      <c r="BB280" t="str">
        <f t="shared" si="4"/>
        <v>CCCRNebOnicha</v>
      </c>
    </row>
    <row r="281" spans="5:54" x14ac:dyDescent="0.3">
      <c r="E281" t="s">
        <v>728</v>
      </c>
      <c r="AV281" t="s">
        <v>789</v>
      </c>
      <c r="AW281" t="s">
        <v>143</v>
      </c>
      <c r="AX281" t="s">
        <v>578</v>
      </c>
      <c r="AY281" s="81" t="s">
        <v>1341</v>
      </c>
      <c r="AZ281" t="s">
        <v>1342</v>
      </c>
      <c r="BA281" t="s">
        <v>119</v>
      </c>
      <c r="BB281" t="str">
        <f t="shared" si="4"/>
        <v>CCCRNebOnicha</v>
      </c>
    </row>
    <row r="282" spans="5:54" x14ac:dyDescent="0.3">
      <c r="E282" t="s">
        <v>724</v>
      </c>
      <c r="AV282" t="s">
        <v>789</v>
      </c>
      <c r="AW282" t="s">
        <v>146</v>
      </c>
      <c r="AX282" t="s">
        <v>589</v>
      </c>
      <c r="AY282" s="81" t="s">
        <v>1343</v>
      </c>
      <c r="AZ282" t="s">
        <v>1344</v>
      </c>
      <c r="BA282" t="s">
        <v>119</v>
      </c>
      <c r="BB282" t="str">
        <f t="shared" si="4"/>
        <v>CCCRNenEnuguEast</v>
      </c>
    </row>
    <row r="283" spans="5:54" x14ac:dyDescent="0.3">
      <c r="E283" t="s">
        <v>729</v>
      </c>
      <c r="AV283" t="s">
        <v>789</v>
      </c>
      <c r="AW283" t="s">
        <v>146</v>
      </c>
      <c r="AX283" t="s">
        <v>589</v>
      </c>
      <c r="AY283" s="81" t="s">
        <v>1345</v>
      </c>
      <c r="AZ283" t="s">
        <v>1346</v>
      </c>
      <c r="BA283" t="s">
        <v>119</v>
      </c>
      <c r="BB283" t="str">
        <f t="shared" si="4"/>
        <v>CCCRNenEnuguEast</v>
      </c>
    </row>
    <row r="284" spans="5:54" x14ac:dyDescent="0.3">
      <c r="E284" t="s">
        <v>730</v>
      </c>
      <c r="AV284" t="s">
        <v>789</v>
      </c>
      <c r="AW284" t="s">
        <v>146</v>
      </c>
      <c r="AX284" t="s">
        <v>589</v>
      </c>
      <c r="AY284" s="81" t="s">
        <v>1347</v>
      </c>
      <c r="AZ284" t="s">
        <v>1348</v>
      </c>
      <c r="BA284" t="s">
        <v>119</v>
      </c>
      <c r="BB284" t="str">
        <f t="shared" si="4"/>
        <v>CCCRNenEnuguEast</v>
      </c>
    </row>
    <row r="285" spans="5:54" x14ac:dyDescent="0.3">
      <c r="E285" t="s">
        <v>726</v>
      </c>
      <c r="AV285" t="s">
        <v>789</v>
      </c>
      <c r="AW285" t="s">
        <v>146</v>
      </c>
      <c r="AX285" t="s">
        <v>589</v>
      </c>
      <c r="AY285" s="81" t="s">
        <v>1349</v>
      </c>
      <c r="AZ285" t="s">
        <v>1350</v>
      </c>
      <c r="BA285" t="s">
        <v>119</v>
      </c>
      <c r="BB285" t="str">
        <f t="shared" si="4"/>
        <v>CCCRNenEnuguEast</v>
      </c>
    </row>
    <row r="286" spans="5:54" x14ac:dyDescent="0.3">
      <c r="E286" t="s">
        <v>727</v>
      </c>
      <c r="AV286" t="s">
        <v>789</v>
      </c>
      <c r="AW286" t="s">
        <v>146</v>
      </c>
      <c r="AX286" t="s">
        <v>589</v>
      </c>
      <c r="AY286" s="81" t="s">
        <v>1351</v>
      </c>
      <c r="AZ286" t="s">
        <v>1352</v>
      </c>
      <c r="BA286" t="s">
        <v>119</v>
      </c>
      <c r="BB286" t="str">
        <f t="shared" si="4"/>
        <v>CCCRNenEnuguEast</v>
      </c>
    </row>
    <row r="287" spans="5:54" x14ac:dyDescent="0.3">
      <c r="E287" t="s">
        <v>734</v>
      </c>
      <c r="AV287" t="s">
        <v>789</v>
      </c>
      <c r="AW287" t="s">
        <v>146</v>
      </c>
      <c r="AX287" t="s">
        <v>589</v>
      </c>
      <c r="AY287" s="81" t="s">
        <v>1353</v>
      </c>
      <c r="AZ287" t="s">
        <v>1354</v>
      </c>
      <c r="BA287" t="s">
        <v>119</v>
      </c>
      <c r="BB287" t="str">
        <f t="shared" si="4"/>
        <v>CCCRNenEnuguEast</v>
      </c>
    </row>
    <row r="288" spans="5:54" x14ac:dyDescent="0.3">
      <c r="E288" t="s">
        <v>735</v>
      </c>
      <c r="AV288" t="s">
        <v>789</v>
      </c>
      <c r="AW288" t="s">
        <v>146</v>
      </c>
      <c r="AX288" t="s">
        <v>589</v>
      </c>
      <c r="AY288" s="81" t="s">
        <v>1355</v>
      </c>
      <c r="AZ288" t="s">
        <v>1356</v>
      </c>
      <c r="BA288" t="s">
        <v>119</v>
      </c>
      <c r="BB288" t="str">
        <f t="shared" si="4"/>
        <v>CCCRNenEnuguEast</v>
      </c>
    </row>
    <row r="289" spans="5:54" x14ac:dyDescent="0.3">
      <c r="E289" t="s">
        <v>736</v>
      </c>
      <c r="AV289" t="s">
        <v>789</v>
      </c>
      <c r="AW289" t="s">
        <v>146</v>
      </c>
      <c r="AX289" t="s">
        <v>589</v>
      </c>
      <c r="AY289" s="81" t="s">
        <v>1357</v>
      </c>
      <c r="AZ289" t="s">
        <v>1358</v>
      </c>
      <c r="BA289" t="s">
        <v>119</v>
      </c>
      <c r="BB289" t="str">
        <f t="shared" si="4"/>
        <v>CCCRNenEnuguEast</v>
      </c>
    </row>
    <row r="290" spans="5:54" x14ac:dyDescent="0.3">
      <c r="E290" t="s">
        <v>737</v>
      </c>
      <c r="AV290" t="s">
        <v>789</v>
      </c>
      <c r="AW290" t="s">
        <v>146</v>
      </c>
      <c r="AX290" t="s">
        <v>589</v>
      </c>
      <c r="AY290" s="81" t="s">
        <v>1359</v>
      </c>
      <c r="AZ290" t="s">
        <v>1360</v>
      </c>
      <c r="BA290" t="s">
        <v>119</v>
      </c>
      <c r="BB290" t="str">
        <f t="shared" si="4"/>
        <v>CCCRNenEnuguEast</v>
      </c>
    </row>
    <row r="291" spans="5:54" x14ac:dyDescent="0.3">
      <c r="E291" t="s">
        <v>738</v>
      </c>
      <c r="AV291" t="s">
        <v>789</v>
      </c>
      <c r="AW291" t="s">
        <v>146</v>
      </c>
      <c r="AX291" t="s">
        <v>589</v>
      </c>
      <c r="AY291" s="81" t="s">
        <v>1361</v>
      </c>
      <c r="AZ291" t="s">
        <v>1362</v>
      </c>
      <c r="BA291" t="s">
        <v>119</v>
      </c>
      <c r="BB291" t="str">
        <f t="shared" si="4"/>
        <v>CCCRNenEnuguEast</v>
      </c>
    </row>
    <row r="292" spans="5:54" x14ac:dyDescent="0.3">
      <c r="E292" t="s">
        <v>733</v>
      </c>
      <c r="AV292" t="s">
        <v>789</v>
      </c>
      <c r="AW292" t="s">
        <v>146</v>
      </c>
      <c r="AX292" t="s">
        <v>590</v>
      </c>
      <c r="AY292" s="81" t="s">
        <v>1363</v>
      </c>
      <c r="AZ292" t="s">
        <v>1364</v>
      </c>
      <c r="BA292" t="s">
        <v>119</v>
      </c>
      <c r="BB292" t="str">
        <f t="shared" si="4"/>
        <v>CCCRNenEnuguNorth</v>
      </c>
    </row>
    <row r="293" spans="5:54" x14ac:dyDescent="0.3">
      <c r="E293" t="s">
        <v>739</v>
      </c>
      <c r="AV293" t="s">
        <v>789</v>
      </c>
      <c r="AW293" t="s">
        <v>146</v>
      </c>
      <c r="AX293" t="s">
        <v>590</v>
      </c>
      <c r="AY293" s="81" t="s">
        <v>1365</v>
      </c>
      <c r="AZ293" t="s">
        <v>1366</v>
      </c>
      <c r="BA293" t="s">
        <v>119</v>
      </c>
      <c r="BB293" t="str">
        <f t="shared" si="4"/>
        <v>CCCRNenEnuguNorth</v>
      </c>
    </row>
    <row r="294" spans="5:54" x14ac:dyDescent="0.3">
      <c r="E294" t="s">
        <v>610</v>
      </c>
      <c r="AV294" t="s">
        <v>789</v>
      </c>
      <c r="AW294" t="s">
        <v>146</v>
      </c>
      <c r="AX294" t="s">
        <v>590</v>
      </c>
      <c r="AY294" s="81" t="s">
        <v>1367</v>
      </c>
      <c r="AZ294" t="s">
        <v>1368</v>
      </c>
      <c r="BA294" t="s">
        <v>119</v>
      </c>
      <c r="BB294" t="str">
        <f t="shared" si="4"/>
        <v>CCCRNenEnuguNorth</v>
      </c>
    </row>
    <row r="295" spans="5:54" x14ac:dyDescent="0.3">
      <c r="E295" t="s">
        <v>703</v>
      </c>
      <c r="AV295" t="s">
        <v>789</v>
      </c>
      <c r="AW295" t="s">
        <v>146</v>
      </c>
      <c r="AX295" t="s">
        <v>590</v>
      </c>
      <c r="AY295" s="81" t="s">
        <v>1369</v>
      </c>
      <c r="AZ295" t="s">
        <v>1370</v>
      </c>
      <c r="BA295" t="s">
        <v>119</v>
      </c>
      <c r="BB295" t="str">
        <f t="shared" si="4"/>
        <v>CCCRNenEnuguNorth</v>
      </c>
    </row>
    <row r="296" spans="5:54" x14ac:dyDescent="0.3">
      <c r="E296" t="s">
        <v>712</v>
      </c>
      <c r="AV296" t="s">
        <v>789</v>
      </c>
      <c r="AW296" t="s">
        <v>146</v>
      </c>
      <c r="AX296" t="s">
        <v>590</v>
      </c>
      <c r="AY296" s="81" t="s">
        <v>1371</v>
      </c>
      <c r="AZ296" t="s">
        <v>1372</v>
      </c>
      <c r="BA296" t="s">
        <v>119</v>
      </c>
      <c r="BB296" t="str">
        <f t="shared" si="4"/>
        <v>CCCRNenEnuguNorth</v>
      </c>
    </row>
    <row r="297" spans="5:54" x14ac:dyDescent="0.3">
      <c r="E297" t="s">
        <v>714</v>
      </c>
      <c r="AV297" t="s">
        <v>789</v>
      </c>
      <c r="AW297" t="s">
        <v>146</v>
      </c>
      <c r="AX297" t="s">
        <v>590</v>
      </c>
      <c r="AY297" s="81" t="s">
        <v>1373</v>
      </c>
      <c r="AZ297" t="s">
        <v>1374</v>
      </c>
      <c r="BA297" t="s">
        <v>119</v>
      </c>
      <c r="BB297" t="str">
        <f t="shared" si="4"/>
        <v>CCCRNenEnuguNorth</v>
      </c>
    </row>
    <row r="298" spans="5:54" x14ac:dyDescent="0.3">
      <c r="E298" t="s">
        <v>782</v>
      </c>
      <c r="AV298" t="s">
        <v>789</v>
      </c>
      <c r="AW298" t="s">
        <v>146</v>
      </c>
      <c r="AX298" t="s">
        <v>591</v>
      </c>
      <c r="AY298" s="81" t="s">
        <v>1375</v>
      </c>
      <c r="AZ298" t="s">
        <v>1376</v>
      </c>
      <c r="BA298" t="s">
        <v>119</v>
      </c>
      <c r="BB298" t="str">
        <f t="shared" si="4"/>
        <v>CCCRNenEnuguSouth</v>
      </c>
    </row>
    <row r="299" spans="5:54" x14ac:dyDescent="0.3">
      <c r="E299" t="s">
        <v>783</v>
      </c>
      <c r="AV299" t="s">
        <v>789</v>
      </c>
      <c r="AW299" t="s">
        <v>146</v>
      </c>
      <c r="AX299" t="s">
        <v>591</v>
      </c>
      <c r="AY299" s="81" t="s">
        <v>1377</v>
      </c>
      <c r="AZ299" t="s">
        <v>1378</v>
      </c>
      <c r="BA299" t="s">
        <v>119</v>
      </c>
      <c r="BB299" t="str">
        <f t="shared" si="4"/>
        <v>CCCRNenEnuguSouth</v>
      </c>
    </row>
    <row r="300" spans="5:54" x14ac:dyDescent="0.3">
      <c r="E300" t="s">
        <v>784</v>
      </c>
      <c r="AV300" t="s">
        <v>789</v>
      </c>
      <c r="AW300" t="s">
        <v>146</v>
      </c>
      <c r="AX300" t="s">
        <v>591</v>
      </c>
      <c r="AY300" s="81" t="s">
        <v>1379</v>
      </c>
      <c r="AZ300" t="s">
        <v>1380</v>
      </c>
      <c r="BA300" t="s">
        <v>119</v>
      </c>
      <c r="BB300" t="str">
        <f t="shared" si="4"/>
        <v>CCCRNenEnuguSouth</v>
      </c>
    </row>
    <row r="301" spans="5:54" x14ac:dyDescent="0.3">
      <c r="E301" t="s">
        <v>785</v>
      </c>
      <c r="AV301" t="s">
        <v>789</v>
      </c>
      <c r="AW301" t="s">
        <v>146</v>
      </c>
      <c r="AX301" t="s">
        <v>591</v>
      </c>
      <c r="AY301" s="81" t="s">
        <v>1381</v>
      </c>
      <c r="AZ301" t="s">
        <v>1382</v>
      </c>
      <c r="BA301" t="s">
        <v>119</v>
      </c>
      <c r="BB301" t="str">
        <f t="shared" si="4"/>
        <v>CCCRNenEnuguSouth</v>
      </c>
    </row>
    <row r="302" spans="5:54" x14ac:dyDescent="0.3">
      <c r="AV302" t="s">
        <v>789</v>
      </c>
      <c r="AW302" t="s">
        <v>146</v>
      </c>
      <c r="AX302" t="s">
        <v>591</v>
      </c>
      <c r="AY302" s="81" t="s">
        <v>1383</v>
      </c>
      <c r="AZ302" t="s">
        <v>1384</v>
      </c>
      <c r="BA302" t="s">
        <v>119</v>
      </c>
      <c r="BB302" t="str">
        <f t="shared" si="4"/>
        <v>CCCRNenEnuguSouth</v>
      </c>
    </row>
    <row r="303" spans="5:54" x14ac:dyDescent="0.3">
      <c r="AV303" t="s">
        <v>789</v>
      </c>
      <c r="AW303" t="s">
        <v>146</v>
      </c>
      <c r="AX303" t="s">
        <v>591</v>
      </c>
      <c r="AY303" s="81" t="s">
        <v>1385</v>
      </c>
      <c r="AZ303" t="s">
        <v>1386</v>
      </c>
      <c r="BA303" t="s">
        <v>119</v>
      </c>
      <c r="BB303" t="str">
        <f t="shared" si="4"/>
        <v>CCCRNenEnuguSouth</v>
      </c>
    </row>
    <row r="304" spans="5:54" x14ac:dyDescent="0.3">
      <c r="AV304" t="s">
        <v>789</v>
      </c>
      <c r="AW304" t="s">
        <v>146</v>
      </c>
      <c r="AX304" t="s">
        <v>592</v>
      </c>
      <c r="AY304" s="81" t="s">
        <v>1387</v>
      </c>
      <c r="AZ304" t="s">
        <v>1388</v>
      </c>
      <c r="BA304" t="s">
        <v>119</v>
      </c>
      <c r="BB304" t="str">
        <f t="shared" si="4"/>
        <v>CCCRNenIgboEtiti</v>
      </c>
    </row>
    <row r="305" spans="48:54" x14ac:dyDescent="0.3">
      <c r="AV305" t="s">
        <v>789</v>
      </c>
      <c r="AW305" t="s">
        <v>146</v>
      </c>
      <c r="AX305" t="s">
        <v>592</v>
      </c>
      <c r="AY305" s="81" t="s">
        <v>1389</v>
      </c>
      <c r="AZ305" t="s">
        <v>1390</v>
      </c>
      <c r="BA305" t="s">
        <v>119</v>
      </c>
      <c r="BB305" t="str">
        <f t="shared" si="4"/>
        <v>CCCRNenIgboEtiti</v>
      </c>
    </row>
    <row r="306" spans="48:54" x14ac:dyDescent="0.3">
      <c r="AV306" t="s">
        <v>789</v>
      </c>
      <c r="AW306" t="s">
        <v>146</v>
      </c>
      <c r="AX306" t="s">
        <v>592</v>
      </c>
      <c r="AY306" s="81" t="s">
        <v>1391</v>
      </c>
      <c r="AZ306" t="s">
        <v>1392</v>
      </c>
      <c r="BA306" t="s">
        <v>119</v>
      </c>
      <c r="BB306" t="str">
        <f t="shared" si="4"/>
        <v>CCCRNenIgboEtiti</v>
      </c>
    </row>
    <row r="307" spans="48:54" x14ac:dyDescent="0.3">
      <c r="AV307" t="s">
        <v>789</v>
      </c>
      <c r="AW307" t="s">
        <v>146</v>
      </c>
      <c r="AX307" t="s">
        <v>592</v>
      </c>
      <c r="AY307" s="81" t="s">
        <v>1393</v>
      </c>
      <c r="AZ307" t="s">
        <v>1394</v>
      </c>
      <c r="BA307" t="s">
        <v>119</v>
      </c>
      <c r="BB307" t="str">
        <f t="shared" si="4"/>
        <v>CCCRNenIgboEtiti</v>
      </c>
    </row>
    <row r="308" spans="48:54" x14ac:dyDescent="0.3">
      <c r="AV308" t="s">
        <v>789</v>
      </c>
      <c r="AW308" t="s">
        <v>146</v>
      </c>
      <c r="AX308" t="s">
        <v>592</v>
      </c>
      <c r="AY308" s="81" t="s">
        <v>1395</v>
      </c>
      <c r="AZ308" t="s">
        <v>1396</v>
      </c>
      <c r="BA308" t="s">
        <v>119</v>
      </c>
      <c r="BB308" t="str">
        <f t="shared" si="4"/>
        <v>CCCRNenIgboEtiti</v>
      </c>
    </row>
    <row r="309" spans="48:54" x14ac:dyDescent="0.3">
      <c r="AV309" t="s">
        <v>789</v>
      </c>
      <c r="AW309" t="s">
        <v>146</v>
      </c>
      <c r="AX309" t="s">
        <v>593</v>
      </c>
      <c r="AY309" s="81" t="s">
        <v>1397</v>
      </c>
      <c r="AZ309" t="s">
        <v>1398</v>
      </c>
      <c r="BA309" t="s">
        <v>119</v>
      </c>
      <c r="BB309" t="str">
        <f t="shared" si="4"/>
        <v>CCCRNenIgboEzeNorth</v>
      </c>
    </row>
    <row r="310" spans="48:54" x14ac:dyDescent="0.3">
      <c r="AV310" t="s">
        <v>789</v>
      </c>
      <c r="AW310" t="s">
        <v>146</v>
      </c>
      <c r="AX310" t="s">
        <v>593</v>
      </c>
      <c r="AY310" s="81" t="s">
        <v>1399</v>
      </c>
      <c r="AZ310" t="s">
        <v>1400</v>
      </c>
      <c r="BA310" t="s">
        <v>119</v>
      </c>
      <c r="BB310" t="str">
        <f t="shared" si="4"/>
        <v>CCCRNenIgboEzeNorth</v>
      </c>
    </row>
    <row r="311" spans="48:54" x14ac:dyDescent="0.3">
      <c r="AV311" t="s">
        <v>789</v>
      </c>
      <c r="AW311" t="s">
        <v>146</v>
      </c>
      <c r="AX311" t="s">
        <v>593</v>
      </c>
      <c r="AY311" s="81" t="s">
        <v>1401</v>
      </c>
      <c r="AZ311" t="s">
        <v>1402</v>
      </c>
      <c r="BA311" t="s">
        <v>119</v>
      </c>
      <c r="BB311" t="str">
        <f t="shared" si="4"/>
        <v>CCCRNenIgboEzeNorth</v>
      </c>
    </row>
    <row r="312" spans="48:54" x14ac:dyDescent="0.3">
      <c r="AV312" t="s">
        <v>789</v>
      </c>
      <c r="AW312" t="s">
        <v>146</v>
      </c>
      <c r="AX312" t="s">
        <v>593</v>
      </c>
      <c r="AY312" s="81" t="s">
        <v>1403</v>
      </c>
      <c r="AZ312" t="s">
        <v>1404</v>
      </c>
      <c r="BA312" t="s">
        <v>119</v>
      </c>
      <c r="BB312" t="str">
        <f t="shared" si="4"/>
        <v>CCCRNenIgboEzeNorth</v>
      </c>
    </row>
    <row r="313" spans="48:54" x14ac:dyDescent="0.3">
      <c r="AV313" t="s">
        <v>789</v>
      </c>
      <c r="AW313" t="s">
        <v>146</v>
      </c>
      <c r="AX313" t="s">
        <v>593</v>
      </c>
      <c r="AY313" s="81" t="s">
        <v>1405</v>
      </c>
      <c r="AZ313" t="s">
        <v>1406</v>
      </c>
      <c r="BA313" t="s">
        <v>119</v>
      </c>
      <c r="BB313" t="str">
        <f t="shared" si="4"/>
        <v>CCCRNenIgboEzeNorth</v>
      </c>
    </row>
    <row r="314" spans="48:54" x14ac:dyDescent="0.3">
      <c r="AV314" t="s">
        <v>789</v>
      </c>
      <c r="AW314" t="s">
        <v>146</v>
      </c>
      <c r="AX314" t="s">
        <v>593</v>
      </c>
      <c r="AY314" s="81" t="s">
        <v>1407</v>
      </c>
      <c r="AZ314" t="s">
        <v>1408</v>
      </c>
      <c r="BA314" t="s">
        <v>119</v>
      </c>
      <c r="BB314" t="str">
        <f t="shared" si="4"/>
        <v>CCCRNenIgboEzeNorth</v>
      </c>
    </row>
    <row r="315" spans="48:54" x14ac:dyDescent="0.3">
      <c r="AV315" t="s">
        <v>789</v>
      </c>
      <c r="AW315" t="s">
        <v>146</v>
      </c>
      <c r="AX315" t="s">
        <v>593</v>
      </c>
      <c r="AY315" s="81" t="s">
        <v>1409</v>
      </c>
      <c r="AZ315" t="s">
        <v>1410</v>
      </c>
      <c r="BA315" t="s">
        <v>119</v>
      </c>
      <c r="BB315" t="str">
        <f t="shared" si="4"/>
        <v>CCCRNenIgboEzeNorth</v>
      </c>
    </row>
    <row r="316" spans="48:54" x14ac:dyDescent="0.3">
      <c r="AV316" t="s">
        <v>789</v>
      </c>
      <c r="AW316" t="s">
        <v>146</v>
      </c>
      <c r="AX316" t="s">
        <v>594</v>
      </c>
      <c r="AY316" s="81" t="s">
        <v>1411</v>
      </c>
      <c r="AZ316" t="s">
        <v>1412</v>
      </c>
      <c r="BA316" t="s">
        <v>119</v>
      </c>
      <c r="BB316" t="str">
        <f t="shared" si="4"/>
        <v>CCCRNenIgboEzeSouth</v>
      </c>
    </row>
    <row r="317" spans="48:54" x14ac:dyDescent="0.3">
      <c r="AV317" t="s">
        <v>789</v>
      </c>
      <c r="AW317" t="s">
        <v>146</v>
      </c>
      <c r="AX317" t="s">
        <v>594</v>
      </c>
      <c r="AY317" s="81" t="s">
        <v>1413</v>
      </c>
      <c r="AZ317" t="s">
        <v>1414</v>
      </c>
      <c r="BA317" t="s">
        <v>119</v>
      </c>
      <c r="BB317" t="str">
        <f t="shared" si="4"/>
        <v>CCCRNenIgboEzeSouth</v>
      </c>
    </row>
    <row r="318" spans="48:54" x14ac:dyDescent="0.3">
      <c r="AV318" t="s">
        <v>789</v>
      </c>
      <c r="AW318" t="s">
        <v>146</v>
      </c>
      <c r="AX318" t="s">
        <v>594</v>
      </c>
      <c r="AY318" s="81" t="s">
        <v>1415</v>
      </c>
      <c r="AZ318" t="s">
        <v>1416</v>
      </c>
      <c r="BA318" t="s">
        <v>119</v>
      </c>
      <c r="BB318" t="str">
        <f t="shared" si="4"/>
        <v>CCCRNenIgboEzeSouth</v>
      </c>
    </row>
    <row r="319" spans="48:54" x14ac:dyDescent="0.3">
      <c r="AV319" t="s">
        <v>789</v>
      </c>
      <c r="AW319" t="s">
        <v>146</v>
      </c>
      <c r="AX319" t="s">
        <v>595</v>
      </c>
      <c r="AY319" s="81" t="s">
        <v>1417</v>
      </c>
      <c r="AZ319" t="s">
        <v>1418</v>
      </c>
      <c r="BA319" t="s">
        <v>119</v>
      </c>
      <c r="BB319" t="str">
        <f t="shared" si="4"/>
        <v>CCCRNenIsiuzo</v>
      </c>
    </row>
    <row r="320" spans="48:54" x14ac:dyDescent="0.3">
      <c r="AV320" t="s">
        <v>789</v>
      </c>
      <c r="AW320" t="s">
        <v>146</v>
      </c>
      <c r="AX320" t="s">
        <v>595</v>
      </c>
      <c r="AY320" s="81" t="s">
        <v>1419</v>
      </c>
      <c r="AZ320" t="s">
        <v>1420</v>
      </c>
      <c r="BA320" t="s">
        <v>119</v>
      </c>
      <c r="BB320" t="str">
        <f t="shared" si="4"/>
        <v>CCCRNenIsiuzo</v>
      </c>
    </row>
    <row r="321" spans="48:54" x14ac:dyDescent="0.3">
      <c r="AV321" t="s">
        <v>789</v>
      </c>
      <c r="AW321" t="s">
        <v>146</v>
      </c>
      <c r="AX321" t="s">
        <v>595</v>
      </c>
      <c r="AY321" s="81" t="s">
        <v>1421</v>
      </c>
      <c r="AZ321" t="s">
        <v>1422</v>
      </c>
      <c r="BA321" t="s">
        <v>119</v>
      </c>
      <c r="BB321" t="str">
        <f t="shared" si="4"/>
        <v>CCCRNenIsiuzo</v>
      </c>
    </row>
    <row r="322" spans="48:54" x14ac:dyDescent="0.3">
      <c r="AV322" t="s">
        <v>789</v>
      </c>
      <c r="AW322" t="s">
        <v>146</v>
      </c>
      <c r="AX322" t="s">
        <v>595</v>
      </c>
      <c r="AY322" s="81" t="s">
        <v>1423</v>
      </c>
      <c r="AZ322" t="s">
        <v>1424</v>
      </c>
      <c r="BA322" t="s">
        <v>119</v>
      </c>
      <c r="BB322" t="str">
        <f t="shared" si="4"/>
        <v>CCCRNenIsiuzo</v>
      </c>
    </row>
    <row r="323" spans="48:54" x14ac:dyDescent="0.3">
      <c r="AV323" t="s">
        <v>789</v>
      </c>
      <c r="AW323" t="s">
        <v>146</v>
      </c>
      <c r="AX323" t="s">
        <v>595</v>
      </c>
      <c r="AY323" s="81" t="s">
        <v>1425</v>
      </c>
      <c r="AZ323" t="s">
        <v>1426</v>
      </c>
      <c r="BA323" t="s">
        <v>119</v>
      </c>
      <c r="BB323" t="str">
        <f t="shared" ref="BB323:BB386" si="5">SUBSTITUTE(SUBSTITUTE(BA323&amp;AX323," ",""),"-","")</f>
        <v>CCCRNenIsiuzo</v>
      </c>
    </row>
    <row r="324" spans="48:54" x14ac:dyDescent="0.3">
      <c r="AV324" t="s">
        <v>789</v>
      </c>
      <c r="AW324" t="s">
        <v>146</v>
      </c>
      <c r="AX324" t="s">
        <v>596</v>
      </c>
      <c r="AY324" s="81" t="s">
        <v>1427</v>
      </c>
      <c r="AZ324" t="s">
        <v>1428</v>
      </c>
      <c r="BA324" t="s">
        <v>119</v>
      </c>
      <c r="BB324" t="str">
        <f t="shared" si="5"/>
        <v>CCCRNenNkanuEast</v>
      </c>
    </row>
    <row r="325" spans="48:54" x14ac:dyDescent="0.3">
      <c r="AV325" t="s">
        <v>789</v>
      </c>
      <c r="AW325" t="s">
        <v>146</v>
      </c>
      <c r="AX325" t="s">
        <v>597</v>
      </c>
      <c r="AY325" s="81" t="s">
        <v>1429</v>
      </c>
      <c r="AZ325" t="s">
        <v>1430</v>
      </c>
      <c r="BA325" t="s">
        <v>119</v>
      </c>
      <c r="BB325" t="str">
        <f t="shared" si="5"/>
        <v>CCCRNenNkanuWest</v>
      </c>
    </row>
    <row r="326" spans="48:54" x14ac:dyDescent="0.3">
      <c r="AV326" t="s">
        <v>789</v>
      </c>
      <c r="AW326" t="s">
        <v>146</v>
      </c>
      <c r="AX326" t="s">
        <v>597</v>
      </c>
      <c r="AY326" s="81" t="s">
        <v>1431</v>
      </c>
      <c r="AZ326" t="s">
        <v>1432</v>
      </c>
      <c r="BA326" t="s">
        <v>119</v>
      </c>
      <c r="BB326" t="str">
        <f t="shared" si="5"/>
        <v>CCCRNenNkanuWest</v>
      </c>
    </row>
    <row r="327" spans="48:54" x14ac:dyDescent="0.3">
      <c r="AV327" t="s">
        <v>789</v>
      </c>
      <c r="AW327" t="s">
        <v>146</v>
      </c>
      <c r="AX327" t="s">
        <v>597</v>
      </c>
      <c r="AY327" s="81" t="s">
        <v>1433</v>
      </c>
      <c r="AZ327" t="s">
        <v>1434</v>
      </c>
      <c r="BA327" t="s">
        <v>119</v>
      </c>
      <c r="BB327" t="str">
        <f t="shared" si="5"/>
        <v>CCCRNenNkanuWest</v>
      </c>
    </row>
    <row r="328" spans="48:54" x14ac:dyDescent="0.3">
      <c r="AV328" t="s">
        <v>789</v>
      </c>
      <c r="AW328" t="s">
        <v>146</v>
      </c>
      <c r="AX328" t="s">
        <v>598</v>
      </c>
      <c r="AY328" s="81" t="s">
        <v>1435</v>
      </c>
      <c r="AZ328" t="s">
        <v>1436</v>
      </c>
      <c r="BA328" t="s">
        <v>119</v>
      </c>
      <c r="BB328" t="str">
        <f t="shared" si="5"/>
        <v>CCCRNenNsukka</v>
      </c>
    </row>
    <row r="329" spans="48:54" x14ac:dyDescent="0.3">
      <c r="AV329" t="s">
        <v>789</v>
      </c>
      <c r="AW329" t="s">
        <v>146</v>
      </c>
      <c r="AX329" t="s">
        <v>598</v>
      </c>
      <c r="AY329" s="81" t="s">
        <v>1437</v>
      </c>
      <c r="AZ329" t="s">
        <v>1438</v>
      </c>
      <c r="BA329" t="s">
        <v>119</v>
      </c>
      <c r="BB329" t="str">
        <f t="shared" si="5"/>
        <v>CCCRNenNsukka</v>
      </c>
    </row>
    <row r="330" spans="48:54" x14ac:dyDescent="0.3">
      <c r="AV330" t="s">
        <v>789</v>
      </c>
      <c r="AW330" t="s">
        <v>146</v>
      </c>
      <c r="AX330" t="s">
        <v>598</v>
      </c>
      <c r="AY330" s="81" t="s">
        <v>1439</v>
      </c>
      <c r="AZ330" t="s">
        <v>1440</v>
      </c>
      <c r="BA330" t="s">
        <v>119</v>
      </c>
      <c r="BB330" t="str">
        <f t="shared" si="5"/>
        <v>CCCRNenNsukka</v>
      </c>
    </row>
    <row r="331" spans="48:54" x14ac:dyDescent="0.3">
      <c r="AV331" t="s">
        <v>789</v>
      </c>
      <c r="AW331" t="s">
        <v>146</v>
      </c>
      <c r="AX331" t="s">
        <v>598</v>
      </c>
      <c r="AY331" s="81" t="s">
        <v>1441</v>
      </c>
      <c r="AZ331" t="s">
        <v>1442</v>
      </c>
      <c r="BA331" t="s">
        <v>119</v>
      </c>
      <c r="BB331" t="str">
        <f t="shared" si="5"/>
        <v>CCCRNenNsukka</v>
      </c>
    </row>
    <row r="332" spans="48:54" x14ac:dyDescent="0.3">
      <c r="AV332" t="s">
        <v>789</v>
      </c>
      <c r="AW332" t="s">
        <v>146</v>
      </c>
      <c r="AX332" t="s">
        <v>598</v>
      </c>
      <c r="AY332" s="81" t="s">
        <v>1443</v>
      </c>
      <c r="AZ332" t="s">
        <v>1444</v>
      </c>
      <c r="BA332" t="s">
        <v>119</v>
      </c>
      <c r="BB332" t="str">
        <f t="shared" si="5"/>
        <v>CCCRNenNsukka</v>
      </c>
    </row>
    <row r="333" spans="48:54" x14ac:dyDescent="0.3">
      <c r="AV333" t="s">
        <v>789</v>
      </c>
      <c r="AW333" t="s">
        <v>146</v>
      </c>
      <c r="AX333" t="s">
        <v>598</v>
      </c>
      <c r="AY333" s="81" t="s">
        <v>1445</v>
      </c>
      <c r="AZ333" t="s">
        <v>1446</v>
      </c>
      <c r="BA333" t="s">
        <v>119</v>
      </c>
      <c r="BB333" t="str">
        <f t="shared" si="5"/>
        <v>CCCRNenNsukka</v>
      </c>
    </row>
    <row r="334" spans="48:54" x14ac:dyDescent="0.3">
      <c r="AV334" t="s">
        <v>789</v>
      </c>
      <c r="AW334" t="s">
        <v>146</v>
      </c>
      <c r="AX334" t="s">
        <v>598</v>
      </c>
      <c r="AY334" s="81" t="s">
        <v>1447</v>
      </c>
      <c r="AZ334" t="s">
        <v>1448</v>
      </c>
      <c r="BA334" t="s">
        <v>119</v>
      </c>
      <c r="BB334" t="str">
        <f t="shared" si="5"/>
        <v>CCCRNenNsukka</v>
      </c>
    </row>
    <row r="335" spans="48:54" x14ac:dyDescent="0.3">
      <c r="AV335" t="s">
        <v>789</v>
      </c>
      <c r="AW335" t="s">
        <v>146</v>
      </c>
      <c r="AX335" t="s">
        <v>598</v>
      </c>
      <c r="AY335" s="81" t="s">
        <v>1449</v>
      </c>
      <c r="AZ335" t="s">
        <v>1450</v>
      </c>
      <c r="BA335" t="s">
        <v>119</v>
      </c>
      <c r="BB335" t="str">
        <f t="shared" si="5"/>
        <v>CCCRNenNsukka</v>
      </c>
    </row>
    <row r="336" spans="48:54" x14ac:dyDescent="0.3">
      <c r="AV336" t="s">
        <v>789</v>
      </c>
      <c r="AW336" t="s">
        <v>146</v>
      </c>
      <c r="AX336" t="s">
        <v>598</v>
      </c>
      <c r="AY336" s="81" t="s">
        <v>1451</v>
      </c>
      <c r="AZ336" t="s">
        <v>1452</v>
      </c>
      <c r="BA336" t="s">
        <v>119</v>
      </c>
      <c r="BB336" t="str">
        <f t="shared" si="5"/>
        <v>CCCRNenNsukka</v>
      </c>
    </row>
    <row r="337" spans="48:54" x14ac:dyDescent="0.3">
      <c r="AV337" t="s">
        <v>789</v>
      </c>
      <c r="AW337" t="s">
        <v>146</v>
      </c>
      <c r="AX337" t="s">
        <v>598</v>
      </c>
      <c r="AY337" s="81" t="s">
        <v>1453</v>
      </c>
      <c r="AZ337" t="s">
        <v>1454</v>
      </c>
      <c r="BA337" t="s">
        <v>119</v>
      </c>
      <c r="BB337" t="str">
        <f t="shared" si="5"/>
        <v>CCCRNenNsukka</v>
      </c>
    </row>
    <row r="338" spans="48:54" x14ac:dyDescent="0.3">
      <c r="AV338" t="s">
        <v>789</v>
      </c>
      <c r="AW338" t="s">
        <v>146</v>
      </c>
      <c r="AX338" t="s">
        <v>599</v>
      </c>
      <c r="AY338" s="81" t="s">
        <v>1455</v>
      </c>
      <c r="AZ338" t="s">
        <v>1456</v>
      </c>
      <c r="BA338" t="s">
        <v>119</v>
      </c>
      <c r="BB338" t="str">
        <f t="shared" si="5"/>
        <v>CCCRNenUdenu</v>
      </c>
    </row>
    <row r="339" spans="48:54" x14ac:dyDescent="0.3">
      <c r="AV339" t="s">
        <v>789</v>
      </c>
      <c r="AW339" t="s">
        <v>146</v>
      </c>
      <c r="AX339" t="s">
        <v>599</v>
      </c>
      <c r="AY339" s="81" t="s">
        <v>1457</v>
      </c>
      <c r="AZ339" t="s">
        <v>1458</v>
      </c>
      <c r="BA339" t="s">
        <v>119</v>
      </c>
      <c r="BB339" t="str">
        <f t="shared" si="5"/>
        <v>CCCRNenUdenu</v>
      </c>
    </row>
    <row r="340" spans="48:54" x14ac:dyDescent="0.3">
      <c r="AV340" t="s">
        <v>789</v>
      </c>
      <c r="AW340" t="s">
        <v>146</v>
      </c>
      <c r="AX340" t="s">
        <v>599</v>
      </c>
      <c r="AY340" s="81" t="s">
        <v>1459</v>
      </c>
      <c r="AZ340" t="s">
        <v>1460</v>
      </c>
      <c r="BA340" t="s">
        <v>119</v>
      </c>
      <c r="BB340" t="str">
        <f t="shared" si="5"/>
        <v>CCCRNenUdenu</v>
      </c>
    </row>
    <row r="341" spans="48:54" x14ac:dyDescent="0.3">
      <c r="AV341" t="s">
        <v>789</v>
      </c>
      <c r="AW341" t="s">
        <v>146</v>
      </c>
      <c r="AX341" t="s">
        <v>599</v>
      </c>
      <c r="AY341" s="81" t="s">
        <v>1461</v>
      </c>
      <c r="AZ341" t="s">
        <v>1462</v>
      </c>
      <c r="BA341" t="s">
        <v>119</v>
      </c>
      <c r="BB341" t="str">
        <f t="shared" si="5"/>
        <v>CCCRNenUdenu</v>
      </c>
    </row>
    <row r="342" spans="48:54" x14ac:dyDescent="0.3">
      <c r="AV342" t="s">
        <v>789</v>
      </c>
      <c r="AW342" t="s">
        <v>146</v>
      </c>
      <c r="AX342" t="s">
        <v>599</v>
      </c>
      <c r="AY342" s="81" t="s">
        <v>1463</v>
      </c>
      <c r="AZ342" t="s">
        <v>1464</v>
      </c>
      <c r="BA342" t="s">
        <v>119</v>
      </c>
      <c r="BB342" t="str">
        <f t="shared" si="5"/>
        <v>CCCRNenUdenu</v>
      </c>
    </row>
    <row r="343" spans="48:54" x14ac:dyDescent="0.3">
      <c r="AV343" t="s">
        <v>789</v>
      </c>
      <c r="AW343" t="s">
        <v>146</v>
      </c>
      <c r="AX343" t="s">
        <v>599</v>
      </c>
      <c r="AY343" s="81" t="s">
        <v>1465</v>
      </c>
      <c r="AZ343" t="s">
        <v>1466</v>
      </c>
      <c r="BA343" t="s">
        <v>119</v>
      </c>
      <c r="BB343" t="str">
        <f t="shared" si="5"/>
        <v>CCCRNenUdenu</v>
      </c>
    </row>
    <row r="344" spans="48:54" x14ac:dyDescent="0.3">
      <c r="AV344" t="s">
        <v>789</v>
      </c>
      <c r="AW344" t="s">
        <v>146</v>
      </c>
      <c r="AX344" t="s">
        <v>599</v>
      </c>
      <c r="AY344" s="81" t="s">
        <v>1467</v>
      </c>
      <c r="AZ344" t="s">
        <v>1468</v>
      </c>
      <c r="BA344" t="s">
        <v>119</v>
      </c>
      <c r="BB344" t="str">
        <f t="shared" si="5"/>
        <v>CCCRNenUdenu</v>
      </c>
    </row>
    <row r="345" spans="48:54" x14ac:dyDescent="0.3">
      <c r="AV345" t="s">
        <v>789</v>
      </c>
      <c r="AW345" t="s">
        <v>146</v>
      </c>
      <c r="AX345" t="s">
        <v>599</v>
      </c>
      <c r="AY345" s="81" t="s">
        <v>1469</v>
      </c>
      <c r="AZ345" t="s">
        <v>1470</v>
      </c>
      <c r="BA345" t="s">
        <v>119</v>
      </c>
      <c r="BB345" t="str">
        <f t="shared" si="5"/>
        <v>CCCRNenUdenu</v>
      </c>
    </row>
    <row r="346" spans="48:54" x14ac:dyDescent="0.3">
      <c r="AV346" t="s">
        <v>789</v>
      </c>
      <c r="AW346" t="s">
        <v>146</v>
      </c>
      <c r="AX346" t="s">
        <v>599</v>
      </c>
      <c r="AY346" s="81" t="s">
        <v>1471</v>
      </c>
      <c r="AZ346" t="s">
        <v>1472</v>
      </c>
      <c r="BA346" t="s">
        <v>119</v>
      </c>
      <c r="BB346" t="str">
        <f t="shared" si="5"/>
        <v>CCCRNenUdenu</v>
      </c>
    </row>
    <row r="347" spans="48:54" x14ac:dyDescent="0.3">
      <c r="AV347" t="s">
        <v>789</v>
      </c>
      <c r="AW347" t="s">
        <v>149</v>
      </c>
      <c r="AX347" t="s">
        <v>622</v>
      </c>
      <c r="AY347" s="81" t="s">
        <v>1473</v>
      </c>
      <c r="AZ347" t="s">
        <v>1474</v>
      </c>
      <c r="BA347" t="s">
        <v>119</v>
      </c>
      <c r="BB347" t="str">
        <f t="shared" si="5"/>
        <v>CCCRNimAbohMbaise</v>
      </c>
    </row>
    <row r="348" spans="48:54" x14ac:dyDescent="0.3">
      <c r="AV348" t="s">
        <v>789</v>
      </c>
      <c r="AW348" t="s">
        <v>149</v>
      </c>
      <c r="AX348" t="s">
        <v>622</v>
      </c>
      <c r="AY348" s="81" t="s">
        <v>1475</v>
      </c>
      <c r="AZ348" t="s">
        <v>1476</v>
      </c>
      <c r="BA348" t="s">
        <v>119</v>
      </c>
      <c r="BB348" t="str">
        <f t="shared" si="5"/>
        <v>CCCRNimAbohMbaise</v>
      </c>
    </row>
    <row r="349" spans="48:54" x14ac:dyDescent="0.3">
      <c r="AV349" t="s">
        <v>789</v>
      </c>
      <c r="AW349" t="s">
        <v>149</v>
      </c>
      <c r="AX349" t="s">
        <v>622</v>
      </c>
      <c r="AY349" s="81" t="s">
        <v>1477</v>
      </c>
      <c r="AZ349" t="s">
        <v>1478</v>
      </c>
      <c r="BA349" t="s">
        <v>119</v>
      </c>
      <c r="BB349" t="str">
        <f t="shared" si="5"/>
        <v>CCCRNimAbohMbaise</v>
      </c>
    </row>
    <row r="350" spans="48:54" x14ac:dyDescent="0.3">
      <c r="AV350" t="s">
        <v>789</v>
      </c>
      <c r="AW350" t="s">
        <v>149</v>
      </c>
      <c r="AX350" t="s">
        <v>622</v>
      </c>
      <c r="AY350" s="81" t="s">
        <v>1479</v>
      </c>
      <c r="AZ350" t="s">
        <v>1480</v>
      </c>
      <c r="BA350" t="s">
        <v>119</v>
      </c>
      <c r="BB350" t="str">
        <f t="shared" si="5"/>
        <v>CCCRNimAbohMbaise</v>
      </c>
    </row>
    <row r="351" spans="48:54" x14ac:dyDescent="0.3">
      <c r="AV351" t="s">
        <v>789</v>
      </c>
      <c r="AW351" t="s">
        <v>149</v>
      </c>
      <c r="AX351" t="s">
        <v>622</v>
      </c>
      <c r="AY351" s="81" t="s">
        <v>1481</v>
      </c>
      <c r="AZ351" t="s">
        <v>1482</v>
      </c>
      <c r="BA351" t="s">
        <v>119</v>
      </c>
      <c r="BB351" t="str">
        <f t="shared" si="5"/>
        <v>CCCRNimAbohMbaise</v>
      </c>
    </row>
    <row r="352" spans="48:54" x14ac:dyDescent="0.3">
      <c r="AV352" t="s">
        <v>789</v>
      </c>
      <c r="AW352" t="s">
        <v>149</v>
      </c>
      <c r="AX352" t="s">
        <v>623</v>
      </c>
      <c r="AY352" s="81" t="s">
        <v>1483</v>
      </c>
      <c r="AZ352" t="s">
        <v>1484</v>
      </c>
      <c r="BA352" t="s">
        <v>119</v>
      </c>
      <c r="BB352" t="str">
        <f t="shared" si="5"/>
        <v>CCCRNimAhiazuMbaise</v>
      </c>
    </row>
    <row r="353" spans="48:54" x14ac:dyDescent="0.3">
      <c r="AV353" t="s">
        <v>789</v>
      </c>
      <c r="AW353" t="s">
        <v>149</v>
      </c>
      <c r="AX353" t="s">
        <v>623</v>
      </c>
      <c r="AY353" s="81" t="s">
        <v>1485</v>
      </c>
      <c r="AZ353" t="s">
        <v>1486</v>
      </c>
      <c r="BA353" t="s">
        <v>119</v>
      </c>
      <c r="BB353" t="str">
        <f t="shared" si="5"/>
        <v>CCCRNimAhiazuMbaise</v>
      </c>
    </row>
    <row r="354" spans="48:54" x14ac:dyDescent="0.3">
      <c r="AV354" t="s">
        <v>789</v>
      </c>
      <c r="AW354" t="s">
        <v>149</v>
      </c>
      <c r="AX354" t="s">
        <v>623</v>
      </c>
      <c r="AY354" s="81" t="s">
        <v>1487</v>
      </c>
      <c r="AZ354" t="s">
        <v>1488</v>
      </c>
      <c r="BA354" t="s">
        <v>119</v>
      </c>
      <c r="BB354" t="str">
        <f t="shared" si="5"/>
        <v>CCCRNimAhiazuMbaise</v>
      </c>
    </row>
    <row r="355" spans="48:54" x14ac:dyDescent="0.3">
      <c r="AV355" t="s">
        <v>789</v>
      </c>
      <c r="AW355" t="s">
        <v>149</v>
      </c>
      <c r="AX355" t="s">
        <v>624</v>
      </c>
      <c r="AY355" s="81" t="s">
        <v>1489</v>
      </c>
      <c r="AZ355" t="s">
        <v>1490</v>
      </c>
      <c r="BA355" t="s">
        <v>119</v>
      </c>
      <c r="BB355" t="str">
        <f t="shared" si="5"/>
        <v>CCCRNimEzinihitte</v>
      </c>
    </row>
    <row r="356" spans="48:54" x14ac:dyDescent="0.3">
      <c r="AV356" t="s">
        <v>789</v>
      </c>
      <c r="AW356" t="s">
        <v>149</v>
      </c>
      <c r="AX356" t="s">
        <v>624</v>
      </c>
      <c r="AY356" s="81" t="s">
        <v>1491</v>
      </c>
      <c r="AZ356" t="s">
        <v>1492</v>
      </c>
      <c r="BA356" t="s">
        <v>119</v>
      </c>
      <c r="BB356" t="str">
        <f t="shared" si="5"/>
        <v>CCCRNimEzinihitte</v>
      </c>
    </row>
    <row r="357" spans="48:54" x14ac:dyDescent="0.3">
      <c r="AV357" t="s">
        <v>789</v>
      </c>
      <c r="AW357" t="s">
        <v>149</v>
      </c>
      <c r="AX357" t="s">
        <v>624</v>
      </c>
      <c r="AY357" s="81" t="s">
        <v>1493</v>
      </c>
      <c r="AZ357" t="s">
        <v>1494</v>
      </c>
      <c r="BA357" t="s">
        <v>119</v>
      </c>
      <c r="BB357" t="str">
        <f t="shared" si="5"/>
        <v>CCCRNimEzinihitte</v>
      </c>
    </row>
    <row r="358" spans="48:54" x14ac:dyDescent="0.3">
      <c r="AV358" t="s">
        <v>789</v>
      </c>
      <c r="AW358" t="s">
        <v>149</v>
      </c>
      <c r="AX358" t="s">
        <v>625</v>
      </c>
      <c r="AY358" s="81" t="s">
        <v>1495</v>
      </c>
      <c r="AZ358" t="s">
        <v>1496</v>
      </c>
      <c r="BA358" t="s">
        <v>119</v>
      </c>
      <c r="BB358" t="str">
        <f t="shared" si="5"/>
        <v>CCCRNimIdeatoNorth</v>
      </c>
    </row>
    <row r="359" spans="48:54" x14ac:dyDescent="0.3">
      <c r="AV359" t="s">
        <v>789</v>
      </c>
      <c r="AW359" t="s">
        <v>149</v>
      </c>
      <c r="AX359" t="s">
        <v>625</v>
      </c>
      <c r="AY359" s="81" t="s">
        <v>1497</v>
      </c>
      <c r="AZ359" t="s">
        <v>1498</v>
      </c>
      <c r="BA359" t="s">
        <v>119</v>
      </c>
      <c r="BB359" t="str">
        <f t="shared" si="5"/>
        <v>CCCRNimIdeatoNorth</v>
      </c>
    </row>
    <row r="360" spans="48:54" x14ac:dyDescent="0.3">
      <c r="AV360" t="s">
        <v>789</v>
      </c>
      <c r="AW360" t="s">
        <v>149</v>
      </c>
      <c r="AX360" t="s">
        <v>625</v>
      </c>
      <c r="AY360" s="81" t="s">
        <v>1499</v>
      </c>
      <c r="AZ360" t="s">
        <v>1500</v>
      </c>
      <c r="BA360" t="s">
        <v>119</v>
      </c>
      <c r="BB360" t="str">
        <f t="shared" si="5"/>
        <v>CCCRNimIdeatoNorth</v>
      </c>
    </row>
    <row r="361" spans="48:54" x14ac:dyDescent="0.3">
      <c r="AV361" t="s">
        <v>789</v>
      </c>
      <c r="AW361" t="s">
        <v>149</v>
      </c>
      <c r="AX361" t="s">
        <v>625</v>
      </c>
      <c r="AY361" s="81" t="s">
        <v>1501</v>
      </c>
      <c r="AZ361" t="s">
        <v>1502</v>
      </c>
      <c r="BA361" t="s">
        <v>119</v>
      </c>
      <c r="BB361" t="str">
        <f t="shared" si="5"/>
        <v>CCCRNimIdeatoNorth</v>
      </c>
    </row>
    <row r="362" spans="48:54" x14ac:dyDescent="0.3">
      <c r="AV362" t="s">
        <v>789</v>
      </c>
      <c r="AW362" t="s">
        <v>149</v>
      </c>
      <c r="AX362" t="s">
        <v>625</v>
      </c>
      <c r="AY362" s="81" t="s">
        <v>1503</v>
      </c>
      <c r="AZ362" t="s">
        <v>1504</v>
      </c>
      <c r="BA362" t="s">
        <v>119</v>
      </c>
      <c r="BB362" t="str">
        <f t="shared" si="5"/>
        <v>CCCRNimIdeatoNorth</v>
      </c>
    </row>
    <row r="363" spans="48:54" x14ac:dyDescent="0.3">
      <c r="AV363" t="s">
        <v>789</v>
      </c>
      <c r="AW363" t="s">
        <v>149</v>
      </c>
      <c r="AX363" t="s">
        <v>626</v>
      </c>
      <c r="AY363" s="81" t="s">
        <v>1505</v>
      </c>
      <c r="AZ363" t="s">
        <v>1506</v>
      </c>
      <c r="BA363" t="s">
        <v>119</v>
      </c>
      <c r="BB363" t="str">
        <f t="shared" si="5"/>
        <v>CCCRNimIdeatoSouth</v>
      </c>
    </row>
    <row r="364" spans="48:54" x14ac:dyDescent="0.3">
      <c r="AV364" t="s">
        <v>789</v>
      </c>
      <c r="AW364" t="s">
        <v>149</v>
      </c>
      <c r="AX364" t="s">
        <v>627</v>
      </c>
      <c r="AY364" s="81" t="s">
        <v>1507</v>
      </c>
      <c r="AZ364" t="s">
        <v>1508</v>
      </c>
      <c r="BA364" t="s">
        <v>119</v>
      </c>
      <c r="BB364" t="str">
        <f t="shared" si="5"/>
        <v>CCCRNimIkeduru</v>
      </c>
    </row>
    <row r="365" spans="48:54" x14ac:dyDescent="0.3">
      <c r="AV365" t="s">
        <v>789</v>
      </c>
      <c r="AW365" t="s">
        <v>149</v>
      </c>
      <c r="AX365" t="s">
        <v>627</v>
      </c>
      <c r="AY365" s="81" t="s">
        <v>1509</v>
      </c>
      <c r="AZ365" t="s">
        <v>1510</v>
      </c>
      <c r="BA365" t="s">
        <v>119</v>
      </c>
      <c r="BB365" t="str">
        <f t="shared" si="5"/>
        <v>CCCRNimIkeduru</v>
      </c>
    </row>
    <row r="366" spans="48:54" x14ac:dyDescent="0.3">
      <c r="AV366" t="s">
        <v>789</v>
      </c>
      <c r="AW366" t="s">
        <v>149</v>
      </c>
      <c r="AX366" t="s">
        <v>627</v>
      </c>
      <c r="AY366" s="81" t="s">
        <v>1511</v>
      </c>
      <c r="AZ366" t="s">
        <v>1512</v>
      </c>
      <c r="BA366" t="s">
        <v>119</v>
      </c>
      <c r="BB366" t="str">
        <f t="shared" si="5"/>
        <v>CCCRNimIkeduru</v>
      </c>
    </row>
    <row r="367" spans="48:54" x14ac:dyDescent="0.3">
      <c r="AV367" t="s">
        <v>789</v>
      </c>
      <c r="AW367" t="s">
        <v>149</v>
      </c>
      <c r="AX367" t="s">
        <v>628</v>
      </c>
      <c r="AY367" s="81" t="s">
        <v>1513</v>
      </c>
      <c r="AZ367" t="s">
        <v>1514</v>
      </c>
      <c r="BA367" t="s">
        <v>119</v>
      </c>
      <c r="BB367" t="str">
        <f t="shared" si="5"/>
        <v>CCCRNimIsu</v>
      </c>
    </row>
    <row r="368" spans="48:54" x14ac:dyDescent="0.3">
      <c r="AV368" t="s">
        <v>789</v>
      </c>
      <c r="AW368" t="s">
        <v>149</v>
      </c>
      <c r="AX368" t="s">
        <v>628</v>
      </c>
      <c r="AY368" s="81" t="s">
        <v>1515</v>
      </c>
      <c r="AZ368" t="s">
        <v>1516</v>
      </c>
      <c r="BA368" t="s">
        <v>119</v>
      </c>
      <c r="BB368" t="str">
        <f t="shared" si="5"/>
        <v>CCCRNimIsu</v>
      </c>
    </row>
    <row r="369" spans="48:54" x14ac:dyDescent="0.3">
      <c r="AV369" t="s">
        <v>789</v>
      </c>
      <c r="AW369" t="s">
        <v>149</v>
      </c>
      <c r="AX369" t="s">
        <v>628</v>
      </c>
      <c r="AY369" s="81" t="s">
        <v>1517</v>
      </c>
      <c r="AZ369" t="s">
        <v>1518</v>
      </c>
      <c r="BA369" t="s">
        <v>119</v>
      </c>
      <c r="BB369" t="str">
        <f t="shared" si="5"/>
        <v>CCCRNimIsu</v>
      </c>
    </row>
    <row r="370" spans="48:54" x14ac:dyDescent="0.3">
      <c r="AV370" t="s">
        <v>789</v>
      </c>
      <c r="AW370" t="s">
        <v>149</v>
      </c>
      <c r="AX370" t="s">
        <v>629</v>
      </c>
      <c r="AY370" s="81" t="s">
        <v>1519</v>
      </c>
      <c r="AZ370" t="s">
        <v>1520</v>
      </c>
      <c r="BA370" t="s">
        <v>119</v>
      </c>
      <c r="BB370" t="str">
        <f t="shared" si="5"/>
        <v>CCCRNimMbaitoli</v>
      </c>
    </row>
    <row r="371" spans="48:54" x14ac:dyDescent="0.3">
      <c r="AV371" t="s">
        <v>789</v>
      </c>
      <c r="AW371" t="s">
        <v>149</v>
      </c>
      <c r="AX371" t="s">
        <v>629</v>
      </c>
      <c r="AY371" s="81" t="s">
        <v>1521</v>
      </c>
      <c r="AZ371" t="s">
        <v>1522</v>
      </c>
      <c r="BA371" t="s">
        <v>119</v>
      </c>
      <c r="BB371" t="str">
        <f t="shared" si="5"/>
        <v>CCCRNimMbaitoli</v>
      </c>
    </row>
    <row r="372" spans="48:54" x14ac:dyDescent="0.3">
      <c r="AV372" t="s">
        <v>789</v>
      </c>
      <c r="AW372" t="s">
        <v>149</v>
      </c>
      <c r="AX372" t="s">
        <v>629</v>
      </c>
      <c r="AY372" s="81" t="s">
        <v>1523</v>
      </c>
      <c r="AZ372" t="s">
        <v>1524</v>
      </c>
      <c r="BA372" t="s">
        <v>119</v>
      </c>
      <c r="BB372" t="str">
        <f t="shared" si="5"/>
        <v>CCCRNimMbaitoli</v>
      </c>
    </row>
    <row r="373" spans="48:54" x14ac:dyDescent="0.3">
      <c r="AV373" t="s">
        <v>789</v>
      </c>
      <c r="AW373" t="s">
        <v>149</v>
      </c>
      <c r="AX373" t="s">
        <v>629</v>
      </c>
      <c r="AY373" s="81" t="s">
        <v>1525</v>
      </c>
      <c r="AZ373" t="s">
        <v>1526</v>
      </c>
      <c r="BA373" t="s">
        <v>119</v>
      </c>
      <c r="BB373" t="str">
        <f t="shared" si="5"/>
        <v>CCCRNimMbaitoli</v>
      </c>
    </row>
    <row r="374" spans="48:54" x14ac:dyDescent="0.3">
      <c r="AV374" t="s">
        <v>789</v>
      </c>
      <c r="AW374" t="s">
        <v>149</v>
      </c>
      <c r="AX374" t="s">
        <v>630</v>
      </c>
      <c r="AY374" s="81" t="s">
        <v>1527</v>
      </c>
      <c r="AZ374" t="s">
        <v>1528</v>
      </c>
      <c r="BA374" t="s">
        <v>119</v>
      </c>
      <c r="BB374" t="str">
        <f t="shared" si="5"/>
        <v>CCCRNimNgorOkpala</v>
      </c>
    </row>
    <row r="375" spans="48:54" x14ac:dyDescent="0.3">
      <c r="AV375" t="s">
        <v>789</v>
      </c>
      <c r="AW375" t="s">
        <v>149</v>
      </c>
      <c r="AX375" t="s">
        <v>630</v>
      </c>
      <c r="AY375" s="81" t="s">
        <v>1529</v>
      </c>
      <c r="AZ375" t="s">
        <v>1530</v>
      </c>
      <c r="BA375" t="s">
        <v>119</v>
      </c>
      <c r="BB375" t="str">
        <f t="shared" si="5"/>
        <v>CCCRNimNgorOkpala</v>
      </c>
    </row>
    <row r="376" spans="48:54" x14ac:dyDescent="0.3">
      <c r="AV376" t="s">
        <v>789</v>
      </c>
      <c r="AW376" t="s">
        <v>149</v>
      </c>
      <c r="AX376" t="s">
        <v>630</v>
      </c>
      <c r="AY376" s="81" t="s">
        <v>1531</v>
      </c>
      <c r="AZ376" t="s">
        <v>1532</v>
      </c>
      <c r="BA376" t="s">
        <v>119</v>
      </c>
      <c r="BB376" t="str">
        <f t="shared" si="5"/>
        <v>CCCRNimNgorOkpala</v>
      </c>
    </row>
    <row r="377" spans="48:54" x14ac:dyDescent="0.3">
      <c r="AV377" t="s">
        <v>789</v>
      </c>
      <c r="AW377" t="s">
        <v>149</v>
      </c>
      <c r="AX377" t="s">
        <v>630</v>
      </c>
      <c r="AY377" s="81" t="s">
        <v>1533</v>
      </c>
      <c r="AZ377" t="s">
        <v>1534</v>
      </c>
      <c r="BA377" t="s">
        <v>119</v>
      </c>
      <c r="BB377" t="str">
        <f t="shared" si="5"/>
        <v>CCCRNimNgorOkpala</v>
      </c>
    </row>
    <row r="378" spans="48:54" x14ac:dyDescent="0.3">
      <c r="AV378" t="s">
        <v>789</v>
      </c>
      <c r="AW378" t="s">
        <v>149</v>
      </c>
      <c r="AX378" t="s">
        <v>631</v>
      </c>
      <c r="AY378" s="81" t="s">
        <v>1535</v>
      </c>
      <c r="AZ378" t="s">
        <v>1536</v>
      </c>
      <c r="BA378" t="s">
        <v>119</v>
      </c>
      <c r="BB378" t="str">
        <f t="shared" si="5"/>
        <v>CCCRNimNjaba</v>
      </c>
    </row>
    <row r="379" spans="48:54" x14ac:dyDescent="0.3">
      <c r="AV379" t="s">
        <v>789</v>
      </c>
      <c r="AW379" t="s">
        <v>149</v>
      </c>
      <c r="AX379" t="s">
        <v>631</v>
      </c>
      <c r="AY379" s="81" t="s">
        <v>1537</v>
      </c>
      <c r="AZ379" t="s">
        <v>1538</v>
      </c>
      <c r="BA379" t="s">
        <v>119</v>
      </c>
      <c r="BB379" t="str">
        <f t="shared" si="5"/>
        <v>CCCRNimNjaba</v>
      </c>
    </row>
    <row r="380" spans="48:54" x14ac:dyDescent="0.3">
      <c r="AV380" t="s">
        <v>789</v>
      </c>
      <c r="AW380" t="s">
        <v>149</v>
      </c>
      <c r="AX380" t="s">
        <v>632</v>
      </c>
      <c r="AY380" s="81" t="s">
        <v>1539</v>
      </c>
      <c r="AZ380" t="s">
        <v>1540</v>
      </c>
      <c r="BA380" t="s">
        <v>119</v>
      </c>
      <c r="BB380" t="str">
        <f t="shared" si="5"/>
        <v>CCCRNimNkwerre</v>
      </c>
    </row>
    <row r="381" spans="48:54" x14ac:dyDescent="0.3">
      <c r="AV381" t="s">
        <v>789</v>
      </c>
      <c r="AW381" t="s">
        <v>149</v>
      </c>
      <c r="AX381" t="s">
        <v>632</v>
      </c>
      <c r="AY381" s="81" t="s">
        <v>1541</v>
      </c>
      <c r="AZ381" t="s">
        <v>1542</v>
      </c>
      <c r="BA381" t="s">
        <v>119</v>
      </c>
      <c r="BB381" t="str">
        <f t="shared" si="5"/>
        <v>CCCRNimNkwerre</v>
      </c>
    </row>
    <row r="382" spans="48:54" x14ac:dyDescent="0.3">
      <c r="AV382" t="s">
        <v>789</v>
      </c>
      <c r="AW382" t="s">
        <v>149</v>
      </c>
      <c r="AX382" t="s">
        <v>632</v>
      </c>
      <c r="AY382" s="81" t="s">
        <v>1543</v>
      </c>
      <c r="AZ382" t="s">
        <v>1544</v>
      </c>
      <c r="BA382" t="s">
        <v>119</v>
      </c>
      <c r="BB382" t="str">
        <f t="shared" si="5"/>
        <v>CCCRNimNkwerre</v>
      </c>
    </row>
    <row r="383" spans="48:54" x14ac:dyDescent="0.3">
      <c r="AV383" t="s">
        <v>789</v>
      </c>
      <c r="AW383" t="s">
        <v>149</v>
      </c>
      <c r="AX383" t="s">
        <v>632</v>
      </c>
      <c r="AY383" s="81" t="s">
        <v>1545</v>
      </c>
      <c r="AZ383" t="s">
        <v>1546</v>
      </c>
      <c r="BA383" t="s">
        <v>119</v>
      </c>
      <c r="BB383" t="str">
        <f t="shared" si="5"/>
        <v>CCCRNimNkwerre</v>
      </c>
    </row>
    <row r="384" spans="48:54" x14ac:dyDescent="0.3">
      <c r="AV384" t="s">
        <v>789</v>
      </c>
      <c r="AW384" t="s">
        <v>149</v>
      </c>
      <c r="AX384" t="s">
        <v>632</v>
      </c>
      <c r="AY384" s="81" t="s">
        <v>1547</v>
      </c>
      <c r="AZ384" t="s">
        <v>1548</v>
      </c>
      <c r="BA384" t="s">
        <v>119</v>
      </c>
      <c r="BB384" t="str">
        <f t="shared" si="5"/>
        <v>CCCRNimNkwerre</v>
      </c>
    </row>
    <row r="385" spans="48:54" x14ac:dyDescent="0.3">
      <c r="AV385" t="s">
        <v>789</v>
      </c>
      <c r="AW385" t="s">
        <v>149</v>
      </c>
      <c r="AX385" t="s">
        <v>633</v>
      </c>
      <c r="AY385" s="81" t="s">
        <v>1549</v>
      </c>
      <c r="AZ385" t="s">
        <v>1550</v>
      </c>
      <c r="BA385" t="s">
        <v>119</v>
      </c>
      <c r="BB385" t="str">
        <f t="shared" si="5"/>
        <v>CCCRNimNwangele</v>
      </c>
    </row>
    <row r="386" spans="48:54" x14ac:dyDescent="0.3">
      <c r="AV386" t="s">
        <v>789</v>
      </c>
      <c r="AW386" t="s">
        <v>149</v>
      </c>
      <c r="AX386" t="s">
        <v>633</v>
      </c>
      <c r="AY386" s="81" t="s">
        <v>1551</v>
      </c>
      <c r="AZ386" t="s">
        <v>1552</v>
      </c>
      <c r="BA386" t="s">
        <v>119</v>
      </c>
      <c r="BB386" t="str">
        <f t="shared" si="5"/>
        <v>CCCRNimNwangele</v>
      </c>
    </row>
    <row r="387" spans="48:54" x14ac:dyDescent="0.3">
      <c r="AV387" t="s">
        <v>789</v>
      </c>
      <c r="AW387" t="s">
        <v>149</v>
      </c>
      <c r="AX387" t="s">
        <v>633</v>
      </c>
      <c r="AY387" s="81" t="s">
        <v>1553</v>
      </c>
      <c r="AZ387" t="s">
        <v>1554</v>
      </c>
      <c r="BA387" t="s">
        <v>119</v>
      </c>
      <c r="BB387" t="str">
        <f t="shared" ref="BB387:BB450" si="6">SUBSTITUTE(SUBSTITUTE(BA387&amp;AX387," ",""),"-","")</f>
        <v>CCCRNimNwangele</v>
      </c>
    </row>
    <row r="388" spans="48:54" x14ac:dyDescent="0.3">
      <c r="AV388" t="s">
        <v>789</v>
      </c>
      <c r="AW388" t="s">
        <v>149</v>
      </c>
      <c r="AX388" t="s">
        <v>634</v>
      </c>
      <c r="AY388" s="81" t="s">
        <v>1555</v>
      </c>
      <c r="AZ388" t="s">
        <v>1556</v>
      </c>
      <c r="BA388" t="s">
        <v>119</v>
      </c>
      <c r="BB388" t="str">
        <f t="shared" si="6"/>
        <v>CCCRNimOguta</v>
      </c>
    </row>
    <row r="389" spans="48:54" x14ac:dyDescent="0.3">
      <c r="AV389" t="s">
        <v>789</v>
      </c>
      <c r="AW389" t="s">
        <v>149</v>
      </c>
      <c r="AX389" t="s">
        <v>634</v>
      </c>
      <c r="AY389" s="81" t="s">
        <v>1557</v>
      </c>
      <c r="AZ389" t="s">
        <v>1558</v>
      </c>
      <c r="BA389" t="s">
        <v>119</v>
      </c>
      <c r="BB389" t="str">
        <f t="shared" si="6"/>
        <v>CCCRNimOguta</v>
      </c>
    </row>
    <row r="390" spans="48:54" x14ac:dyDescent="0.3">
      <c r="AV390" t="s">
        <v>789</v>
      </c>
      <c r="AW390" t="s">
        <v>149</v>
      </c>
      <c r="AX390" t="s">
        <v>634</v>
      </c>
      <c r="AY390" s="81" t="s">
        <v>1559</v>
      </c>
      <c r="AZ390" t="s">
        <v>1560</v>
      </c>
      <c r="BA390" t="s">
        <v>119</v>
      </c>
      <c r="BB390" t="str">
        <f t="shared" si="6"/>
        <v>CCCRNimOguta</v>
      </c>
    </row>
    <row r="391" spans="48:54" x14ac:dyDescent="0.3">
      <c r="AV391" t="s">
        <v>789</v>
      </c>
      <c r="AW391" t="s">
        <v>149</v>
      </c>
      <c r="AX391" t="s">
        <v>634</v>
      </c>
      <c r="AY391" s="81" t="s">
        <v>1561</v>
      </c>
      <c r="AZ391" t="s">
        <v>1562</v>
      </c>
      <c r="BA391" t="s">
        <v>119</v>
      </c>
      <c r="BB391" t="str">
        <f t="shared" si="6"/>
        <v>CCCRNimOguta</v>
      </c>
    </row>
    <row r="392" spans="48:54" x14ac:dyDescent="0.3">
      <c r="AV392" t="s">
        <v>789</v>
      </c>
      <c r="AW392" t="s">
        <v>149</v>
      </c>
      <c r="AX392" t="s">
        <v>634</v>
      </c>
      <c r="AY392" s="81" t="s">
        <v>1563</v>
      </c>
      <c r="AZ392" t="s">
        <v>1564</v>
      </c>
      <c r="BA392" t="s">
        <v>119</v>
      </c>
      <c r="BB392" t="str">
        <f t="shared" si="6"/>
        <v>CCCRNimOguta</v>
      </c>
    </row>
    <row r="393" spans="48:54" x14ac:dyDescent="0.3">
      <c r="AV393" t="s">
        <v>789</v>
      </c>
      <c r="AW393" t="s">
        <v>149</v>
      </c>
      <c r="AX393" t="s">
        <v>3793</v>
      </c>
      <c r="AY393" s="81" t="s">
        <v>3794</v>
      </c>
      <c r="AZ393" t="s">
        <v>1565</v>
      </c>
      <c r="BA393" t="s">
        <v>119</v>
      </c>
      <c r="BB393" t="str">
        <f t="shared" si="6"/>
        <v>CCCRNimOhajiEgbema</v>
      </c>
    </row>
    <row r="394" spans="48:54" x14ac:dyDescent="0.3">
      <c r="AV394" t="s">
        <v>789</v>
      </c>
      <c r="AW394" t="s">
        <v>149</v>
      </c>
      <c r="AX394" t="s">
        <v>3793</v>
      </c>
      <c r="AY394" s="81" t="s">
        <v>3795</v>
      </c>
      <c r="AZ394" t="s">
        <v>1566</v>
      </c>
      <c r="BA394" t="s">
        <v>119</v>
      </c>
      <c r="BB394" t="str">
        <f t="shared" si="6"/>
        <v>CCCRNimOhajiEgbema</v>
      </c>
    </row>
    <row r="395" spans="48:54" x14ac:dyDescent="0.3">
      <c r="AV395" t="s">
        <v>789</v>
      </c>
      <c r="AW395" t="s">
        <v>149</v>
      </c>
      <c r="AX395" t="s">
        <v>3793</v>
      </c>
      <c r="AY395" s="81" t="s">
        <v>3796</v>
      </c>
      <c r="AZ395" t="s">
        <v>1567</v>
      </c>
      <c r="BA395" t="s">
        <v>119</v>
      </c>
      <c r="BB395" t="str">
        <f t="shared" si="6"/>
        <v>CCCRNimOhajiEgbema</v>
      </c>
    </row>
    <row r="396" spans="48:54" x14ac:dyDescent="0.3">
      <c r="AV396" t="s">
        <v>789</v>
      </c>
      <c r="AW396" t="s">
        <v>149</v>
      </c>
      <c r="AX396" t="s">
        <v>3793</v>
      </c>
      <c r="AY396" s="81" t="s">
        <v>3797</v>
      </c>
      <c r="AZ396" t="s">
        <v>1568</v>
      </c>
      <c r="BA396" t="s">
        <v>119</v>
      </c>
      <c r="BB396" t="str">
        <f t="shared" si="6"/>
        <v>CCCRNimOhajiEgbema</v>
      </c>
    </row>
    <row r="397" spans="48:54" x14ac:dyDescent="0.3">
      <c r="AV397" t="s">
        <v>789</v>
      </c>
      <c r="AW397" t="s">
        <v>149</v>
      </c>
      <c r="AX397" t="s">
        <v>3793</v>
      </c>
      <c r="AY397" s="81" t="s">
        <v>3798</v>
      </c>
      <c r="AZ397" t="s">
        <v>1569</v>
      </c>
      <c r="BA397" t="s">
        <v>119</v>
      </c>
      <c r="BB397" t="str">
        <f t="shared" si="6"/>
        <v>CCCRNimOhajiEgbema</v>
      </c>
    </row>
    <row r="398" spans="48:54" x14ac:dyDescent="0.3">
      <c r="AV398" t="s">
        <v>789</v>
      </c>
      <c r="AW398" t="s">
        <v>149</v>
      </c>
      <c r="AX398" t="s">
        <v>636</v>
      </c>
      <c r="AY398" s="81" t="s">
        <v>1570</v>
      </c>
      <c r="AZ398" t="s">
        <v>1571</v>
      </c>
      <c r="BA398" t="s">
        <v>119</v>
      </c>
      <c r="BB398" t="str">
        <f t="shared" si="6"/>
        <v>CCCRNimOrlu</v>
      </c>
    </row>
    <row r="399" spans="48:54" x14ac:dyDescent="0.3">
      <c r="AV399" t="s">
        <v>789</v>
      </c>
      <c r="AW399" t="s">
        <v>149</v>
      </c>
      <c r="AX399" t="s">
        <v>636</v>
      </c>
      <c r="AY399" s="81" t="s">
        <v>1572</v>
      </c>
      <c r="AZ399" t="s">
        <v>1573</v>
      </c>
      <c r="BA399" t="s">
        <v>119</v>
      </c>
      <c r="BB399" t="str">
        <f t="shared" si="6"/>
        <v>CCCRNimOrlu</v>
      </c>
    </row>
    <row r="400" spans="48:54" x14ac:dyDescent="0.3">
      <c r="AV400" t="s">
        <v>789</v>
      </c>
      <c r="AW400" t="s">
        <v>149</v>
      </c>
      <c r="AX400" t="s">
        <v>636</v>
      </c>
      <c r="AY400" s="81" t="s">
        <v>1574</v>
      </c>
      <c r="AZ400" t="s">
        <v>1575</v>
      </c>
      <c r="BA400" t="s">
        <v>119</v>
      </c>
      <c r="BB400" t="str">
        <f t="shared" si="6"/>
        <v>CCCRNimOrlu</v>
      </c>
    </row>
    <row r="401" spans="48:54" x14ac:dyDescent="0.3">
      <c r="AV401" t="s">
        <v>789</v>
      </c>
      <c r="AW401" t="s">
        <v>149</v>
      </c>
      <c r="AX401" t="s">
        <v>636</v>
      </c>
      <c r="AY401" s="81" t="s">
        <v>1576</v>
      </c>
      <c r="AZ401" t="s">
        <v>1577</v>
      </c>
      <c r="BA401" t="s">
        <v>119</v>
      </c>
      <c r="BB401" t="str">
        <f t="shared" si="6"/>
        <v>CCCRNimOrlu</v>
      </c>
    </row>
    <row r="402" spans="48:54" x14ac:dyDescent="0.3">
      <c r="AV402" t="s">
        <v>789</v>
      </c>
      <c r="AW402" t="s">
        <v>149</v>
      </c>
      <c r="AX402" t="s">
        <v>636</v>
      </c>
      <c r="AY402" s="81" t="s">
        <v>1578</v>
      </c>
      <c r="AZ402" t="s">
        <v>1579</v>
      </c>
      <c r="BA402" t="s">
        <v>119</v>
      </c>
      <c r="BB402" t="str">
        <f t="shared" si="6"/>
        <v>CCCRNimOrlu</v>
      </c>
    </row>
    <row r="403" spans="48:54" x14ac:dyDescent="0.3">
      <c r="AV403" t="s">
        <v>789</v>
      </c>
      <c r="AW403" t="s">
        <v>149</v>
      </c>
      <c r="AX403" t="s">
        <v>637</v>
      </c>
      <c r="AY403" s="81" t="s">
        <v>1580</v>
      </c>
      <c r="AZ403" t="s">
        <v>1581</v>
      </c>
      <c r="BA403" t="s">
        <v>119</v>
      </c>
      <c r="BB403" t="str">
        <f t="shared" si="6"/>
        <v>CCCRNimOrsu</v>
      </c>
    </row>
    <row r="404" spans="48:54" x14ac:dyDescent="0.3">
      <c r="AV404" t="s">
        <v>789</v>
      </c>
      <c r="AW404" t="s">
        <v>149</v>
      </c>
      <c r="AX404" t="s">
        <v>638</v>
      </c>
      <c r="AY404" s="81" t="s">
        <v>1582</v>
      </c>
      <c r="AZ404" t="s">
        <v>1583</v>
      </c>
      <c r="BA404" t="s">
        <v>119</v>
      </c>
      <c r="BB404" t="str">
        <f t="shared" si="6"/>
        <v>CCCRNimOruEast</v>
      </c>
    </row>
    <row r="405" spans="48:54" x14ac:dyDescent="0.3">
      <c r="AV405" t="s">
        <v>789</v>
      </c>
      <c r="AW405" t="s">
        <v>149</v>
      </c>
      <c r="AX405" t="s">
        <v>638</v>
      </c>
      <c r="AY405" s="81" t="s">
        <v>1584</v>
      </c>
      <c r="AZ405" t="s">
        <v>1585</v>
      </c>
      <c r="BA405" t="s">
        <v>119</v>
      </c>
      <c r="BB405" t="str">
        <f t="shared" si="6"/>
        <v>CCCRNimOruEast</v>
      </c>
    </row>
    <row r="406" spans="48:54" x14ac:dyDescent="0.3">
      <c r="AV406" t="s">
        <v>789</v>
      </c>
      <c r="AW406" t="s">
        <v>149</v>
      </c>
      <c r="AX406" t="s">
        <v>638</v>
      </c>
      <c r="AY406" s="81" t="s">
        <v>1586</v>
      </c>
      <c r="AZ406" t="s">
        <v>1587</v>
      </c>
      <c r="BA406" t="s">
        <v>119</v>
      </c>
      <c r="BB406" t="str">
        <f t="shared" si="6"/>
        <v>CCCRNimOruEast</v>
      </c>
    </row>
    <row r="407" spans="48:54" x14ac:dyDescent="0.3">
      <c r="AV407" t="s">
        <v>789</v>
      </c>
      <c r="AW407" t="s">
        <v>149</v>
      </c>
      <c r="AX407" t="s">
        <v>638</v>
      </c>
      <c r="AY407" s="81" t="s">
        <v>1588</v>
      </c>
      <c r="AZ407" t="s">
        <v>1589</v>
      </c>
      <c r="BA407" t="s">
        <v>119</v>
      </c>
      <c r="BB407" t="str">
        <f t="shared" si="6"/>
        <v>CCCRNimOruEast</v>
      </c>
    </row>
    <row r="408" spans="48:54" x14ac:dyDescent="0.3">
      <c r="AV408" t="s">
        <v>789</v>
      </c>
      <c r="AW408" t="s">
        <v>149</v>
      </c>
      <c r="AX408" t="s">
        <v>638</v>
      </c>
      <c r="AY408" s="81" t="s">
        <v>1590</v>
      </c>
      <c r="AZ408" t="s">
        <v>1591</v>
      </c>
      <c r="BA408" t="s">
        <v>119</v>
      </c>
      <c r="BB408" t="str">
        <f t="shared" si="6"/>
        <v>CCCRNimOruEast</v>
      </c>
    </row>
    <row r="409" spans="48:54" x14ac:dyDescent="0.3">
      <c r="AV409" t="s">
        <v>789</v>
      </c>
      <c r="AW409" t="s">
        <v>149</v>
      </c>
      <c r="AX409" t="s">
        <v>639</v>
      </c>
      <c r="AY409" s="81" t="s">
        <v>1592</v>
      </c>
      <c r="AZ409" t="s">
        <v>1593</v>
      </c>
      <c r="BA409" t="s">
        <v>119</v>
      </c>
      <c r="BB409" t="str">
        <f t="shared" si="6"/>
        <v>CCCRNimOruWest</v>
      </c>
    </row>
    <row r="410" spans="48:54" x14ac:dyDescent="0.3">
      <c r="AV410" t="s">
        <v>789</v>
      </c>
      <c r="AW410" t="s">
        <v>149</v>
      </c>
      <c r="AX410" t="s">
        <v>640</v>
      </c>
      <c r="AY410" s="81" t="s">
        <v>1594</v>
      </c>
      <c r="AZ410" t="s">
        <v>1595</v>
      </c>
      <c r="BA410" t="s">
        <v>119</v>
      </c>
      <c r="BB410" t="str">
        <f t="shared" si="6"/>
        <v>CCCRNimOwerriMunicipal</v>
      </c>
    </row>
    <row r="411" spans="48:54" x14ac:dyDescent="0.3">
      <c r="AV411" t="s">
        <v>789</v>
      </c>
      <c r="AW411" t="s">
        <v>149</v>
      </c>
      <c r="AX411" t="s">
        <v>640</v>
      </c>
      <c r="AY411" s="81" t="s">
        <v>1596</v>
      </c>
      <c r="AZ411" t="s">
        <v>1597</v>
      </c>
      <c r="BA411" t="s">
        <v>119</v>
      </c>
      <c r="BB411" t="str">
        <f t="shared" si="6"/>
        <v>CCCRNimOwerriMunicipal</v>
      </c>
    </row>
    <row r="412" spans="48:54" x14ac:dyDescent="0.3">
      <c r="AV412" t="s">
        <v>789</v>
      </c>
      <c r="AW412" t="s">
        <v>149</v>
      </c>
      <c r="AX412" t="s">
        <v>640</v>
      </c>
      <c r="AY412" s="81" t="s">
        <v>1598</v>
      </c>
      <c r="AZ412" t="s">
        <v>1599</v>
      </c>
      <c r="BA412" t="s">
        <v>119</v>
      </c>
      <c r="BB412" t="str">
        <f t="shared" si="6"/>
        <v>CCCRNimOwerriMunicipal</v>
      </c>
    </row>
    <row r="413" spans="48:54" x14ac:dyDescent="0.3">
      <c r="AV413" t="s">
        <v>789</v>
      </c>
      <c r="AW413" t="s">
        <v>149</v>
      </c>
      <c r="AX413" t="s">
        <v>640</v>
      </c>
      <c r="AY413" s="81" t="s">
        <v>1600</v>
      </c>
      <c r="AZ413" t="s">
        <v>1601</v>
      </c>
      <c r="BA413" t="s">
        <v>119</v>
      </c>
      <c r="BB413" t="str">
        <f t="shared" si="6"/>
        <v>CCCRNimOwerriMunicipal</v>
      </c>
    </row>
    <row r="414" spans="48:54" x14ac:dyDescent="0.3">
      <c r="AV414" t="s">
        <v>789</v>
      </c>
      <c r="AW414" t="s">
        <v>149</v>
      </c>
      <c r="AX414" t="s">
        <v>640</v>
      </c>
      <c r="AY414" s="81" t="s">
        <v>1602</v>
      </c>
      <c r="AZ414" t="s">
        <v>1603</v>
      </c>
      <c r="BA414" t="s">
        <v>119</v>
      </c>
      <c r="BB414" t="str">
        <f t="shared" si="6"/>
        <v>CCCRNimOwerriMunicipal</v>
      </c>
    </row>
    <row r="415" spans="48:54" x14ac:dyDescent="0.3">
      <c r="AV415" t="s">
        <v>789</v>
      </c>
      <c r="AW415" t="s">
        <v>149</v>
      </c>
      <c r="AX415" t="s">
        <v>641</v>
      </c>
      <c r="AY415" s="81" t="s">
        <v>1604</v>
      </c>
      <c r="AZ415" t="s">
        <v>1605</v>
      </c>
      <c r="BA415" t="s">
        <v>119</v>
      </c>
      <c r="BB415" t="str">
        <f t="shared" si="6"/>
        <v>CCCRNimOwerriNorth</v>
      </c>
    </row>
    <row r="416" spans="48:54" x14ac:dyDescent="0.3">
      <c r="AV416" t="s">
        <v>789</v>
      </c>
      <c r="AW416" t="s">
        <v>149</v>
      </c>
      <c r="AX416" t="s">
        <v>641</v>
      </c>
      <c r="AY416" s="81" t="s">
        <v>1606</v>
      </c>
      <c r="AZ416" t="s">
        <v>1607</v>
      </c>
      <c r="BA416" t="s">
        <v>119</v>
      </c>
      <c r="BB416" t="str">
        <f t="shared" si="6"/>
        <v>CCCRNimOwerriNorth</v>
      </c>
    </row>
    <row r="417" spans="48:54" x14ac:dyDescent="0.3">
      <c r="AV417" t="s">
        <v>789</v>
      </c>
      <c r="AW417" t="s">
        <v>149</v>
      </c>
      <c r="AX417" t="s">
        <v>641</v>
      </c>
      <c r="AY417" s="81" t="s">
        <v>1608</v>
      </c>
      <c r="AZ417" t="s">
        <v>1609</v>
      </c>
      <c r="BA417" t="s">
        <v>119</v>
      </c>
      <c r="BB417" t="str">
        <f t="shared" si="6"/>
        <v>CCCRNimOwerriNorth</v>
      </c>
    </row>
    <row r="418" spans="48:54" x14ac:dyDescent="0.3">
      <c r="AV418" t="s">
        <v>789</v>
      </c>
      <c r="AW418" t="s">
        <v>149</v>
      </c>
      <c r="AX418" t="s">
        <v>641</v>
      </c>
      <c r="AY418" s="81" t="s">
        <v>1610</v>
      </c>
      <c r="AZ418" t="s">
        <v>1611</v>
      </c>
      <c r="BA418" t="s">
        <v>119</v>
      </c>
      <c r="BB418" t="str">
        <f t="shared" si="6"/>
        <v>CCCRNimOwerriNorth</v>
      </c>
    </row>
    <row r="419" spans="48:54" x14ac:dyDescent="0.3">
      <c r="AV419" t="s">
        <v>789</v>
      </c>
      <c r="AW419" t="s">
        <v>149</v>
      </c>
      <c r="AX419" t="s">
        <v>641</v>
      </c>
      <c r="AY419" s="81" t="s">
        <v>1612</v>
      </c>
      <c r="AZ419" t="s">
        <v>1613</v>
      </c>
      <c r="BA419" t="s">
        <v>119</v>
      </c>
      <c r="BB419" t="str">
        <f t="shared" si="6"/>
        <v>CCCRNimOwerriNorth</v>
      </c>
    </row>
    <row r="420" spans="48:54" x14ac:dyDescent="0.3">
      <c r="AV420" t="s">
        <v>789</v>
      </c>
      <c r="AW420" t="s">
        <v>149</v>
      </c>
      <c r="AX420" t="s">
        <v>642</v>
      </c>
      <c r="AY420" s="81" t="s">
        <v>1614</v>
      </c>
      <c r="AZ420" t="s">
        <v>1615</v>
      </c>
      <c r="BA420" t="s">
        <v>119</v>
      </c>
      <c r="BB420" t="str">
        <f t="shared" si="6"/>
        <v>CCCRNimOwerriWest</v>
      </c>
    </row>
    <row r="421" spans="48:54" x14ac:dyDescent="0.3">
      <c r="AV421" t="s">
        <v>789</v>
      </c>
      <c r="AW421" t="s">
        <v>149</v>
      </c>
      <c r="AX421" t="s">
        <v>642</v>
      </c>
      <c r="AY421" s="81" t="s">
        <v>1616</v>
      </c>
      <c r="AZ421" t="s">
        <v>1617</v>
      </c>
      <c r="BA421" t="s">
        <v>119</v>
      </c>
      <c r="BB421" t="str">
        <f t="shared" si="6"/>
        <v>CCCRNimOwerriWest</v>
      </c>
    </row>
    <row r="422" spans="48:54" x14ac:dyDescent="0.3">
      <c r="AV422" t="s">
        <v>789</v>
      </c>
      <c r="AW422" t="s">
        <v>139</v>
      </c>
      <c r="AX422" t="s">
        <v>540</v>
      </c>
      <c r="AY422" s="81" t="s">
        <v>1618</v>
      </c>
      <c r="AZ422" t="s">
        <v>1619</v>
      </c>
      <c r="BA422" t="s">
        <v>125</v>
      </c>
      <c r="BB422" t="str">
        <f t="shared" si="6"/>
        <v>CCFNbeAgatu</v>
      </c>
    </row>
    <row r="423" spans="48:54" x14ac:dyDescent="0.3">
      <c r="AV423" t="s">
        <v>789</v>
      </c>
      <c r="AW423" t="s">
        <v>139</v>
      </c>
      <c r="AX423" t="s">
        <v>541</v>
      </c>
      <c r="AY423" s="81" t="s">
        <v>1620</v>
      </c>
      <c r="AZ423" t="s">
        <v>1621</v>
      </c>
      <c r="BA423" t="s">
        <v>125</v>
      </c>
      <c r="BB423" t="str">
        <f t="shared" si="6"/>
        <v>CCFNbeBuruku</v>
      </c>
    </row>
    <row r="424" spans="48:54" x14ac:dyDescent="0.3">
      <c r="AV424" t="s">
        <v>789</v>
      </c>
      <c r="AW424" t="s">
        <v>139</v>
      </c>
      <c r="AX424" t="s">
        <v>541</v>
      </c>
      <c r="AY424" s="81" t="s">
        <v>1622</v>
      </c>
      <c r="AZ424" t="s">
        <v>1623</v>
      </c>
      <c r="BA424" t="s">
        <v>125</v>
      </c>
      <c r="BB424" t="str">
        <f t="shared" si="6"/>
        <v>CCFNbeBuruku</v>
      </c>
    </row>
    <row r="425" spans="48:54" x14ac:dyDescent="0.3">
      <c r="AV425" t="s">
        <v>789</v>
      </c>
      <c r="AW425" t="s">
        <v>139</v>
      </c>
      <c r="AX425" t="s">
        <v>541</v>
      </c>
      <c r="AY425" s="81" t="s">
        <v>1624</v>
      </c>
      <c r="AZ425" t="s">
        <v>1625</v>
      </c>
      <c r="BA425" t="s">
        <v>125</v>
      </c>
      <c r="BB425" t="str">
        <f t="shared" si="6"/>
        <v>CCFNbeBuruku</v>
      </c>
    </row>
    <row r="426" spans="48:54" x14ac:dyDescent="0.3">
      <c r="AV426" t="s">
        <v>789</v>
      </c>
      <c r="AW426" t="s">
        <v>139</v>
      </c>
      <c r="AX426" t="s">
        <v>542</v>
      </c>
      <c r="AY426" s="81" t="s">
        <v>1626</v>
      </c>
      <c r="AZ426" t="s">
        <v>1627</v>
      </c>
      <c r="BA426" t="s">
        <v>125</v>
      </c>
      <c r="BB426" t="str">
        <f t="shared" si="6"/>
        <v>CCFNbeGboko</v>
      </c>
    </row>
    <row r="427" spans="48:54" x14ac:dyDescent="0.3">
      <c r="AV427" t="s">
        <v>789</v>
      </c>
      <c r="AW427" t="s">
        <v>139</v>
      </c>
      <c r="AX427" t="s">
        <v>543</v>
      </c>
      <c r="AY427" s="81" t="s">
        <v>1628</v>
      </c>
      <c r="AZ427" t="s">
        <v>1629</v>
      </c>
      <c r="BA427" t="s">
        <v>125</v>
      </c>
      <c r="BB427" t="str">
        <f t="shared" si="6"/>
        <v>CCFNbeGuma</v>
      </c>
    </row>
    <row r="428" spans="48:54" x14ac:dyDescent="0.3">
      <c r="AV428" t="s">
        <v>789</v>
      </c>
      <c r="AW428" t="s">
        <v>139</v>
      </c>
      <c r="AX428" t="s">
        <v>543</v>
      </c>
      <c r="AY428" s="81" t="s">
        <v>1630</v>
      </c>
      <c r="AZ428" t="s">
        <v>1631</v>
      </c>
      <c r="BA428" t="s">
        <v>125</v>
      </c>
      <c r="BB428" t="str">
        <f t="shared" si="6"/>
        <v>CCFNbeGuma</v>
      </c>
    </row>
    <row r="429" spans="48:54" x14ac:dyDescent="0.3">
      <c r="AV429" t="s">
        <v>789</v>
      </c>
      <c r="AW429" t="s">
        <v>139</v>
      </c>
      <c r="AX429" t="s">
        <v>544</v>
      </c>
      <c r="AY429" s="81" t="s">
        <v>1632</v>
      </c>
      <c r="AZ429" t="s">
        <v>1633</v>
      </c>
      <c r="BA429" t="s">
        <v>125</v>
      </c>
      <c r="BB429" t="str">
        <f t="shared" si="6"/>
        <v>CCFNbeGwerEast</v>
      </c>
    </row>
    <row r="430" spans="48:54" x14ac:dyDescent="0.3">
      <c r="AV430" t="s">
        <v>789</v>
      </c>
      <c r="AW430" t="s">
        <v>139</v>
      </c>
      <c r="AX430" t="s">
        <v>545</v>
      </c>
      <c r="AY430" s="81" t="s">
        <v>1634</v>
      </c>
      <c r="AZ430" t="s">
        <v>1635</v>
      </c>
      <c r="BA430" t="s">
        <v>125</v>
      </c>
      <c r="BB430" t="str">
        <f t="shared" si="6"/>
        <v>CCFNbeGwerWest</v>
      </c>
    </row>
    <row r="431" spans="48:54" x14ac:dyDescent="0.3">
      <c r="AV431" t="s">
        <v>789</v>
      </c>
      <c r="AW431" t="s">
        <v>139</v>
      </c>
      <c r="AX431" t="s">
        <v>545</v>
      </c>
      <c r="AY431" s="81" t="s">
        <v>1636</v>
      </c>
      <c r="AZ431" t="s">
        <v>1637</v>
      </c>
      <c r="BA431" t="s">
        <v>125</v>
      </c>
      <c r="BB431" t="str">
        <f t="shared" si="6"/>
        <v>CCFNbeGwerWest</v>
      </c>
    </row>
    <row r="432" spans="48:54" x14ac:dyDescent="0.3">
      <c r="AV432" t="s">
        <v>789</v>
      </c>
      <c r="AW432" t="s">
        <v>139</v>
      </c>
      <c r="AX432" t="s">
        <v>545</v>
      </c>
      <c r="AY432" s="81" t="s">
        <v>1638</v>
      </c>
      <c r="AZ432" t="s">
        <v>1639</v>
      </c>
      <c r="BA432" t="s">
        <v>125</v>
      </c>
      <c r="BB432" t="str">
        <f t="shared" si="6"/>
        <v>CCFNbeGwerWest</v>
      </c>
    </row>
    <row r="433" spans="48:54" x14ac:dyDescent="0.3">
      <c r="AV433" t="s">
        <v>789</v>
      </c>
      <c r="AW433" t="s">
        <v>139</v>
      </c>
      <c r="AX433" t="s">
        <v>546</v>
      </c>
      <c r="AY433" s="81" t="s">
        <v>1640</v>
      </c>
      <c r="AZ433" t="s">
        <v>1641</v>
      </c>
      <c r="BA433" t="s">
        <v>125</v>
      </c>
      <c r="BB433" t="str">
        <f t="shared" si="6"/>
        <v>CCFNbeKatsinaAla</v>
      </c>
    </row>
    <row r="434" spans="48:54" x14ac:dyDescent="0.3">
      <c r="AV434" t="s">
        <v>789</v>
      </c>
      <c r="AW434" t="s">
        <v>139</v>
      </c>
      <c r="AX434" t="s">
        <v>546</v>
      </c>
      <c r="AY434" s="81" t="s">
        <v>1642</v>
      </c>
      <c r="AZ434" t="s">
        <v>1643</v>
      </c>
      <c r="BA434" t="s">
        <v>125</v>
      </c>
      <c r="BB434" t="str">
        <f t="shared" si="6"/>
        <v>CCFNbeKatsinaAla</v>
      </c>
    </row>
    <row r="435" spans="48:54" x14ac:dyDescent="0.3">
      <c r="AV435" t="s">
        <v>789</v>
      </c>
      <c r="AW435" t="s">
        <v>139</v>
      </c>
      <c r="AX435" t="s">
        <v>546</v>
      </c>
      <c r="AY435" s="81" t="s">
        <v>1644</v>
      </c>
      <c r="AZ435" t="s">
        <v>1645</v>
      </c>
      <c r="BA435" t="s">
        <v>125</v>
      </c>
      <c r="BB435" t="str">
        <f t="shared" si="6"/>
        <v>CCFNbeKatsinaAla</v>
      </c>
    </row>
    <row r="436" spans="48:54" x14ac:dyDescent="0.3">
      <c r="AV436" t="s">
        <v>789</v>
      </c>
      <c r="AW436" t="s">
        <v>139</v>
      </c>
      <c r="AX436" t="s">
        <v>546</v>
      </c>
      <c r="AY436" s="81" t="s">
        <v>1646</v>
      </c>
      <c r="AZ436" t="s">
        <v>1647</v>
      </c>
      <c r="BA436" t="s">
        <v>125</v>
      </c>
      <c r="BB436" t="str">
        <f t="shared" si="6"/>
        <v>CCFNbeKatsinaAla</v>
      </c>
    </row>
    <row r="437" spans="48:54" x14ac:dyDescent="0.3">
      <c r="AV437" t="s">
        <v>789</v>
      </c>
      <c r="AW437" t="s">
        <v>139</v>
      </c>
      <c r="AX437" t="s">
        <v>547</v>
      </c>
      <c r="AY437" s="81" t="s">
        <v>1648</v>
      </c>
      <c r="AZ437" t="s">
        <v>1649</v>
      </c>
      <c r="BA437" t="s">
        <v>125</v>
      </c>
      <c r="BB437" t="str">
        <f t="shared" si="6"/>
        <v>CCFNbeKonshisha</v>
      </c>
    </row>
    <row r="438" spans="48:54" x14ac:dyDescent="0.3">
      <c r="AV438" t="s">
        <v>789</v>
      </c>
      <c r="AW438" t="s">
        <v>139</v>
      </c>
      <c r="AX438" t="s">
        <v>547</v>
      </c>
      <c r="AY438" s="81" t="s">
        <v>1650</v>
      </c>
      <c r="AZ438" t="s">
        <v>1651</v>
      </c>
      <c r="BA438" t="s">
        <v>125</v>
      </c>
      <c r="BB438" t="str">
        <f t="shared" si="6"/>
        <v>CCFNbeKonshisha</v>
      </c>
    </row>
    <row r="439" spans="48:54" x14ac:dyDescent="0.3">
      <c r="AV439" t="s">
        <v>789</v>
      </c>
      <c r="AW439" t="s">
        <v>139</v>
      </c>
      <c r="AX439" t="s">
        <v>547</v>
      </c>
      <c r="AY439" s="81" t="s">
        <v>1652</v>
      </c>
      <c r="AZ439" t="s">
        <v>1653</v>
      </c>
      <c r="BA439" t="s">
        <v>125</v>
      </c>
      <c r="BB439" t="str">
        <f t="shared" si="6"/>
        <v>CCFNbeKonshisha</v>
      </c>
    </row>
    <row r="440" spans="48:54" x14ac:dyDescent="0.3">
      <c r="AV440" t="s">
        <v>789</v>
      </c>
      <c r="AW440" t="s">
        <v>139</v>
      </c>
      <c r="AX440" t="s">
        <v>547</v>
      </c>
      <c r="AY440" s="81" t="s">
        <v>1654</v>
      </c>
      <c r="AZ440" t="s">
        <v>1655</v>
      </c>
      <c r="BA440" t="s">
        <v>125</v>
      </c>
      <c r="BB440" t="str">
        <f t="shared" si="6"/>
        <v>CCFNbeKonshisha</v>
      </c>
    </row>
    <row r="441" spans="48:54" x14ac:dyDescent="0.3">
      <c r="AV441" t="s">
        <v>789</v>
      </c>
      <c r="AW441" t="s">
        <v>139</v>
      </c>
      <c r="AX441" t="s">
        <v>547</v>
      </c>
      <c r="AY441" s="81" t="s">
        <v>1656</v>
      </c>
      <c r="AZ441" t="s">
        <v>1657</v>
      </c>
      <c r="BA441" t="s">
        <v>125</v>
      </c>
      <c r="BB441" t="str">
        <f t="shared" si="6"/>
        <v>CCFNbeKonshisha</v>
      </c>
    </row>
    <row r="442" spans="48:54" x14ac:dyDescent="0.3">
      <c r="AV442" t="s">
        <v>789</v>
      </c>
      <c r="AW442" t="s">
        <v>139</v>
      </c>
      <c r="AX442" t="s">
        <v>548</v>
      </c>
      <c r="AY442" s="81" t="s">
        <v>1658</v>
      </c>
      <c r="AZ442" t="s">
        <v>1659</v>
      </c>
      <c r="BA442" t="s">
        <v>125</v>
      </c>
      <c r="BB442" t="str">
        <f t="shared" si="6"/>
        <v>CCFNbeKwande</v>
      </c>
    </row>
    <row r="443" spans="48:54" x14ac:dyDescent="0.3">
      <c r="AV443" t="s">
        <v>789</v>
      </c>
      <c r="AW443" t="s">
        <v>139</v>
      </c>
      <c r="AX443" t="s">
        <v>548</v>
      </c>
      <c r="AY443" s="81" t="s">
        <v>1660</v>
      </c>
      <c r="AZ443" t="s">
        <v>1661</v>
      </c>
      <c r="BA443" t="s">
        <v>125</v>
      </c>
      <c r="BB443" t="str">
        <f t="shared" si="6"/>
        <v>CCFNbeKwande</v>
      </c>
    </row>
    <row r="444" spans="48:54" x14ac:dyDescent="0.3">
      <c r="AV444" t="s">
        <v>789</v>
      </c>
      <c r="AW444" t="s">
        <v>139</v>
      </c>
      <c r="AX444" t="s">
        <v>548</v>
      </c>
      <c r="AY444" s="81" t="s">
        <v>1662</v>
      </c>
      <c r="AZ444" t="s">
        <v>1663</v>
      </c>
      <c r="BA444" t="s">
        <v>125</v>
      </c>
      <c r="BB444" t="str">
        <f t="shared" si="6"/>
        <v>CCFNbeKwande</v>
      </c>
    </row>
    <row r="445" spans="48:54" x14ac:dyDescent="0.3">
      <c r="AV445" t="s">
        <v>789</v>
      </c>
      <c r="AW445" t="s">
        <v>139</v>
      </c>
      <c r="AX445" t="s">
        <v>548</v>
      </c>
      <c r="AY445" s="81" t="s">
        <v>1664</v>
      </c>
      <c r="AZ445" t="s">
        <v>1665</v>
      </c>
      <c r="BA445" t="s">
        <v>125</v>
      </c>
      <c r="BB445" t="str">
        <f t="shared" si="6"/>
        <v>CCFNbeKwande</v>
      </c>
    </row>
    <row r="446" spans="48:54" x14ac:dyDescent="0.3">
      <c r="AV446" t="s">
        <v>789</v>
      </c>
      <c r="AW446" t="s">
        <v>139</v>
      </c>
      <c r="AX446" t="s">
        <v>549</v>
      </c>
      <c r="AY446" s="81" t="s">
        <v>1666</v>
      </c>
      <c r="AZ446" t="s">
        <v>1667</v>
      </c>
      <c r="BA446" t="s">
        <v>125</v>
      </c>
      <c r="BB446" t="str">
        <f t="shared" si="6"/>
        <v>CCFNbeLogo</v>
      </c>
    </row>
    <row r="447" spans="48:54" x14ac:dyDescent="0.3">
      <c r="AV447" t="s">
        <v>789</v>
      </c>
      <c r="AW447" t="s">
        <v>139</v>
      </c>
      <c r="AX447" t="s">
        <v>549</v>
      </c>
      <c r="AY447" s="81" t="s">
        <v>1668</v>
      </c>
      <c r="AZ447" t="s">
        <v>1669</v>
      </c>
      <c r="BA447" t="s">
        <v>125</v>
      </c>
      <c r="BB447" t="str">
        <f t="shared" si="6"/>
        <v>CCFNbeLogo</v>
      </c>
    </row>
    <row r="448" spans="48:54" x14ac:dyDescent="0.3">
      <c r="AV448" t="s">
        <v>789</v>
      </c>
      <c r="AW448" t="s">
        <v>139</v>
      </c>
      <c r="AX448" t="s">
        <v>550</v>
      </c>
      <c r="AY448" s="81" t="s">
        <v>1670</v>
      </c>
      <c r="AZ448" t="s">
        <v>1671</v>
      </c>
      <c r="BA448" t="s">
        <v>125</v>
      </c>
      <c r="BB448" t="str">
        <f t="shared" si="6"/>
        <v>CCFNbeMakurdi</v>
      </c>
    </row>
    <row r="449" spans="48:54" x14ac:dyDescent="0.3">
      <c r="AV449" t="s">
        <v>789</v>
      </c>
      <c r="AW449" t="s">
        <v>139</v>
      </c>
      <c r="AX449" t="s">
        <v>551</v>
      </c>
      <c r="AY449" s="81" t="s">
        <v>1672</v>
      </c>
      <c r="AZ449" t="s">
        <v>1673</v>
      </c>
      <c r="BA449" t="s">
        <v>125</v>
      </c>
      <c r="BB449" t="str">
        <f t="shared" si="6"/>
        <v>CCFNbeOkpokwu</v>
      </c>
    </row>
    <row r="450" spans="48:54" x14ac:dyDescent="0.3">
      <c r="AV450" t="s">
        <v>789</v>
      </c>
      <c r="AW450" t="s">
        <v>139</v>
      </c>
      <c r="AX450" t="s">
        <v>551</v>
      </c>
      <c r="AY450" s="81" t="s">
        <v>1674</v>
      </c>
      <c r="AZ450" t="s">
        <v>1675</v>
      </c>
      <c r="BA450" t="s">
        <v>125</v>
      </c>
      <c r="BB450" t="str">
        <f t="shared" si="6"/>
        <v>CCFNbeOkpokwu</v>
      </c>
    </row>
    <row r="451" spans="48:54" x14ac:dyDescent="0.3">
      <c r="AV451" t="s">
        <v>789</v>
      </c>
      <c r="AW451" t="s">
        <v>139</v>
      </c>
      <c r="AX451" t="s">
        <v>551</v>
      </c>
      <c r="AY451" s="81" t="s">
        <v>1676</v>
      </c>
      <c r="AZ451" t="s">
        <v>1677</v>
      </c>
      <c r="BA451" t="s">
        <v>125</v>
      </c>
      <c r="BB451" t="str">
        <f t="shared" ref="BB451:BB514" si="7">SUBSTITUTE(SUBSTITUTE(BA451&amp;AX451," ",""),"-","")</f>
        <v>CCFNbeOkpokwu</v>
      </c>
    </row>
    <row r="452" spans="48:54" x14ac:dyDescent="0.3">
      <c r="AV452" t="s">
        <v>789</v>
      </c>
      <c r="AW452" t="s">
        <v>139</v>
      </c>
      <c r="AX452" t="s">
        <v>552</v>
      </c>
      <c r="AY452" s="81" t="s">
        <v>1678</v>
      </c>
      <c r="AZ452" t="s">
        <v>1679</v>
      </c>
      <c r="BA452" t="s">
        <v>125</v>
      </c>
      <c r="BB452" t="str">
        <f t="shared" si="7"/>
        <v>CCFNbeOtukpo</v>
      </c>
    </row>
    <row r="453" spans="48:54" x14ac:dyDescent="0.3">
      <c r="AV453" t="s">
        <v>789</v>
      </c>
      <c r="AW453" t="s">
        <v>139</v>
      </c>
      <c r="AX453" t="s">
        <v>552</v>
      </c>
      <c r="AY453" s="81" t="s">
        <v>1680</v>
      </c>
      <c r="AZ453" t="s">
        <v>1681</v>
      </c>
      <c r="BA453" t="s">
        <v>125</v>
      </c>
      <c r="BB453" t="str">
        <f t="shared" si="7"/>
        <v>CCFNbeOtukpo</v>
      </c>
    </row>
    <row r="454" spans="48:54" x14ac:dyDescent="0.3">
      <c r="AV454" t="s">
        <v>789</v>
      </c>
      <c r="AW454" t="s">
        <v>139</v>
      </c>
      <c r="AX454" t="s">
        <v>552</v>
      </c>
      <c r="AY454" s="81" t="s">
        <v>1682</v>
      </c>
      <c r="AZ454" t="s">
        <v>1683</v>
      </c>
      <c r="BA454" t="s">
        <v>125</v>
      </c>
      <c r="BB454" t="str">
        <f t="shared" si="7"/>
        <v>CCFNbeOtukpo</v>
      </c>
    </row>
    <row r="455" spans="48:54" x14ac:dyDescent="0.3">
      <c r="AV455" t="s">
        <v>789</v>
      </c>
      <c r="AW455" t="s">
        <v>139</v>
      </c>
      <c r="AX455" t="s">
        <v>553</v>
      </c>
      <c r="AY455" s="81" t="s">
        <v>1684</v>
      </c>
      <c r="AZ455" t="s">
        <v>1685</v>
      </c>
      <c r="BA455" t="s">
        <v>125</v>
      </c>
      <c r="BB455" t="str">
        <f t="shared" si="7"/>
        <v>CCFNbeTarka</v>
      </c>
    </row>
    <row r="456" spans="48:54" x14ac:dyDescent="0.3">
      <c r="AV456" t="s">
        <v>789</v>
      </c>
      <c r="AW456" t="s">
        <v>139</v>
      </c>
      <c r="AX456" t="s">
        <v>553</v>
      </c>
      <c r="AY456" s="81" t="s">
        <v>1686</v>
      </c>
      <c r="AZ456" t="s">
        <v>1687</v>
      </c>
      <c r="BA456" t="s">
        <v>125</v>
      </c>
      <c r="BB456" t="str">
        <f t="shared" si="7"/>
        <v>CCFNbeTarka</v>
      </c>
    </row>
    <row r="457" spans="48:54" x14ac:dyDescent="0.3">
      <c r="AV457" t="s">
        <v>789</v>
      </c>
      <c r="AW457" t="s">
        <v>139</v>
      </c>
      <c r="AX457" t="s">
        <v>554</v>
      </c>
      <c r="AY457" s="81" t="s">
        <v>1688</v>
      </c>
      <c r="AZ457" t="s">
        <v>1689</v>
      </c>
      <c r="BA457" t="s">
        <v>125</v>
      </c>
      <c r="BB457" t="str">
        <f t="shared" si="7"/>
        <v>CCFNbeUkum</v>
      </c>
    </row>
    <row r="458" spans="48:54" x14ac:dyDescent="0.3">
      <c r="AV458" t="s">
        <v>789</v>
      </c>
      <c r="AW458" t="s">
        <v>139</v>
      </c>
      <c r="AX458" t="s">
        <v>554</v>
      </c>
      <c r="AY458" s="81" t="s">
        <v>1690</v>
      </c>
      <c r="AZ458" t="s">
        <v>1691</v>
      </c>
      <c r="BA458" t="s">
        <v>125</v>
      </c>
      <c r="BB458" t="str">
        <f t="shared" si="7"/>
        <v>CCFNbeUkum</v>
      </c>
    </row>
    <row r="459" spans="48:54" x14ac:dyDescent="0.3">
      <c r="AV459" t="s">
        <v>789</v>
      </c>
      <c r="AW459" t="s">
        <v>139</v>
      </c>
      <c r="AX459" t="s">
        <v>554</v>
      </c>
      <c r="AY459" s="81" t="s">
        <v>1692</v>
      </c>
      <c r="AZ459" t="s">
        <v>1693</v>
      </c>
      <c r="BA459" t="s">
        <v>125</v>
      </c>
      <c r="BB459" t="str">
        <f t="shared" si="7"/>
        <v>CCFNbeUkum</v>
      </c>
    </row>
    <row r="460" spans="48:54" x14ac:dyDescent="0.3">
      <c r="AV460" t="s">
        <v>789</v>
      </c>
      <c r="AW460" t="s">
        <v>139</v>
      </c>
      <c r="AX460" t="s">
        <v>555</v>
      </c>
      <c r="AY460" s="81" t="s">
        <v>1694</v>
      </c>
      <c r="AZ460" t="s">
        <v>1695</v>
      </c>
      <c r="BA460" t="s">
        <v>125</v>
      </c>
      <c r="BB460" t="str">
        <f t="shared" si="7"/>
        <v>CCFNbeUshongo</v>
      </c>
    </row>
    <row r="461" spans="48:54" x14ac:dyDescent="0.3">
      <c r="AV461" t="s">
        <v>789</v>
      </c>
      <c r="AW461" t="s">
        <v>139</v>
      </c>
      <c r="AX461" t="s">
        <v>555</v>
      </c>
      <c r="AY461" s="81" t="s">
        <v>1696</v>
      </c>
      <c r="AZ461" t="s">
        <v>1697</v>
      </c>
      <c r="BA461" t="s">
        <v>125</v>
      </c>
      <c r="BB461" t="str">
        <f t="shared" si="7"/>
        <v>CCFNbeUshongo</v>
      </c>
    </row>
    <row r="462" spans="48:54" x14ac:dyDescent="0.3">
      <c r="AV462" t="s">
        <v>789</v>
      </c>
      <c r="AW462" t="s">
        <v>139</v>
      </c>
      <c r="AX462" t="s">
        <v>555</v>
      </c>
      <c r="AY462" s="81" t="s">
        <v>1698</v>
      </c>
      <c r="AZ462" t="s">
        <v>1699</v>
      </c>
      <c r="BA462" t="s">
        <v>125</v>
      </c>
      <c r="BB462" t="str">
        <f t="shared" si="7"/>
        <v>CCFNbeUshongo</v>
      </c>
    </row>
    <row r="463" spans="48:54" x14ac:dyDescent="0.3">
      <c r="AV463" t="s">
        <v>789</v>
      </c>
      <c r="AW463" t="s">
        <v>139</v>
      </c>
      <c r="AX463" t="s">
        <v>555</v>
      </c>
      <c r="AY463" s="81" t="s">
        <v>1700</v>
      </c>
      <c r="AZ463" t="s">
        <v>1701</v>
      </c>
      <c r="BA463" t="s">
        <v>125</v>
      </c>
      <c r="BB463" t="str">
        <f t="shared" si="7"/>
        <v>CCFNbeUshongo</v>
      </c>
    </row>
    <row r="464" spans="48:54" x14ac:dyDescent="0.3">
      <c r="AV464" t="s">
        <v>789</v>
      </c>
      <c r="AW464" t="s">
        <v>139</v>
      </c>
      <c r="AX464" t="s">
        <v>555</v>
      </c>
      <c r="AY464" s="81" t="s">
        <v>1702</v>
      </c>
      <c r="AZ464" t="s">
        <v>1703</v>
      </c>
      <c r="BA464" t="s">
        <v>125</v>
      </c>
      <c r="BB464" t="str">
        <f t="shared" si="7"/>
        <v>CCFNbeUshongo</v>
      </c>
    </row>
    <row r="465" spans="48:54" x14ac:dyDescent="0.3">
      <c r="AV465" t="s">
        <v>789</v>
      </c>
      <c r="AW465" t="s">
        <v>139</v>
      </c>
      <c r="AX465" t="s">
        <v>555</v>
      </c>
      <c r="AY465" s="81" t="s">
        <v>1704</v>
      </c>
      <c r="AZ465" t="s">
        <v>1705</v>
      </c>
      <c r="BA465" t="s">
        <v>125</v>
      </c>
      <c r="BB465" t="str">
        <f t="shared" si="7"/>
        <v>CCFNbeUshongo</v>
      </c>
    </row>
    <row r="466" spans="48:54" x14ac:dyDescent="0.3">
      <c r="AV466" t="s">
        <v>789</v>
      </c>
      <c r="AW466" t="s">
        <v>139</v>
      </c>
      <c r="AX466" t="s">
        <v>555</v>
      </c>
      <c r="AY466" s="81" t="s">
        <v>1706</v>
      </c>
      <c r="AZ466" t="s">
        <v>1707</v>
      </c>
      <c r="BA466" t="s">
        <v>125</v>
      </c>
      <c r="BB466" t="str">
        <f t="shared" si="7"/>
        <v>CCFNbeUshongo</v>
      </c>
    </row>
    <row r="467" spans="48:54" x14ac:dyDescent="0.3">
      <c r="AV467" t="s">
        <v>789</v>
      </c>
      <c r="AW467" t="s">
        <v>139</v>
      </c>
      <c r="AX467" t="s">
        <v>556</v>
      </c>
      <c r="AY467" s="81" t="s">
        <v>1708</v>
      </c>
      <c r="AZ467" t="s">
        <v>1709</v>
      </c>
      <c r="BA467" t="s">
        <v>125</v>
      </c>
      <c r="BB467" t="str">
        <f t="shared" si="7"/>
        <v>CCFNbeVandeikya</v>
      </c>
    </row>
    <row r="468" spans="48:54" x14ac:dyDescent="0.3">
      <c r="AV468" t="s">
        <v>789</v>
      </c>
      <c r="AW468" t="s">
        <v>139</v>
      </c>
      <c r="AX468" t="s">
        <v>556</v>
      </c>
      <c r="AY468" s="81" t="s">
        <v>1710</v>
      </c>
      <c r="AZ468" t="s">
        <v>1711</v>
      </c>
      <c r="BA468" t="s">
        <v>125</v>
      </c>
      <c r="BB468" t="str">
        <f t="shared" si="7"/>
        <v>CCFNbeVandeikya</v>
      </c>
    </row>
    <row r="469" spans="48:54" x14ac:dyDescent="0.3">
      <c r="AV469" t="s">
        <v>789</v>
      </c>
      <c r="AW469" t="s">
        <v>139</v>
      </c>
      <c r="AX469" t="s">
        <v>556</v>
      </c>
      <c r="AY469" s="81" t="s">
        <v>1712</v>
      </c>
      <c r="AZ469" t="s">
        <v>1713</v>
      </c>
      <c r="BA469" t="s">
        <v>125</v>
      </c>
      <c r="BB469" t="str">
        <f t="shared" si="7"/>
        <v>CCFNbeVandeikya</v>
      </c>
    </row>
    <row r="470" spans="48:54" x14ac:dyDescent="0.3">
      <c r="AV470" t="s">
        <v>789</v>
      </c>
      <c r="AW470" t="s">
        <v>139</v>
      </c>
      <c r="AX470" t="s">
        <v>556</v>
      </c>
      <c r="AY470" s="81" t="s">
        <v>1714</v>
      </c>
      <c r="AZ470" t="s">
        <v>1715</v>
      </c>
      <c r="BA470" t="s">
        <v>125</v>
      </c>
      <c r="BB470" t="str">
        <f t="shared" si="7"/>
        <v>CCFNbeVandeikya</v>
      </c>
    </row>
    <row r="471" spans="48:54" x14ac:dyDescent="0.3">
      <c r="AV471" t="s">
        <v>789</v>
      </c>
      <c r="AW471" t="s">
        <v>139</v>
      </c>
      <c r="AX471" t="s">
        <v>556</v>
      </c>
      <c r="AY471" s="81" t="s">
        <v>1716</v>
      </c>
      <c r="AZ471" t="s">
        <v>1717</v>
      </c>
      <c r="BA471" t="s">
        <v>125</v>
      </c>
      <c r="BB471" t="str">
        <f t="shared" si="7"/>
        <v>CCFNbeVandeikya</v>
      </c>
    </row>
    <row r="472" spans="48:54" x14ac:dyDescent="0.3">
      <c r="AV472" t="s">
        <v>789</v>
      </c>
      <c r="AW472" t="s">
        <v>139</v>
      </c>
      <c r="AX472" t="s">
        <v>556</v>
      </c>
      <c r="AY472" s="81" t="s">
        <v>1718</v>
      </c>
      <c r="AZ472" t="s">
        <v>1719</v>
      </c>
      <c r="BA472" t="s">
        <v>125</v>
      </c>
      <c r="BB472" t="str">
        <f t="shared" si="7"/>
        <v>CCFNbeVandeikya</v>
      </c>
    </row>
    <row r="473" spans="48:54" x14ac:dyDescent="0.3">
      <c r="AV473" t="s">
        <v>789</v>
      </c>
      <c r="AW473" t="s">
        <v>142</v>
      </c>
      <c r="AX473" t="s">
        <v>563</v>
      </c>
      <c r="AY473" s="81" t="s">
        <v>1720</v>
      </c>
      <c r="AZ473" t="s">
        <v>1721</v>
      </c>
      <c r="BA473" t="s">
        <v>125</v>
      </c>
      <c r="BB473" t="str">
        <f t="shared" si="7"/>
        <v>CCFNdeAniochaNorth</v>
      </c>
    </row>
    <row r="474" spans="48:54" x14ac:dyDescent="0.3">
      <c r="AV474" t="s">
        <v>789</v>
      </c>
      <c r="AW474" t="s">
        <v>142</v>
      </c>
      <c r="AX474" t="s">
        <v>564</v>
      </c>
      <c r="AY474" s="81" t="s">
        <v>1722</v>
      </c>
      <c r="AZ474" t="s">
        <v>1723</v>
      </c>
      <c r="BA474" t="s">
        <v>125</v>
      </c>
      <c r="BB474" t="str">
        <f t="shared" si="7"/>
        <v>CCFNdeEthiopeEast</v>
      </c>
    </row>
    <row r="475" spans="48:54" x14ac:dyDescent="0.3">
      <c r="AV475" t="s">
        <v>789</v>
      </c>
      <c r="AW475" t="s">
        <v>142</v>
      </c>
      <c r="AX475" t="s">
        <v>564</v>
      </c>
      <c r="AY475" s="81" t="s">
        <v>1724</v>
      </c>
      <c r="AZ475" t="s">
        <v>1725</v>
      </c>
      <c r="BA475" t="s">
        <v>125</v>
      </c>
      <c r="BB475" t="str">
        <f t="shared" si="7"/>
        <v>CCFNdeEthiopeEast</v>
      </c>
    </row>
    <row r="476" spans="48:54" x14ac:dyDescent="0.3">
      <c r="AV476" t="s">
        <v>789</v>
      </c>
      <c r="AW476" t="s">
        <v>142</v>
      </c>
      <c r="AX476" t="s">
        <v>565</v>
      </c>
      <c r="AY476" s="81" t="s">
        <v>1726</v>
      </c>
      <c r="AZ476" t="s">
        <v>1727</v>
      </c>
      <c r="BA476" t="s">
        <v>125</v>
      </c>
      <c r="BB476" t="str">
        <f t="shared" si="7"/>
        <v>CCFNdeSapele</v>
      </c>
    </row>
    <row r="477" spans="48:54" x14ac:dyDescent="0.3">
      <c r="AV477" t="s">
        <v>789</v>
      </c>
      <c r="AW477" t="s">
        <v>142</v>
      </c>
      <c r="AX477" t="s">
        <v>566</v>
      </c>
      <c r="AY477" s="81" t="s">
        <v>1728</v>
      </c>
      <c r="AZ477" t="s">
        <v>1729</v>
      </c>
      <c r="BA477" t="s">
        <v>125</v>
      </c>
      <c r="BB477" t="str">
        <f t="shared" si="7"/>
        <v>CCFNdeWarriNorth</v>
      </c>
    </row>
    <row r="478" spans="48:54" x14ac:dyDescent="0.3">
      <c r="AV478" t="s">
        <v>789</v>
      </c>
      <c r="AW478" t="s">
        <v>147</v>
      </c>
      <c r="AX478" t="s">
        <v>605</v>
      </c>
      <c r="AY478" s="81" t="s">
        <v>1730</v>
      </c>
      <c r="AZ478" t="s">
        <v>1731</v>
      </c>
      <c r="BA478" t="s">
        <v>125</v>
      </c>
      <c r="BB478" t="str">
        <f t="shared" si="7"/>
        <v>CCFNfcAbujaMunicipalAreaCouncil</v>
      </c>
    </row>
    <row r="479" spans="48:54" x14ac:dyDescent="0.3">
      <c r="AV479" t="s">
        <v>789</v>
      </c>
      <c r="AW479" t="s">
        <v>147</v>
      </c>
      <c r="AX479" t="s">
        <v>605</v>
      </c>
      <c r="AY479" s="81" t="s">
        <v>1732</v>
      </c>
      <c r="AZ479" t="s">
        <v>1733</v>
      </c>
      <c r="BA479" t="s">
        <v>125</v>
      </c>
      <c r="BB479" t="str">
        <f t="shared" si="7"/>
        <v>CCFNfcAbujaMunicipalAreaCouncil</v>
      </c>
    </row>
    <row r="480" spans="48:54" x14ac:dyDescent="0.3">
      <c r="AV480" t="s">
        <v>789</v>
      </c>
      <c r="AW480" t="s">
        <v>147</v>
      </c>
      <c r="AX480" t="s">
        <v>605</v>
      </c>
      <c r="AY480" s="81" t="s">
        <v>1734</v>
      </c>
      <c r="AZ480" t="s">
        <v>1735</v>
      </c>
      <c r="BA480" t="s">
        <v>125</v>
      </c>
      <c r="BB480" t="str">
        <f t="shared" si="7"/>
        <v>CCFNfcAbujaMunicipalAreaCouncil</v>
      </c>
    </row>
    <row r="481" spans="48:54" x14ac:dyDescent="0.3">
      <c r="AV481" t="s">
        <v>789</v>
      </c>
      <c r="AW481" t="s">
        <v>147</v>
      </c>
      <c r="AX481" t="s">
        <v>605</v>
      </c>
      <c r="AY481" s="81" t="s">
        <v>1736</v>
      </c>
      <c r="AZ481" t="s">
        <v>1737</v>
      </c>
      <c r="BA481" t="s">
        <v>125</v>
      </c>
      <c r="BB481" t="str">
        <f t="shared" si="7"/>
        <v>CCFNfcAbujaMunicipalAreaCouncil</v>
      </c>
    </row>
    <row r="482" spans="48:54" x14ac:dyDescent="0.3">
      <c r="AV482" t="s">
        <v>789</v>
      </c>
      <c r="AW482" t="s">
        <v>147</v>
      </c>
      <c r="AX482" t="s">
        <v>606</v>
      </c>
      <c r="AY482" s="81" t="s">
        <v>1738</v>
      </c>
      <c r="AZ482" t="s">
        <v>1739</v>
      </c>
      <c r="BA482" t="s">
        <v>125</v>
      </c>
      <c r="BB482" t="str">
        <f t="shared" si="7"/>
        <v>CCFNfcBwari</v>
      </c>
    </row>
    <row r="483" spans="48:54" x14ac:dyDescent="0.3">
      <c r="AV483" t="s">
        <v>789</v>
      </c>
      <c r="AW483" t="s">
        <v>147</v>
      </c>
      <c r="AX483" t="s">
        <v>606</v>
      </c>
      <c r="AY483" s="81" t="s">
        <v>1740</v>
      </c>
      <c r="AZ483" t="s">
        <v>1741</v>
      </c>
      <c r="BA483" t="s">
        <v>125</v>
      </c>
      <c r="BB483" t="str">
        <f t="shared" si="7"/>
        <v>CCFNfcBwari</v>
      </c>
    </row>
    <row r="484" spans="48:54" x14ac:dyDescent="0.3">
      <c r="AV484" t="s">
        <v>789</v>
      </c>
      <c r="AW484" t="s">
        <v>147</v>
      </c>
      <c r="AX484" t="s">
        <v>606</v>
      </c>
      <c r="AY484" s="81" t="s">
        <v>1742</v>
      </c>
      <c r="AZ484" t="s">
        <v>1743</v>
      </c>
      <c r="BA484" t="s">
        <v>125</v>
      </c>
      <c r="BB484" t="str">
        <f t="shared" si="7"/>
        <v>CCFNfcBwari</v>
      </c>
    </row>
    <row r="485" spans="48:54" x14ac:dyDescent="0.3">
      <c r="AV485" t="s">
        <v>789</v>
      </c>
      <c r="AW485" t="s">
        <v>151</v>
      </c>
      <c r="AX485" t="s">
        <v>649</v>
      </c>
      <c r="AY485" s="81" t="s">
        <v>1744</v>
      </c>
      <c r="AZ485" t="s">
        <v>1745</v>
      </c>
      <c r="BA485" t="s">
        <v>125</v>
      </c>
      <c r="BB485" t="str">
        <f t="shared" si="7"/>
        <v>CCFNkdChikun</v>
      </c>
    </row>
    <row r="486" spans="48:54" x14ac:dyDescent="0.3">
      <c r="AV486" t="s">
        <v>789</v>
      </c>
      <c r="AW486" t="s">
        <v>151</v>
      </c>
      <c r="AX486" t="s">
        <v>649</v>
      </c>
      <c r="AY486" s="81" t="s">
        <v>1746</v>
      </c>
      <c r="AZ486" t="s">
        <v>1747</v>
      </c>
      <c r="BA486" t="s">
        <v>125</v>
      </c>
      <c r="BB486" t="str">
        <f t="shared" si="7"/>
        <v>CCFNkdChikun</v>
      </c>
    </row>
    <row r="487" spans="48:54" x14ac:dyDescent="0.3">
      <c r="AV487" t="s">
        <v>789</v>
      </c>
      <c r="AW487" t="s">
        <v>151</v>
      </c>
      <c r="AX487" t="s">
        <v>3760</v>
      </c>
      <c r="AY487" s="81" t="s">
        <v>1748</v>
      </c>
      <c r="AZ487" t="s">
        <v>1749</v>
      </c>
      <c r="BA487" t="s">
        <v>125</v>
      </c>
      <c r="BB487" t="str">
        <f t="shared" si="7"/>
        <v>CCFNkdJemaa</v>
      </c>
    </row>
    <row r="488" spans="48:54" x14ac:dyDescent="0.3">
      <c r="AV488" t="s">
        <v>789</v>
      </c>
      <c r="AW488" t="s">
        <v>151</v>
      </c>
      <c r="AX488" t="s">
        <v>651</v>
      </c>
      <c r="AY488" s="81" t="s">
        <v>1750</v>
      </c>
      <c r="AZ488" t="s">
        <v>1751</v>
      </c>
      <c r="BA488" t="s">
        <v>125</v>
      </c>
      <c r="BB488" t="str">
        <f t="shared" si="7"/>
        <v>CCFNkdKadunaSouth</v>
      </c>
    </row>
    <row r="489" spans="48:54" x14ac:dyDescent="0.3">
      <c r="AV489" t="s">
        <v>789</v>
      </c>
      <c r="AW489" t="s">
        <v>151</v>
      </c>
      <c r="AX489" t="s">
        <v>652</v>
      </c>
      <c r="AY489" s="81" t="s">
        <v>1752</v>
      </c>
      <c r="AZ489" t="s">
        <v>1753</v>
      </c>
      <c r="BA489" t="s">
        <v>125</v>
      </c>
      <c r="BB489" t="str">
        <f t="shared" si="7"/>
        <v>CCFNkdKubau</v>
      </c>
    </row>
    <row r="490" spans="48:54" x14ac:dyDescent="0.3">
      <c r="AV490" t="s">
        <v>789</v>
      </c>
      <c r="AW490" t="s">
        <v>151</v>
      </c>
      <c r="AX490" t="s">
        <v>653</v>
      </c>
      <c r="AY490" s="81" t="s">
        <v>1754</v>
      </c>
      <c r="AZ490" t="s">
        <v>1755</v>
      </c>
      <c r="BA490" t="s">
        <v>125</v>
      </c>
      <c r="BB490" t="str">
        <f t="shared" si="7"/>
        <v>CCFNkdLere</v>
      </c>
    </row>
    <row r="491" spans="48:54" x14ac:dyDescent="0.3">
      <c r="AV491" t="s">
        <v>789</v>
      </c>
      <c r="AW491" t="s">
        <v>151</v>
      </c>
      <c r="AX491" t="s">
        <v>653</v>
      </c>
      <c r="AY491" s="81" t="s">
        <v>1756</v>
      </c>
      <c r="AZ491" t="s">
        <v>1757</v>
      </c>
      <c r="BA491" t="s">
        <v>125</v>
      </c>
      <c r="BB491" t="str">
        <f t="shared" si="7"/>
        <v>CCFNkdLere</v>
      </c>
    </row>
    <row r="492" spans="48:54" x14ac:dyDescent="0.3">
      <c r="AV492" t="s">
        <v>789</v>
      </c>
      <c r="AW492" t="s">
        <v>151</v>
      </c>
      <c r="AX492" t="s">
        <v>654</v>
      </c>
      <c r="AY492" s="81" t="s">
        <v>1758</v>
      </c>
      <c r="AZ492" t="s">
        <v>1759</v>
      </c>
      <c r="BA492" t="s">
        <v>125</v>
      </c>
      <c r="BB492" t="str">
        <f t="shared" si="7"/>
        <v>CCFNkdSanga</v>
      </c>
    </row>
    <row r="493" spans="48:54" x14ac:dyDescent="0.3">
      <c r="AV493" t="s">
        <v>789</v>
      </c>
      <c r="AW493" t="s">
        <v>151</v>
      </c>
      <c r="AX493" t="s">
        <v>655</v>
      </c>
      <c r="AY493" s="81" t="s">
        <v>1760</v>
      </c>
      <c r="AZ493" t="s">
        <v>1761</v>
      </c>
      <c r="BA493" t="s">
        <v>125</v>
      </c>
      <c r="BB493" t="str">
        <f t="shared" si="7"/>
        <v>CCFNkdZangoKataf</v>
      </c>
    </row>
    <row r="494" spans="48:54" x14ac:dyDescent="0.3">
      <c r="AV494" t="s">
        <v>789</v>
      </c>
      <c r="AW494" t="s">
        <v>151</v>
      </c>
      <c r="AX494" t="s">
        <v>655</v>
      </c>
      <c r="AY494" s="81" t="s">
        <v>1762</v>
      </c>
      <c r="AZ494" t="s">
        <v>1763</v>
      </c>
      <c r="BA494" t="s">
        <v>125</v>
      </c>
      <c r="BB494" t="str">
        <f t="shared" si="7"/>
        <v>CCFNkdZangoKataf</v>
      </c>
    </row>
    <row r="495" spans="48:54" x14ac:dyDescent="0.3">
      <c r="AV495" t="s">
        <v>789</v>
      </c>
      <c r="AW495" t="s">
        <v>155</v>
      </c>
      <c r="AX495" t="s">
        <v>678</v>
      </c>
      <c r="AY495" s="81" t="s">
        <v>1764</v>
      </c>
      <c r="AZ495" t="s">
        <v>1765</v>
      </c>
      <c r="BA495" t="s">
        <v>125</v>
      </c>
      <c r="BB495" t="str">
        <f t="shared" si="7"/>
        <v>CCFNkoDekina</v>
      </c>
    </row>
    <row r="496" spans="48:54" x14ac:dyDescent="0.3">
      <c r="AV496" t="s">
        <v>789</v>
      </c>
      <c r="AW496" t="s">
        <v>155</v>
      </c>
      <c r="AX496" t="s">
        <v>678</v>
      </c>
      <c r="AY496" s="81" t="s">
        <v>1766</v>
      </c>
      <c r="AZ496" t="s">
        <v>1767</v>
      </c>
      <c r="BA496" t="s">
        <v>125</v>
      </c>
      <c r="BB496" t="str">
        <f t="shared" si="7"/>
        <v>CCFNkoDekina</v>
      </c>
    </row>
    <row r="497" spans="48:54" x14ac:dyDescent="0.3">
      <c r="AV497" t="s">
        <v>789</v>
      </c>
      <c r="AW497" t="s">
        <v>155</v>
      </c>
      <c r="AX497" t="s">
        <v>678</v>
      </c>
      <c r="AY497" s="81" t="s">
        <v>1768</v>
      </c>
      <c r="AZ497" t="s">
        <v>1769</v>
      </c>
      <c r="BA497" t="s">
        <v>125</v>
      </c>
      <c r="BB497" t="str">
        <f t="shared" si="7"/>
        <v>CCFNkoDekina</v>
      </c>
    </row>
    <row r="498" spans="48:54" x14ac:dyDescent="0.3">
      <c r="AV498" t="s">
        <v>789</v>
      </c>
      <c r="AW498" t="s">
        <v>155</v>
      </c>
      <c r="AX498" t="s">
        <v>679</v>
      </c>
      <c r="AY498" s="81" t="s">
        <v>1770</v>
      </c>
      <c r="AZ498" t="s">
        <v>1771</v>
      </c>
      <c r="BA498" t="s">
        <v>125</v>
      </c>
      <c r="BB498" t="str">
        <f t="shared" si="7"/>
        <v>CCFNkoIdah</v>
      </c>
    </row>
    <row r="499" spans="48:54" x14ac:dyDescent="0.3">
      <c r="AV499" t="s">
        <v>789</v>
      </c>
      <c r="AW499" t="s">
        <v>155</v>
      </c>
      <c r="AX499" t="s">
        <v>3829</v>
      </c>
      <c r="AY499" s="81" t="s">
        <v>3833</v>
      </c>
      <c r="AZ499" t="s">
        <v>1772</v>
      </c>
      <c r="BA499" t="s">
        <v>125</v>
      </c>
      <c r="BB499" t="str">
        <f t="shared" si="7"/>
        <v>CCFNkoKabbaBunu</v>
      </c>
    </row>
    <row r="500" spans="48:54" x14ac:dyDescent="0.3">
      <c r="AV500" t="s">
        <v>789</v>
      </c>
      <c r="AW500" t="s">
        <v>157</v>
      </c>
      <c r="AX500" t="s">
        <v>693</v>
      </c>
      <c r="AY500" s="81" t="s">
        <v>1773</v>
      </c>
      <c r="AZ500" t="s">
        <v>1774</v>
      </c>
      <c r="BA500" t="s">
        <v>125</v>
      </c>
      <c r="BB500" t="str">
        <f t="shared" si="7"/>
        <v>CCFNlaAlimosho</v>
      </c>
    </row>
    <row r="501" spans="48:54" x14ac:dyDescent="0.3">
      <c r="AV501" t="s">
        <v>789</v>
      </c>
      <c r="AW501" t="s">
        <v>157</v>
      </c>
      <c r="AX501" t="s">
        <v>693</v>
      </c>
      <c r="AY501" s="81" t="s">
        <v>1775</v>
      </c>
      <c r="AZ501" t="s">
        <v>1776</v>
      </c>
      <c r="BA501" t="s">
        <v>125</v>
      </c>
      <c r="BB501" t="str">
        <f t="shared" si="7"/>
        <v>CCFNlaAlimosho</v>
      </c>
    </row>
    <row r="502" spans="48:54" x14ac:dyDescent="0.3">
      <c r="AV502" t="s">
        <v>789</v>
      </c>
      <c r="AW502" t="s">
        <v>157</v>
      </c>
      <c r="AX502" t="s">
        <v>693</v>
      </c>
      <c r="AY502" s="81" t="s">
        <v>1777</v>
      </c>
      <c r="AZ502" t="s">
        <v>1778</v>
      </c>
      <c r="BA502" t="s">
        <v>125</v>
      </c>
      <c r="BB502" t="str">
        <f t="shared" si="7"/>
        <v>CCFNlaAlimosho</v>
      </c>
    </row>
    <row r="503" spans="48:54" x14ac:dyDescent="0.3">
      <c r="AV503" t="s">
        <v>789</v>
      </c>
      <c r="AW503" t="s">
        <v>157</v>
      </c>
      <c r="AX503" t="s">
        <v>693</v>
      </c>
      <c r="AY503" s="81" t="s">
        <v>1779</v>
      </c>
      <c r="AZ503" t="s">
        <v>1780</v>
      </c>
      <c r="BA503" t="s">
        <v>125</v>
      </c>
      <c r="BB503" t="str">
        <f t="shared" si="7"/>
        <v>CCFNlaAlimosho</v>
      </c>
    </row>
    <row r="504" spans="48:54" x14ac:dyDescent="0.3">
      <c r="AV504" t="s">
        <v>789</v>
      </c>
      <c r="AW504" t="s">
        <v>157</v>
      </c>
      <c r="AX504" t="s">
        <v>693</v>
      </c>
      <c r="AY504" s="81" t="s">
        <v>1781</v>
      </c>
      <c r="AZ504" t="s">
        <v>1782</v>
      </c>
      <c r="BA504" t="s">
        <v>125</v>
      </c>
      <c r="BB504" t="str">
        <f t="shared" si="7"/>
        <v>CCFNlaAlimosho</v>
      </c>
    </row>
    <row r="505" spans="48:54" x14ac:dyDescent="0.3">
      <c r="AV505" t="s">
        <v>789</v>
      </c>
      <c r="AW505" t="s">
        <v>157</v>
      </c>
      <c r="AX505" t="s">
        <v>699</v>
      </c>
      <c r="AY505" s="81" t="s">
        <v>1783</v>
      </c>
      <c r="AZ505" t="s">
        <v>1784</v>
      </c>
      <c r="BA505" t="s">
        <v>125</v>
      </c>
      <c r="BB505" t="str">
        <f t="shared" si="7"/>
        <v>CCFNlaIkeja</v>
      </c>
    </row>
    <row r="506" spans="48:54" x14ac:dyDescent="0.3">
      <c r="AV506" t="s">
        <v>789</v>
      </c>
      <c r="AW506" t="s">
        <v>157</v>
      </c>
      <c r="AX506" t="s">
        <v>699</v>
      </c>
      <c r="AY506" s="81" t="s">
        <v>1785</v>
      </c>
      <c r="AZ506" t="s">
        <v>1786</v>
      </c>
      <c r="BA506" t="s">
        <v>125</v>
      </c>
      <c r="BB506" t="str">
        <f t="shared" si="7"/>
        <v>CCFNlaIkeja</v>
      </c>
    </row>
    <row r="507" spans="48:54" x14ac:dyDescent="0.3">
      <c r="AV507" t="s">
        <v>789</v>
      </c>
      <c r="AW507" t="s">
        <v>158</v>
      </c>
      <c r="AX507" t="s">
        <v>703</v>
      </c>
      <c r="AY507" s="81" t="s">
        <v>1787</v>
      </c>
      <c r="AZ507" t="s">
        <v>1788</v>
      </c>
      <c r="BA507" t="s">
        <v>125</v>
      </c>
      <c r="BB507" t="str">
        <f t="shared" si="7"/>
        <v>CCFNnaAkwanga</v>
      </c>
    </row>
    <row r="508" spans="48:54" x14ac:dyDescent="0.3">
      <c r="AV508" t="s">
        <v>789</v>
      </c>
      <c r="AW508" t="s">
        <v>158</v>
      </c>
      <c r="AX508" t="s">
        <v>704</v>
      </c>
      <c r="AY508" s="81" t="s">
        <v>1789</v>
      </c>
      <c r="AZ508" t="s">
        <v>1790</v>
      </c>
      <c r="BA508" t="s">
        <v>125</v>
      </c>
      <c r="BB508" t="str">
        <f t="shared" si="7"/>
        <v>CCFNnaDoma</v>
      </c>
    </row>
    <row r="509" spans="48:54" x14ac:dyDescent="0.3">
      <c r="AV509" t="s">
        <v>789</v>
      </c>
      <c r="AW509" t="s">
        <v>158</v>
      </c>
      <c r="AX509" t="s">
        <v>704</v>
      </c>
      <c r="AY509" s="81" t="s">
        <v>1791</v>
      </c>
      <c r="AZ509" t="s">
        <v>1792</v>
      </c>
      <c r="BA509" t="s">
        <v>125</v>
      </c>
      <c r="BB509" t="str">
        <f t="shared" si="7"/>
        <v>CCFNnaDoma</v>
      </c>
    </row>
    <row r="510" spans="48:54" x14ac:dyDescent="0.3">
      <c r="AV510" t="s">
        <v>789</v>
      </c>
      <c r="AW510" t="s">
        <v>158</v>
      </c>
      <c r="AX510" t="s">
        <v>705</v>
      </c>
      <c r="AY510" s="81" t="s">
        <v>1793</v>
      </c>
      <c r="AZ510" t="s">
        <v>1794</v>
      </c>
      <c r="BA510" t="s">
        <v>125</v>
      </c>
      <c r="BB510" t="str">
        <f t="shared" si="7"/>
        <v>CCFNnaKeffi</v>
      </c>
    </row>
    <row r="511" spans="48:54" x14ac:dyDescent="0.3">
      <c r="AV511" t="s">
        <v>789</v>
      </c>
      <c r="AW511" t="s">
        <v>158</v>
      </c>
      <c r="AX511" t="s">
        <v>706</v>
      </c>
      <c r="AY511" s="81" t="s">
        <v>1795</v>
      </c>
      <c r="AZ511" t="s">
        <v>1796</v>
      </c>
      <c r="BA511" t="s">
        <v>125</v>
      </c>
      <c r="BB511" t="str">
        <f t="shared" si="7"/>
        <v>CCFNnaLafia</v>
      </c>
    </row>
    <row r="512" spans="48:54" x14ac:dyDescent="0.3">
      <c r="AV512" t="s">
        <v>789</v>
      </c>
      <c r="AW512" t="s">
        <v>158</v>
      </c>
      <c r="AX512" t="s">
        <v>706</v>
      </c>
      <c r="AY512" s="81" t="s">
        <v>1797</v>
      </c>
      <c r="AZ512" t="s">
        <v>1798</v>
      </c>
      <c r="BA512" t="s">
        <v>125</v>
      </c>
      <c r="BB512" t="str">
        <f t="shared" si="7"/>
        <v>CCFNnaLafia</v>
      </c>
    </row>
    <row r="513" spans="48:54" x14ac:dyDescent="0.3">
      <c r="AV513" t="s">
        <v>789</v>
      </c>
      <c r="AW513" t="s">
        <v>158</v>
      </c>
      <c r="AX513" t="s">
        <v>707</v>
      </c>
      <c r="AY513" s="81" t="s">
        <v>1799</v>
      </c>
      <c r="AZ513" t="s">
        <v>1800</v>
      </c>
      <c r="BA513" t="s">
        <v>125</v>
      </c>
      <c r="BB513" t="str">
        <f t="shared" si="7"/>
        <v>CCFNnaObi</v>
      </c>
    </row>
    <row r="514" spans="48:54" x14ac:dyDescent="0.3">
      <c r="AV514" t="s">
        <v>789</v>
      </c>
      <c r="AW514" t="s">
        <v>158</v>
      </c>
      <c r="AX514" t="s">
        <v>707</v>
      </c>
      <c r="AY514" s="81" t="s">
        <v>1801</v>
      </c>
      <c r="AZ514" t="s">
        <v>1802</v>
      </c>
      <c r="BA514" t="s">
        <v>125</v>
      </c>
      <c r="BB514" t="str">
        <f t="shared" si="7"/>
        <v>CCFNnaObi</v>
      </c>
    </row>
    <row r="515" spans="48:54" x14ac:dyDescent="0.3">
      <c r="AV515" t="s">
        <v>789</v>
      </c>
      <c r="AW515" t="s">
        <v>158</v>
      </c>
      <c r="AX515" t="s">
        <v>707</v>
      </c>
      <c r="AY515" s="81" t="s">
        <v>1803</v>
      </c>
      <c r="AZ515" t="s">
        <v>1804</v>
      </c>
      <c r="BA515" t="s">
        <v>125</v>
      </c>
      <c r="BB515" t="str">
        <f t="shared" ref="BB515:BB578" si="8">SUBSTITUTE(SUBSTITUTE(BA515&amp;AX515," ",""),"-","")</f>
        <v>CCFNnaObi</v>
      </c>
    </row>
    <row r="516" spans="48:54" x14ac:dyDescent="0.3">
      <c r="AV516" t="s">
        <v>789</v>
      </c>
      <c r="AW516" t="s">
        <v>158</v>
      </c>
      <c r="AX516" t="s">
        <v>707</v>
      </c>
      <c r="AY516" s="81" t="s">
        <v>1805</v>
      </c>
      <c r="AZ516" t="s">
        <v>1806</v>
      </c>
      <c r="BA516" t="s">
        <v>125</v>
      </c>
      <c r="BB516" t="str">
        <f t="shared" si="8"/>
        <v>CCFNnaObi</v>
      </c>
    </row>
    <row r="517" spans="48:54" x14ac:dyDescent="0.3">
      <c r="AV517" t="s">
        <v>789</v>
      </c>
      <c r="AW517" t="s">
        <v>160</v>
      </c>
      <c r="AX517" t="s">
        <v>719</v>
      </c>
      <c r="AY517" s="81" t="s">
        <v>1807</v>
      </c>
      <c r="AZ517" t="s">
        <v>1808</v>
      </c>
      <c r="BA517" t="s">
        <v>125</v>
      </c>
      <c r="BB517" t="str">
        <f t="shared" si="8"/>
        <v>CCFNogIfo</v>
      </c>
    </row>
    <row r="518" spans="48:54" x14ac:dyDescent="0.3">
      <c r="AV518" t="s">
        <v>789</v>
      </c>
      <c r="AW518" t="s">
        <v>160</v>
      </c>
      <c r="AX518" t="s">
        <v>717</v>
      </c>
      <c r="AY518" s="81" t="s">
        <v>1809</v>
      </c>
      <c r="AZ518" t="s">
        <v>1810</v>
      </c>
      <c r="BA518" t="s">
        <v>125</v>
      </c>
      <c r="BB518" t="str">
        <f t="shared" si="8"/>
        <v>CCFNogYewaNorth</v>
      </c>
    </row>
    <row r="519" spans="48:54" x14ac:dyDescent="0.3">
      <c r="AV519" t="s">
        <v>789</v>
      </c>
      <c r="AW519" t="s">
        <v>161</v>
      </c>
      <c r="AX519" t="s">
        <v>724</v>
      </c>
      <c r="AY519" s="81" t="s">
        <v>1811</v>
      </c>
      <c r="AZ519" t="s">
        <v>1812</v>
      </c>
      <c r="BA519" t="s">
        <v>125</v>
      </c>
      <c r="BB519" t="str">
        <f t="shared" si="8"/>
        <v>CCFNonAkokoSouthWest</v>
      </c>
    </row>
    <row r="520" spans="48:54" x14ac:dyDescent="0.3">
      <c r="AV520" t="s">
        <v>789</v>
      </c>
      <c r="AW520" t="s">
        <v>161</v>
      </c>
      <c r="AX520" t="s">
        <v>725</v>
      </c>
      <c r="AY520" s="81" t="s">
        <v>1813</v>
      </c>
      <c r="AZ520" t="s">
        <v>1814</v>
      </c>
      <c r="BA520" t="s">
        <v>125</v>
      </c>
      <c r="BB520" t="str">
        <f t="shared" si="8"/>
        <v>CCFNonEseOdo</v>
      </c>
    </row>
    <row r="521" spans="48:54" x14ac:dyDescent="0.3">
      <c r="AV521" t="s">
        <v>789</v>
      </c>
      <c r="AW521" t="s">
        <v>161</v>
      </c>
      <c r="AX521" t="s">
        <v>726</v>
      </c>
      <c r="AY521" s="81" t="s">
        <v>1815</v>
      </c>
      <c r="AZ521" t="s">
        <v>1816</v>
      </c>
      <c r="BA521" t="s">
        <v>125</v>
      </c>
      <c r="BB521" t="str">
        <f t="shared" si="8"/>
        <v>CCFNonOndoWest</v>
      </c>
    </row>
    <row r="522" spans="48:54" x14ac:dyDescent="0.3">
      <c r="AV522" t="s">
        <v>789</v>
      </c>
      <c r="AW522" t="s">
        <v>161</v>
      </c>
      <c r="AX522" t="s">
        <v>727</v>
      </c>
      <c r="AY522" s="81" t="s">
        <v>1817</v>
      </c>
      <c r="AZ522" t="s">
        <v>1818</v>
      </c>
      <c r="BA522" t="s">
        <v>125</v>
      </c>
      <c r="BB522" t="str">
        <f t="shared" si="8"/>
        <v>CCFNonOwo</v>
      </c>
    </row>
    <row r="523" spans="48:54" x14ac:dyDescent="0.3">
      <c r="AV523" t="s">
        <v>789</v>
      </c>
      <c r="AW523" t="s">
        <v>162</v>
      </c>
      <c r="AX523" t="s">
        <v>731</v>
      </c>
      <c r="AY523" s="81" t="s">
        <v>1819</v>
      </c>
      <c r="AZ523" t="s">
        <v>1820</v>
      </c>
      <c r="BA523" t="s">
        <v>125</v>
      </c>
      <c r="BB523" t="str">
        <f t="shared" si="8"/>
        <v>CCFNosIfeNorth</v>
      </c>
    </row>
    <row r="524" spans="48:54" x14ac:dyDescent="0.3">
      <c r="AV524" t="s">
        <v>789</v>
      </c>
      <c r="AW524" t="s">
        <v>162</v>
      </c>
      <c r="AX524" t="s">
        <v>732</v>
      </c>
      <c r="AY524" s="81" t="s">
        <v>1821</v>
      </c>
      <c r="AZ524" t="s">
        <v>1822</v>
      </c>
      <c r="BA524" t="s">
        <v>125</v>
      </c>
      <c r="BB524" t="str">
        <f t="shared" si="8"/>
        <v>CCFNosIsokan</v>
      </c>
    </row>
    <row r="525" spans="48:54" x14ac:dyDescent="0.3">
      <c r="AV525" t="s">
        <v>789</v>
      </c>
      <c r="AW525" t="s">
        <v>162</v>
      </c>
      <c r="AX525" t="s">
        <v>733</v>
      </c>
      <c r="AY525" s="81" t="s">
        <v>1823</v>
      </c>
      <c r="AZ525" t="s">
        <v>1824</v>
      </c>
      <c r="BA525" t="s">
        <v>125</v>
      </c>
      <c r="BB525" t="str">
        <f t="shared" si="8"/>
        <v>CCFNosIwo</v>
      </c>
    </row>
    <row r="526" spans="48:54" x14ac:dyDescent="0.3">
      <c r="AV526" t="s">
        <v>789</v>
      </c>
      <c r="AW526" t="s">
        <v>163</v>
      </c>
      <c r="AX526" t="s">
        <v>770</v>
      </c>
      <c r="AY526" s="81" t="s">
        <v>1825</v>
      </c>
      <c r="AZ526" t="s">
        <v>1826</v>
      </c>
      <c r="BA526" t="s">
        <v>125</v>
      </c>
      <c r="BB526" t="str">
        <f t="shared" si="8"/>
        <v>CCFNoyEgbeda</v>
      </c>
    </row>
    <row r="527" spans="48:54" x14ac:dyDescent="0.3">
      <c r="AV527" t="s">
        <v>789</v>
      </c>
      <c r="AW527" t="s">
        <v>164</v>
      </c>
      <c r="AX527" t="s">
        <v>772</v>
      </c>
      <c r="AY527" s="81" t="s">
        <v>1827</v>
      </c>
      <c r="AZ527" t="s">
        <v>1828</v>
      </c>
      <c r="BA527" t="s">
        <v>125</v>
      </c>
      <c r="BB527" t="str">
        <f t="shared" si="8"/>
        <v>CCFNplBassa</v>
      </c>
    </row>
    <row r="528" spans="48:54" x14ac:dyDescent="0.3">
      <c r="AV528" t="s">
        <v>789</v>
      </c>
      <c r="AW528" t="s">
        <v>164</v>
      </c>
      <c r="AX528" t="s">
        <v>772</v>
      </c>
      <c r="AY528" s="81" t="s">
        <v>1829</v>
      </c>
      <c r="AZ528" t="s">
        <v>1830</v>
      </c>
      <c r="BA528" t="s">
        <v>125</v>
      </c>
      <c r="BB528" t="str">
        <f t="shared" si="8"/>
        <v>CCFNplBassa</v>
      </c>
    </row>
    <row r="529" spans="48:54" x14ac:dyDescent="0.3">
      <c r="AV529" t="s">
        <v>789</v>
      </c>
      <c r="AW529" t="s">
        <v>164</v>
      </c>
      <c r="AX529" t="s">
        <v>781</v>
      </c>
      <c r="AY529" s="81" t="s">
        <v>1831</v>
      </c>
      <c r="AZ529" t="s">
        <v>1832</v>
      </c>
      <c r="BA529" t="s">
        <v>125</v>
      </c>
      <c r="BB529" t="str">
        <f t="shared" si="8"/>
        <v>CCFNplBokkos</v>
      </c>
    </row>
    <row r="530" spans="48:54" x14ac:dyDescent="0.3">
      <c r="AV530" t="s">
        <v>789</v>
      </c>
      <c r="AW530" t="s">
        <v>164</v>
      </c>
      <c r="AX530" t="s">
        <v>781</v>
      </c>
      <c r="AY530" s="81" t="s">
        <v>1833</v>
      </c>
      <c r="AZ530" t="s">
        <v>1834</v>
      </c>
      <c r="BA530" t="s">
        <v>125</v>
      </c>
      <c r="BB530" t="str">
        <f t="shared" si="8"/>
        <v>CCFNplBokkos</v>
      </c>
    </row>
    <row r="531" spans="48:54" x14ac:dyDescent="0.3">
      <c r="AV531" t="s">
        <v>789</v>
      </c>
      <c r="AW531" t="s">
        <v>164</v>
      </c>
      <c r="AX531" t="s">
        <v>774</v>
      </c>
      <c r="AY531" s="81" t="s">
        <v>1835</v>
      </c>
      <c r="AZ531" t="s">
        <v>1836</v>
      </c>
      <c r="BA531" t="s">
        <v>125</v>
      </c>
      <c r="BB531" t="str">
        <f t="shared" si="8"/>
        <v>CCFNplJosNorth</v>
      </c>
    </row>
    <row r="532" spans="48:54" x14ac:dyDescent="0.3">
      <c r="AV532" t="s">
        <v>789</v>
      </c>
      <c r="AW532" t="s">
        <v>164</v>
      </c>
      <c r="AX532" t="s">
        <v>774</v>
      </c>
      <c r="AY532" s="81" t="s">
        <v>1837</v>
      </c>
      <c r="AZ532" t="s">
        <v>1838</v>
      </c>
      <c r="BA532" t="s">
        <v>125</v>
      </c>
      <c r="BB532" t="str">
        <f t="shared" si="8"/>
        <v>CCFNplJosNorth</v>
      </c>
    </row>
    <row r="533" spans="48:54" x14ac:dyDescent="0.3">
      <c r="AV533" t="s">
        <v>789</v>
      </c>
      <c r="AW533" t="s">
        <v>164</v>
      </c>
      <c r="AX533" t="s">
        <v>775</v>
      </c>
      <c r="AY533" s="81" t="s">
        <v>1839</v>
      </c>
      <c r="AZ533" t="s">
        <v>1840</v>
      </c>
      <c r="BA533" t="s">
        <v>125</v>
      </c>
      <c r="BB533" t="str">
        <f t="shared" si="8"/>
        <v>CCFNplJosSouth</v>
      </c>
    </row>
    <row r="534" spans="48:54" x14ac:dyDescent="0.3">
      <c r="AV534" t="s">
        <v>789</v>
      </c>
      <c r="AW534" t="s">
        <v>164</v>
      </c>
      <c r="AX534" t="s">
        <v>775</v>
      </c>
      <c r="AY534" s="81" t="s">
        <v>1841</v>
      </c>
      <c r="AZ534" t="s">
        <v>1842</v>
      </c>
      <c r="BA534" t="s">
        <v>125</v>
      </c>
      <c r="BB534" t="str">
        <f t="shared" si="8"/>
        <v>CCFNplJosSouth</v>
      </c>
    </row>
    <row r="535" spans="48:54" x14ac:dyDescent="0.3">
      <c r="AV535" t="s">
        <v>789</v>
      </c>
      <c r="AW535" t="s">
        <v>164</v>
      </c>
      <c r="AX535" t="s">
        <v>3759</v>
      </c>
      <c r="AY535" s="81" t="s">
        <v>1843</v>
      </c>
      <c r="AZ535" t="s">
        <v>1844</v>
      </c>
      <c r="BA535" t="s">
        <v>125</v>
      </c>
      <c r="BB535" t="str">
        <f t="shared" si="8"/>
        <v>CCFNplQuaanPan</v>
      </c>
    </row>
    <row r="536" spans="48:54" x14ac:dyDescent="0.3">
      <c r="AV536" t="s">
        <v>789</v>
      </c>
      <c r="AW536" t="s">
        <v>164</v>
      </c>
      <c r="AX536" t="s">
        <v>780</v>
      </c>
      <c r="AY536" s="81" t="s">
        <v>1845</v>
      </c>
      <c r="AZ536" t="s">
        <v>1846</v>
      </c>
      <c r="BA536" t="s">
        <v>125</v>
      </c>
      <c r="BB536" t="str">
        <f t="shared" si="8"/>
        <v>CCFNplShendam</v>
      </c>
    </row>
    <row r="537" spans="48:54" x14ac:dyDescent="0.3">
      <c r="AV537" t="s">
        <v>789</v>
      </c>
      <c r="AW537" t="s">
        <v>139</v>
      </c>
      <c r="AX537" t="s">
        <v>557</v>
      </c>
      <c r="AY537" s="81" t="s">
        <v>1847</v>
      </c>
      <c r="AZ537" t="s">
        <v>1848</v>
      </c>
      <c r="BA537" t="s">
        <v>538</v>
      </c>
      <c r="BB537" t="str">
        <f t="shared" si="8"/>
        <v>CIHPbeAdo</v>
      </c>
    </row>
    <row r="538" spans="48:54" x14ac:dyDescent="0.3">
      <c r="AV538" t="s">
        <v>789</v>
      </c>
      <c r="AW538" t="s">
        <v>139</v>
      </c>
      <c r="AX538" t="s">
        <v>557</v>
      </c>
      <c r="AY538" s="81" t="s">
        <v>1849</v>
      </c>
      <c r="AZ538" t="s">
        <v>1850</v>
      </c>
      <c r="BA538" t="s">
        <v>538</v>
      </c>
      <c r="BB538" t="str">
        <f t="shared" si="8"/>
        <v>CIHPbeAdo</v>
      </c>
    </row>
    <row r="539" spans="48:54" x14ac:dyDescent="0.3">
      <c r="AV539" t="s">
        <v>789</v>
      </c>
      <c r="AW539" t="s">
        <v>139</v>
      </c>
      <c r="AX539" t="s">
        <v>540</v>
      </c>
      <c r="AY539" s="81" t="s">
        <v>1851</v>
      </c>
      <c r="AZ539" t="s">
        <v>1852</v>
      </c>
      <c r="BA539" t="s">
        <v>538</v>
      </c>
      <c r="BB539" t="str">
        <f t="shared" si="8"/>
        <v>CIHPbeAgatu</v>
      </c>
    </row>
    <row r="540" spans="48:54" x14ac:dyDescent="0.3">
      <c r="AV540" t="s">
        <v>789</v>
      </c>
      <c r="AW540" t="s">
        <v>139</v>
      </c>
      <c r="AX540" t="s">
        <v>558</v>
      </c>
      <c r="AY540" s="81" t="s">
        <v>1853</v>
      </c>
      <c r="AZ540" t="s">
        <v>1854</v>
      </c>
      <c r="BA540" t="s">
        <v>538</v>
      </c>
      <c r="BB540" t="str">
        <f t="shared" si="8"/>
        <v>CIHPbeApa</v>
      </c>
    </row>
    <row r="541" spans="48:54" x14ac:dyDescent="0.3">
      <c r="AV541" t="s">
        <v>789</v>
      </c>
      <c r="AW541" t="s">
        <v>139</v>
      </c>
      <c r="AX541" t="s">
        <v>558</v>
      </c>
      <c r="AY541" s="81" t="s">
        <v>1855</v>
      </c>
      <c r="AZ541" t="s">
        <v>1856</v>
      </c>
      <c r="BA541" t="s">
        <v>538</v>
      </c>
      <c r="BB541" t="str">
        <f t="shared" si="8"/>
        <v>CIHPbeApa</v>
      </c>
    </row>
    <row r="542" spans="48:54" x14ac:dyDescent="0.3">
      <c r="AV542" t="s">
        <v>789</v>
      </c>
      <c r="AW542" t="s">
        <v>139</v>
      </c>
      <c r="AX542" t="s">
        <v>541</v>
      </c>
      <c r="AY542" s="81" t="s">
        <v>1857</v>
      </c>
      <c r="AZ542" t="s">
        <v>1858</v>
      </c>
      <c r="BA542" t="s">
        <v>538</v>
      </c>
      <c r="BB542" t="str">
        <f t="shared" si="8"/>
        <v>CIHPbeBuruku</v>
      </c>
    </row>
    <row r="543" spans="48:54" x14ac:dyDescent="0.3">
      <c r="AV543" t="s">
        <v>789</v>
      </c>
      <c r="AW543" t="s">
        <v>139</v>
      </c>
      <c r="AX543" t="s">
        <v>541</v>
      </c>
      <c r="AY543" s="81" t="s">
        <v>1859</v>
      </c>
      <c r="AZ543" t="s">
        <v>1860</v>
      </c>
      <c r="BA543" t="s">
        <v>538</v>
      </c>
      <c r="BB543" t="str">
        <f t="shared" si="8"/>
        <v>CIHPbeBuruku</v>
      </c>
    </row>
    <row r="544" spans="48:54" x14ac:dyDescent="0.3">
      <c r="AV544" t="s">
        <v>789</v>
      </c>
      <c r="AW544" t="s">
        <v>139</v>
      </c>
      <c r="AX544" t="s">
        <v>541</v>
      </c>
      <c r="AY544" s="81" t="s">
        <v>1861</v>
      </c>
      <c r="AZ544" t="s">
        <v>1862</v>
      </c>
      <c r="BA544" t="s">
        <v>538</v>
      </c>
      <c r="BB544" t="str">
        <f t="shared" si="8"/>
        <v>CIHPbeBuruku</v>
      </c>
    </row>
    <row r="545" spans="48:54" x14ac:dyDescent="0.3">
      <c r="AV545" t="s">
        <v>789</v>
      </c>
      <c r="AW545" t="s">
        <v>139</v>
      </c>
      <c r="AX545" t="s">
        <v>541</v>
      </c>
      <c r="AY545" s="81" t="s">
        <v>1863</v>
      </c>
      <c r="AZ545" t="s">
        <v>1864</v>
      </c>
      <c r="BA545" t="s">
        <v>538</v>
      </c>
      <c r="BB545" t="str">
        <f t="shared" si="8"/>
        <v>CIHPbeBuruku</v>
      </c>
    </row>
    <row r="546" spans="48:54" x14ac:dyDescent="0.3">
      <c r="AV546" t="s">
        <v>789</v>
      </c>
      <c r="AW546" t="s">
        <v>139</v>
      </c>
      <c r="AX546" t="s">
        <v>541</v>
      </c>
      <c r="AY546" s="81" t="s">
        <v>1865</v>
      </c>
      <c r="AZ546" t="s">
        <v>1866</v>
      </c>
      <c r="BA546" t="s">
        <v>538</v>
      </c>
      <c r="BB546" t="str">
        <f t="shared" si="8"/>
        <v>CIHPbeBuruku</v>
      </c>
    </row>
    <row r="547" spans="48:54" x14ac:dyDescent="0.3">
      <c r="AV547" t="s">
        <v>789</v>
      </c>
      <c r="AW547" t="s">
        <v>139</v>
      </c>
      <c r="AX547" t="s">
        <v>541</v>
      </c>
      <c r="AY547" s="81" t="s">
        <v>1867</v>
      </c>
      <c r="AZ547" t="s">
        <v>1868</v>
      </c>
      <c r="BA547" t="s">
        <v>538</v>
      </c>
      <c r="BB547" t="str">
        <f t="shared" si="8"/>
        <v>CIHPbeBuruku</v>
      </c>
    </row>
    <row r="548" spans="48:54" x14ac:dyDescent="0.3">
      <c r="AV548" t="s">
        <v>789</v>
      </c>
      <c r="AW548" t="s">
        <v>139</v>
      </c>
      <c r="AX548" t="s">
        <v>541</v>
      </c>
      <c r="AY548" s="81" t="s">
        <v>1869</v>
      </c>
      <c r="AZ548" t="s">
        <v>1870</v>
      </c>
      <c r="BA548" t="s">
        <v>538</v>
      </c>
      <c r="BB548" t="str">
        <f t="shared" si="8"/>
        <v>CIHPbeBuruku</v>
      </c>
    </row>
    <row r="549" spans="48:54" x14ac:dyDescent="0.3">
      <c r="AV549" t="s">
        <v>789</v>
      </c>
      <c r="AW549" t="s">
        <v>139</v>
      </c>
      <c r="AX549" t="s">
        <v>541</v>
      </c>
      <c r="AY549" s="81" t="s">
        <v>1871</v>
      </c>
      <c r="AZ549" t="s">
        <v>1872</v>
      </c>
      <c r="BA549" t="s">
        <v>538</v>
      </c>
      <c r="BB549" t="str">
        <f t="shared" si="8"/>
        <v>CIHPbeBuruku</v>
      </c>
    </row>
    <row r="550" spans="48:54" x14ac:dyDescent="0.3">
      <c r="AV550" t="s">
        <v>789</v>
      </c>
      <c r="AW550" t="s">
        <v>139</v>
      </c>
      <c r="AX550" t="s">
        <v>541</v>
      </c>
      <c r="AY550" s="81" t="s">
        <v>1873</v>
      </c>
      <c r="AZ550" t="s">
        <v>1874</v>
      </c>
      <c r="BA550" t="s">
        <v>538</v>
      </c>
      <c r="BB550" t="str">
        <f t="shared" si="8"/>
        <v>CIHPbeBuruku</v>
      </c>
    </row>
    <row r="551" spans="48:54" x14ac:dyDescent="0.3">
      <c r="AV551" t="s">
        <v>789</v>
      </c>
      <c r="AW551" t="s">
        <v>139</v>
      </c>
      <c r="AX551" t="s">
        <v>541</v>
      </c>
      <c r="AY551" s="81" t="s">
        <v>1875</v>
      </c>
      <c r="AZ551" t="s">
        <v>1876</v>
      </c>
      <c r="BA551" t="s">
        <v>538</v>
      </c>
      <c r="BB551" t="str">
        <f t="shared" si="8"/>
        <v>CIHPbeBuruku</v>
      </c>
    </row>
    <row r="552" spans="48:54" x14ac:dyDescent="0.3">
      <c r="AV552" t="s">
        <v>789</v>
      </c>
      <c r="AW552" t="s">
        <v>139</v>
      </c>
      <c r="AX552" t="s">
        <v>541</v>
      </c>
      <c r="AY552" s="81" t="s">
        <v>1877</v>
      </c>
      <c r="AZ552" t="s">
        <v>1878</v>
      </c>
      <c r="BA552" t="s">
        <v>538</v>
      </c>
      <c r="BB552" t="str">
        <f t="shared" si="8"/>
        <v>CIHPbeBuruku</v>
      </c>
    </row>
    <row r="553" spans="48:54" x14ac:dyDescent="0.3">
      <c r="AV553" t="s">
        <v>789</v>
      </c>
      <c r="AW553" t="s">
        <v>139</v>
      </c>
      <c r="AX553" t="s">
        <v>541</v>
      </c>
      <c r="AY553" s="81" t="s">
        <v>1879</v>
      </c>
      <c r="AZ553" t="s">
        <v>1880</v>
      </c>
      <c r="BA553" t="s">
        <v>538</v>
      </c>
      <c r="BB553" t="str">
        <f t="shared" si="8"/>
        <v>CIHPbeBuruku</v>
      </c>
    </row>
    <row r="554" spans="48:54" x14ac:dyDescent="0.3">
      <c r="AV554" t="s">
        <v>789</v>
      </c>
      <c r="AW554" t="s">
        <v>139</v>
      </c>
      <c r="AX554" t="s">
        <v>541</v>
      </c>
      <c r="AY554" s="81" t="s">
        <v>1881</v>
      </c>
      <c r="AZ554" t="s">
        <v>1882</v>
      </c>
      <c r="BA554" t="s">
        <v>538</v>
      </c>
      <c r="BB554" t="str">
        <f t="shared" si="8"/>
        <v>CIHPbeBuruku</v>
      </c>
    </row>
    <row r="555" spans="48:54" x14ac:dyDescent="0.3">
      <c r="AV555" t="s">
        <v>789</v>
      </c>
      <c r="AW555" t="s">
        <v>139</v>
      </c>
      <c r="AX555" t="s">
        <v>541</v>
      </c>
      <c r="AY555" s="81" t="s">
        <v>1883</v>
      </c>
      <c r="AZ555" t="s">
        <v>1884</v>
      </c>
      <c r="BA555" t="s">
        <v>538</v>
      </c>
      <c r="BB555" t="str">
        <f t="shared" si="8"/>
        <v>CIHPbeBuruku</v>
      </c>
    </row>
    <row r="556" spans="48:54" x14ac:dyDescent="0.3">
      <c r="AV556" t="s">
        <v>789</v>
      </c>
      <c r="AW556" t="s">
        <v>139</v>
      </c>
      <c r="AX556" t="s">
        <v>541</v>
      </c>
      <c r="AY556" s="81" t="s">
        <v>1885</v>
      </c>
      <c r="AZ556" t="s">
        <v>1886</v>
      </c>
      <c r="BA556" t="s">
        <v>538</v>
      </c>
      <c r="BB556" t="str">
        <f t="shared" si="8"/>
        <v>CIHPbeBuruku</v>
      </c>
    </row>
    <row r="557" spans="48:54" x14ac:dyDescent="0.3">
      <c r="AV557" t="s">
        <v>789</v>
      </c>
      <c r="AW557" t="s">
        <v>139</v>
      </c>
      <c r="AX557" t="s">
        <v>541</v>
      </c>
      <c r="AY557" s="81" t="s">
        <v>1887</v>
      </c>
      <c r="AZ557" t="s">
        <v>1888</v>
      </c>
      <c r="BA557" t="s">
        <v>538</v>
      </c>
      <c r="BB557" t="str">
        <f t="shared" si="8"/>
        <v>CIHPbeBuruku</v>
      </c>
    </row>
    <row r="558" spans="48:54" x14ac:dyDescent="0.3">
      <c r="AV558" t="s">
        <v>789</v>
      </c>
      <c r="AW558" t="s">
        <v>139</v>
      </c>
      <c r="AX558" t="s">
        <v>541</v>
      </c>
      <c r="AY558" s="81" t="s">
        <v>1889</v>
      </c>
      <c r="AZ558" t="s">
        <v>1890</v>
      </c>
      <c r="BA558" t="s">
        <v>538</v>
      </c>
      <c r="BB558" t="str">
        <f t="shared" si="8"/>
        <v>CIHPbeBuruku</v>
      </c>
    </row>
    <row r="559" spans="48:54" x14ac:dyDescent="0.3">
      <c r="AV559" t="s">
        <v>789</v>
      </c>
      <c r="AW559" t="s">
        <v>139</v>
      </c>
      <c r="AX559" t="s">
        <v>541</v>
      </c>
      <c r="AY559" s="81" t="s">
        <v>1891</v>
      </c>
      <c r="AZ559" t="s">
        <v>1892</v>
      </c>
      <c r="BA559" t="s">
        <v>538</v>
      </c>
      <c r="BB559" t="str">
        <f t="shared" si="8"/>
        <v>CIHPbeBuruku</v>
      </c>
    </row>
    <row r="560" spans="48:54" x14ac:dyDescent="0.3">
      <c r="AV560" t="s">
        <v>789</v>
      </c>
      <c r="AW560" t="s">
        <v>139</v>
      </c>
      <c r="AX560" t="s">
        <v>541</v>
      </c>
      <c r="AY560" s="81" t="s">
        <v>1893</v>
      </c>
      <c r="AZ560" t="s">
        <v>1894</v>
      </c>
      <c r="BA560" t="s">
        <v>538</v>
      </c>
      <c r="BB560" t="str">
        <f t="shared" si="8"/>
        <v>CIHPbeBuruku</v>
      </c>
    </row>
    <row r="561" spans="48:54" x14ac:dyDescent="0.3">
      <c r="AV561" t="s">
        <v>789</v>
      </c>
      <c r="AW561" t="s">
        <v>139</v>
      </c>
      <c r="AX561" t="s">
        <v>541</v>
      </c>
      <c r="AY561" s="81" t="s">
        <v>1895</v>
      </c>
      <c r="AZ561" t="s">
        <v>1896</v>
      </c>
      <c r="BA561" t="s">
        <v>538</v>
      </c>
      <c r="BB561" t="str">
        <f t="shared" si="8"/>
        <v>CIHPbeBuruku</v>
      </c>
    </row>
    <row r="562" spans="48:54" x14ac:dyDescent="0.3">
      <c r="AV562" t="s">
        <v>789</v>
      </c>
      <c r="AW562" t="s">
        <v>139</v>
      </c>
      <c r="AX562" t="s">
        <v>541</v>
      </c>
      <c r="AY562" s="81" t="s">
        <v>1897</v>
      </c>
      <c r="AZ562" t="s">
        <v>1898</v>
      </c>
      <c r="BA562" t="s">
        <v>538</v>
      </c>
      <c r="BB562" t="str">
        <f t="shared" si="8"/>
        <v>CIHPbeBuruku</v>
      </c>
    </row>
    <row r="563" spans="48:54" x14ac:dyDescent="0.3">
      <c r="AV563" t="s">
        <v>789</v>
      </c>
      <c r="AW563" t="s">
        <v>139</v>
      </c>
      <c r="AX563" t="s">
        <v>541</v>
      </c>
      <c r="AY563" s="81" t="s">
        <v>1899</v>
      </c>
      <c r="AZ563" t="s">
        <v>1900</v>
      </c>
      <c r="BA563" t="s">
        <v>538</v>
      </c>
      <c r="BB563" t="str">
        <f t="shared" si="8"/>
        <v>CIHPbeBuruku</v>
      </c>
    </row>
    <row r="564" spans="48:54" x14ac:dyDescent="0.3">
      <c r="AV564" t="s">
        <v>789</v>
      </c>
      <c r="AW564" t="s">
        <v>139</v>
      </c>
      <c r="AX564" t="s">
        <v>541</v>
      </c>
      <c r="AY564" s="81" t="s">
        <v>1901</v>
      </c>
      <c r="AZ564" t="s">
        <v>1902</v>
      </c>
      <c r="BA564" t="s">
        <v>538</v>
      </c>
      <c r="BB564" t="str">
        <f t="shared" si="8"/>
        <v>CIHPbeBuruku</v>
      </c>
    </row>
    <row r="565" spans="48:54" x14ac:dyDescent="0.3">
      <c r="AV565" t="s">
        <v>789</v>
      </c>
      <c r="AW565" t="s">
        <v>139</v>
      </c>
      <c r="AX565" t="s">
        <v>541</v>
      </c>
      <c r="AY565" s="81" t="s">
        <v>1903</v>
      </c>
      <c r="AZ565" t="s">
        <v>1904</v>
      </c>
      <c r="BA565" t="s">
        <v>538</v>
      </c>
      <c r="BB565" t="str">
        <f t="shared" si="8"/>
        <v>CIHPbeBuruku</v>
      </c>
    </row>
    <row r="566" spans="48:54" x14ac:dyDescent="0.3">
      <c r="AV566" t="s">
        <v>789</v>
      </c>
      <c r="AW566" t="s">
        <v>139</v>
      </c>
      <c r="AX566" t="s">
        <v>541</v>
      </c>
      <c r="AY566" s="81" t="s">
        <v>1624</v>
      </c>
      <c r="AZ566" t="s">
        <v>1625</v>
      </c>
      <c r="BA566" t="s">
        <v>538</v>
      </c>
      <c r="BB566" t="str">
        <f t="shared" si="8"/>
        <v>CIHPbeBuruku</v>
      </c>
    </row>
    <row r="567" spans="48:54" x14ac:dyDescent="0.3">
      <c r="AV567" t="s">
        <v>789</v>
      </c>
      <c r="AW567" t="s">
        <v>139</v>
      </c>
      <c r="AX567" t="s">
        <v>541</v>
      </c>
      <c r="AY567" s="81" t="s">
        <v>1905</v>
      </c>
      <c r="AZ567" t="s">
        <v>1906</v>
      </c>
      <c r="BA567" t="s">
        <v>538</v>
      </c>
      <c r="BB567" t="str">
        <f t="shared" si="8"/>
        <v>CIHPbeBuruku</v>
      </c>
    </row>
    <row r="568" spans="48:54" x14ac:dyDescent="0.3">
      <c r="AV568" t="s">
        <v>789</v>
      </c>
      <c r="AW568" t="s">
        <v>139</v>
      </c>
      <c r="AX568" t="s">
        <v>541</v>
      </c>
      <c r="AY568" s="81" t="s">
        <v>1907</v>
      </c>
      <c r="AZ568" t="s">
        <v>1908</v>
      </c>
      <c r="BA568" t="s">
        <v>538</v>
      </c>
      <c r="BB568" t="str">
        <f t="shared" si="8"/>
        <v>CIHPbeBuruku</v>
      </c>
    </row>
    <row r="569" spans="48:54" x14ac:dyDescent="0.3">
      <c r="AV569" t="s">
        <v>789</v>
      </c>
      <c r="AW569" t="s">
        <v>139</v>
      </c>
      <c r="AX569" t="s">
        <v>541</v>
      </c>
      <c r="AY569" s="81" t="s">
        <v>1909</v>
      </c>
      <c r="AZ569" t="s">
        <v>1910</v>
      </c>
      <c r="BA569" t="s">
        <v>538</v>
      </c>
      <c r="BB569" t="str">
        <f t="shared" si="8"/>
        <v>CIHPbeBuruku</v>
      </c>
    </row>
    <row r="570" spans="48:54" x14ac:dyDescent="0.3">
      <c r="AV570" t="s">
        <v>789</v>
      </c>
      <c r="AW570" t="s">
        <v>139</v>
      </c>
      <c r="AX570" t="s">
        <v>541</v>
      </c>
      <c r="AY570" s="81" t="s">
        <v>1911</v>
      </c>
      <c r="AZ570" t="s">
        <v>1912</v>
      </c>
      <c r="BA570" t="s">
        <v>538</v>
      </c>
      <c r="BB570" t="str">
        <f t="shared" si="8"/>
        <v>CIHPbeBuruku</v>
      </c>
    </row>
    <row r="571" spans="48:54" x14ac:dyDescent="0.3">
      <c r="AV571" t="s">
        <v>789</v>
      </c>
      <c r="AW571" t="s">
        <v>139</v>
      </c>
      <c r="AX571" t="s">
        <v>541</v>
      </c>
      <c r="AY571" s="81" t="s">
        <v>1913</v>
      </c>
      <c r="AZ571" t="s">
        <v>1914</v>
      </c>
      <c r="BA571" t="s">
        <v>538</v>
      </c>
      <c r="BB571" t="str">
        <f t="shared" si="8"/>
        <v>CIHPbeBuruku</v>
      </c>
    </row>
    <row r="572" spans="48:54" x14ac:dyDescent="0.3">
      <c r="AV572" t="s">
        <v>789</v>
      </c>
      <c r="AW572" t="s">
        <v>139</v>
      </c>
      <c r="AX572" t="s">
        <v>541</v>
      </c>
      <c r="AY572" s="81" t="s">
        <v>1915</v>
      </c>
      <c r="AZ572" t="s">
        <v>1916</v>
      </c>
      <c r="BA572" t="s">
        <v>538</v>
      </c>
      <c r="BB572" t="str">
        <f t="shared" si="8"/>
        <v>CIHPbeBuruku</v>
      </c>
    </row>
    <row r="573" spans="48:54" x14ac:dyDescent="0.3">
      <c r="AV573" t="s">
        <v>789</v>
      </c>
      <c r="AW573" t="s">
        <v>139</v>
      </c>
      <c r="AX573" t="s">
        <v>541</v>
      </c>
      <c r="AY573" s="81" t="s">
        <v>1917</v>
      </c>
      <c r="AZ573" t="s">
        <v>1918</v>
      </c>
      <c r="BA573" t="s">
        <v>538</v>
      </c>
      <c r="BB573" t="str">
        <f t="shared" si="8"/>
        <v>CIHPbeBuruku</v>
      </c>
    </row>
    <row r="574" spans="48:54" x14ac:dyDescent="0.3">
      <c r="AV574" t="s">
        <v>789</v>
      </c>
      <c r="AW574" t="s">
        <v>139</v>
      </c>
      <c r="AX574" t="s">
        <v>541</v>
      </c>
      <c r="AY574" s="81" t="s">
        <v>1919</v>
      </c>
      <c r="AZ574" t="s">
        <v>1920</v>
      </c>
      <c r="BA574" t="s">
        <v>538</v>
      </c>
      <c r="BB574" t="str">
        <f t="shared" si="8"/>
        <v>CIHPbeBuruku</v>
      </c>
    </row>
    <row r="575" spans="48:54" x14ac:dyDescent="0.3">
      <c r="AV575" t="s">
        <v>789</v>
      </c>
      <c r="AW575" t="s">
        <v>139</v>
      </c>
      <c r="AX575" t="s">
        <v>542</v>
      </c>
      <c r="AY575" s="81" t="s">
        <v>1921</v>
      </c>
      <c r="AZ575" t="s">
        <v>1922</v>
      </c>
      <c r="BA575" t="s">
        <v>538</v>
      </c>
      <c r="BB575" t="str">
        <f t="shared" si="8"/>
        <v>CIHPbeGboko</v>
      </c>
    </row>
    <row r="576" spans="48:54" x14ac:dyDescent="0.3">
      <c r="AV576" t="s">
        <v>789</v>
      </c>
      <c r="AW576" t="s">
        <v>139</v>
      </c>
      <c r="AX576" t="s">
        <v>542</v>
      </c>
      <c r="AY576" s="81" t="s">
        <v>1923</v>
      </c>
      <c r="AZ576" t="s">
        <v>1924</v>
      </c>
      <c r="BA576" t="s">
        <v>538</v>
      </c>
      <c r="BB576" t="str">
        <f t="shared" si="8"/>
        <v>CIHPbeGboko</v>
      </c>
    </row>
    <row r="577" spans="48:54" x14ac:dyDescent="0.3">
      <c r="AV577" t="s">
        <v>789</v>
      </c>
      <c r="AW577" t="s">
        <v>139</v>
      </c>
      <c r="AX577" t="s">
        <v>542</v>
      </c>
      <c r="AY577" s="81" t="s">
        <v>1925</v>
      </c>
      <c r="AZ577" t="s">
        <v>1926</v>
      </c>
      <c r="BA577" t="s">
        <v>538</v>
      </c>
      <c r="BB577" t="str">
        <f t="shared" si="8"/>
        <v>CIHPbeGboko</v>
      </c>
    </row>
    <row r="578" spans="48:54" x14ac:dyDescent="0.3">
      <c r="AV578" t="s">
        <v>789</v>
      </c>
      <c r="AW578" t="s">
        <v>139</v>
      </c>
      <c r="AX578" t="s">
        <v>542</v>
      </c>
      <c r="AY578" s="81" t="s">
        <v>1927</v>
      </c>
      <c r="AZ578" t="s">
        <v>1928</v>
      </c>
      <c r="BA578" t="s">
        <v>538</v>
      </c>
      <c r="BB578" t="str">
        <f t="shared" si="8"/>
        <v>CIHPbeGboko</v>
      </c>
    </row>
    <row r="579" spans="48:54" x14ac:dyDescent="0.3">
      <c r="AV579" t="s">
        <v>789</v>
      </c>
      <c r="AW579" t="s">
        <v>139</v>
      </c>
      <c r="AX579" t="s">
        <v>542</v>
      </c>
      <c r="AY579" s="81" t="s">
        <v>1929</v>
      </c>
      <c r="AZ579" t="s">
        <v>1930</v>
      </c>
      <c r="BA579" t="s">
        <v>538</v>
      </c>
      <c r="BB579" t="str">
        <f t="shared" ref="BB579:BB642" si="9">SUBSTITUTE(SUBSTITUTE(BA579&amp;AX579," ",""),"-","")</f>
        <v>CIHPbeGboko</v>
      </c>
    </row>
    <row r="580" spans="48:54" x14ac:dyDescent="0.3">
      <c r="AV580" t="s">
        <v>789</v>
      </c>
      <c r="AW580" t="s">
        <v>139</v>
      </c>
      <c r="AX580" t="s">
        <v>542</v>
      </c>
      <c r="AY580" s="81" t="s">
        <v>1931</v>
      </c>
      <c r="AZ580" t="s">
        <v>1932</v>
      </c>
      <c r="BA580" t="s">
        <v>538</v>
      </c>
      <c r="BB580" t="str">
        <f t="shared" si="9"/>
        <v>CIHPbeGboko</v>
      </c>
    </row>
    <row r="581" spans="48:54" x14ac:dyDescent="0.3">
      <c r="AV581" t="s">
        <v>789</v>
      </c>
      <c r="AW581" t="s">
        <v>139</v>
      </c>
      <c r="AX581" t="s">
        <v>542</v>
      </c>
      <c r="AY581" s="81" t="s">
        <v>1933</v>
      </c>
      <c r="AZ581" t="s">
        <v>1934</v>
      </c>
      <c r="BA581" t="s">
        <v>538</v>
      </c>
      <c r="BB581" t="str">
        <f t="shared" si="9"/>
        <v>CIHPbeGboko</v>
      </c>
    </row>
    <row r="582" spans="48:54" x14ac:dyDescent="0.3">
      <c r="AV582" t="s">
        <v>789</v>
      </c>
      <c r="AW582" t="s">
        <v>139</v>
      </c>
      <c r="AX582" t="s">
        <v>542</v>
      </c>
      <c r="AY582" s="81" t="s">
        <v>1935</v>
      </c>
      <c r="AZ582" t="s">
        <v>1936</v>
      </c>
      <c r="BA582" t="s">
        <v>538</v>
      </c>
      <c r="BB582" t="str">
        <f t="shared" si="9"/>
        <v>CIHPbeGboko</v>
      </c>
    </row>
    <row r="583" spans="48:54" x14ac:dyDescent="0.3">
      <c r="AV583" t="s">
        <v>789</v>
      </c>
      <c r="AW583" t="s">
        <v>139</v>
      </c>
      <c r="AX583" t="s">
        <v>542</v>
      </c>
      <c r="AY583" s="81" t="s">
        <v>1937</v>
      </c>
      <c r="AZ583" t="s">
        <v>1938</v>
      </c>
      <c r="BA583" t="s">
        <v>538</v>
      </c>
      <c r="BB583" t="str">
        <f t="shared" si="9"/>
        <v>CIHPbeGboko</v>
      </c>
    </row>
    <row r="584" spans="48:54" x14ac:dyDescent="0.3">
      <c r="AV584" t="s">
        <v>789</v>
      </c>
      <c r="AW584" t="s">
        <v>139</v>
      </c>
      <c r="AX584" t="s">
        <v>542</v>
      </c>
      <c r="AY584" s="81" t="s">
        <v>1939</v>
      </c>
      <c r="AZ584" t="s">
        <v>1940</v>
      </c>
      <c r="BA584" t="s">
        <v>538</v>
      </c>
      <c r="BB584" t="str">
        <f t="shared" si="9"/>
        <v>CIHPbeGboko</v>
      </c>
    </row>
    <row r="585" spans="48:54" x14ac:dyDescent="0.3">
      <c r="AV585" t="s">
        <v>789</v>
      </c>
      <c r="AW585" t="s">
        <v>139</v>
      </c>
      <c r="AX585" t="s">
        <v>542</v>
      </c>
      <c r="AY585" s="81" t="s">
        <v>1941</v>
      </c>
      <c r="AZ585" t="s">
        <v>1942</v>
      </c>
      <c r="BA585" t="s">
        <v>538</v>
      </c>
      <c r="BB585" t="str">
        <f t="shared" si="9"/>
        <v>CIHPbeGboko</v>
      </c>
    </row>
    <row r="586" spans="48:54" x14ac:dyDescent="0.3">
      <c r="AV586" t="s">
        <v>789</v>
      </c>
      <c r="AW586" t="s">
        <v>139</v>
      </c>
      <c r="AX586" t="s">
        <v>542</v>
      </c>
      <c r="AY586" s="81" t="s">
        <v>1943</v>
      </c>
      <c r="AZ586" t="s">
        <v>1944</v>
      </c>
      <c r="BA586" t="s">
        <v>538</v>
      </c>
      <c r="BB586" t="str">
        <f t="shared" si="9"/>
        <v>CIHPbeGboko</v>
      </c>
    </row>
    <row r="587" spans="48:54" x14ac:dyDescent="0.3">
      <c r="AV587" t="s">
        <v>789</v>
      </c>
      <c r="AW587" t="s">
        <v>139</v>
      </c>
      <c r="AX587" t="s">
        <v>542</v>
      </c>
      <c r="AY587" s="81" t="s">
        <v>1945</v>
      </c>
      <c r="AZ587" t="s">
        <v>1946</v>
      </c>
      <c r="BA587" t="s">
        <v>538</v>
      </c>
      <c r="BB587" t="str">
        <f t="shared" si="9"/>
        <v>CIHPbeGboko</v>
      </c>
    </row>
    <row r="588" spans="48:54" x14ac:dyDescent="0.3">
      <c r="AV588" t="s">
        <v>789</v>
      </c>
      <c r="AW588" t="s">
        <v>139</v>
      </c>
      <c r="AX588" t="s">
        <v>542</v>
      </c>
      <c r="AY588" s="81" t="s">
        <v>1947</v>
      </c>
      <c r="AZ588" t="s">
        <v>1948</v>
      </c>
      <c r="BA588" t="s">
        <v>538</v>
      </c>
      <c r="BB588" t="str">
        <f t="shared" si="9"/>
        <v>CIHPbeGboko</v>
      </c>
    </row>
    <row r="589" spans="48:54" x14ac:dyDescent="0.3">
      <c r="AV589" t="s">
        <v>789</v>
      </c>
      <c r="AW589" t="s">
        <v>139</v>
      </c>
      <c r="AX589" t="s">
        <v>542</v>
      </c>
      <c r="AY589" s="81" t="s">
        <v>1949</v>
      </c>
      <c r="AZ589" t="s">
        <v>1950</v>
      </c>
      <c r="BA589" t="s">
        <v>538</v>
      </c>
      <c r="BB589" t="str">
        <f t="shared" si="9"/>
        <v>CIHPbeGboko</v>
      </c>
    </row>
    <row r="590" spans="48:54" x14ac:dyDescent="0.3">
      <c r="AV590" t="s">
        <v>789</v>
      </c>
      <c r="AW590" t="s">
        <v>139</v>
      </c>
      <c r="AX590" t="s">
        <v>542</v>
      </c>
      <c r="AY590" s="81" t="s">
        <v>1951</v>
      </c>
      <c r="AZ590" t="s">
        <v>1952</v>
      </c>
      <c r="BA590" t="s">
        <v>538</v>
      </c>
      <c r="BB590" t="str">
        <f t="shared" si="9"/>
        <v>CIHPbeGboko</v>
      </c>
    </row>
    <row r="591" spans="48:54" x14ac:dyDescent="0.3">
      <c r="AV591" t="s">
        <v>789</v>
      </c>
      <c r="AW591" t="s">
        <v>139</v>
      </c>
      <c r="AX591" t="s">
        <v>542</v>
      </c>
      <c r="AY591" s="81" t="s">
        <v>1953</v>
      </c>
      <c r="AZ591" t="s">
        <v>1954</v>
      </c>
      <c r="BA591" t="s">
        <v>538</v>
      </c>
      <c r="BB591" t="str">
        <f t="shared" si="9"/>
        <v>CIHPbeGboko</v>
      </c>
    </row>
    <row r="592" spans="48:54" x14ac:dyDescent="0.3">
      <c r="AV592" t="s">
        <v>789</v>
      </c>
      <c r="AW592" t="s">
        <v>139</v>
      </c>
      <c r="AX592" t="s">
        <v>542</v>
      </c>
      <c r="AY592" s="81" t="s">
        <v>1955</v>
      </c>
      <c r="AZ592" t="s">
        <v>1956</v>
      </c>
      <c r="BA592" t="s">
        <v>538</v>
      </c>
      <c r="BB592" t="str">
        <f t="shared" si="9"/>
        <v>CIHPbeGboko</v>
      </c>
    </row>
    <row r="593" spans="48:54" x14ac:dyDescent="0.3">
      <c r="AV593" t="s">
        <v>789</v>
      </c>
      <c r="AW593" t="s">
        <v>139</v>
      </c>
      <c r="AX593" t="s">
        <v>542</v>
      </c>
      <c r="AY593" s="81" t="s">
        <v>1957</v>
      </c>
      <c r="AZ593" t="s">
        <v>1958</v>
      </c>
      <c r="BA593" t="s">
        <v>538</v>
      </c>
      <c r="BB593" t="str">
        <f t="shared" si="9"/>
        <v>CIHPbeGboko</v>
      </c>
    </row>
    <row r="594" spans="48:54" x14ac:dyDescent="0.3">
      <c r="AV594" t="s">
        <v>789</v>
      </c>
      <c r="AW594" t="s">
        <v>139</v>
      </c>
      <c r="AX594" t="s">
        <v>542</v>
      </c>
      <c r="AY594" s="81" t="s">
        <v>1959</v>
      </c>
      <c r="AZ594" t="s">
        <v>1960</v>
      </c>
      <c r="BA594" t="s">
        <v>538</v>
      </c>
      <c r="BB594" t="str">
        <f t="shared" si="9"/>
        <v>CIHPbeGboko</v>
      </c>
    </row>
    <row r="595" spans="48:54" x14ac:dyDescent="0.3">
      <c r="AV595" t="s">
        <v>789</v>
      </c>
      <c r="AW595" t="s">
        <v>139</v>
      </c>
      <c r="AX595" t="s">
        <v>542</v>
      </c>
      <c r="AY595" s="81" t="s">
        <v>1961</v>
      </c>
      <c r="AZ595" t="s">
        <v>1962</v>
      </c>
      <c r="BA595" t="s">
        <v>538</v>
      </c>
      <c r="BB595" t="str">
        <f t="shared" si="9"/>
        <v>CIHPbeGboko</v>
      </c>
    </row>
    <row r="596" spans="48:54" x14ac:dyDescent="0.3">
      <c r="AV596" t="s">
        <v>789</v>
      </c>
      <c r="AW596" t="s">
        <v>139</v>
      </c>
      <c r="AX596" t="s">
        <v>542</v>
      </c>
      <c r="AY596" s="81" t="s">
        <v>1963</v>
      </c>
      <c r="AZ596" t="s">
        <v>1964</v>
      </c>
      <c r="BA596" t="s">
        <v>538</v>
      </c>
      <c r="BB596" t="str">
        <f t="shared" si="9"/>
        <v>CIHPbeGboko</v>
      </c>
    </row>
    <row r="597" spans="48:54" x14ac:dyDescent="0.3">
      <c r="AV597" t="s">
        <v>789</v>
      </c>
      <c r="AW597" t="s">
        <v>139</v>
      </c>
      <c r="AX597" t="s">
        <v>542</v>
      </c>
      <c r="AY597" s="81" t="s">
        <v>1965</v>
      </c>
      <c r="AZ597" t="s">
        <v>1966</v>
      </c>
      <c r="BA597" t="s">
        <v>538</v>
      </c>
      <c r="BB597" t="str">
        <f t="shared" si="9"/>
        <v>CIHPbeGboko</v>
      </c>
    </row>
    <row r="598" spans="48:54" x14ac:dyDescent="0.3">
      <c r="AV598" t="s">
        <v>789</v>
      </c>
      <c r="AW598" t="s">
        <v>139</v>
      </c>
      <c r="AX598" t="s">
        <v>542</v>
      </c>
      <c r="AY598" s="81" t="s">
        <v>1967</v>
      </c>
      <c r="AZ598" t="s">
        <v>1968</v>
      </c>
      <c r="BA598" t="s">
        <v>538</v>
      </c>
      <c r="BB598" t="str">
        <f t="shared" si="9"/>
        <v>CIHPbeGboko</v>
      </c>
    </row>
    <row r="599" spans="48:54" x14ac:dyDescent="0.3">
      <c r="AV599" t="s">
        <v>789</v>
      </c>
      <c r="AW599" t="s">
        <v>139</v>
      </c>
      <c r="AX599" t="s">
        <v>542</v>
      </c>
      <c r="AY599" s="81" t="s">
        <v>1969</v>
      </c>
      <c r="AZ599" t="s">
        <v>1970</v>
      </c>
      <c r="BA599" t="s">
        <v>538</v>
      </c>
      <c r="BB599" t="str">
        <f t="shared" si="9"/>
        <v>CIHPbeGboko</v>
      </c>
    </row>
    <row r="600" spans="48:54" x14ac:dyDescent="0.3">
      <c r="AV600" t="s">
        <v>789</v>
      </c>
      <c r="AW600" t="s">
        <v>139</v>
      </c>
      <c r="AX600" t="s">
        <v>543</v>
      </c>
      <c r="AY600" s="81" t="s">
        <v>1971</v>
      </c>
      <c r="AZ600" t="s">
        <v>1972</v>
      </c>
      <c r="BA600" t="s">
        <v>538</v>
      </c>
      <c r="BB600" t="str">
        <f t="shared" si="9"/>
        <v>CIHPbeGuma</v>
      </c>
    </row>
    <row r="601" spans="48:54" x14ac:dyDescent="0.3">
      <c r="AV601" t="s">
        <v>789</v>
      </c>
      <c r="AW601" t="s">
        <v>139</v>
      </c>
      <c r="AX601" t="s">
        <v>543</v>
      </c>
      <c r="AY601" s="81" t="s">
        <v>1973</v>
      </c>
      <c r="AZ601" t="s">
        <v>1974</v>
      </c>
      <c r="BA601" t="s">
        <v>538</v>
      </c>
      <c r="BB601" t="str">
        <f t="shared" si="9"/>
        <v>CIHPbeGuma</v>
      </c>
    </row>
    <row r="602" spans="48:54" x14ac:dyDescent="0.3">
      <c r="AV602" t="s">
        <v>789</v>
      </c>
      <c r="AW602" t="s">
        <v>139</v>
      </c>
      <c r="AX602" t="s">
        <v>543</v>
      </c>
      <c r="AY602" s="81" t="s">
        <v>1975</v>
      </c>
      <c r="AZ602" t="s">
        <v>1976</v>
      </c>
      <c r="BA602" t="s">
        <v>538</v>
      </c>
      <c r="BB602" t="str">
        <f t="shared" si="9"/>
        <v>CIHPbeGuma</v>
      </c>
    </row>
    <row r="603" spans="48:54" x14ac:dyDescent="0.3">
      <c r="AV603" t="s">
        <v>789</v>
      </c>
      <c r="AW603" t="s">
        <v>139</v>
      </c>
      <c r="AX603" t="s">
        <v>543</v>
      </c>
      <c r="AY603" s="81" t="s">
        <v>1977</v>
      </c>
      <c r="AZ603" t="s">
        <v>1978</v>
      </c>
      <c r="BA603" t="s">
        <v>538</v>
      </c>
      <c r="BB603" t="str">
        <f t="shared" si="9"/>
        <v>CIHPbeGuma</v>
      </c>
    </row>
    <row r="604" spans="48:54" x14ac:dyDescent="0.3">
      <c r="AV604" t="s">
        <v>789</v>
      </c>
      <c r="AW604" t="s">
        <v>139</v>
      </c>
      <c r="AX604" t="s">
        <v>543</v>
      </c>
      <c r="AY604" s="81" t="s">
        <v>1979</v>
      </c>
      <c r="AZ604" t="s">
        <v>1980</v>
      </c>
      <c r="BA604" t="s">
        <v>538</v>
      </c>
      <c r="BB604" t="str">
        <f t="shared" si="9"/>
        <v>CIHPbeGuma</v>
      </c>
    </row>
    <row r="605" spans="48:54" x14ac:dyDescent="0.3">
      <c r="AV605" t="s">
        <v>789</v>
      </c>
      <c r="AW605" t="s">
        <v>139</v>
      </c>
      <c r="AX605" t="s">
        <v>543</v>
      </c>
      <c r="AY605" s="81" t="s">
        <v>1981</v>
      </c>
      <c r="AZ605" t="s">
        <v>1982</v>
      </c>
      <c r="BA605" t="s">
        <v>538</v>
      </c>
      <c r="BB605" t="str">
        <f t="shared" si="9"/>
        <v>CIHPbeGuma</v>
      </c>
    </row>
    <row r="606" spans="48:54" x14ac:dyDescent="0.3">
      <c r="AV606" t="s">
        <v>789</v>
      </c>
      <c r="AW606" t="s">
        <v>139</v>
      </c>
      <c r="AX606" t="s">
        <v>544</v>
      </c>
      <c r="AY606" s="81" t="s">
        <v>1983</v>
      </c>
      <c r="AZ606" t="s">
        <v>1984</v>
      </c>
      <c r="BA606" t="s">
        <v>538</v>
      </c>
      <c r="BB606" t="str">
        <f t="shared" si="9"/>
        <v>CIHPbeGwerEast</v>
      </c>
    </row>
    <row r="607" spans="48:54" x14ac:dyDescent="0.3">
      <c r="AV607" t="s">
        <v>789</v>
      </c>
      <c r="AW607" t="s">
        <v>139</v>
      </c>
      <c r="AX607" t="s">
        <v>544</v>
      </c>
      <c r="AY607" s="81" t="s">
        <v>1985</v>
      </c>
      <c r="AZ607" t="s">
        <v>1986</v>
      </c>
      <c r="BA607" t="s">
        <v>538</v>
      </c>
      <c r="BB607" t="str">
        <f t="shared" si="9"/>
        <v>CIHPbeGwerEast</v>
      </c>
    </row>
    <row r="608" spans="48:54" x14ac:dyDescent="0.3">
      <c r="AV608" t="s">
        <v>789</v>
      </c>
      <c r="AW608" t="s">
        <v>139</v>
      </c>
      <c r="AX608" t="s">
        <v>544</v>
      </c>
      <c r="AY608" s="81" t="s">
        <v>1987</v>
      </c>
      <c r="AZ608" t="s">
        <v>1988</v>
      </c>
      <c r="BA608" t="s">
        <v>538</v>
      </c>
      <c r="BB608" t="str">
        <f t="shared" si="9"/>
        <v>CIHPbeGwerEast</v>
      </c>
    </row>
    <row r="609" spans="48:54" x14ac:dyDescent="0.3">
      <c r="AV609" t="s">
        <v>789</v>
      </c>
      <c r="AW609" t="s">
        <v>139</v>
      </c>
      <c r="AX609" t="s">
        <v>544</v>
      </c>
      <c r="AY609" s="81" t="s">
        <v>1989</v>
      </c>
      <c r="AZ609" t="s">
        <v>1990</v>
      </c>
      <c r="BA609" t="s">
        <v>538</v>
      </c>
      <c r="BB609" t="str">
        <f t="shared" si="9"/>
        <v>CIHPbeGwerEast</v>
      </c>
    </row>
    <row r="610" spans="48:54" x14ac:dyDescent="0.3">
      <c r="AV610" t="s">
        <v>789</v>
      </c>
      <c r="AW610" t="s">
        <v>139</v>
      </c>
      <c r="AX610" t="s">
        <v>544</v>
      </c>
      <c r="AY610" s="81" t="s">
        <v>1991</v>
      </c>
      <c r="AZ610" t="s">
        <v>1992</v>
      </c>
      <c r="BA610" t="s">
        <v>538</v>
      </c>
      <c r="BB610" t="str">
        <f t="shared" si="9"/>
        <v>CIHPbeGwerEast</v>
      </c>
    </row>
    <row r="611" spans="48:54" x14ac:dyDescent="0.3">
      <c r="AV611" t="s">
        <v>789</v>
      </c>
      <c r="AW611" t="s">
        <v>139</v>
      </c>
      <c r="AX611" t="s">
        <v>545</v>
      </c>
      <c r="AY611" s="81" t="s">
        <v>1993</v>
      </c>
      <c r="AZ611" t="s">
        <v>1994</v>
      </c>
      <c r="BA611" t="s">
        <v>538</v>
      </c>
      <c r="BB611" t="str">
        <f t="shared" si="9"/>
        <v>CIHPbeGwerWest</v>
      </c>
    </row>
    <row r="612" spans="48:54" x14ac:dyDescent="0.3">
      <c r="AV612" t="s">
        <v>789</v>
      </c>
      <c r="AW612" t="s">
        <v>139</v>
      </c>
      <c r="AX612" t="s">
        <v>545</v>
      </c>
      <c r="AY612" s="81" t="s">
        <v>1995</v>
      </c>
      <c r="AZ612" t="s">
        <v>1996</v>
      </c>
      <c r="BA612" t="s">
        <v>538</v>
      </c>
      <c r="BB612" t="str">
        <f t="shared" si="9"/>
        <v>CIHPbeGwerWest</v>
      </c>
    </row>
    <row r="613" spans="48:54" x14ac:dyDescent="0.3">
      <c r="AV613" t="s">
        <v>789</v>
      </c>
      <c r="AW613" t="s">
        <v>139</v>
      </c>
      <c r="AX613" t="s">
        <v>545</v>
      </c>
      <c r="AY613" s="81" t="s">
        <v>1997</v>
      </c>
      <c r="AZ613" t="s">
        <v>1998</v>
      </c>
      <c r="BA613" t="s">
        <v>538</v>
      </c>
      <c r="BB613" t="str">
        <f t="shared" si="9"/>
        <v>CIHPbeGwerWest</v>
      </c>
    </row>
    <row r="614" spans="48:54" x14ac:dyDescent="0.3">
      <c r="AV614" t="s">
        <v>789</v>
      </c>
      <c r="AW614" t="s">
        <v>139</v>
      </c>
      <c r="AX614" t="s">
        <v>545</v>
      </c>
      <c r="AY614" s="81" t="s">
        <v>1999</v>
      </c>
      <c r="AZ614" t="s">
        <v>2000</v>
      </c>
      <c r="BA614" t="s">
        <v>538</v>
      </c>
      <c r="BB614" t="str">
        <f t="shared" si="9"/>
        <v>CIHPbeGwerWest</v>
      </c>
    </row>
    <row r="615" spans="48:54" x14ac:dyDescent="0.3">
      <c r="AV615" t="s">
        <v>789</v>
      </c>
      <c r="AW615" t="s">
        <v>139</v>
      </c>
      <c r="AX615" t="s">
        <v>545</v>
      </c>
      <c r="AY615" s="81" t="s">
        <v>2001</v>
      </c>
      <c r="AZ615" t="s">
        <v>2002</v>
      </c>
      <c r="BA615" t="s">
        <v>538</v>
      </c>
      <c r="BB615" t="str">
        <f t="shared" si="9"/>
        <v>CIHPbeGwerWest</v>
      </c>
    </row>
    <row r="616" spans="48:54" x14ac:dyDescent="0.3">
      <c r="AV616" t="s">
        <v>789</v>
      </c>
      <c r="AW616" t="s">
        <v>139</v>
      </c>
      <c r="AX616" t="s">
        <v>545</v>
      </c>
      <c r="AY616" s="81" t="s">
        <v>2003</v>
      </c>
      <c r="AZ616" t="s">
        <v>2004</v>
      </c>
      <c r="BA616" t="s">
        <v>538</v>
      </c>
      <c r="BB616" t="str">
        <f t="shared" si="9"/>
        <v>CIHPbeGwerWest</v>
      </c>
    </row>
    <row r="617" spans="48:54" x14ac:dyDescent="0.3">
      <c r="AV617" t="s">
        <v>789</v>
      </c>
      <c r="AW617" t="s">
        <v>139</v>
      </c>
      <c r="AX617" t="s">
        <v>545</v>
      </c>
      <c r="AY617" s="81" t="s">
        <v>2005</v>
      </c>
      <c r="AZ617" t="s">
        <v>2006</v>
      </c>
      <c r="BA617" t="s">
        <v>538</v>
      </c>
      <c r="BB617" t="str">
        <f t="shared" si="9"/>
        <v>CIHPbeGwerWest</v>
      </c>
    </row>
    <row r="618" spans="48:54" x14ac:dyDescent="0.3">
      <c r="AV618" t="s">
        <v>789</v>
      </c>
      <c r="AW618" t="s">
        <v>139</v>
      </c>
      <c r="AX618" t="s">
        <v>545</v>
      </c>
      <c r="AY618" s="81" t="s">
        <v>2007</v>
      </c>
      <c r="AZ618" t="s">
        <v>2008</v>
      </c>
      <c r="BA618" t="s">
        <v>538</v>
      </c>
      <c r="BB618" t="str">
        <f t="shared" si="9"/>
        <v>CIHPbeGwerWest</v>
      </c>
    </row>
    <row r="619" spans="48:54" x14ac:dyDescent="0.3">
      <c r="AV619" t="s">
        <v>789</v>
      </c>
      <c r="AW619" t="s">
        <v>139</v>
      </c>
      <c r="AX619" t="s">
        <v>545</v>
      </c>
      <c r="AY619" s="81" t="s">
        <v>2009</v>
      </c>
      <c r="AZ619" t="s">
        <v>2010</v>
      </c>
      <c r="BA619" t="s">
        <v>538</v>
      </c>
      <c r="BB619" t="str">
        <f t="shared" si="9"/>
        <v>CIHPbeGwerWest</v>
      </c>
    </row>
    <row r="620" spans="48:54" x14ac:dyDescent="0.3">
      <c r="AV620" t="s">
        <v>789</v>
      </c>
      <c r="AW620" t="s">
        <v>139</v>
      </c>
      <c r="AX620" t="s">
        <v>545</v>
      </c>
      <c r="AY620" s="81" t="s">
        <v>2011</v>
      </c>
      <c r="AZ620" t="s">
        <v>2012</v>
      </c>
      <c r="BA620" t="s">
        <v>538</v>
      </c>
      <c r="BB620" t="str">
        <f t="shared" si="9"/>
        <v>CIHPbeGwerWest</v>
      </c>
    </row>
    <row r="621" spans="48:54" x14ac:dyDescent="0.3">
      <c r="AV621" t="s">
        <v>789</v>
      </c>
      <c r="AW621" t="s">
        <v>139</v>
      </c>
      <c r="AX621" t="s">
        <v>545</v>
      </c>
      <c r="AY621" s="81" t="s">
        <v>2013</v>
      </c>
      <c r="AZ621" t="s">
        <v>2014</v>
      </c>
      <c r="BA621" t="s">
        <v>538</v>
      </c>
      <c r="BB621" t="str">
        <f t="shared" si="9"/>
        <v>CIHPbeGwerWest</v>
      </c>
    </row>
    <row r="622" spans="48:54" x14ac:dyDescent="0.3">
      <c r="AV622" t="s">
        <v>789</v>
      </c>
      <c r="AW622" t="s">
        <v>139</v>
      </c>
      <c r="AX622" t="s">
        <v>545</v>
      </c>
      <c r="AY622" s="81" t="s">
        <v>2015</v>
      </c>
      <c r="AZ622" t="s">
        <v>2016</v>
      </c>
      <c r="BA622" t="s">
        <v>538</v>
      </c>
      <c r="BB622" t="str">
        <f t="shared" si="9"/>
        <v>CIHPbeGwerWest</v>
      </c>
    </row>
    <row r="623" spans="48:54" x14ac:dyDescent="0.3">
      <c r="AV623" t="s">
        <v>789</v>
      </c>
      <c r="AW623" t="s">
        <v>139</v>
      </c>
      <c r="AX623" t="s">
        <v>545</v>
      </c>
      <c r="AY623" s="81" t="s">
        <v>2017</v>
      </c>
      <c r="AZ623" t="s">
        <v>2018</v>
      </c>
      <c r="BA623" t="s">
        <v>538</v>
      </c>
      <c r="BB623" t="str">
        <f t="shared" si="9"/>
        <v>CIHPbeGwerWest</v>
      </c>
    </row>
    <row r="624" spans="48:54" x14ac:dyDescent="0.3">
      <c r="AV624" t="s">
        <v>789</v>
      </c>
      <c r="AW624" t="s">
        <v>139</v>
      </c>
      <c r="AX624" t="s">
        <v>545</v>
      </c>
      <c r="AY624" s="81" t="s">
        <v>2019</v>
      </c>
      <c r="AZ624" t="s">
        <v>2020</v>
      </c>
      <c r="BA624" t="s">
        <v>538</v>
      </c>
      <c r="BB624" t="str">
        <f t="shared" si="9"/>
        <v>CIHPbeGwerWest</v>
      </c>
    </row>
    <row r="625" spans="48:54" x14ac:dyDescent="0.3">
      <c r="AV625" t="s">
        <v>789</v>
      </c>
      <c r="AW625" t="s">
        <v>139</v>
      </c>
      <c r="AX625" t="s">
        <v>545</v>
      </c>
      <c r="AY625" s="81" t="s">
        <v>2021</v>
      </c>
      <c r="AZ625" t="s">
        <v>2022</v>
      </c>
      <c r="BA625" t="s">
        <v>538</v>
      </c>
      <c r="BB625" t="str">
        <f t="shared" si="9"/>
        <v>CIHPbeGwerWest</v>
      </c>
    </row>
    <row r="626" spans="48:54" x14ac:dyDescent="0.3">
      <c r="AV626" t="s">
        <v>789</v>
      </c>
      <c r="AW626" t="s">
        <v>139</v>
      </c>
      <c r="AX626" t="s">
        <v>545</v>
      </c>
      <c r="AY626" s="81" t="s">
        <v>2023</v>
      </c>
      <c r="AZ626" t="s">
        <v>2024</v>
      </c>
      <c r="BA626" t="s">
        <v>538</v>
      </c>
      <c r="BB626" t="str">
        <f t="shared" si="9"/>
        <v>CIHPbeGwerWest</v>
      </c>
    </row>
    <row r="627" spans="48:54" x14ac:dyDescent="0.3">
      <c r="AV627" t="s">
        <v>789</v>
      </c>
      <c r="AW627" t="s">
        <v>139</v>
      </c>
      <c r="AX627" t="s">
        <v>545</v>
      </c>
      <c r="AY627" s="81" t="s">
        <v>2025</v>
      </c>
      <c r="AZ627" t="s">
        <v>2026</v>
      </c>
      <c r="BA627" t="s">
        <v>538</v>
      </c>
      <c r="BB627" t="str">
        <f t="shared" si="9"/>
        <v>CIHPbeGwerWest</v>
      </c>
    </row>
    <row r="628" spans="48:54" x14ac:dyDescent="0.3">
      <c r="AV628" t="s">
        <v>789</v>
      </c>
      <c r="AW628" t="s">
        <v>139</v>
      </c>
      <c r="AX628" t="s">
        <v>545</v>
      </c>
      <c r="AY628" s="81" t="s">
        <v>2027</v>
      </c>
      <c r="AZ628" t="s">
        <v>2028</v>
      </c>
      <c r="BA628" t="s">
        <v>538</v>
      </c>
      <c r="BB628" t="str">
        <f t="shared" si="9"/>
        <v>CIHPbeGwerWest</v>
      </c>
    </row>
    <row r="629" spans="48:54" x14ac:dyDescent="0.3">
      <c r="AV629" t="s">
        <v>789</v>
      </c>
      <c r="AW629" t="s">
        <v>139</v>
      </c>
      <c r="AX629" t="s">
        <v>545</v>
      </c>
      <c r="AY629" s="81" t="s">
        <v>2029</v>
      </c>
      <c r="AZ629" t="s">
        <v>2030</v>
      </c>
      <c r="BA629" t="s">
        <v>538</v>
      </c>
      <c r="BB629" t="str">
        <f t="shared" si="9"/>
        <v>CIHPbeGwerWest</v>
      </c>
    </row>
    <row r="630" spans="48:54" x14ac:dyDescent="0.3">
      <c r="AV630" t="s">
        <v>789</v>
      </c>
      <c r="AW630" t="s">
        <v>139</v>
      </c>
      <c r="AX630" t="s">
        <v>545</v>
      </c>
      <c r="AY630" s="81" t="s">
        <v>2031</v>
      </c>
      <c r="AZ630" t="s">
        <v>2032</v>
      </c>
      <c r="BA630" t="s">
        <v>538</v>
      </c>
      <c r="BB630" t="str">
        <f t="shared" si="9"/>
        <v>CIHPbeGwerWest</v>
      </c>
    </row>
    <row r="631" spans="48:54" x14ac:dyDescent="0.3">
      <c r="AV631" t="s">
        <v>789</v>
      </c>
      <c r="AW631" t="s">
        <v>139</v>
      </c>
      <c r="AX631" t="s">
        <v>548</v>
      </c>
      <c r="AY631" s="81" t="s">
        <v>2033</v>
      </c>
      <c r="AZ631" t="s">
        <v>2034</v>
      </c>
      <c r="BA631" t="s">
        <v>538</v>
      </c>
      <c r="BB631" t="str">
        <f t="shared" si="9"/>
        <v>CIHPbeKwande</v>
      </c>
    </row>
    <row r="632" spans="48:54" x14ac:dyDescent="0.3">
      <c r="AV632" t="s">
        <v>789</v>
      </c>
      <c r="AW632" t="s">
        <v>139</v>
      </c>
      <c r="AX632" t="s">
        <v>548</v>
      </c>
      <c r="AY632" s="81" t="s">
        <v>2035</v>
      </c>
      <c r="AZ632" t="s">
        <v>2036</v>
      </c>
      <c r="BA632" t="s">
        <v>538</v>
      </c>
      <c r="BB632" t="str">
        <f t="shared" si="9"/>
        <v>CIHPbeKwande</v>
      </c>
    </row>
    <row r="633" spans="48:54" x14ac:dyDescent="0.3">
      <c r="AV633" t="s">
        <v>789</v>
      </c>
      <c r="AW633" t="s">
        <v>139</v>
      </c>
      <c r="AX633" t="s">
        <v>548</v>
      </c>
      <c r="AY633" s="81" t="s">
        <v>2037</v>
      </c>
      <c r="AZ633" t="s">
        <v>2038</v>
      </c>
      <c r="BA633" t="s">
        <v>538</v>
      </c>
      <c r="BB633" t="str">
        <f t="shared" si="9"/>
        <v>CIHPbeKwande</v>
      </c>
    </row>
    <row r="634" spans="48:54" x14ac:dyDescent="0.3">
      <c r="AV634" t="s">
        <v>789</v>
      </c>
      <c r="AW634" t="s">
        <v>139</v>
      </c>
      <c r="AX634" t="s">
        <v>548</v>
      </c>
      <c r="AY634" s="81" t="s">
        <v>2039</v>
      </c>
      <c r="AZ634" t="s">
        <v>2040</v>
      </c>
      <c r="BA634" t="s">
        <v>538</v>
      </c>
      <c r="BB634" t="str">
        <f t="shared" si="9"/>
        <v>CIHPbeKwande</v>
      </c>
    </row>
    <row r="635" spans="48:54" x14ac:dyDescent="0.3">
      <c r="AV635" t="s">
        <v>789</v>
      </c>
      <c r="AW635" t="s">
        <v>139</v>
      </c>
      <c r="AX635" t="s">
        <v>548</v>
      </c>
      <c r="AY635" s="81" t="s">
        <v>2041</v>
      </c>
      <c r="AZ635" t="s">
        <v>2042</v>
      </c>
      <c r="BA635" t="s">
        <v>538</v>
      </c>
      <c r="BB635" t="str">
        <f t="shared" si="9"/>
        <v>CIHPbeKwande</v>
      </c>
    </row>
    <row r="636" spans="48:54" x14ac:dyDescent="0.3">
      <c r="AV636" t="s">
        <v>789</v>
      </c>
      <c r="AW636" t="s">
        <v>139</v>
      </c>
      <c r="AX636" t="s">
        <v>548</v>
      </c>
      <c r="AY636" s="81" t="s">
        <v>2043</v>
      </c>
      <c r="AZ636" t="s">
        <v>2044</v>
      </c>
      <c r="BA636" t="s">
        <v>538</v>
      </c>
      <c r="BB636" t="str">
        <f t="shared" si="9"/>
        <v>CIHPbeKwande</v>
      </c>
    </row>
    <row r="637" spans="48:54" x14ac:dyDescent="0.3">
      <c r="AV637" t="s">
        <v>789</v>
      </c>
      <c r="AW637" t="s">
        <v>139</v>
      </c>
      <c r="AX637" t="s">
        <v>548</v>
      </c>
      <c r="AY637" s="81" t="s">
        <v>2045</v>
      </c>
      <c r="AZ637" t="s">
        <v>2046</v>
      </c>
      <c r="BA637" t="s">
        <v>538</v>
      </c>
      <c r="BB637" t="str">
        <f t="shared" si="9"/>
        <v>CIHPbeKwande</v>
      </c>
    </row>
    <row r="638" spans="48:54" x14ac:dyDescent="0.3">
      <c r="AV638" t="s">
        <v>789</v>
      </c>
      <c r="AW638" t="s">
        <v>139</v>
      </c>
      <c r="AX638" t="s">
        <v>548</v>
      </c>
      <c r="AY638" s="81" t="s">
        <v>2047</v>
      </c>
      <c r="AZ638" t="s">
        <v>2048</v>
      </c>
      <c r="BA638" t="s">
        <v>538</v>
      </c>
      <c r="BB638" t="str">
        <f t="shared" si="9"/>
        <v>CIHPbeKwande</v>
      </c>
    </row>
    <row r="639" spans="48:54" x14ac:dyDescent="0.3">
      <c r="AV639" t="s">
        <v>789</v>
      </c>
      <c r="AW639" t="s">
        <v>139</v>
      </c>
      <c r="AX639" t="s">
        <v>548</v>
      </c>
      <c r="AY639" s="81" t="s">
        <v>2049</v>
      </c>
      <c r="AZ639" t="s">
        <v>2050</v>
      </c>
      <c r="BA639" t="s">
        <v>538</v>
      </c>
      <c r="BB639" t="str">
        <f t="shared" si="9"/>
        <v>CIHPbeKwande</v>
      </c>
    </row>
    <row r="640" spans="48:54" x14ac:dyDescent="0.3">
      <c r="AV640" t="s">
        <v>789</v>
      </c>
      <c r="AW640" t="s">
        <v>139</v>
      </c>
      <c r="AX640" t="s">
        <v>548</v>
      </c>
      <c r="AY640" s="81" t="s">
        <v>2051</v>
      </c>
      <c r="AZ640" t="s">
        <v>2052</v>
      </c>
      <c r="BA640" t="s">
        <v>538</v>
      </c>
      <c r="BB640" t="str">
        <f t="shared" si="9"/>
        <v>CIHPbeKwande</v>
      </c>
    </row>
    <row r="641" spans="48:54" x14ac:dyDescent="0.3">
      <c r="AV641" t="s">
        <v>789</v>
      </c>
      <c r="AW641" t="s">
        <v>139</v>
      </c>
      <c r="AX641" t="s">
        <v>548</v>
      </c>
      <c r="AY641" s="81" t="s">
        <v>2053</v>
      </c>
      <c r="AZ641" t="s">
        <v>2054</v>
      </c>
      <c r="BA641" t="s">
        <v>538</v>
      </c>
      <c r="BB641" t="str">
        <f t="shared" si="9"/>
        <v>CIHPbeKwande</v>
      </c>
    </row>
    <row r="642" spans="48:54" x14ac:dyDescent="0.3">
      <c r="AV642" t="s">
        <v>789</v>
      </c>
      <c r="AW642" t="s">
        <v>139</v>
      </c>
      <c r="AX642" t="s">
        <v>548</v>
      </c>
      <c r="AY642" s="81" t="s">
        <v>2055</v>
      </c>
      <c r="AZ642" t="s">
        <v>2056</v>
      </c>
      <c r="BA642" t="s">
        <v>538</v>
      </c>
      <c r="BB642" t="str">
        <f t="shared" si="9"/>
        <v>CIHPbeKwande</v>
      </c>
    </row>
    <row r="643" spans="48:54" x14ac:dyDescent="0.3">
      <c r="AV643" t="s">
        <v>789</v>
      </c>
      <c r="AW643" t="s">
        <v>139</v>
      </c>
      <c r="AX643" t="s">
        <v>549</v>
      </c>
      <c r="AY643" s="81" t="s">
        <v>2057</v>
      </c>
      <c r="AZ643" t="s">
        <v>2058</v>
      </c>
      <c r="BA643" t="s">
        <v>538</v>
      </c>
      <c r="BB643" t="str">
        <f t="shared" ref="BB643:BB706" si="10">SUBSTITUTE(SUBSTITUTE(BA643&amp;AX643," ",""),"-","")</f>
        <v>CIHPbeLogo</v>
      </c>
    </row>
    <row r="644" spans="48:54" x14ac:dyDescent="0.3">
      <c r="AV644" t="s">
        <v>789</v>
      </c>
      <c r="AW644" t="s">
        <v>139</v>
      </c>
      <c r="AX644" t="s">
        <v>549</v>
      </c>
      <c r="AY644" s="81" t="s">
        <v>2059</v>
      </c>
      <c r="AZ644" t="s">
        <v>2060</v>
      </c>
      <c r="BA644" t="s">
        <v>538</v>
      </c>
      <c r="BB644" t="str">
        <f t="shared" si="10"/>
        <v>CIHPbeLogo</v>
      </c>
    </row>
    <row r="645" spans="48:54" x14ac:dyDescent="0.3">
      <c r="AV645" t="s">
        <v>789</v>
      </c>
      <c r="AW645" t="s">
        <v>139</v>
      </c>
      <c r="AX645" t="s">
        <v>549</v>
      </c>
      <c r="AY645" s="81" t="s">
        <v>2061</v>
      </c>
      <c r="AZ645" t="s">
        <v>2062</v>
      </c>
      <c r="BA645" t="s">
        <v>538</v>
      </c>
      <c r="BB645" t="str">
        <f t="shared" si="10"/>
        <v>CIHPbeLogo</v>
      </c>
    </row>
    <row r="646" spans="48:54" x14ac:dyDescent="0.3">
      <c r="AV646" t="s">
        <v>789</v>
      </c>
      <c r="AW646" t="s">
        <v>139</v>
      </c>
      <c r="AX646" t="s">
        <v>549</v>
      </c>
      <c r="AY646" s="81" t="s">
        <v>2063</v>
      </c>
      <c r="AZ646" t="s">
        <v>2064</v>
      </c>
      <c r="BA646" t="s">
        <v>538</v>
      </c>
      <c r="BB646" t="str">
        <f t="shared" si="10"/>
        <v>CIHPbeLogo</v>
      </c>
    </row>
    <row r="647" spans="48:54" x14ac:dyDescent="0.3">
      <c r="AV647" t="s">
        <v>789</v>
      </c>
      <c r="AW647" t="s">
        <v>139</v>
      </c>
      <c r="AX647" t="s">
        <v>549</v>
      </c>
      <c r="AY647" s="81" t="s">
        <v>2065</v>
      </c>
      <c r="AZ647" t="s">
        <v>2066</v>
      </c>
      <c r="BA647" t="s">
        <v>538</v>
      </c>
      <c r="BB647" t="str">
        <f t="shared" si="10"/>
        <v>CIHPbeLogo</v>
      </c>
    </row>
    <row r="648" spans="48:54" x14ac:dyDescent="0.3">
      <c r="AV648" t="s">
        <v>789</v>
      </c>
      <c r="AW648" t="s">
        <v>139</v>
      </c>
      <c r="AX648" t="s">
        <v>549</v>
      </c>
      <c r="AY648" s="81" t="s">
        <v>2067</v>
      </c>
      <c r="AZ648" t="s">
        <v>2068</v>
      </c>
      <c r="BA648" t="s">
        <v>538</v>
      </c>
      <c r="BB648" t="str">
        <f t="shared" si="10"/>
        <v>CIHPbeLogo</v>
      </c>
    </row>
    <row r="649" spans="48:54" x14ac:dyDescent="0.3">
      <c r="AV649" t="s">
        <v>789</v>
      </c>
      <c r="AW649" t="s">
        <v>139</v>
      </c>
      <c r="AX649" t="s">
        <v>549</v>
      </c>
      <c r="AY649" s="81" t="s">
        <v>2069</v>
      </c>
      <c r="AZ649" t="s">
        <v>2070</v>
      </c>
      <c r="BA649" t="s">
        <v>538</v>
      </c>
      <c r="BB649" t="str">
        <f t="shared" si="10"/>
        <v>CIHPbeLogo</v>
      </c>
    </row>
    <row r="650" spans="48:54" x14ac:dyDescent="0.3">
      <c r="AV650" t="s">
        <v>789</v>
      </c>
      <c r="AW650" t="s">
        <v>139</v>
      </c>
      <c r="AX650" t="s">
        <v>549</v>
      </c>
      <c r="AY650" s="81" t="s">
        <v>2071</v>
      </c>
      <c r="AZ650" t="s">
        <v>2072</v>
      </c>
      <c r="BA650" t="s">
        <v>538</v>
      </c>
      <c r="BB650" t="str">
        <f t="shared" si="10"/>
        <v>CIHPbeLogo</v>
      </c>
    </row>
    <row r="651" spans="48:54" x14ac:dyDescent="0.3">
      <c r="AV651" t="s">
        <v>789</v>
      </c>
      <c r="AW651" t="s">
        <v>139</v>
      </c>
      <c r="AX651" t="s">
        <v>549</v>
      </c>
      <c r="AY651" s="81" t="s">
        <v>2073</v>
      </c>
      <c r="AZ651" t="s">
        <v>2074</v>
      </c>
      <c r="BA651" t="s">
        <v>538</v>
      </c>
      <c r="BB651" t="str">
        <f t="shared" si="10"/>
        <v>CIHPbeLogo</v>
      </c>
    </row>
    <row r="652" spans="48:54" x14ac:dyDescent="0.3">
      <c r="AV652" t="s">
        <v>789</v>
      </c>
      <c r="AW652" t="s">
        <v>139</v>
      </c>
      <c r="AX652" t="s">
        <v>549</v>
      </c>
      <c r="AY652" s="81" t="s">
        <v>2075</v>
      </c>
      <c r="AZ652" t="s">
        <v>2076</v>
      </c>
      <c r="BA652" t="s">
        <v>538</v>
      </c>
      <c r="BB652" t="str">
        <f t="shared" si="10"/>
        <v>CIHPbeLogo</v>
      </c>
    </row>
    <row r="653" spans="48:54" x14ac:dyDescent="0.3">
      <c r="AV653" t="s">
        <v>789</v>
      </c>
      <c r="AW653" t="s">
        <v>139</v>
      </c>
      <c r="AX653" t="s">
        <v>549</v>
      </c>
      <c r="AY653" s="81" t="s">
        <v>2077</v>
      </c>
      <c r="AZ653" t="s">
        <v>2078</v>
      </c>
      <c r="BA653" t="s">
        <v>538</v>
      </c>
      <c r="BB653" t="str">
        <f t="shared" si="10"/>
        <v>CIHPbeLogo</v>
      </c>
    </row>
    <row r="654" spans="48:54" x14ac:dyDescent="0.3">
      <c r="AV654" t="s">
        <v>789</v>
      </c>
      <c r="AW654" t="s">
        <v>139</v>
      </c>
      <c r="AX654" t="s">
        <v>549</v>
      </c>
      <c r="AY654" s="81" t="s">
        <v>2079</v>
      </c>
      <c r="AZ654" t="s">
        <v>2080</v>
      </c>
      <c r="BA654" t="s">
        <v>538</v>
      </c>
      <c r="BB654" t="str">
        <f t="shared" si="10"/>
        <v>CIHPbeLogo</v>
      </c>
    </row>
    <row r="655" spans="48:54" x14ac:dyDescent="0.3">
      <c r="AV655" t="s">
        <v>789</v>
      </c>
      <c r="AW655" t="s">
        <v>139</v>
      </c>
      <c r="AX655" t="s">
        <v>549</v>
      </c>
      <c r="AY655" s="81" t="s">
        <v>2081</v>
      </c>
      <c r="AZ655" t="s">
        <v>2082</v>
      </c>
      <c r="BA655" t="s">
        <v>538</v>
      </c>
      <c r="BB655" t="str">
        <f t="shared" si="10"/>
        <v>CIHPbeLogo</v>
      </c>
    </row>
    <row r="656" spans="48:54" x14ac:dyDescent="0.3">
      <c r="AV656" t="s">
        <v>789</v>
      </c>
      <c r="AW656" t="s">
        <v>139</v>
      </c>
      <c r="AX656" t="s">
        <v>549</v>
      </c>
      <c r="AY656" s="81" t="s">
        <v>2083</v>
      </c>
      <c r="AZ656" t="s">
        <v>2084</v>
      </c>
      <c r="BA656" t="s">
        <v>538</v>
      </c>
      <c r="BB656" t="str">
        <f t="shared" si="10"/>
        <v>CIHPbeLogo</v>
      </c>
    </row>
    <row r="657" spans="48:54" x14ac:dyDescent="0.3">
      <c r="AV657" t="s">
        <v>789</v>
      </c>
      <c r="AW657" t="s">
        <v>139</v>
      </c>
      <c r="AX657" t="s">
        <v>549</v>
      </c>
      <c r="AY657" s="81" t="s">
        <v>2085</v>
      </c>
      <c r="AZ657" t="s">
        <v>2086</v>
      </c>
      <c r="BA657" t="s">
        <v>538</v>
      </c>
      <c r="BB657" t="str">
        <f t="shared" si="10"/>
        <v>CIHPbeLogo</v>
      </c>
    </row>
    <row r="658" spans="48:54" x14ac:dyDescent="0.3">
      <c r="AV658" t="s">
        <v>789</v>
      </c>
      <c r="AW658" t="s">
        <v>139</v>
      </c>
      <c r="AX658" t="s">
        <v>549</v>
      </c>
      <c r="AY658" s="81" t="s">
        <v>2087</v>
      </c>
      <c r="AZ658" t="s">
        <v>2088</v>
      </c>
      <c r="BA658" t="s">
        <v>538</v>
      </c>
      <c r="BB658" t="str">
        <f t="shared" si="10"/>
        <v>CIHPbeLogo</v>
      </c>
    </row>
    <row r="659" spans="48:54" x14ac:dyDescent="0.3">
      <c r="AV659" t="s">
        <v>789</v>
      </c>
      <c r="AW659" t="s">
        <v>139</v>
      </c>
      <c r="AX659" t="s">
        <v>549</v>
      </c>
      <c r="AY659" s="81" t="s">
        <v>2089</v>
      </c>
      <c r="AZ659" t="s">
        <v>2090</v>
      </c>
      <c r="BA659" t="s">
        <v>538</v>
      </c>
      <c r="BB659" t="str">
        <f t="shared" si="10"/>
        <v>CIHPbeLogo</v>
      </c>
    </row>
    <row r="660" spans="48:54" x14ac:dyDescent="0.3">
      <c r="AV660" t="s">
        <v>789</v>
      </c>
      <c r="AW660" t="s">
        <v>139</v>
      </c>
      <c r="AX660" t="s">
        <v>549</v>
      </c>
      <c r="AY660" s="81" t="s">
        <v>2091</v>
      </c>
      <c r="AZ660" t="s">
        <v>2092</v>
      </c>
      <c r="BA660" t="s">
        <v>538</v>
      </c>
      <c r="BB660" t="str">
        <f t="shared" si="10"/>
        <v>CIHPbeLogo</v>
      </c>
    </row>
    <row r="661" spans="48:54" x14ac:dyDescent="0.3">
      <c r="AV661" t="s">
        <v>789</v>
      </c>
      <c r="AW661" t="s">
        <v>139</v>
      </c>
      <c r="AX661" t="s">
        <v>549</v>
      </c>
      <c r="AY661" s="81" t="s">
        <v>2093</v>
      </c>
      <c r="AZ661" t="s">
        <v>2094</v>
      </c>
      <c r="BA661" t="s">
        <v>538</v>
      </c>
      <c r="BB661" t="str">
        <f t="shared" si="10"/>
        <v>CIHPbeLogo</v>
      </c>
    </row>
    <row r="662" spans="48:54" x14ac:dyDescent="0.3">
      <c r="AV662" t="s">
        <v>789</v>
      </c>
      <c r="AW662" t="s">
        <v>139</v>
      </c>
      <c r="AX662" t="s">
        <v>549</v>
      </c>
      <c r="AY662" s="81" t="s">
        <v>2095</v>
      </c>
      <c r="AZ662" t="s">
        <v>2096</v>
      </c>
      <c r="BA662" t="s">
        <v>538</v>
      </c>
      <c r="BB662" t="str">
        <f t="shared" si="10"/>
        <v>CIHPbeLogo</v>
      </c>
    </row>
    <row r="663" spans="48:54" x14ac:dyDescent="0.3">
      <c r="AV663" t="s">
        <v>789</v>
      </c>
      <c r="AW663" t="s">
        <v>139</v>
      </c>
      <c r="AX663" t="s">
        <v>549</v>
      </c>
      <c r="AY663" s="81" t="s">
        <v>2097</v>
      </c>
      <c r="AZ663" t="s">
        <v>2098</v>
      </c>
      <c r="BA663" t="s">
        <v>538</v>
      </c>
      <c r="BB663" t="str">
        <f t="shared" si="10"/>
        <v>CIHPbeLogo</v>
      </c>
    </row>
    <row r="664" spans="48:54" x14ac:dyDescent="0.3">
      <c r="AV664" t="s">
        <v>789</v>
      </c>
      <c r="AW664" t="s">
        <v>139</v>
      </c>
      <c r="AX664" t="s">
        <v>549</v>
      </c>
      <c r="AY664" s="81" t="s">
        <v>2099</v>
      </c>
      <c r="AZ664" t="s">
        <v>2100</v>
      </c>
      <c r="BA664" t="s">
        <v>538</v>
      </c>
      <c r="BB664" t="str">
        <f t="shared" si="10"/>
        <v>CIHPbeLogo</v>
      </c>
    </row>
    <row r="665" spans="48:54" x14ac:dyDescent="0.3">
      <c r="AV665" t="s">
        <v>789</v>
      </c>
      <c r="AW665" t="s">
        <v>139</v>
      </c>
      <c r="AX665" t="s">
        <v>549</v>
      </c>
      <c r="AY665" s="81" t="s">
        <v>2101</v>
      </c>
      <c r="AZ665" t="s">
        <v>2102</v>
      </c>
      <c r="BA665" t="s">
        <v>538</v>
      </c>
      <c r="BB665" t="str">
        <f t="shared" si="10"/>
        <v>CIHPbeLogo</v>
      </c>
    </row>
    <row r="666" spans="48:54" x14ac:dyDescent="0.3">
      <c r="AV666" t="s">
        <v>789</v>
      </c>
      <c r="AW666" t="s">
        <v>139</v>
      </c>
      <c r="AX666" t="s">
        <v>549</v>
      </c>
      <c r="AY666" s="81" t="s">
        <v>2103</v>
      </c>
      <c r="AZ666" t="s">
        <v>2104</v>
      </c>
      <c r="BA666" t="s">
        <v>538</v>
      </c>
      <c r="BB666" t="str">
        <f t="shared" si="10"/>
        <v>CIHPbeLogo</v>
      </c>
    </row>
    <row r="667" spans="48:54" x14ac:dyDescent="0.3">
      <c r="AV667" t="s">
        <v>789</v>
      </c>
      <c r="AW667" t="s">
        <v>139</v>
      </c>
      <c r="AX667" t="s">
        <v>549</v>
      </c>
      <c r="AY667" s="81" t="s">
        <v>2105</v>
      </c>
      <c r="AZ667" t="s">
        <v>2106</v>
      </c>
      <c r="BA667" t="s">
        <v>538</v>
      </c>
      <c r="BB667" t="str">
        <f t="shared" si="10"/>
        <v>CIHPbeLogo</v>
      </c>
    </row>
    <row r="668" spans="48:54" x14ac:dyDescent="0.3">
      <c r="AV668" t="s">
        <v>789</v>
      </c>
      <c r="AW668" t="s">
        <v>139</v>
      </c>
      <c r="AX668" t="s">
        <v>549</v>
      </c>
      <c r="AY668" s="81" t="s">
        <v>2107</v>
      </c>
      <c r="AZ668" t="s">
        <v>2108</v>
      </c>
      <c r="BA668" t="s">
        <v>538</v>
      </c>
      <c r="BB668" t="str">
        <f t="shared" si="10"/>
        <v>CIHPbeLogo</v>
      </c>
    </row>
    <row r="669" spans="48:54" x14ac:dyDescent="0.3">
      <c r="AV669" t="s">
        <v>789</v>
      </c>
      <c r="AW669" t="s">
        <v>139</v>
      </c>
      <c r="AX669" t="s">
        <v>549</v>
      </c>
      <c r="AY669" s="81" t="s">
        <v>2109</v>
      </c>
      <c r="AZ669" t="s">
        <v>2110</v>
      </c>
      <c r="BA669" t="s">
        <v>538</v>
      </c>
      <c r="BB669" t="str">
        <f t="shared" si="10"/>
        <v>CIHPbeLogo</v>
      </c>
    </row>
    <row r="670" spans="48:54" x14ac:dyDescent="0.3">
      <c r="AV670" t="s">
        <v>789</v>
      </c>
      <c r="AW670" t="s">
        <v>139</v>
      </c>
      <c r="AX670" t="s">
        <v>549</v>
      </c>
      <c r="AY670" s="81" t="s">
        <v>2111</v>
      </c>
      <c r="AZ670" t="s">
        <v>2112</v>
      </c>
      <c r="BA670" t="s">
        <v>538</v>
      </c>
      <c r="BB670" t="str">
        <f t="shared" si="10"/>
        <v>CIHPbeLogo</v>
      </c>
    </row>
    <row r="671" spans="48:54" x14ac:dyDescent="0.3">
      <c r="AV671" t="s">
        <v>789</v>
      </c>
      <c r="AW671" t="s">
        <v>139</v>
      </c>
      <c r="AX671" t="s">
        <v>549</v>
      </c>
      <c r="AY671" s="81" t="s">
        <v>2113</v>
      </c>
      <c r="AZ671" t="s">
        <v>2114</v>
      </c>
      <c r="BA671" t="s">
        <v>538</v>
      </c>
      <c r="BB671" t="str">
        <f t="shared" si="10"/>
        <v>CIHPbeLogo</v>
      </c>
    </row>
    <row r="672" spans="48:54" x14ac:dyDescent="0.3">
      <c r="AV672" t="s">
        <v>789</v>
      </c>
      <c r="AW672" t="s">
        <v>139</v>
      </c>
      <c r="AX672" t="s">
        <v>549</v>
      </c>
      <c r="AY672" s="81" t="s">
        <v>2115</v>
      </c>
      <c r="AZ672" t="s">
        <v>2116</v>
      </c>
      <c r="BA672" t="s">
        <v>538</v>
      </c>
      <c r="BB672" t="str">
        <f t="shared" si="10"/>
        <v>CIHPbeLogo</v>
      </c>
    </row>
    <row r="673" spans="48:54" x14ac:dyDescent="0.3">
      <c r="AV673" t="s">
        <v>789</v>
      </c>
      <c r="AW673" t="s">
        <v>139</v>
      </c>
      <c r="AX673" t="s">
        <v>549</v>
      </c>
      <c r="AY673" s="81" t="s">
        <v>2117</v>
      </c>
      <c r="AZ673" t="s">
        <v>2118</v>
      </c>
      <c r="BA673" t="s">
        <v>538</v>
      </c>
      <c r="BB673" t="str">
        <f t="shared" si="10"/>
        <v>CIHPbeLogo</v>
      </c>
    </row>
    <row r="674" spans="48:54" x14ac:dyDescent="0.3">
      <c r="AV674" t="s">
        <v>789</v>
      </c>
      <c r="AW674" t="s">
        <v>139</v>
      </c>
      <c r="AX674" t="s">
        <v>549</v>
      </c>
      <c r="AY674" s="81" t="s">
        <v>2119</v>
      </c>
      <c r="AZ674" t="s">
        <v>2120</v>
      </c>
      <c r="BA674" t="s">
        <v>538</v>
      </c>
      <c r="BB674" t="str">
        <f t="shared" si="10"/>
        <v>CIHPbeLogo</v>
      </c>
    </row>
    <row r="675" spans="48:54" x14ac:dyDescent="0.3">
      <c r="AV675" t="s">
        <v>789</v>
      </c>
      <c r="AW675" t="s">
        <v>139</v>
      </c>
      <c r="AX675" t="s">
        <v>549</v>
      </c>
      <c r="AY675" s="81" t="s">
        <v>2121</v>
      </c>
      <c r="AZ675" t="s">
        <v>2122</v>
      </c>
      <c r="BA675" t="s">
        <v>538</v>
      </c>
      <c r="BB675" t="str">
        <f t="shared" si="10"/>
        <v>CIHPbeLogo</v>
      </c>
    </row>
    <row r="676" spans="48:54" x14ac:dyDescent="0.3">
      <c r="AV676" t="s">
        <v>789</v>
      </c>
      <c r="AW676" t="s">
        <v>139</v>
      </c>
      <c r="AX676" t="s">
        <v>550</v>
      </c>
      <c r="AY676" s="81" t="s">
        <v>2123</v>
      </c>
      <c r="AZ676" t="s">
        <v>2124</v>
      </c>
      <c r="BA676" t="s">
        <v>538</v>
      </c>
      <c r="BB676" t="str">
        <f t="shared" si="10"/>
        <v>CIHPbeMakurdi</v>
      </c>
    </row>
    <row r="677" spans="48:54" x14ac:dyDescent="0.3">
      <c r="AV677" t="s">
        <v>789</v>
      </c>
      <c r="AW677" t="s">
        <v>139</v>
      </c>
      <c r="AX677" t="s">
        <v>550</v>
      </c>
      <c r="AY677" s="81" t="s">
        <v>2125</v>
      </c>
      <c r="AZ677" t="s">
        <v>2126</v>
      </c>
      <c r="BA677" t="s">
        <v>538</v>
      </c>
      <c r="BB677" t="str">
        <f t="shared" si="10"/>
        <v>CIHPbeMakurdi</v>
      </c>
    </row>
    <row r="678" spans="48:54" x14ac:dyDescent="0.3">
      <c r="AV678" t="s">
        <v>789</v>
      </c>
      <c r="AW678" t="s">
        <v>139</v>
      </c>
      <c r="AX678" t="s">
        <v>550</v>
      </c>
      <c r="AY678" s="81" t="s">
        <v>2127</v>
      </c>
      <c r="AZ678" t="s">
        <v>2128</v>
      </c>
      <c r="BA678" t="s">
        <v>538</v>
      </c>
      <c r="BB678" t="str">
        <f t="shared" si="10"/>
        <v>CIHPbeMakurdi</v>
      </c>
    </row>
    <row r="679" spans="48:54" x14ac:dyDescent="0.3">
      <c r="AV679" t="s">
        <v>789</v>
      </c>
      <c r="AW679" t="s">
        <v>139</v>
      </c>
      <c r="AX679" t="s">
        <v>550</v>
      </c>
      <c r="AY679" s="81" t="s">
        <v>2129</v>
      </c>
      <c r="AZ679" t="s">
        <v>2130</v>
      </c>
      <c r="BA679" t="s">
        <v>538</v>
      </c>
      <c r="BB679" t="str">
        <f t="shared" si="10"/>
        <v>CIHPbeMakurdi</v>
      </c>
    </row>
    <row r="680" spans="48:54" x14ac:dyDescent="0.3">
      <c r="AV680" t="s">
        <v>789</v>
      </c>
      <c r="AW680" t="s">
        <v>139</v>
      </c>
      <c r="AX680" t="s">
        <v>550</v>
      </c>
      <c r="AY680" s="81" t="s">
        <v>2131</v>
      </c>
      <c r="AZ680" t="s">
        <v>2132</v>
      </c>
      <c r="BA680" t="s">
        <v>538</v>
      </c>
      <c r="BB680" t="str">
        <f t="shared" si="10"/>
        <v>CIHPbeMakurdi</v>
      </c>
    </row>
    <row r="681" spans="48:54" x14ac:dyDescent="0.3">
      <c r="AV681" t="s">
        <v>789</v>
      </c>
      <c r="AW681" t="s">
        <v>139</v>
      </c>
      <c r="AX681" t="s">
        <v>550</v>
      </c>
      <c r="AY681" s="81" t="s">
        <v>2133</v>
      </c>
      <c r="AZ681" t="s">
        <v>2134</v>
      </c>
      <c r="BA681" t="s">
        <v>538</v>
      </c>
      <c r="BB681" t="str">
        <f t="shared" si="10"/>
        <v>CIHPbeMakurdi</v>
      </c>
    </row>
    <row r="682" spans="48:54" x14ac:dyDescent="0.3">
      <c r="AV682" t="s">
        <v>789</v>
      </c>
      <c r="AW682" t="s">
        <v>139</v>
      </c>
      <c r="AX682" t="s">
        <v>559</v>
      </c>
      <c r="AY682" s="81" t="s">
        <v>2135</v>
      </c>
      <c r="AZ682" t="s">
        <v>2136</v>
      </c>
      <c r="BA682" t="s">
        <v>538</v>
      </c>
      <c r="BB682" t="str">
        <f t="shared" si="10"/>
        <v>CIHPbeObi</v>
      </c>
    </row>
    <row r="683" spans="48:54" x14ac:dyDescent="0.3">
      <c r="AV683" t="s">
        <v>789</v>
      </c>
      <c r="AW683" t="s">
        <v>139</v>
      </c>
      <c r="AX683" t="s">
        <v>559</v>
      </c>
      <c r="AY683" s="81" t="s">
        <v>2137</v>
      </c>
      <c r="AZ683" t="s">
        <v>2138</v>
      </c>
      <c r="BA683" t="s">
        <v>538</v>
      </c>
      <c r="BB683" t="str">
        <f t="shared" si="10"/>
        <v>CIHPbeObi</v>
      </c>
    </row>
    <row r="684" spans="48:54" x14ac:dyDescent="0.3">
      <c r="AV684" t="s">
        <v>789</v>
      </c>
      <c r="AW684" t="s">
        <v>139</v>
      </c>
      <c r="AX684" t="s">
        <v>559</v>
      </c>
      <c r="AY684" s="81" t="s">
        <v>2139</v>
      </c>
      <c r="AZ684" t="s">
        <v>2140</v>
      </c>
      <c r="BA684" t="s">
        <v>538</v>
      </c>
      <c r="BB684" t="str">
        <f t="shared" si="10"/>
        <v>CIHPbeObi</v>
      </c>
    </row>
    <row r="685" spans="48:54" x14ac:dyDescent="0.3">
      <c r="AV685" t="s">
        <v>789</v>
      </c>
      <c r="AW685" t="s">
        <v>139</v>
      </c>
      <c r="AX685" t="s">
        <v>559</v>
      </c>
      <c r="AY685" s="81" t="s">
        <v>2141</v>
      </c>
      <c r="AZ685" t="s">
        <v>2142</v>
      </c>
      <c r="BA685" t="s">
        <v>538</v>
      </c>
      <c r="BB685" t="str">
        <f t="shared" si="10"/>
        <v>CIHPbeObi</v>
      </c>
    </row>
    <row r="686" spans="48:54" x14ac:dyDescent="0.3">
      <c r="AV686" t="s">
        <v>789</v>
      </c>
      <c r="AW686" t="s">
        <v>139</v>
      </c>
      <c r="AX686" t="s">
        <v>559</v>
      </c>
      <c r="AY686" s="81" t="s">
        <v>2143</v>
      </c>
      <c r="AZ686" t="s">
        <v>2144</v>
      </c>
      <c r="BA686" t="s">
        <v>538</v>
      </c>
      <c r="BB686" t="str">
        <f t="shared" si="10"/>
        <v>CIHPbeObi</v>
      </c>
    </row>
    <row r="687" spans="48:54" x14ac:dyDescent="0.3">
      <c r="AV687" t="s">
        <v>789</v>
      </c>
      <c r="AW687" t="s">
        <v>139</v>
      </c>
      <c r="AX687" t="s">
        <v>560</v>
      </c>
      <c r="AY687" s="81" t="s">
        <v>2145</v>
      </c>
      <c r="AZ687" t="s">
        <v>2146</v>
      </c>
      <c r="BA687" t="s">
        <v>538</v>
      </c>
      <c r="BB687" t="str">
        <f t="shared" si="10"/>
        <v>CIHPbeOgbadibo</v>
      </c>
    </row>
    <row r="688" spans="48:54" x14ac:dyDescent="0.3">
      <c r="AV688" t="s">
        <v>789</v>
      </c>
      <c r="AW688" t="s">
        <v>139</v>
      </c>
      <c r="AX688" t="s">
        <v>561</v>
      </c>
      <c r="AY688" s="81" t="s">
        <v>2147</v>
      </c>
      <c r="AZ688" t="s">
        <v>2148</v>
      </c>
      <c r="BA688" t="s">
        <v>538</v>
      </c>
      <c r="BB688" t="str">
        <f t="shared" si="10"/>
        <v>CIHPbeOhimini</v>
      </c>
    </row>
    <row r="689" spans="48:54" x14ac:dyDescent="0.3">
      <c r="AV689" t="s">
        <v>789</v>
      </c>
      <c r="AW689" t="s">
        <v>139</v>
      </c>
      <c r="AX689" t="s">
        <v>561</v>
      </c>
      <c r="AY689" s="81" t="s">
        <v>2149</v>
      </c>
      <c r="AZ689" t="s">
        <v>2150</v>
      </c>
      <c r="BA689" t="s">
        <v>538</v>
      </c>
      <c r="BB689" t="str">
        <f t="shared" si="10"/>
        <v>CIHPbeOhimini</v>
      </c>
    </row>
    <row r="690" spans="48:54" x14ac:dyDescent="0.3">
      <c r="AV690" t="s">
        <v>789</v>
      </c>
      <c r="AW690" t="s">
        <v>139</v>
      </c>
      <c r="AX690" t="s">
        <v>551</v>
      </c>
      <c r="AY690" s="81" t="s">
        <v>2151</v>
      </c>
      <c r="AZ690" t="s">
        <v>2152</v>
      </c>
      <c r="BA690" t="s">
        <v>538</v>
      </c>
      <c r="BB690" t="str">
        <f t="shared" si="10"/>
        <v>CIHPbeOkpokwu</v>
      </c>
    </row>
    <row r="691" spans="48:54" x14ac:dyDescent="0.3">
      <c r="AV691" t="s">
        <v>789</v>
      </c>
      <c r="AW691" t="s">
        <v>139</v>
      </c>
      <c r="AX691" t="s">
        <v>551</v>
      </c>
      <c r="AY691" s="81" t="s">
        <v>2153</v>
      </c>
      <c r="AZ691" t="s">
        <v>2154</v>
      </c>
      <c r="BA691" t="s">
        <v>538</v>
      </c>
      <c r="BB691" t="str">
        <f t="shared" si="10"/>
        <v>CIHPbeOkpokwu</v>
      </c>
    </row>
    <row r="692" spans="48:54" x14ac:dyDescent="0.3">
      <c r="AV692" t="s">
        <v>789</v>
      </c>
      <c r="AW692" t="s">
        <v>139</v>
      </c>
      <c r="AX692" t="s">
        <v>552</v>
      </c>
      <c r="AY692" s="81" t="s">
        <v>2155</v>
      </c>
      <c r="AZ692" t="s">
        <v>2156</v>
      </c>
      <c r="BA692" t="s">
        <v>538</v>
      </c>
      <c r="BB692" t="str">
        <f t="shared" si="10"/>
        <v>CIHPbeOtukpo</v>
      </c>
    </row>
    <row r="693" spans="48:54" x14ac:dyDescent="0.3">
      <c r="AV693" t="s">
        <v>789</v>
      </c>
      <c r="AW693" t="s">
        <v>139</v>
      </c>
      <c r="AX693" t="s">
        <v>552</v>
      </c>
      <c r="AY693" s="81" t="s">
        <v>2157</v>
      </c>
      <c r="AZ693" t="s">
        <v>2158</v>
      </c>
      <c r="BA693" t="s">
        <v>538</v>
      </c>
      <c r="BB693" t="str">
        <f t="shared" si="10"/>
        <v>CIHPbeOtukpo</v>
      </c>
    </row>
    <row r="694" spans="48:54" x14ac:dyDescent="0.3">
      <c r="AV694" t="s">
        <v>789</v>
      </c>
      <c r="AW694" t="s">
        <v>139</v>
      </c>
      <c r="AX694" t="s">
        <v>552</v>
      </c>
      <c r="AY694" s="81" t="s">
        <v>2159</v>
      </c>
      <c r="AZ694" t="s">
        <v>2160</v>
      </c>
      <c r="BA694" t="s">
        <v>538</v>
      </c>
      <c r="BB694" t="str">
        <f t="shared" si="10"/>
        <v>CIHPbeOtukpo</v>
      </c>
    </row>
    <row r="695" spans="48:54" x14ac:dyDescent="0.3">
      <c r="AV695" t="s">
        <v>789</v>
      </c>
      <c r="AW695" t="s">
        <v>139</v>
      </c>
      <c r="AX695" t="s">
        <v>552</v>
      </c>
      <c r="AY695" s="81" t="s">
        <v>2161</v>
      </c>
      <c r="AZ695" t="s">
        <v>2162</v>
      </c>
      <c r="BA695" t="s">
        <v>538</v>
      </c>
      <c r="BB695" t="str">
        <f t="shared" si="10"/>
        <v>CIHPbeOtukpo</v>
      </c>
    </row>
    <row r="696" spans="48:54" x14ac:dyDescent="0.3">
      <c r="AV696" t="s">
        <v>789</v>
      </c>
      <c r="AW696" t="s">
        <v>139</v>
      </c>
      <c r="AX696" t="s">
        <v>552</v>
      </c>
      <c r="AY696" s="81" t="s">
        <v>2163</v>
      </c>
      <c r="AZ696" t="s">
        <v>2164</v>
      </c>
      <c r="BA696" t="s">
        <v>538</v>
      </c>
      <c r="BB696" t="str">
        <f t="shared" si="10"/>
        <v>CIHPbeOtukpo</v>
      </c>
    </row>
    <row r="697" spans="48:54" x14ac:dyDescent="0.3">
      <c r="AV697" t="s">
        <v>789</v>
      </c>
      <c r="AW697" t="s">
        <v>139</v>
      </c>
      <c r="AX697" t="s">
        <v>552</v>
      </c>
      <c r="AY697" s="81" t="s">
        <v>2165</v>
      </c>
      <c r="AZ697" t="s">
        <v>2166</v>
      </c>
      <c r="BA697" t="s">
        <v>538</v>
      </c>
      <c r="BB697" t="str">
        <f t="shared" si="10"/>
        <v>CIHPbeOtukpo</v>
      </c>
    </row>
    <row r="698" spans="48:54" x14ac:dyDescent="0.3">
      <c r="AV698" t="s">
        <v>789</v>
      </c>
      <c r="AW698" t="s">
        <v>139</v>
      </c>
      <c r="AX698" t="s">
        <v>552</v>
      </c>
      <c r="AY698" s="81" t="s">
        <v>2167</v>
      </c>
      <c r="AZ698" t="s">
        <v>2168</v>
      </c>
      <c r="BA698" t="s">
        <v>538</v>
      </c>
      <c r="BB698" t="str">
        <f t="shared" si="10"/>
        <v>CIHPbeOtukpo</v>
      </c>
    </row>
    <row r="699" spans="48:54" x14ac:dyDescent="0.3">
      <c r="AV699" t="s">
        <v>789</v>
      </c>
      <c r="AW699" t="s">
        <v>139</v>
      </c>
      <c r="AX699" t="s">
        <v>552</v>
      </c>
      <c r="AY699" s="81" t="s">
        <v>2169</v>
      </c>
      <c r="AZ699" t="s">
        <v>2170</v>
      </c>
      <c r="BA699" t="s">
        <v>538</v>
      </c>
      <c r="BB699" t="str">
        <f t="shared" si="10"/>
        <v>CIHPbeOtukpo</v>
      </c>
    </row>
    <row r="700" spans="48:54" x14ac:dyDescent="0.3">
      <c r="AV700" t="s">
        <v>789</v>
      </c>
      <c r="AW700" t="s">
        <v>139</v>
      </c>
      <c r="AX700" t="s">
        <v>553</v>
      </c>
      <c r="AY700" s="81" t="s">
        <v>2171</v>
      </c>
      <c r="AZ700" t="s">
        <v>2172</v>
      </c>
      <c r="BA700" t="s">
        <v>538</v>
      </c>
      <c r="BB700" t="str">
        <f t="shared" si="10"/>
        <v>CIHPbeTarka</v>
      </c>
    </row>
    <row r="701" spans="48:54" x14ac:dyDescent="0.3">
      <c r="AV701" t="s">
        <v>789</v>
      </c>
      <c r="AW701" t="s">
        <v>139</v>
      </c>
      <c r="AX701" t="s">
        <v>553</v>
      </c>
      <c r="AY701" s="81" t="s">
        <v>2173</v>
      </c>
      <c r="AZ701" t="s">
        <v>2174</v>
      </c>
      <c r="BA701" t="s">
        <v>538</v>
      </c>
      <c r="BB701" t="str">
        <f t="shared" si="10"/>
        <v>CIHPbeTarka</v>
      </c>
    </row>
    <row r="702" spans="48:54" x14ac:dyDescent="0.3">
      <c r="AV702" t="s">
        <v>789</v>
      </c>
      <c r="AW702" t="s">
        <v>139</v>
      </c>
      <c r="AX702" t="s">
        <v>553</v>
      </c>
      <c r="AY702" s="81" t="s">
        <v>2175</v>
      </c>
      <c r="AZ702" t="s">
        <v>2176</v>
      </c>
      <c r="BA702" t="s">
        <v>538</v>
      </c>
      <c r="BB702" t="str">
        <f t="shared" si="10"/>
        <v>CIHPbeTarka</v>
      </c>
    </row>
    <row r="703" spans="48:54" x14ac:dyDescent="0.3">
      <c r="AV703" t="s">
        <v>789</v>
      </c>
      <c r="AW703" t="s">
        <v>139</v>
      </c>
      <c r="AX703" t="s">
        <v>553</v>
      </c>
      <c r="AY703" s="81" t="s">
        <v>2177</v>
      </c>
      <c r="AZ703" t="s">
        <v>2178</v>
      </c>
      <c r="BA703" t="s">
        <v>538</v>
      </c>
      <c r="BB703" t="str">
        <f t="shared" si="10"/>
        <v>CIHPbeTarka</v>
      </c>
    </row>
    <row r="704" spans="48:54" x14ac:dyDescent="0.3">
      <c r="AV704" t="s">
        <v>789</v>
      </c>
      <c r="AW704" t="s">
        <v>139</v>
      </c>
      <c r="AX704" t="s">
        <v>553</v>
      </c>
      <c r="AY704" s="81" t="s">
        <v>2179</v>
      </c>
      <c r="AZ704" t="s">
        <v>2180</v>
      </c>
      <c r="BA704" t="s">
        <v>538</v>
      </c>
      <c r="BB704" t="str">
        <f t="shared" si="10"/>
        <v>CIHPbeTarka</v>
      </c>
    </row>
    <row r="705" spans="48:54" x14ac:dyDescent="0.3">
      <c r="AV705" t="s">
        <v>789</v>
      </c>
      <c r="AW705" t="s">
        <v>139</v>
      </c>
      <c r="AX705" t="s">
        <v>553</v>
      </c>
      <c r="AY705" s="81" t="s">
        <v>2181</v>
      </c>
      <c r="AZ705" t="s">
        <v>2182</v>
      </c>
      <c r="BA705" t="s">
        <v>538</v>
      </c>
      <c r="BB705" t="str">
        <f t="shared" si="10"/>
        <v>CIHPbeTarka</v>
      </c>
    </row>
    <row r="706" spans="48:54" x14ac:dyDescent="0.3">
      <c r="AV706" t="s">
        <v>789</v>
      </c>
      <c r="AW706" t="s">
        <v>139</v>
      </c>
      <c r="AX706" t="s">
        <v>553</v>
      </c>
      <c r="AY706" s="81" t="s">
        <v>2183</v>
      </c>
      <c r="AZ706" t="s">
        <v>2184</v>
      </c>
      <c r="BA706" t="s">
        <v>538</v>
      </c>
      <c r="BB706" t="str">
        <f t="shared" si="10"/>
        <v>CIHPbeTarka</v>
      </c>
    </row>
    <row r="707" spans="48:54" x14ac:dyDescent="0.3">
      <c r="AV707" t="s">
        <v>789</v>
      </c>
      <c r="AW707" t="s">
        <v>139</v>
      </c>
      <c r="AX707" t="s">
        <v>553</v>
      </c>
      <c r="AY707" s="81" t="s">
        <v>2185</v>
      </c>
      <c r="AZ707" t="s">
        <v>2186</v>
      </c>
      <c r="BA707" t="s">
        <v>538</v>
      </c>
      <c r="BB707" t="str">
        <f t="shared" ref="BB707:BB770" si="11">SUBSTITUTE(SUBSTITUTE(BA707&amp;AX707," ",""),"-","")</f>
        <v>CIHPbeTarka</v>
      </c>
    </row>
    <row r="708" spans="48:54" x14ac:dyDescent="0.3">
      <c r="AV708" t="s">
        <v>789</v>
      </c>
      <c r="AW708" t="s">
        <v>139</v>
      </c>
      <c r="AX708" t="s">
        <v>553</v>
      </c>
      <c r="AY708" s="81" t="s">
        <v>2187</v>
      </c>
      <c r="AZ708" t="s">
        <v>2188</v>
      </c>
      <c r="BA708" t="s">
        <v>538</v>
      </c>
      <c r="BB708" t="str">
        <f t="shared" si="11"/>
        <v>CIHPbeTarka</v>
      </c>
    </row>
    <row r="709" spans="48:54" x14ac:dyDescent="0.3">
      <c r="AV709" t="s">
        <v>789</v>
      </c>
      <c r="AW709" t="s">
        <v>139</v>
      </c>
      <c r="AX709" t="s">
        <v>553</v>
      </c>
      <c r="AY709" s="81" t="s">
        <v>2189</v>
      </c>
      <c r="AZ709" t="s">
        <v>2190</v>
      </c>
      <c r="BA709" t="s">
        <v>538</v>
      </c>
      <c r="BB709" t="str">
        <f t="shared" si="11"/>
        <v>CIHPbeTarka</v>
      </c>
    </row>
    <row r="710" spans="48:54" x14ac:dyDescent="0.3">
      <c r="AV710" t="s">
        <v>789</v>
      </c>
      <c r="AW710" t="s">
        <v>139</v>
      </c>
      <c r="AX710" t="s">
        <v>553</v>
      </c>
      <c r="AY710" s="81" t="s">
        <v>2191</v>
      </c>
      <c r="AZ710" t="s">
        <v>2192</v>
      </c>
      <c r="BA710" t="s">
        <v>538</v>
      </c>
      <c r="BB710" t="str">
        <f t="shared" si="11"/>
        <v>CIHPbeTarka</v>
      </c>
    </row>
    <row r="711" spans="48:54" x14ac:dyDescent="0.3">
      <c r="AV711" t="s">
        <v>789</v>
      </c>
      <c r="AW711" t="s">
        <v>139</v>
      </c>
      <c r="AX711" t="s">
        <v>553</v>
      </c>
      <c r="AY711" s="81" t="s">
        <v>2193</v>
      </c>
      <c r="AZ711" t="s">
        <v>2194</v>
      </c>
      <c r="BA711" t="s">
        <v>538</v>
      </c>
      <c r="BB711" t="str">
        <f t="shared" si="11"/>
        <v>CIHPbeTarka</v>
      </c>
    </row>
    <row r="712" spans="48:54" x14ac:dyDescent="0.3">
      <c r="AV712" t="s">
        <v>789</v>
      </c>
      <c r="AW712" t="s">
        <v>139</v>
      </c>
      <c r="AX712" t="s">
        <v>553</v>
      </c>
      <c r="AY712" s="81" t="s">
        <v>2195</v>
      </c>
      <c r="AZ712" t="s">
        <v>2196</v>
      </c>
      <c r="BA712" t="s">
        <v>538</v>
      </c>
      <c r="BB712" t="str">
        <f t="shared" si="11"/>
        <v>CIHPbeTarka</v>
      </c>
    </row>
    <row r="713" spans="48:54" x14ac:dyDescent="0.3">
      <c r="AV713" t="s">
        <v>789</v>
      </c>
      <c r="AW713" t="s">
        <v>139</v>
      </c>
      <c r="AX713" t="s">
        <v>553</v>
      </c>
      <c r="AY713" s="81" t="s">
        <v>2197</v>
      </c>
      <c r="AZ713" t="s">
        <v>2198</v>
      </c>
      <c r="BA713" t="s">
        <v>538</v>
      </c>
      <c r="BB713" t="str">
        <f t="shared" si="11"/>
        <v>CIHPbeTarka</v>
      </c>
    </row>
    <row r="714" spans="48:54" x14ac:dyDescent="0.3">
      <c r="AV714" t="s">
        <v>789</v>
      </c>
      <c r="AW714" t="s">
        <v>139</v>
      </c>
      <c r="AX714" t="s">
        <v>553</v>
      </c>
      <c r="AY714" s="81" t="s">
        <v>2199</v>
      </c>
      <c r="AZ714" t="s">
        <v>2200</v>
      </c>
      <c r="BA714" t="s">
        <v>538</v>
      </c>
      <c r="BB714" t="str">
        <f t="shared" si="11"/>
        <v>CIHPbeTarka</v>
      </c>
    </row>
    <row r="715" spans="48:54" x14ac:dyDescent="0.3">
      <c r="AV715" t="s">
        <v>789</v>
      </c>
      <c r="AW715" t="s">
        <v>139</v>
      </c>
      <c r="AX715" t="s">
        <v>553</v>
      </c>
      <c r="AY715" s="81" t="s">
        <v>2201</v>
      </c>
      <c r="AZ715" t="s">
        <v>2202</v>
      </c>
      <c r="BA715" t="s">
        <v>538</v>
      </c>
      <c r="BB715" t="str">
        <f t="shared" si="11"/>
        <v>CIHPbeTarka</v>
      </c>
    </row>
    <row r="716" spans="48:54" x14ac:dyDescent="0.3">
      <c r="AV716" t="s">
        <v>789</v>
      </c>
      <c r="AW716" t="s">
        <v>139</v>
      </c>
      <c r="AX716" t="s">
        <v>553</v>
      </c>
      <c r="AY716" s="81" t="s">
        <v>2203</v>
      </c>
      <c r="AZ716" t="s">
        <v>2204</v>
      </c>
      <c r="BA716" t="s">
        <v>538</v>
      </c>
      <c r="BB716" t="str">
        <f t="shared" si="11"/>
        <v>CIHPbeTarka</v>
      </c>
    </row>
    <row r="717" spans="48:54" x14ac:dyDescent="0.3">
      <c r="AV717" t="s">
        <v>789</v>
      </c>
      <c r="AW717" t="s">
        <v>139</v>
      </c>
      <c r="AX717" t="s">
        <v>553</v>
      </c>
      <c r="AY717" s="81" t="s">
        <v>2205</v>
      </c>
      <c r="AZ717" t="s">
        <v>2206</v>
      </c>
      <c r="BA717" t="s">
        <v>538</v>
      </c>
      <c r="BB717" t="str">
        <f t="shared" si="11"/>
        <v>CIHPbeTarka</v>
      </c>
    </row>
    <row r="718" spans="48:54" x14ac:dyDescent="0.3">
      <c r="AV718" t="s">
        <v>789</v>
      </c>
      <c r="AW718" t="s">
        <v>139</v>
      </c>
      <c r="AX718" t="s">
        <v>553</v>
      </c>
      <c r="AY718" s="81" t="s">
        <v>2207</v>
      </c>
      <c r="AZ718" t="s">
        <v>2208</v>
      </c>
      <c r="BA718" t="s">
        <v>538</v>
      </c>
      <c r="BB718" t="str">
        <f t="shared" si="11"/>
        <v>CIHPbeTarka</v>
      </c>
    </row>
    <row r="719" spans="48:54" x14ac:dyDescent="0.3">
      <c r="AV719" t="s">
        <v>789</v>
      </c>
      <c r="AW719" t="s">
        <v>139</v>
      </c>
      <c r="AX719" t="s">
        <v>553</v>
      </c>
      <c r="AY719" s="81" t="s">
        <v>2209</v>
      </c>
      <c r="AZ719" t="s">
        <v>2210</v>
      </c>
      <c r="BA719" t="s">
        <v>538</v>
      </c>
      <c r="BB719" t="str">
        <f t="shared" si="11"/>
        <v>CIHPbeTarka</v>
      </c>
    </row>
    <row r="720" spans="48:54" x14ac:dyDescent="0.3">
      <c r="AV720" t="s">
        <v>789</v>
      </c>
      <c r="AW720" t="s">
        <v>139</v>
      </c>
      <c r="AX720" t="s">
        <v>554</v>
      </c>
      <c r="AY720" s="81" t="s">
        <v>2211</v>
      </c>
      <c r="AZ720" t="s">
        <v>2212</v>
      </c>
      <c r="BA720" t="s">
        <v>538</v>
      </c>
      <c r="BB720" t="str">
        <f t="shared" si="11"/>
        <v>CIHPbeUkum</v>
      </c>
    </row>
    <row r="721" spans="48:54" x14ac:dyDescent="0.3">
      <c r="AV721" t="s">
        <v>789</v>
      </c>
      <c r="AW721" t="s">
        <v>139</v>
      </c>
      <c r="AX721" t="s">
        <v>554</v>
      </c>
      <c r="AY721" s="81" t="s">
        <v>2213</v>
      </c>
      <c r="AZ721" t="s">
        <v>2214</v>
      </c>
      <c r="BA721" t="s">
        <v>538</v>
      </c>
      <c r="BB721" t="str">
        <f t="shared" si="11"/>
        <v>CIHPbeUkum</v>
      </c>
    </row>
    <row r="722" spans="48:54" x14ac:dyDescent="0.3">
      <c r="AV722" t="s">
        <v>789</v>
      </c>
      <c r="AW722" t="s">
        <v>139</v>
      </c>
      <c r="AX722" t="s">
        <v>554</v>
      </c>
      <c r="AY722" s="81" t="s">
        <v>2215</v>
      </c>
      <c r="AZ722" t="s">
        <v>2216</v>
      </c>
      <c r="BA722" t="s">
        <v>538</v>
      </c>
      <c r="BB722" t="str">
        <f t="shared" si="11"/>
        <v>CIHPbeUkum</v>
      </c>
    </row>
    <row r="723" spans="48:54" x14ac:dyDescent="0.3">
      <c r="AV723" t="s">
        <v>789</v>
      </c>
      <c r="AW723" t="s">
        <v>139</v>
      </c>
      <c r="AX723" t="s">
        <v>554</v>
      </c>
      <c r="AY723" s="81" t="s">
        <v>2217</v>
      </c>
      <c r="AZ723" t="s">
        <v>2218</v>
      </c>
      <c r="BA723" t="s">
        <v>538</v>
      </c>
      <c r="BB723" t="str">
        <f t="shared" si="11"/>
        <v>CIHPbeUkum</v>
      </c>
    </row>
    <row r="724" spans="48:54" x14ac:dyDescent="0.3">
      <c r="AV724" t="s">
        <v>789</v>
      </c>
      <c r="AW724" t="s">
        <v>139</v>
      </c>
      <c r="AX724" t="s">
        <v>554</v>
      </c>
      <c r="AY724" s="81" t="s">
        <v>2219</v>
      </c>
      <c r="AZ724" t="s">
        <v>2220</v>
      </c>
      <c r="BA724" t="s">
        <v>538</v>
      </c>
      <c r="BB724" t="str">
        <f t="shared" si="11"/>
        <v>CIHPbeUkum</v>
      </c>
    </row>
    <row r="725" spans="48:54" x14ac:dyDescent="0.3">
      <c r="AV725" t="s">
        <v>789</v>
      </c>
      <c r="AW725" t="s">
        <v>139</v>
      </c>
      <c r="AX725" t="s">
        <v>554</v>
      </c>
      <c r="AY725" s="81" t="s">
        <v>2221</v>
      </c>
      <c r="AZ725" t="s">
        <v>2222</v>
      </c>
      <c r="BA725" t="s">
        <v>538</v>
      </c>
      <c r="BB725" t="str">
        <f t="shared" si="11"/>
        <v>CIHPbeUkum</v>
      </c>
    </row>
    <row r="726" spans="48:54" x14ac:dyDescent="0.3">
      <c r="AV726" t="s">
        <v>789</v>
      </c>
      <c r="AW726" t="s">
        <v>139</v>
      </c>
      <c r="AX726" t="s">
        <v>554</v>
      </c>
      <c r="AY726" s="81" t="s">
        <v>2223</v>
      </c>
      <c r="AZ726" t="s">
        <v>2224</v>
      </c>
      <c r="BA726" t="s">
        <v>538</v>
      </c>
      <c r="BB726" t="str">
        <f t="shared" si="11"/>
        <v>CIHPbeUkum</v>
      </c>
    </row>
    <row r="727" spans="48:54" x14ac:dyDescent="0.3">
      <c r="AV727" t="s">
        <v>789</v>
      </c>
      <c r="AW727" t="s">
        <v>139</v>
      </c>
      <c r="AX727" t="s">
        <v>554</v>
      </c>
      <c r="AY727" s="81" t="s">
        <v>2225</v>
      </c>
      <c r="AZ727" t="s">
        <v>2226</v>
      </c>
      <c r="BA727" t="s">
        <v>538</v>
      </c>
      <c r="BB727" t="str">
        <f t="shared" si="11"/>
        <v>CIHPbeUkum</v>
      </c>
    </row>
    <row r="728" spans="48:54" x14ac:dyDescent="0.3">
      <c r="AV728" t="s">
        <v>789</v>
      </c>
      <c r="AW728" t="s">
        <v>139</v>
      </c>
      <c r="AX728" t="s">
        <v>554</v>
      </c>
      <c r="AY728" s="81" t="s">
        <v>2227</v>
      </c>
      <c r="AZ728" t="s">
        <v>2228</v>
      </c>
      <c r="BA728" t="s">
        <v>538</v>
      </c>
      <c r="BB728" t="str">
        <f t="shared" si="11"/>
        <v>CIHPbeUkum</v>
      </c>
    </row>
    <row r="729" spans="48:54" x14ac:dyDescent="0.3">
      <c r="AV729" t="s">
        <v>789</v>
      </c>
      <c r="AW729" t="s">
        <v>139</v>
      </c>
      <c r="AX729" t="s">
        <v>554</v>
      </c>
      <c r="AY729" s="81" t="s">
        <v>2229</v>
      </c>
      <c r="AZ729" t="s">
        <v>2230</v>
      </c>
      <c r="BA729" t="s">
        <v>538</v>
      </c>
      <c r="BB729" t="str">
        <f t="shared" si="11"/>
        <v>CIHPbeUkum</v>
      </c>
    </row>
    <row r="730" spans="48:54" x14ac:dyDescent="0.3">
      <c r="AV730" t="s">
        <v>789</v>
      </c>
      <c r="AW730" t="s">
        <v>139</v>
      </c>
      <c r="AX730" t="s">
        <v>554</v>
      </c>
      <c r="AY730" s="81" t="s">
        <v>2231</v>
      </c>
      <c r="AZ730" t="s">
        <v>2232</v>
      </c>
      <c r="BA730" t="s">
        <v>538</v>
      </c>
      <c r="BB730" t="str">
        <f t="shared" si="11"/>
        <v>CIHPbeUkum</v>
      </c>
    </row>
    <row r="731" spans="48:54" x14ac:dyDescent="0.3">
      <c r="AV731" t="s">
        <v>789</v>
      </c>
      <c r="AW731" t="s">
        <v>139</v>
      </c>
      <c r="AX731" t="s">
        <v>554</v>
      </c>
      <c r="AY731" s="81" t="s">
        <v>2233</v>
      </c>
      <c r="AZ731" t="s">
        <v>2234</v>
      </c>
      <c r="BA731" t="s">
        <v>538</v>
      </c>
      <c r="BB731" t="str">
        <f t="shared" si="11"/>
        <v>CIHPbeUkum</v>
      </c>
    </row>
    <row r="732" spans="48:54" x14ac:dyDescent="0.3">
      <c r="AV732" t="s">
        <v>789</v>
      </c>
      <c r="AW732" t="s">
        <v>139</v>
      </c>
      <c r="AX732" t="s">
        <v>554</v>
      </c>
      <c r="AY732" s="81" t="s">
        <v>2235</v>
      </c>
      <c r="AZ732" t="s">
        <v>2236</v>
      </c>
      <c r="BA732" t="s">
        <v>538</v>
      </c>
      <c r="BB732" t="str">
        <f t="shared" si="11"/>
        <v>CIHPbeUkum</v>
      </c>
    </row>
    <row r="733" spans="48:54" x14ac:dyDescent="0.3">
      <c r="AV733" t="s">
        <v>789</v>
      </c>
      <c r="AW733" t="s">
        <v>139</v>
      </c>
      <c r="AX733" t="s">
        <v>554</v>
      </c>
      <c r="AY733" s="81" t="s">
        <v>2237</v>
      </c>
      <c r="AZ733" t="s">
        <v>2238</v>
      </c>
      <c r="BA733" t="s">
        <v>538</v>
      </c>
      <c r="BB733" t="str">
        <f t="shared" si="11"/>
        <v>CIHPbeUkum</v>
      </c>
    </row>
    <row r="734" spans="48:54" x14ac:dyDescent="0.3">
      <c r="AV734" t="s">
        <v>789</v>
      </c>
      <c r="AW734" t="s">
        <v>139</v>
      </c>
      <c r="AX734" t="s">
        <v>554</v>
      </c>
      <c r="AY734" s="81" t="s">
        <v>2239</v>
      </c>
      <c r="AZ734" t="s">
        <v>2240</v>
      </c>
      <c r="BA734" t="s">
        <v>538</v>
      </c>
      <c r="BB734" t="str">
        <f t="shared" si="11"/>
        <v>CIHPbeUkum</v>
      </c>
    </row>
    <row r="735" spans="48:54" x14ac:dyDescent="0.3">
      <c r="AV735" t="s">
        <v>789</v>
      </c>
      <c r="AW735" t="s">
        <v>139</v>
      </c>
      <c r="AX735" t="s">
        <v>554</v>
      </c>
      <c r="AY735" s="81" t="s">
        <v>2241</v>
      </c>
      <c r="AZ735" t="s">
        <v>2242</v>
      </c>
      <c r="BA735" t="s">
        <v>538</v>
      </c>
      <c r="BB735" t="str">
        <f t="shared" si="11"/>
        <v>CIHPbeUkum</v>
      </c>
    </row>
    <row r="736" spans="48:54" x14ac:dyDescent="0.3">
      <c r="AV736" t="s">
        <v>789</v>
      </c>
      <c r="AW736" t="s">
        <v>139</v>
      </c>
      <c r="AX736" t="s">
        <v>556</v>
      </c>
      <c r="AY736" s="81" t="s">
        <v>2243</v>
      </c>
      <c r="AZ736" t="s">
        <v>2244</v>
      </c>
      <c r="BA736" t="s">
        <v>538</v>
      </c>
      <c r="BB736" t="str">
        <f t="shared" si="11"/>
        <v>CIHPbeVandeikya</v>
      </c>
    </row>
    <row r="737" spans="48:54" x14ac:dyDescent="0.3">
      <c r="AV737" t="s">
        <v>789</v>
      </c>
      <c r="AW737" t="s">
        <v>139</v>
      </c>
      <c r="AX737" t="s">
        <v>556</v>
      </c>
      <c r="AY737" s="81" t="s">
        <v>2245</v>
      </c>
      <c r="AZ737" t="s">
        <v>2246</v>
      </c>
      <c r="BA737" t="s">
        <v>538</v>
      </c>
      <c r="BB737" t="str">
        <f t="shared" si="11"/>
        <v>CIHPbeVandeikya</v>
      </c>
    </row>
    <row r="738" spans="48:54" x14ac:dyDescent="0.3">
      <c r="AV738" t="s">
        <v>789</v>
      </c>
      <c r="AW738" t="s">
        <v>139</v>
      </c>
      <c r="AX738" t="s">
        <v>556</v>
      </c>
      <c r="AY738" s="81" t="s">
        <v>2247</v>
      </c>
      <c r="AZ738" t="s">
        <v>2248</v>
      </c>
      <c r="BA738" t="s">
        <v>538</v>
      </c>
      <c r="BB738" t="str">
        <f t="shared" si="11"/>
        <v>CIHPbeVandeikya</v>
      </c>
    </row>
    <row r="739" spans="48:54" x14ac:dyDescent="0.3">
      <c r="AV739" t="s">
        <v>789</v>
      </c>
      <c r="AW739" t="s">
        <v>139</v>
      </c>
      <c r="AX739" t="s">
        <v>556</v>
      </c>
      <c r="AY739" s="81" t="s">
        <v>2249</v>
      </c>
      <c r="AZ739" t="s">
        <v>2250</v>
      </c>
      <c r="BA739" t="s">
        <v>538</v>
      </c>
      <c r="BB739" t="str">
        <f t="shared" si="11"/>
        <v>CIHPbeVandeikya</v>
      </c>
    </row>
    <row r="740" spans="48:54" x14ac:dyDescent="0.3">
      <c r="AV740" t="s">
        <v>789</v>
      </c>
      <c r="AW740" t="s">
        <v>139</v>
      </c>
      <c r="AX740" t="s">
        <v>556</v>
      </c>
      <c r="AY740" s="81" t="s">
        <v>2251</v>
      </c>
      <c r="AZ740" t="s">
        <v>2252</v>
      </c>
      <c r="BA740" t="s">
        <v>538</v>
      </c>
      <c r="BB740" t="str">
        <f t="shared" si="11"/>
        <v>CIHPbeVandeikya</v>
      </c>
    </row>
    <row r="741" spans="48:54" x14ac:dyDescent="0.3">
      <c r="AV741" t="s">
        <v>789</v>
      </c>
      <c r="AW741" t="s">
        <v>139</v>
      </c>
      <c r="AX741" t="s">
        <v>556</v>
      </c>
      <c r="AY741" s="81" t="s">
        <v>2253</v>
      </c>
      <c r="AZ741" t="s">
        <v>2254</v>
      </c>
      <c r="BA741" t="s">
        <v>538</v>
      </c>
      <c r="BB741" t="str">
        <f t="shared" si="11"/>
        <v>CIHPbeVandeikya</v>
      </c>
    </row>
    <row r="742" spans="48:54" x14ac:dyDescent="0.3">
      <c r="AV742" t="s">
        <v>789</v>
      </c>
      <c r="AW742" t="s">
        <v>139</v>
      </c>
      <c r="AX742" t="s">
        <v>556</v>
      </c>
      <c r="AY742" s="81" t="s">
        <v>2255</v>
      </c>
      <c r="AZ742" t="s">
        <v>2256</v>
      </c>
      <c r="BA742" t="s">
        <v>538</v>
      </c>
      <c r="BB742" t="str">
        <f t="shared" si="11"/>
        <v>CIHPbeVandeikya</v>
      </c>
    </row>
    <row r="743" spans="48:54" x14ac:dyDescent="0.3">
      <c r="AV743" t="s">
        <v>789</v>
      </c>
      <c r="AW743" t="s">
        <v>139</v>
      </c>
      <c r="AX743" t="s">
        <v>556</v>
      </c>
      <c r="AY743" s="81" t="s">
        <v>2257</v>
      </c>
      <c r="AZ743" t="s">
        <v>2258</v>
      </c>
      <c r="BA743" t="s">
        <v>538</v>
      </c>
      <c r="BB743" t="str">
        <f t="shared" si="11"/>
        <v>CIHPbeVandeikya</v>
      </c>
    </row>
    <row r="744" spans="48:54" x14ac:dyDescent="0.3">
      <c r="AV744" t="s">
        <v>789</v>
      </c>
      <c r="AW744" t="s">
        <v>139</v>
      </c>
      <c r="AX744" t="s">
        <v>556</v>
      </c>
      <c r="AY744" s="81" t="s">
        <v>2259</v>
      </c>
      <c r="AZ744" t="s">
        <v>2260</v>
      </c>
      <c r="BA744" t="s">
        <v>538</v>
      </c>
      <c r="BB744" t="str">
        <f t="shared" si="11"/>
        <v>CIHPbeVandeikya</v>
      </c>
    </row>
    <row r="745" spans="48:54" x14ac:dyDescent="0.3">
      <c r="AV745" t="s">
        <v>789</v>
      </c>
      <c r="AW745" t="s">
        <v>139</v>
      </c>
      <c r="AX745" t="s">
        <v>556</v>
      </c>
      <c r="AY745" s="81" t="s">
        <v>2261</v>
      </c>
      <c r="AZ745" t="s">
        <v>2262</v>
      </c>
      <c r="BA745" t="s">
        <v>538</v>
      </c>
      <c r="BB745" t="str">
        <f t="shared" si="11"/>
        <v>CIHPbeVandeikya</v>
      </c>
    </row>
    <row r="746" spans="48:54" x14ac:dyDescent="0.3">
      <c r="AV746" t="s">
        <v>789</v>
      </c>
      <c r="AW746" t="s">
        <v>139</v>
      </c>
      <c r="AX746" t="s">
        <v>556</v>
      </c>
      <c r="AY746" s="81" t="s">
        <v>2263</v>
      </c>
      <c r="AZ746" t="s">
        <v>2264</v>
      </c>
      <c r="BA746" t="s">
        <v>538</v>
      </c>
      <c r="BB746" t="str">
        <f t="shared" si="11"/>
        <v>CIHPbeVandeikya</v>
      </c>
    </row>
    <row r="747" spans="48:54" x14ac:dyDescent="0.3">
      <c r="AV747" t="s">
        <v>789</v>
      </c>
      <c r="AW747" t="s">
        <v>139</v>
      </c>
      <c r="AX747" t="s">
        <v>556</v>
      </c>
      <c r="AY747" s="81" t="s">
        <v>2265</v>
      </c>
      <c r="AZ747" t="s">
        <v>2266</v>
      </c>
      <c r="BA747" t="s">
        <v>538</v>
      </c>
      <c r="BB747" t="str">
        <f t="shared" si="11"/>
        <v>CIHPbeVandeikya</v>
      </c>
    </row>
    <row r="748" spans="48:54" x14ac:dyDescent="0.3">
      <c r="AV748" t="s">
        <v>789</v>
      </c>
      <c r="AW748" t="s">
        <v>139</v>
      </c>
      <c r="AX748" t="s">
        <v>556</v>
      </c>
      <c r="AY748" s="81" t="s">
        <v>2267</v>
      </c>
      <c r="AZ748" t="s">
        <v>2268</v>
      </c>
      <c r="BA748" t="s">
        <v>538</v>
      </c>
      <c r="BB748" t="str">
        <f t="shared" si="11"/>
        <v>CIHPbeVandeikya</v>
      </c>
    </row>
    <row r="749" spans="48:54" x14ac:dyDescent="0.3">
      <c r="AV749" t="s">
        <v>789</v>
      </c>
      <c r="AW749" t="s">
        <v>139</v>
      </c>
      <c r="AX749" t="s">
        <v>556</v>
      </c>
      <c r="AY749" s="81" t="s">
        <v>2269</v>
      </c>
      <c r="AZ749" t="s">
        <v>2270</v>
      </c>
      <c r="BA749" t="s">
        <v>538</v>
      </c>
      <c r="BB749" t="str">
        <f t="shared" si="11"/>
        <v>CIHPbeVandeikya</v>
      </c>
    </row>
    <row r="750" spans="48:54" x14ac:dyDescent="0.3">
      <c r="AV750" t="s">
        <v>789</v>
      </c>
      <c r="AW750" t="s">
        <v>139</v>
      </c>
      <c r="AX750" t="s">
        <v>556</v>
      </c>
      <c r="AY750" s="81" t="s">
        <v>2271</v>
      </c>
      <c r="AZ750" t="s">
        <v>2272</v>
      </c>
      <c r="BA750" t="s">
        <v>538</v>
      </c>
      <c r="BB750" t="str">
        <f t="shared" si="11"/>
        <v>CIHPbeVandeikya</v>
      </c>
    </row>
    <row r="751" spans="48:54" x14ac:dyDescent="0.3">
      <c r="AV751" t="s">
        <v>789</v>
      </c>
      <c r="AW751" t="s">
        <v>148</v>
      </c>
      <c r="AX751" t="s">
        <v>611</v>
      </c>
      <c r="AY751" s="81" t="s">
        <v>2273</v>
      </c>
      <c r="AZ751" t="s">
        <v>2274</v>
      </c>
      <c r="BA751" t="s">
        <v>538</v>
      </c>
      <c r="BB751" t="str">
        <f t="shared" si="11"/>
        <v>CIHPgoBalanga</v>
      </c>
    </row>
    <row r="752" spans="48:54" x14ac:dyDescent="0.3">
      <c r="AV752" t="s">
        <v>789</v>
      </c>
      <c r="AW752" t="s">
        <v>148</v>
      </c>
      <c r="AX752" t="s">
        <v>611</v>
      </c>
      <c r="AY752" s="81" t="s">
        <v>2275</v>
      </c>
      <c r="AZ752" t="s">
        <v>2276</v>
      </c>
      <c r="BA752" t="s">
        <v>538</v>
      </c>
      <c r="BB752" t="str">
        <f t="shared" si="11"/>
        <v>CIHPgoBalanga</v>
      </c>
    </row>
    <row r="753" spans="48:54" x14ac:dyDescent="0.3">
      <c r="AV753" t="s">
        <v>789</v>
      </c>
      <c r="AW753" t="s">
        <v>148</v>
      </c>
      <c r="AX753" t="s">
        <v>611</v>
      </c>
      <c r="AY753" s="81" t="s">
        <v>2277</v>
      </c>
      <c r="AZ753" t="s">
        <v>2278</v>
      </c>
      <c r="BA753" t="s">
        <v>538</v>
      </c>
      <c r="BB753" t="str">
        <f t="shared" si="11"/>
        <v>CIHPgoBalanga</v>
      </c>
    </row>
    <row r="754" spans="48:54" x14ac:dyDescent="0.3">
      <c r="AV754" t="s">
        <v>789</v>
      </c>
      <c r="AW754" t="s">
        <v>148</v>
      </c>
      <c r="AX754" t="s">
        <v>611</v>
      </c>
      <c r="AY754" s="81" t="s">
        <v>2279</v>
      </c>
      <c r="AZ754" t="s">
        <v>2280</v>
      </c>
      <c r="BA754" t="s">
        <v>538</v>
      </c>
      <c r="BB754" t="str">
        <f t="shared" si="11"/>
        <v>CIHPgoBalanga</v>
      </c>
    </row>
    <row r="755" spans="48:54" x14ac:dyDescent="0.3">
      <c r="AV755" t="s">
        <v>789</v>
      </c>
      <c r="AW755" t="s">
        <v>148</v>
      </c>
      <c r="AX755" t="s">
        <v>612</v>
      </c>
      <c r="AY755" s="81" t="s">
        <v>2281</v>
      </c>
      <c r="AZ755" t="s">
        <v>2282</v>
      </c>
      <c r="BA755" t="s">
        <v>538</v>
      </c>
      <c r="BB755" t="str">
        <f t="shared" si="11"/>
        <v>CIHPgoBilliri</v>
      </c>
    </row>
    <row r="756" spans="48:54" x14ac:dyDescent="0.3">
      <c r="AV756" t="s">
        <v>789</v>
      </c>
      <c r="AW756" t="s">
        <v>148</v>
      </c>
      <c r="AX756" t="s">
        <v>612</v>
      </c>
      <c r="AY756" s="81" t="s">
        <v>2283</v>
      </c>
      <c r="AZ756" t="s">
        <v>2284</v>
      </c>
      <c r="BA756" t="s">
        <v>538</v>
      </c>
      <c r="BB756" t="str">
        <f t="shared" si="11"/>
        <v>CIHPgoBilliri</v>
      </c>
    </row>
    <row r="757" spans="48:54" x14ac:dyDescent="0.3">
      <c r="AV757" t="s">
        <v>789</v>
      </c>
      <c r="AW757" t="s">
        <v>148</v>
      </c>
      <c r="AX757" t="s">
        <v>612</v>
      </c>
      <c r="AY757" s="81" t="s">
        <v>2285</v>
      </c>
      <c r="AZ757" t="s">
        <v>2286</v>
      </c>
      <c r="BA757" t="s">
        <v>538</v>
      </c>
      <c r="BB757" t="str">
        <f t="shared" si="11"/>
        <v>CIHPgoBilliri</v>
      </c>
    </row>
    <row r="758" spans="48:54" x14ac:dyDescent="0.3">
      <c r="AV758" t="s">
        <v>789</v>
      </c>
      <c r="AW758" t="s">
        <v>148</v>
      </c>
      <c r="AX758" t="s">
        <v>612</v>
      </c>
      <c r="AY758" s="81" t="s">
        <v>2287</v>
      </c>
      <c r="AZ758" t="s">
        <v>2288</v>
      </c>
      <c r="BA758" t="s">
        <v>538</v>
      </c>
      <c r="BB758" t="str">
        <f t="shared" si="11"/>
        <v>CIHPgoBilliri</v>
      </c>
    </row>
    <row r="759" spans="48:54" x14ac:dyDescent="0.3">
      <c r="AV759" t="s">
        <v>789</v>
      </c>
      <c r="AW759" t="s">
        <v>148</v>
      </c>
      <c r="AX759" t="s">
        <v>613</v>
      </c>
      <c r="AY759" s="81" t="s">
        <v>2289</v>
      </c>
      <c r="AZ759" t="s">
        <v>2290</v>
      </c>
      <c r="BA759" t="s">
        <v>538</v>
      </c>
      <c r="BB759" t="str">
        <f t="shared" si="11"/>
        <v>CIHPgoDukku</v>
      </c>
    </row>
    <row r="760" spans="48:54" x14ac:dyDescent="0.3">
      <c r="AV760" t="s">
        <v>789</v>
      </c>
      <c r="AW760" t="s">
        <v>148</v>
      </c>
      <c r="AX760" t="s">
        <v>613</v>
      </c>
      <c r="AY760" s="81" t="s">
        <v>2291</v>
      </c>
      <c r="AZ760" t="s">
        <v>2292</v>
      </c>
      <c r="BA760" t="s">
        <v>538</v>
      </c>
      <c r="BB760" t="str">
        <f t="shared" si="11"/>
        <v>CIHPgoDukku</v>
      </c>
    </row>
    <row r="761" spans="48:54" x14ac:dyDescent="0.3">
      <c r="AV761" t="s">
        <v>789</v>
      </c>
      <c r="AW761" t="s">
        <v>148</v>
      </c>
      <c r="AX761" t="s">
        <v>614</v>
      </c>
      <c r="AY761" s="81" t="s">
        <v>2293</v>
      </c>
      <c r="AZ761" t="s">
        <v>2294</v>
      </c>
      <c r="BA761" t="s">
        <v>538</v>
      </c>
      <c r="BB761" t="str">
        <f t="shared" si="11"/>
        <v>CIHPgoFunakaye</v>
      </c>
    </row>
    <row r="762" spans="48:54" x14ac:dyDescent="0.3">
      <c r="AV762" t="s">
        <v>789</v>
      </c>
      <c r="AW762" t="s">
        <v>148</v>
      </c>
      <c r="AX762" t="s">
        <v>614</v>
      </c>
      <c r="AY762" s="81" t="s">
        <v>2295</v>
      </c>
      <c r="AZ762" t="s">
        <v>2296</v>
      </c>
      <c r="BA762" t="s">
        <v>538</v>
      </c>
      <c r="BB762" t="str">
        <f t="shared" si="11"/>
        <v>CIHPgoFunakaye</v>
      </c>
    </row>
    <row r="763" spans="48:54" x14ac:dyDescent="0.3">
      <c r="AV763" t="s">
        <v>789</v>
      </c>
      <c r="AW763" t="s">
        <v>148</v>
      </c>
      <c r="AX763" t="s">
        <v>614</v>
      </c>
      <c r="AY763" s="81" t="s">
        <v>2297</v>
      </c>
      <c r="AZ763" t="s">
        <v>2298</v>
      </c>
      <c r="BA763" t="s">
        <v>538</v>
      </c>
      <c r="BB763" t="str">
        <f t="shared" si="11"/>
        <v>CIHPgoFunakaye</v>
      </c>
    </row>
    <row r="764" spans="48:54" x14ac:dyDescent="0.3">
      <c r="AV764" t="s">
        <v>789</v>
      </c>
      <c r="AW764" t="s">
        <v>148</v>
      </c>
      <c r="AX764" t="s">
        <v>615</v>
      </c>
      <c r="AY764" s="81" t="s">
        <v>2299</v>
      </c>
      <c r="AZ764" t="s">
        <v>2300</v>
      </c>
      <c r="BA764" t="s">
        <v>538</v>
      </c>
      <c r="BB764" t="str">
        <f t="shared" si="11"/>
        <v>CIHPgoGombe</v>
      </c>
    </row>
    <row r="765" spans="48:54" x14ac:dyDescent="0.3">
      <c r="AV765" t="s">
        <v>789</v>
      </c>
      <c r="AW765" t="s">
        <v>148</v>
      </c>
      <c r="AX765" t="s">
        <v>615</v>
      </c>
      <c r="AY765" s="81" t="s">
        <v>2301</v>
      </c>
      <c r="AZ765" t="s">
        <v>2302</v>
      </c>
      <c r="BA765" t="s">
        <v>538</v>
      </c>
      <c r="BB765" t="str">
        <f t="shared" si="11"/>
        <v>CIHPgoGombe</v>
      </c>
    </row>
    <row r="766" spans="48:54" x14ac:dyDescent="0.3">
      <c r="AV766" t="s">
        <v>789</v>
      </c>
      <c r="AW766" t="s">
        <v>148</v>
      </c>
      <c r="AX766" t="s">
        <v>615</v>
      </c>
      <c r="AY766" s="81" t="s">
        <v>2303</v>
      </c>
      <c r="AZ766" t="s">
        <v>2304</v>
      </c>
      <c r="BA766" t="s">
        <v>538</v>
      </c>
      <c r="BB766" t="str">
        <f t="shared" si="11"/>
        <v>CIHPgoGombe</v>
      </c>
    </row>
    <row r="767" spans="48:54" x14ac:dyDescent="0.3">
      <c r="AV767" t="s">
        <v>789</v>
      </c>
      <c r="AW767" t="s">
        <v>148</v>
      </c>
      <c r="AX767" t="s">
        <v>615</v>
      </c>
      <c r="AY767" s="81" t="s">
        <v>2305</v>
      </c>
      <c r="AZ767" t="s">
        <v>2306</v>
      </c>
      <c r="BA767" t="s">
        <v>538</v>
      </c>
      <c r="BB767" t="str">
        <f t="shared" si="11"/>
        <v>CIHPgoGombe</v>
      </c>
    </row>
    <row r="768" spans="48:54" x14ac:dyDescent="0.3">
      <c r="AV768" t="s">
        <v>789</v>
      </c>
      <c r="AW768" t="s">
        <v>148</v>
      </c>
      <c r="AX768" t="s">
        <v>615</v>
      </c>
      <c r="AY768" s="81" t="s">
        <v>2307</v>
      </c>
      <c r="AZ768" t="s">
        <v>2308</v>
      </c>
      <c r="BA768" t="s">
        <v>538</v>
      </c>
      <c r="BB768" t="str">
        <f t="shared" si="11"/>
        <v>CIHPgoGombe</v>
      </c>
    </row>
    <row r="769" spans="12:54" x14ac:dyDescent="0.3">
      <c r="AV769" t="s">
        <v>789</v>
      </c>
      <c r="AW769" t="s">
        <v>148</v>
      </c>
      <c r="AX769" t="s">
        <v>615</v>
      </c>
      <c r="AY769" s="81" t="s">
        <v>2309</v>
      </c>
      <c r="AZ769" t="s">
        <v>2310</v>
      </c>
      <c r="BA769" t="s">
        <v>538</v>
      </c>
      <c r="BB769" t="str">
        <f t="shared" si="11"/>
        <v>CIHPgoGombe</v>
      </c>
    </row>
    <row r="770" spans="12:54" x14ac:dyDescent="0.3">
      <c r="AV770" t="s">
        <v>789</v>
      </c>
      <c r="AW770" t="s">
        <v>148</v>
      </c>
      <c r="AX770" t="s">
        <v>615</v>
      </c>
      <c r="AY770" s="81" t="s">
        <v>2311</v>
      </c>
      <c r="AZ770" t="s">
        <v>2312</v>
      </c>
      <c r="BA770" t="s">
        <v>538</v>
      </c>
      <c r="BB770" t="str">
        <f t="shared" si="11"/>
        <v>CIHPgoGombe</v>
      </c>
    </row>
    <row r="771" spans="12:54" x14ac:dyDescent="0.3">
      <c r="AV771" t="s">
        <v>789</v>
      </c>
      <c r="AW771" t="s">
        <v>148</v>
      </c>
      <c r="AX771" t="s">
        <v>615</v>
      </c>
      <c r="AY771" s="81" t="s">
        <v>2313</v>
      </c>
      <c r="AZ771" t="s">
        <v>2314</v>
      </c>
      <c r="BA771" t="s">
        <v>538</v>
      </c>
      <c r="BB771" t="str">
        <f t="shared" ref="BB771:BB834" si="12">SUBSTITUTE(SUBSTITUTE(BA771&amp;AX771," ",""),"-","")</f>
        <v>CIHPgoGombe</v>
      </c>
    </row>
    <row r="772" spans="12:54" x14ac:dyDescent="0.3">
      <c r="AV772" t="s">
        <v>789</v>
      </c>
      <c r="AW772" t="s">
        <v>148</v>
      </c>
      <c r="AX772" t="s">
        <v>615</v>
      </c>
      <c r="AY772" s="81" t="s">
        <v>2315</v>
      </c>
      <c r="AZ772" t="s">
        <v>2316</v>
      </c>
      <c r="BA772" t="s">
        <v>538</v>
      </c>
      <c r="BB772" t="str">
        <f t="shared" si="12"/>
        <v>CIHPgoGombe</v>
      </c>
    </row>
    <row r="773" spans="12:54" x14ac:dyDescent="0.3">
      <c r="AV773" t="s">
        <v>789</v>
      </c>
      <c r="AW773" t="s">
        <v>148</v>
      </c>
      <c r="AX773" t="s">
        <v>615</v>
      </c>
      <c r="AY773" s="81" t="s">
        <v>2317</v>
      </c>
      <c r="AZ773" t="s">
        <v>2318</v>
      </c>
      <c r="BA773" t="s">
        <v>538</v>
      </c>
      <c r="BB773" t="str">
        <f t="shared" si="12"/>
        <v>CIHPgoGombe</v>
      </c>
    </row>
    <row r="774" spans="12:54" x14ac:dyDescent="0.3">
      <c r="AV774" t="s">
        <v>789</v>
      </c>
      <c r="AW774" t="s">
        <v>148</v>
      </c>
      <c r="AX774" t="s">
        <v>615</v>
      </c>
      <c r="AY774" s="81" t="s">
        <v>2319</v>
      </c>
      <c r="AZ774" t="s">
        <v>2320</v>
      </c>
      <c r="BA774" t="s">
        <v>538</v>
      </c>
      <c r="BB774" t="str">
        <f t="shared" si="12"/>
        <v>CIHPgoGombe</v>
      </c>
    </row>
    <row r="775" spans="12:54" x14ac:dyDescent="0.3">
      <c r="L775" s="55"/>
      <c r="M775" s="55"/>
      <c r="AV775" t="s">
        <v>789</v>
      </c>
      <c r="AW775" t="s">
        <v>148</v>
      </c>
      <c r="AX775" t="s">
        <v>615</v>
      </c>
      <c r="AY775" s="81" t="s">
        <v>2321</v>
      </c>
      <c r="AZ775" t="s">
        <v>2322</v>
      </c>
      <c r="BA775" t="s">
        <v>538</v>
      </c>
      <c r="BB775" t="str">
        <f t="shared" si="12"/>
        <v>CIHPgoGombe</v>
      </c>
    </row>
    <row r="776" spans="12:54" x14ac:dyDescent="0.3">
      <c r="AV776" t="s">
        <v>789</v>
      </c>
      <c r="AW776" t="s">
        <v>148</v>
      </c>
      <c r="AX776" t="s">
        <v>615</v>
      </c>
      <c r="AY776" s="81" t="s">
        <v>2323</v>
      </c>
      <c r="AZ776" t="s">
        <v>2324</v>
      </c>
      <c r="BA776" t="s">
        <v>538</v>
      </c>
      <c r="BB776" t="str">
        <f t="shared" si="12"/>
        <v>CIHPgoGombe</v>
      </c>
    </row>
    <row r="777" spans="12:54" x14ac:dyDescent="0.3">
      <c r="AV777" t="s">
        <v>789</v>
      </c>
      <c r="AW777" t="s">
        <v>148</v>
      </c>
      <c r="AX777" t="s">
        <v>615</v>
      </c>
      <c r="AY777" s="81" t="s">
        <v>2325</v>
      </c>
      <c r="AZ777" t="s">
        <v>2326</v>
      </c>
      <c r="BA777" t="s">
        <v>538</v>
      </c>
      <c r="BB777" t="str">
        <f t="shared" si="12"/>
        <v>CIHPgoGombe</v>
      </c>
    </row>
    <row r="778" spans="12:54" x14ac:dyDescent="0.3">
      <c r="AV778" t="s">
        <v>789</v>
      </c>
      <c r="AW778" t="s">
        <v>148</v>
      </c>
      <c r="AX778" t="s">
        <v>615</v>
      </c>
      <c r="AY778" s="81" t="s">
        <v>2327</v>
      </c>
      <c r="AZ778" t="s">
        <v>2328</v>
      </c>
      <c r="BA778" t="s">
        <v>538</v>
      </c>
      <c r="BB778" t="str">
        <f t="shared" si="12"/>
        <v>CIHPgoGombe</v>
      </c>
    </row>
    <row r="779" spans="12:54" x14ac:dyDescent="0.3">
      <c r="AV779" t="s">
        <v>789</v>
      </c>
      <c r="AW779" t="s">
        <v>148</v>
      </c>
      <c r="AX779" t="s">
        <v>616</v>
      </c>
      <c r="AY779" s="81" t="s">
        <v>2329</v>
      </c>
      <c r="AZ779" t="s">
        <v>2330</v>
      </c>
      <c r="BA779" t="s">
        <v>538</v>
      </c>
      <c r="BB779" t="str">
        <f t="shared" si="12"/>
        <v>CIHPgoKaltungo</v>
      </c>
    </row>
    <row r="780" spans="12:54" x14ac:dyDescent="0.3">
      <c r="AV780" t="s">
        <v>789</v>
      </c>
      <c r="AW780" t="s">
        <v>148</v>
      </c>
      <c r="AX780" t="s">
        <v>616</v>
      </c>
      <c r="AY780" s="81" t="s">
        <v>2331</v>
      </c>
      <c r="AZ780" t="s">
        <v>2332</v>
      </c>
      <c r="BA780" t="s">
        <v>538</v>
      </c>
      <c r="BB780" t="str">
        <f t="shared" si="12"/>
        <v>CIHPgoKaltungo</v>
      </c>
    </row>
    <row r="781" spans="12:54" x14ac:dyDescent="0.3">
      <c r="AV781" t="s">
        <v>789</v>
      </c>
      <c r="AW781" t="s">
        <v>148</v>
      </c>
      <c r="AX781" t="s">
        <v>616</v>
      </c>
      <c r="AY781" s="81" t="s">
        <v>2333</v>
      </c>
      <c r="AZ781" t="s">
        <v>2334</v>
      </c>
      <c r="BA781" t="s">
        <v>538</v>
      </c>
      <c r="BB781" t="str">
        <f t="shared" si="12"/>
        <v>CIHPgoKaltungo</v>
      </c>
    </row>
    <row r="782" spans="12:54" x14ac:dyDescent="0.3">
      <c r="AV782" t="s">
        <v>789</v>
      </c>
      <c r="AW782" t="s">
        <v>148</v>
      </c>
      <c r="AX782" t="s">
        <v>616</v>
      </c>
      <c r="AY782" s="81" t="s">
        <v>2335</v>
      </c>
      <c r="AZ782" t="s">
        <v>2336</v>
      </c>
      <c r="BA782" t="s">
        <v>538</v>
      </c>
      <c r="BB782" t="str">
        <f t="shared" si="12"/>
        <v>CIHPgoKaltungo</v>
      </c>
    </row>
    <row r="783" spans="12:54" x14ac:dyDescent="0.3">
      <c r="AV783" t="s">
        <v>789</v>
      </c>
      <c r="AW783" t="s">
        <v>148</v>
      </c>
      <c r="AX783" t="s">
        <v>616</v>
      </c>
      <c r="AY783" s="81" t="s">
        <v>2337</v>
      </c>
      <c r="AZ783" t="s">
        <v>2338</v>
      </c>
      <c r="BA783" t="s">
        <v>538</v>
      </c>
      <c r="BB783" t="str">
        <f t="shared" si="12"/>
        <v>CIHPgoKaltungo</v>
      </c>
    </row>
    <row r="784" spans="12:54" x14ac:dyDescent="0.3">
      <c r="AV784" t="s">
        <v>789</v>
      </c>
      <c r="AW784" t="s">
        <v>148</v>
      </c>
      <c r="AX784" t="s">
        <v>616</v>
      </c>
      <c r="AY784" s="81" t="s">
        <v>2339</v>
      </c>
      <c r="AZ784" t="s">
        <v>2340</v>
      </c>
      <c r="BA784" t="s">
        <v>538</v>
      </c>
      <c r="BB784" t="str">
        <f t="shared" si="12"/>
        <v>CIHPgoKaltungo</v>
      </c>
    </row>
    <row r="785" spans="48:54" x14ac:dyDescent="0.3">
      <c r="AV785" t="s">
        <v>789</v>
      </c>
      <c r="AW785" t="s">
        <v>148</v>
      </c>
      <c r="AX785" t="s">
        <v>616</v>
      </c>
      <c r="AY785" s="81" t="s">
        <v>2341</v>
      </c>
      <c r="AZ785" t="s">
        <v>2342</v>
      </c>
      <c r="BA785" t="s">
        <v>538</v>
      </c>
      <c r="BB785" t="str">
        <f t="shared" si="12"/>
        <v>CIHPgoKaltungo</v>
      </c>
    </row>
    <row r="786" spans="48:54" x14ac:dyDescent="0.3">
      <c r="AV786" t="s">
        <v>789</v>
      </c>
      <c r="AW786" t="s">
        <v>148</v>
      </c>
      <c r="AX786" t="s">
        <v>617</v>
      </c>
      <c r="AY786" s="81" t="s">
        <v>2343</v>
      </c>
      <c r="AZ786" t="s">
        <v>2344</v>
      </c>
      <c r="BA786" t="s">
        <v>538</v>
      </c>
      <c r="BB786" t="str">
        <f t="shared" si="12"/>
        <v>CIHPgoKwami</v>
      </c>
    </row>
    <row r="787" spans="48:54" x14ac:dyDescent="0.3">
      <c r="AV787" t="s">
        <v>789</v>
      </c>
      <c r="AW787" t="s">
        <v>148</v>
      </c>
      <c r="AX787" t="s">
        <v>617</v>
      </c>
      <c r="AY787" s="81" t="s">
        <v>2345</v>
      </c>
      <c r="AZ787" t="s">
        <v>2346</v>
      </c>
      <c r="BA787" t="s">
        <v>538</v>
      </c>
      <c r="BB787" t="str">
        <f t="shared" si="12"/>
        <v>CIHPgoKwami</v>
      </c>
    </row>
    <row r="788" spans="48:54" x14ac:dyDescent="0.3">
      <c r="AV788" s="81" t="s">
        <v>789</v>
      </c>
      <c r="AW788" s="81" t="s">
        <v>148</v>
      </c>
      <c r="AX788" s="81" t="s">
        <v>3834</v>
      </c>
      <c r="AY788" s="81" t="s">
        <v>3835</v>
      </c>
      <c r="AZ788" s="81" t="s">
        <v>2347</v>
      </c>
      <c r="BA788" s="81" t="s">
        <v>538</v>
      </c>
      <c r="BB788" s="81" t="str">
        <f t="shared" si="12"/>
        <v>CIHPgoNafadaBajoga</v>
      </c>
    </row>
    <row r="789" spans="48:54" x14ac:dyDescent="0.3">
      <c r="AV789" t="s">
        <v>789</v>
      </c>
      <c r="AW789" t="s">
        <v>148</v>
      </c>
      <c r="AX789" t="s">
        <v>619</v>
      </c>
      <c r="AY789" s="81" t="s">
        <v>2348</v>
      </c>
      <c r="AZ789" t="s">
        <v>2349</v>
      </c>
      <c r="BA789" t="s">
        <v>538</v>
      </c>
      <c r="BB789" t="str">
        <f t="shared" si="12"/>
        <v>CIHPgoShongom</v>
      </c>
    </row>
    <row r="790" spans="48:54" x14ac:dyDescent="0.3">
      <c r="AV790" t="s">
        <v>789</v>
      </c>
      <c r="AW790" t="s">
        <v>148</v>
      </c>
      <c r="AX790" t="s">
        <v>619</v>
      </c>
      <c r="AY790" s="81" t="s">
        <v>2350</v>
      </c>
      <c r="AZ790" t="s">
        <v>2351</v>
      </c>
      <c r="BA790" t="s">
        <v>538</v>
      </c>
      <c r="BB790" t="str">
        <f t="shared" si="12"/>
        <v>CIHPgoShongom</v>
      </c>
    </row>
    <row r="791" spans="48:54" x14ac:dyDescent="0.3">
      <c r="AV791" t="s">
        <v>789</v>
      </c>
      <c r="AW791" t="s">
        <v>151</v>
      </c>
      <c r="AX791" t="s">
        <v>649</v>
      </c>
      <c r="AY791" s="81" t="s">
        <v>2352</v>
      </c>
      <c r="AZ791" t="s">
        <v>2353</v>
      </c>
      <c r="BA791" t="s">
        <v>538</v>
      </c>
      <c r="BB791" t="str">
        <f t="shared" si="12"/>
        <v>CIHPkdChikun</v>
      </c>
    </row>
    <row r="792" spans="48:54" x14ac:dyDescent="0.3">
      <c r="AV792" t="s">
        <v>789</v>
      </c>
      <c r="AW792" t="s">
        <v>151</v>
      </c>
      <c r="AX792" t="s">
        <v>649</v>
      </c>
      <c r="AY792" s="81" t="s">
        <v>2354</v>
      </c>
      <c r="AZ792" t="s">
        <v>2355</v>
      </c>
      <c r="BA792" t="s">
        <v>538</v>
      </c>
      <c r="BB792" t="str">
        <f t="shared" si="12"/>
        <v>CIHPkdChikun</v>
      </c>
    </row>
    <row r="793" spans="48:54" x14ac:dyDescent="0.3">
      <c r="AV793" t="s">
        <v>789</v>
      </c>
      <c r="AW793" t="s">
        <v>151</v>
      </c>
      <c r="AX793" t="s">
        <v>649</v>
      </c>
      <c r="AY793" s="81" t="s">
        <v>2356</v>
      </c>
      <c r="AZ793" t="s">
        <v>2357</v>
      </c>
      <c r="BA793" t="s">
        <v>538</v>
      </c>
      <c r="BB793" t="str">
        <f t="shared" si="12"/>
        <v>CIHPkdChikun</v>
      </c>
    </row>
    <row r="794" spans="48:54" x14ac:dyDescent="0.3">
      <c r="AV794" t="s">
        <v>789</v>
      </c>
      <c r="AW794" t="s">
        <v>151</v>
      </c>
      <c r="AX794" t="s">
        <v>649</v>
      </c>
      <c r="AY794" s="81" t="s">
        <v>2358</v>
      </c>
      <c r="AZ794" t="s">
        <v>2359</v>
      </c>
      <c r="BA794" t="s">
        <v>538</v>
      </c>
      <c r="BB794" t="str">
        <f t="shared" si="12"/>
        <v>CIHPkdChikun</v>
      </c>
    </row>
    <row r="795" spans="48:54" x14ac:dyDescent="0.3">
      <c r="AV795" t="s">
        <v>789</v>
      </c>
      <c r="AW795" t="s">
        <v>151</v>
      </c>
      <c r="AX795" t="s">
        <v>649</v>
      </c>
      <c r="AY795" s="81" t="s">
        <v>2360</v>
      </c>
      <c r="AZ795" t="s">
        <v>2361</v>
      </c>
      <c r="BA795" t="s">
        <v>538</v>
      </c>
      <c r="BB795" t="str">
        <f t="shared" si="12"/>
        <v>CIHPkdChikun</v>
      </c>
    </row>
    <row r="796" spans="48:54" x14ac:dyDescent="0.3">
      <c r="AV796" t="s">
        <v>789</v>
      </c>
      <c r="AW796" t="s">
        <v>151</v>
      </c>
      <c r="AX796" t="s">
        <v>649</v>
      </c>
      <c r="AY796" s="81" t="s">
        <v>2362</v>
      </c>
      <c r="AZ796" t="s">
        <v>2363</v>
      </c>
      <c r="BA796" t="s">
        <v>538</v>
      </c>
      <c r="BB796" t="str">
        <f t="shared" si="12"/>
        <v>CIHPkdChikun</v>
      </c>
    </row>
    <row r="797" spans="48:54" x14ac:dyDescent="0.3">
      <c r="AV797" t="s">
        <v>789</v>
      </c>
      <c r="AW797" t="s">
        <v>151</v>
      </c>
      <c r="AX797" t="s">
        <v>656</v>
      </c>
      <c r="AY797" s="81" t="s">
        <v>2364</v>
      </c>
      <c r="AZ797" t="s">
        <v>2365</v>
      </c>
      <c r="BA797" t="s">
        <v>538</v>
      </c>
      <c r="BB797" t="str">
        <f t="shared" si="12"/>
        <v>CIHPkdIgabi</v>
      </c>
    </row>
    <row r="798" spans="48:54" x14ac:dyDescent="0.3">
      <c r="AV798" t="s">
        <v>789</v>
      </c>
      <c r="AW798" t="s">
        <v>151</v>
      </c>
      <c r="AX798" t="s">
        <v>657</v>
      </c>
      <c r="AY798" s="81" t="s">
        <v>2366</v>
      </c>
      <c r="AZ798" t="s">
        <v>2367</v>
      </c>
      <c r="BA798" t="s">
        <v>538</v>
      </c>
      <c r="BB798" t="str">
        <f t="shared" si="12"/>
        <v>CIHPkdJaba</v>
      </c>
    </row>
    <row r="799" spans="48:54" x14ac:dyDescent="0.3">
      <c r="AV799" t="s">
        <v>789</v>
      </c>
      <c r="AW799" t="s">
        <v>151</v>
      </c>
      <c r="AX799" t="s">
        <v>657</v>
      </c>
      <c r="AY799" s="81" t="s">
        <v>2368</v>
      </c>
      <c r="AZ799" t="s">
        <v>2369</v>
      </c>
      <c r="BA799" t="s">
        <v>538</v>
      </c>
      <c r="BB799" t="str">
        <f t="shared" si="12"/>
        <v>CIHPkdJaba</v>
      </c>
    </row>
    <row r="800" spans="48:54" x14ac:dyDescent="0.3">
      <c r="AV800" t="s">
        <v>789</v>
      </c>
      <c r="AW800" t="s">
        <v>151</v>
      </c>
      <c r="AX800" t="s">
        <v>657</v>
      </c>
      <c r="AY800" s="81" t="s">
        <v>2370</v>
      </c>
      <c r="AZ800" t="s">
        <v>2371</v>
      </c>
      <c r="BA800" t="s">
        <v>538</v>
      </c>
      <c r="BB800" t="str">
        <f t="shared" si="12"/>
        <v>CIHPkdJaba</v>
      </c>
    </row>
    <row r="801" spans="48:54" x14ac:dyDescent="0.3">
      <c r="AV801" t="s">
        <v>789</v>
      </c>
      <c r="AW801" t="s">
        <v>151</v>
      </c>
      <c r="AX801" t="s">
        <v>657</v>
      </c>
      <c r="AY801" s="81" t="s">
        <v>2372</v>
      </c>
      <c r="AZ801" t="s">
        <v>2373</v>
      </c>
      <c r="BA801" t="s">
        <v>538</v>
      </c>
      <c r="BB801" t="str">
        <f t="shared" si="12"/>
        <v>CIHPkdJaba</v>
      </c>
    </row>
    <row r="802" spans="48:54" x14ac:dyDescent="0.3">
      <c r="AV802" t="s">
        <v>789</v>
      </c>
      <c r="AW802" t="s">
        <v>151</v>
      </c>
      <c r="AX802" t="s">
        <v>657</v>
      </c>
      <c r="AY802" s="81" t="s">
        <v>2374</v>
      </c>
      <c r="AZ802" t="s">
        <v>2375</v>
      </c>
      <c r="BA802" t="s">
        <v>538</v>
      </c>
      <c r="BB802" t="str">
        <f t="shared" si="12"/>
        <v>CIHPkdJaba</v>
      </c>
    </row>
    <row r="803" spans="48:54" x14ac:dyDescent="0.3">
      <c r="AV803" t="s">
        <v>789</v>
      </c>
      <c r="AW803" t="s">
        <v>151</v>
      </c>
      <c r="AX803" t="s">
        <v>3760</v>
      </c>
      <c r="AY803" s="81" t="s">
        <v>2376</v>
      </c>
      <c r="AZ803" t="s">
        <v>2377</v>
      </c>
      <c r="BA803" t="s">
        <v>538</v>
      </c>
      <c r="BB803" t="str">
        <f t="shared" si="12"/>
        <v>CIHPkdJemaa</v>
      </c>
    </row>
    <row r="804" spans="48:54" x14ac:dyDescent="0.3">
      <c r="AV804" t="s">
        <v>789</v>
      </c>
      <c r="AW804" t="s">
        <v>151</v>
      </c>
      <c r="AX804" t="s">
        <v>3760</v>
      </c>
      <c r="AY804" s="81" t="s">
        <v>2378</v>
      </c>
      <c r="AZ804" t="s">
        <v>2379</v>
      </c>
      <c r="BA804" t="s">
        <v>538</v>
      </c>
      <c r="BB804" t="str">
        <f t="shared" si="12"/>
        <v>CIHPkdJemaa</v>
      </c>
    </row>
    <row r="805" spans="48:54" x14ac:dyDescent="0.3">
      <c r="AV805" t="s">
        <v>789</v>
      </c>
      <c r="AW805" t="s">
        <v>151</v>
      </c>
      <c r="AX805" t="s">
        <v>3760</v>
      </c>
      <c r="AY805" s="81" t="s">
        <v>2380</v>
      </c>
      <c r="AZ805" t="s">
        <v>2381</v>
      </c>
      <c r="BA805" t="s">
        <v>538</v>
      </c>
      <c r="BB805" t="str">
        <f t="shared" si="12"/>
        <v>CIHPkdJemaa</v>
      </c>
    </row>
    <row r="806" spans="48:54" x14ac:dyDescent="0.3">
      <c r="AV806" t="s">
        <v>789</v>
      </c>
      <c r="AW806" t="s">
        <v>151</v>
      </c>
      <c r="AX806" t="s">
        <v>3760</v>
      </c>
      <c r="AY806" s="81" t="s">
        <v>2382</v>
      </c>
      <c r="AZ806" t="s">
        <v>2383</v>
      </c>
      <c r="BA806" t="s">
        <v>538</v>
      </c>
      <c r="BB806" t="str">
        <f t="shared" si="12"/>
        <v>CIHPkdJemaa</v>
      </c>
    </row>
    <row r="807" spans="48:54" x14ac:dyDescent="0.3">
      <c r="AV807" t="s">
        <v>789</v>
      </c>
      <c r="AW807" t="s">
        <v>151</v>
      </c>
      <c r="AX807" t="s">
        <v>3760</v>
      </c>
      <c r="AY807" s="81" t="s">
        <v>2384</v>
      </c>
      <c r="AZ807" t="s">
        <v>2385</v>
      </c>
      <c r="BA807" t="s">
        <v>538</v>
      </c>
      <c r="BB807" t="str">
        <f t="shared" si="12"/>
        <v>CIHPkdJemaa</v>
      </c>
    </row>
    <row r="808" spans="48:54" x14ac:dyDescent="0.3">
      <c r="AV808" t="s">
        <v>789</v>
      </c>
      <c r="AW808" t="s">
        <v>151</v>
      </c>
      <c r="AX808" t="s">
        <v>3760</v>
      </c>
      <c r="AY808" s="81" t="s">
        <v>2386</v>
      </c>
      <c r="AZ808" t="s">
        <v>2387</v>
      </c>
      <c r="BA808" t="s">
        <v>538</v>
      </c>
      <c r="BB808" t="str">
        <f t="shared" si="12"/>
        <v>CIHPkdJemaa</v>
      </c>
    </row>
    <row r="809" spans="48:54" x14ac:dyDescent="0.3">
      <c r="AV809" t="s">
        <v>789</v>
      </c>
      <c r="AW809" t="s">
        <v>151</v>
      </c>
      <c r="AX809" t="s">
        <v>3760</v>
      </c>
      <c r="AY809" s="81" t="s">
        <v>2388</v>
      </c>
      <c r="AZ809" t="s">
        <v>2389</v>
      </c>
      <c r="BA809" t="s">
        <v>538</v>
      </c>
      <c r="BB809" t="str">
        <f t="shared" si="12"/>
        <v>CIHPkdJemaa</v>
      </c>
    </row>
    <row r="810" spans="48:54" x14ac:dyDescent="0.3">
      <c r="AV810" t="s">
        <v>789</v>
      </c>
      <c r="AW810" t="s">
        <v>151</v>
      </c>
      <c r="AX810" t="s">
        <v>3760</v>
      </c>
      <c r="AY810" s="81" t="s">
        <v>2390</v>
      </c>
      <c r="AZ810" t="s">
        <v>2391</v>
      </c>
      <c r="BA810" t="s">
        <v>538</v>
      </c>
      <c r="BB810" t="str">
        <f t="shared" si="12"/>
        <v>CIHPkdJemaa</v>
      </c>
    </row>
    <row r="811" spans="48:54" x14ac:dyDescent="0.3">
      <c r="AV811" t="s">
        <v>789</v>
      </c>
      <c r="AW811" t="s">
        <v>151</v>
      </c>
      <c r="AX811" t="s">
        <v>3760</v>
      </c>
      <c r="AY811" s="81" t="s">
        <v>2392</v>
      </c>
      <c r="AZ811" t="s">
        <v>2393</v>
      </c>
      <c r="BA811" t="s">
        <v>538</v>
      </c>
      <c r="BB811" t="str">
        <f t="shared" si="12"/>
        <v>CIHPkdJemaa</v>
      </c>
    </row>
    <row r="812" spans="48:54" x14ac:dyDescent="0.3">
      <c r="AV812" t="s">
        <v>789</v>
      </c>
      <c r="AW812" t="s">
        <v>151</v>
      </c>
      <c r="AX812" t="s">
        <v>3760</v>
      </c>
      <c r="AY812" s="81" t="s">
        <v>2394</v>
      </c>
      <c r="AZ812" t="s">
        <v>2395</v>
      </c>
      <c r="BA812" t="s">
        <v>538</v>
      </c>
      <c r="BB812" t="str">
        <f t="shared" si="12"/>
        <v>CIHPkdJemaa</v>
      </c>
    </row>
    <row r="813" spans="48:54" x14ac:dyDescent="0.3">
      <c r="AV813" t="s">
        <v>789</v>
      </c>
      <c r="AW813" t="s">
        <v>151</v>
      </c>
      <c r="AX813" t="s">
        <v>658</v>
      </c>
      <c r="AY813" s="81" t="s">
        <v>2396</v>
      </c>
      <c r="AZ813" t="s">
        <v>2397</v>
      </c>
      <c r="BA813" t="s">
        <v>538</v>
      </c>
      <c r="BB813" t="str">
        <f t="shared" si="12"/>
        <v>CIHPkdKachia</v>
      </c>
    </row>
    <row r="814" spans="48:54" x14ac:dyDescent="0.3">
      <c r="AV814" t="s">
        <v>789</v>
      </c>
      <c r="AW814" t="s">
        <v>151</v>
      </c>
      <c r="AX814" t="s">
        <v>658</v>
      </c>
      <c r="AY814" s="81" t="s">
        <v>2398</v>
      </c>
      <c r="AZ814" t="s">
        <v>2399</v>
      </c>
      <c r="BA814" t="s">
        <v>538</v>
      </c>
      <c r="BB814" t="str">
        <f t="shared" si="12"/>
        <v>CIHPkdKachia</v>
      </c>
    </row>
    <row r="815" spans="48:54" x14ac:dyDescent="0.3">
      <c r="AV815" t="s">
        <v>789</v>
      </c>
      <c r="AW815" t="s">
        <v>151</v>
      </c>
      <c r="AX815" t="s">
        <v>658</v>
      </c>
      <c r="AY815" s="81" t="s">
        <v>2400</v>
      </c>
      <c r="AZ815" t="s">
        <v>2401</v>
      </c>
      <c r="BA815" t="s">
        <v>538</v>
      </c>
      <c r="BB815" t="str">
        <f t="shared" si="12"/>
        <v>CIHPkdKachia</v>
      </c>
    </row>
    <row r="816" spans="48:54" x14ac:dyDescent="0.3">
      <c r="AV816" t="s">
        <v>789</v>
      </c>
      <c r="AW816" t="s">
        <v>151</v>
      </c>
      <c r="AX816" t="s">
        <v>659</v>
      </c>
      <c r="AY816" s="81" t="s">
        <v>2402</v>
      </c>
      <c r="AZ816" t="s">
        <v>2403</v>
      </c>
      <c r="BA816" t="s">
        <v>538</v>
      </c>
      <c r="BB816" t="str">
        <f t="shared" si="12"/>
        <v>CIHPkdKadunaNorth</v>
      </c>
    </row>
    <row r="817" spans="48:54" x14ac:dyDescent="0.3">
      <c r="AV817" t="s">
        <v>789</v>
      </c>
      <c r="AW817" t="s">
        <v>151</v>
      </c>
      <c r="AX817" t="s">
        <v>659</v>
      </c>
      <c r="AY817" s="81" t="s">
        <v>2404</v>
      </c>
      <c r="AZ817" t="s">
        <v>2405</v>
      </c>
      <c r="BA817" t="s">
        <v>538</v>
      </c>
      <c r="BB817" t="str">
        <f t="shared" si="12"/>
        <v>CIHPkdKadunaNorth</v>
      </c>
    </row>
    <row r="818" spans="48:54" x14ac:dyDescent="0.3">
      <c r="AV818" t="s">
        <v>789</v>
      </c>
      <c r="AW818" t="s">
        <v>151</v>
      </c>
      <c r="AX818" t="s">
        <v>659</v>
      </c>
      <c r="AY818" s="81" t="s">
        <v>2406</v>
      </c>
      <c r="AZ818" t="s">
        <v>2407</v>
      </c>
      <c r="BA818" t="s">
        <v>538</v>
      </c>
      <c r="BB818" t="str">
        <f t="shared" si="12"/>
        <v>CIHPkdKadunaNorth</v>
      </c>
    </row>
    <row r="819" spans="48:54" x14ac:dyDescent="0.3">
      <c r="AV819" t="s">
        <v>789</v>
      </c>
      <c r="AW819" t="s">
        <v>151</v>
      </c>
      <c r="AX819" t="s">
        <v>659</v>
      </c>
      <c r="AY819" s="81" t="s">
        <v>2408</v>
      </c>
      <c r="AZ819" t="s">
        <v>2409</v>
      </c>
      <c r="BA819" t="s">
        <v>538</v>
      </c>
      <c r="BB819" t="str">
        <f t="shared" si="12"/>
        <v>CIHPkdKadunaNorth</v>
      </c>
    </row>
    <row r="820" spans="48:54" x14ac:dyDescent="0.3">
      <c r="AV820" t="s">
        <v>789</v>
      </c>
      <c r="AW820" t="s">
        <v>151</v>
      </c>
      <c r="AX820" t="s">
        <v>659</v>
      </c>
      <c r="AY820" s="81" t="s">
        <v>2410</v>
      </c>
      <c r="AZ820" t="s">
        <v>2411</v>
      </c>
      <c r="BA820" t="s">
        <v>538</v>
      </c>
      <c r="BB820" t="str">
        <f t="shared" si="12"/>
        <v>CIHPkdKadunaNorth</v>
      </c>
    </row>
    <row r="821" spans="48:54" x14ac:dyDescent="0.3">
      <c r="AV821" t="s">
        <v>789</v>
      </c>
      <c r="AW821" t="s">
        <v>151</v>
      </c>
      <c r="AX821" t="s">
        <v>659</v>
      </c>
      <c r="AY821" s="81" t="s">
        <v>2412</v>
      </c>
      <c r="AZ821" t="s">
        <v>2413</v>
      </c>
      <c r="BA821" t="s">
        <v>538</v>
      </c>
      <c r="BB821" t="str">
        <f t="shared" si="12"/>
        <v>CIHPkdKadunaNorth</v>
      </c>
    </row>
    <row r="822" spans="48:54" x14ac:dyDescent="0.3">
      <c r="AV822" t="s">
        <v>789</v>
      </c>
      <c r="AW822" t="s">
        <v>151</v>
      </c>
      <c r="AX822" t="s">
        <v>659</v>
      </c>
      <c r="AY822" s="81" t="s">
        <v>2414</v>
      </c>
      <c r="AZ822" t="s">
        <v>2415</v>
      </c>
      <c r="BA822" t="s">
        <v>538</v>
      </c>
      <c r="BB822" t="str">
        <f t="shared" si="12"/>
        <v>CIHPkdKadunaNorth</v>
      </c>
    </row>
    <row r="823" spans="48:54" x14ac:dyDescent="0.3">
      <c r="AV823" t="s">
        <v>789</v>
      </c>
      <c r="AW823" t="s">
        <v>151</v>
      </c>
      <c r="AX823" t="s">
        <v>659</v>
      </c>
      <c r="AY823" s="81" t="s">
        <v>2416</v>
      </c>
      <c r="AZ823" t="s">
        <v>2417</v>
      </c>
      <c r="BA823" t="s">
        <v>538</v>
      </c>
      <c r="BB823" t="str">
        <f t="shared" si="12"/>
        <v>CIHPkdKadunaNorth</v>
      </c>
    </row>
    <row r="824" spans="48:54" x14ac:dyDescent="0.3">
      <c r="AV824" t="s">
        <v>789</v>
      </c>
      <c r="AW824" t="s">
        <v>151</v>
      </c>
      <c r="AX824" t="s">
        <v>651</v>
      </c>
      <c r="AY824" s="81" t="s">
        <v>2418</v>
      </c>
      <c r="AZ824" t="s">
        <v>2419</v>
      </c>
      <c r="BA824" t="s">
        <v>538</v>
      </c>
      <c r="BB824" t="str">
        <f t="shared" si="12"/>
        <v>CIHPkdKadunaSouth</v>
      </c>
    </row>
    <row r="825" spans="48:54" x14ac:dyDescent="0.3">
      <c r="AV825" t="s">
        <v>789</v>
      </c>
      <c r="AW825" t="s">
        <v>151</v>
      </c>
      <c r="AX825" t="s">
        <v>651</v>
      </c>
      <c r="AY825" s="81" t="s">
        <v>2420</v>
      </c>
      <c r="AZ825" t="s">
        <v>2421</v>
      </c>
      <c r="BA825" t="s">
        <v>538</v>
      </c>
      <c r="BB825" t="str">
        <f t="shared" si="12"/>
        <v>CIHPkdKadunaSouth</v>
      </c>
    </row>
    <row r="826" spans="48:54" x14ac:dyDescent="0.3">
      <c r="AV826" t="s">
        <v>789</v>
      </c>
      <c r="AW826" t="s">
        <v>151</v>
      </c>
      <c r="AX826" t="s">
        <v>651</v>
      </c>
      <c r="AY826" s="81" t="s">
        <v>2422</v>
      </c>
      <c r="AZ826" t="s">
        <v>2423</v>
      </c>
      <c r="BA826" t="s">
        <v>538</v>
      </c>
      <c r="BB826" t="str">
        <f t="shared" si="12"/>
        <v>CIHPkdKadunaSouth</v>
      </c>
    </row>
    <row r="827" spans="48:54" x14ac:dyDescent="0.3">
      <c r="AV827" t="s">
        <v>789</v>
      </c>
      <c r="AW827" t="s">
        <v>151</v>
      </c>
      <c r="AX827" t="s">
        <v>651</v>
      </c>
      <c r="AY827" s="81" t="s">
        <v>2424</v>
      </c>
      <c r="AZ827" t="s">
        <v>2425</v>
      </c>
      <c r="BA827" t="s">
        <v>538</v>
      </c>
      <c r="BB827" t="str">
        <f t="shared" si="12"/>
        <v>CIHPkdKadunaSouth</v>
      </c>
    </row>
    <row r="828" spans="48:54" x14ac:dyDescent="0.3">
      <c r="AV828" t="s">
        <v>789</v>
      </c>
      <c r="AW828" t="s">
        <v>151</v>
      </c>
      <c r="AX828" t="s">
        <v>651</v>
      </c>
      <c r="AY828" s="81" t="s">
        <v>2426</v>
      </c>
      <c r="AZ828" t="s">
        <v>2427</v>
      </c>
      <c r="BA828" t="s">
        <v>538</v>
      </c>
      <c r="BB828" t="str">
        <f t="shared" si="12"/>
        <v>CIHPkdKadunaSouth</v>
      </c>
    </row>
    <row r="829" spans="48:54" x14ac:dyDescent="0.3">
      <c r="AV829" t="s">
        <v>789</v>
      </c>
      <c r="AW829" t="s">
        <v>151</v>
      </c>
      <c r="AX829" t="s">
        <v>651</v>
      </c>
      <c r="AY829" s="81" t="s">
        <v>2428</v>
      </c>
      <c r="AZ829" t="s">
        <v>2429</v>
      </c>
      <c r="BA829" t="s">
        <v>538</v>
      </c>
      <c r="BB829" t="str">
        <f t="shared" si="12"/>
        <v>CIHPkdKadunaSouth</v>
      </c>
    </row>
    <row r="830" spans="48:54" x14ac:dyDescent="0.3">
      <c r="AV830" t="s">
        <v>789</v>
      </c>
      <c r="AW830" t="s">
        <v>151</v>
      </c>
      <c r="AX830" t="s">
        <v>651</v>
      </c>
      <c r="AY830" s="81" t="s">
        <v>2430</v>
      </c>
      <c r="AZ830" t="s">
        <v>2431</v>
      </c>
      <c r="BA830" t="s">
        <v>538</v>
      </c>
      <c r="BB830" t="str">
        <f t="shared" si="12"/>
        <v>CIHPkdKadunaSouth</v>
      </c>
    </row>
    <row r="831" spans="48:54" x14ac:dyDescent="0.3">
      <c r="AV831" t="s">
        <v>789</v>
      </c>
      <c r="AW831" t="s">
        <v>151</v>
      </c>
      <c r="AX831" t="s">
        <v>651</v>
      </c>
      <c r="AY831" s="81" t="s">
        <v>2432</v>
      </c>
      <c r="AZ831" t="s">
        <v>2433</v>
      </c>
      <c r="BA831" t="s">
        <v>538</v>
      </c>
      <c r="BB831" t="str">
        <f t="shared" si="12"/>
        <v>CIHPkdKadunaSouth</v>
      </c>
    </row>
    <row r="832" spans="48:54" x14ac:dyDescent="0.3">
      <c r="AV832" t="s">
        <v>789</v>
      </c>
      <c r="AW832" t="s">
        <v>151</v>
      </c>
      <c r="AX832" t="s">
        <v>651</v>
      </c>
      <c r="AY832" s="81" t="s">
        <v>2434</v>
      </c>
      <c r="AZ832" t="s">
        <v>2435</v>
      </c>
      <c r="BA832" t="s">
        <v>538</v>
      </c>
      <c r="BB832" t="str">
        <f t="shared" si="12"/>
        <v>CIHPkdKadunaSouth</v>
      </c>
    </row>
    <row r="833" spans="48:54" x14ac:dyDescent="0.3">
      <c r="AV833" t="s">
        <v>789</v>
      </c>
      <c r="AW833" t="s">
        <v>151</v>
      </c>
      <c r="AX833" t="s">
        <v>651</v>
      </c>
      <c r="AY833" s="81" t="s">
        <v>2436</v>
      </c>
      <c r="AZ833" t="s">
        <v>2437</v>
      </c>
      <c r="BA833" t="s">
        <v>538</v>
      </c>
      <c r="BB833" t="str">
        <f t="shared" si="12"/>
        <v>CIHPkdKadunaSouth</v>
      </c>
    </row>
    <row r="834" spans="48:54" x14ac:dyDescent="0.3">
      <c r="AV834" t="s">
        <v>789</v>
      </c>
      <c r="AW834" t="s">
        <v>151</v>
      </c>
      <c r="AX834" t="s">
        <v>651</v>
      </c>
      <c r="AY834" s="81" t="s">
        <v>2438</v>
      </c>
      <c r="AZ834" t="s">
        <v>2439</v>
      </c>
      <c r="BA834" t="s">
        <v>538</v>
      </c>
      <c r="BB834" t="str">
        <f t="shared" si="12"/>
        <v>CIHPkdKadunaSouth</v>
      </c>
    </row>
    <row r="835" spans="48:54" x14ac:dyDescent="0.3">
      <c r="AV835" t="s">
        <v>789</v>
      </c>
      <c r="AW835" t="s">
        <v>151</v>
      </c>
      <c r="AX835" t="s">
        <v>651</v>
      </c>
      <c r="AY835" s="81" t="s">
        <v>2440</v>
      </c>
      <c r="AZ835" t="s">
        <v>2441</v>
      </c>
      <c r="BA835" t="s">
        <v>538</v>
      </c>
      <c r="BB835" t="str">
        <f t="shared" ref="BB835:BB898" si="13">SUBSTITUTE(SUBSTITUTE(BA835&amp;AX835," ",""),"-","")</f>
        <v>CIHPkdKadunaSouth</v>
      </c>
    </row>
    <row r="836" spans="48:54" x14ac:dyDescent="0.3">
      <c r="AV836" t="s">
        <v>789</v>
      </c>
      <c r="AW836" t="s">
        <v>151</v>
      </c>
      <c r="AX836" t="s">
        <v>651</v>
      </c>
      <c r="AY836" s="81" t="s">
        <v>2442</v>
      </c>
      <c r="AZ836" t="s">
        <v>2443</v>
      </c>
      <c r="BA836" t="s">
        <v>538</v>
      </c>
      <c r="BB836" t="str">
        <f t="shared" si="13"/>
        <v>CIHPkdKadunaSouth</v>
      </c>
    </row>
    <row r="837" spans="48:54" x14ac:dyDescent="0.3">
      <c r="AV837" t="s">
        <v>789</v>
      </c>
      <c r="AW837" t="s">
        <v>151</v>
      </c>
      <c r="AX837" t="s">
        <v>660</v>
      </c>
      <c r="AY837" s="81" t="s">
        <v>2444</v>
      </c>
      <c r="AZ837" t="s">
        <v>2445</v>
      </c>
      <c r="BA837" t="s">
        <v>538</v>
      </c>
      <c r="BB837" t="str">
        <f t="shared" si="13"/>
        <v>CIHPkdKagarko</v>
      </c>
    </row>
    <row r="838" spans="48:54" x14ac:dyDescent="0.3">
      <c r="AV838" t="s">
        <v>789</v>
      </c>
      <c r="AW838" t="s">
        <v>151</v>
      </c>
      <c r="AX838" t="s">
        <v>660</v>
      </c>
      <c r="AY838" s="81" t="s">
        <v>2446</v>
      </c>
      <c r="AZ838" t="s">
        <v>2447</v>
      </c>
      <c r="BA838" t="s">
        <v>538</v>
      </c>
      <c r="BB838" t="str">
        <f t="shared" si="13"/>
        <v>CIHPkdKagarko</v>
      </c>
    </row>
    <row r="839" spans="48:54" x14ac:dyDescent="0.3">
      <c r="AV839" t="s">
        <v>789</v>
      </c>
      <c r="AW839" t="s">
        <v>151</v>
      </c>
      <c r="AX839" t="s">
        <v>661</v>
      </c>
      <c r="AY839" s="81" t="s">
        <v>2448</v>
      </c>
      <c r="AZ839" t="s">
        <v>2449</v>
      </c>
      <c r="BA839" t="s">
        <v>538</v>
      </c>
      <c r="BB839" t="str">
        <f t="shared" si="13"/>
        <v>CIHPkdKajuru</v>
      </c>
    </row>
    <row r="840" spans="48:54" x14ac:dyDescent="0.3">
      <c r="AV840" t="s">
        <v>789</v>
      </c>
      <c r="AW840" t="s">
        <v>151</v>
      </c>
      <c r="AX840" t="s">
        <v>662</v>
      </c>
      <c r="AY840" s="81" t="s">
        <v>2450</v>
      </c>
      <c r="AZ840" t="s">
        <v>2451</v>
      </c>
      <c r="BA840" t="s">
        <v>538</v>
      </c>
      <c r="BB840" t="str">
        <f t="shared" si="13"/>
        <v>CIHPkdKaura</v>
      </c>
    </row>
    <row r="841" spans="48:54" x14ac:dyDescent="0.3">
      <c r="AV841" t="s">
        <v>789</v>
      </c>
      <c r="AW841" t="s">
        <v>151</v>
      </c>
      <c r="AX841" t="s">
        <v>662</v>
      </c>
      <c r="AY841" s="81" t="s">
        <v>2452</v>
      </c>
      <c r="AZ841" t="s">
        <v>2453</v>
      </c>
      <c r="BA841" t="s">
        <v>538</v>
      </c>
      <c r="BB841" t="str">
        <f t="shared" si="13"/>
        <v>CIHPkdKaura</v>
      </c>
    </row>
    <row r="842" spans="48:54" x14ac:dyDescent="0.3">
      <c r="AV842" t="s">
        <v>789</v>
      </c>
      <c r="AW842" t="s">
        <v>151</v>
      </c>
      <c r="AX842" t="s">
        <v>662</v>
      </c>
      <c r="AY842" s="81" t="s">
        <v>2454</v>
      </c>
      <c r="AZ842" t="s">
        <v>2455</v>
      </c>
      <c r="BA842" t="s">
        <v>538</v>
      </c>
      <c r="BB842" t="str">
        <f t="shared" si="13"/>
        <v>CIHPkdKaura</v>
      </c>
    </row>
    <row r="843" spans="48:54" x14ac:dyDescent="0.3">
      <c r="AV843" t="s">
        <v>789</v>
      </c>
      <c r="AW843" t="s">
        <v>151</v>
      </c>
      <c r="AX843" t="s">
        <v>662</v>
      </c>
      <c r="AY843" s="81" t="s">
        <v>2456</v>
      </c>
      <c r="AZ843" t="s">
        <v>2457</v>
      </c>
      <c r="BA843" t="s">
        <v>538</v>
      </c>
      <c r="BB843" t="str">
        <f t="shared" si="13"/>
        <v>CIHPkdKaura</v>
      </c>
    </row>
    <row r="844" spans="48:54" x14ac:dyDescent="0.3">
      <c r="AV844" t="s">
        <v>789</v>
      </c>
      <c r="AW844" t="s">
        <v>151</v>
      </c>
      <c r="AX844" t="s">
        <v>662</v>
      </c>
      <c r="AY844" s="81" t="s">
        <v>2458</v>
      </c>
      <c r="AZ844" t="s">
        <v>2459</v>
      </c>
      <c r="BA844" t="s">
        <v>538</v>
      </c>
      <c r="BB844" t="str">
        <f t="shared" si="13"/>
        <v>CIHPkdKaura</v>
      </c>
    </row>
    <row r="845" spans="48:54" x14ac:dyDescent="0.3">
      <c r="AV845" t="s">
        <v>789</v>
      </c>
      <c r="AW845" t="s">
        <v>151</v>
      </c>
      <c r="AX845" t="s">
        <v>652</v>
      </c>
      <c r="AY845" s="81" t="s">
        <v>2460</v>
      </c>
      <c r="AZ845" t="s">
        <v>2461</v>
      </c>
      <c r="BA845" t="s">
        <v>538</v>
      </c>
      <c r="BB845" t="str">
        <f t="shared" si="13"/>
        <v>CIHPkdKubau</v>
      </c>
    </row>
    <row r="846" spans="48:54" x14ac:dyDescent="0.3">
      <c r="AV846" t="s">
        <v>789</v>
      </c>
      <c r="AW846" t="s">
        <v>151</v>
      </c>
      <c r="AX846" t="s">
        <v>654</v>
      </c>
      <c r="AY846" s="81" t="s">
        <v>2462</v>
      </c>
      <c r="AZ846" t="s">
        <v>2463</v>
      </c>
      <c r="BA846" t="s">
        <v>538</v>
      </c>
      <c r="BB846" t="str">
        <f t="shared" si="13"/>
        <v>CIHPkdSanga</v>
      </c>
    </row>
    <row r="847" spans="48:54" x14ac:dyDescent="0.3">
      <c r="AV847" t="s">
        <v>789</v>
      </c>
      <c r="AW847" t="s">
        <v>151</v>
      </c>
      <c r="AX847" t="s">
        <v>654</v>
      </c>
      <c r="AY847" s="81" t="s">
        <v>2464</v>
      </c>
      <c r="AZ847" t="s">
        <v>2465</v>
      </c>
      <c r="BA847" t="s">
        <v>538</v>
      </c>
      <c r="BB847" t="str">
        <f t="shared" si="13"/>
        <v>CIHPkdSanga</v>
      </c>
    </row>
    <row r="848" spans="48:54" x14ac:dyDescent="0.3">
      <c r="AV848" t="s">
        <v>789</v>
      </c>
      <c r="AW848" t="s">
        <v>151</v>
      </c>
      <c r="AX848" t="s">
        <v>654</v>
      </c>
      <c r="AY848" s="81" t="s">
        <v>2466</v>
      </c>
      <c r="AZ848" t="s">
        <v>2467</v>
      </c>
      <c r="BA848" t="s">
        <v>538</v>
      </c>
      <c r="BB848" t="str">
        <f t="shared" si="13"/>
        <v>CIHPkdSanga</v>
      </c>
    </row>
    <row r="849" spans="48:54" x14ac:dyDescent="0.3">
      <c r="AV849" t="s">
        <v>789</v>
      </c>
      <c r="AW849" t="s">
        <v>151</v>
      </c>
      <c r="AX849" t="s">
        <v>654</v>
      </c>
      <c r="AY849" s="81" t="s">
        <v>2468</v>
      </c>
      <c r="AZ849" t="s">
        <v>2469</v>
      </c>
      <c r="BA849" t="s">
        <v>538</v>
      </c>
      <c r="BB849" t="str">
        <f t="shared" si="13"/>
        <v>CIHPkdSanga</v>
      </c>
    </row>
    <row r="850" spans="48:54" x14ac:dyDescent="0.3">
      <c r="AV850" t="s">
        <v>789</v>
      </c>
      <c r="AW850" t="s">
        <v>151</v>
      </c>
      <c r="AX850" t="s">
        <v>654</v>
      </c>
      <c r="AY850" s="81" t="s">
        <v>2470</v>
      </c>
      <c r="AZ850" t="s">
        <v>2471</v>
      </c>
      <c r="BA850" t="s">
        <v>538</v>
      </c>
      <c r="BB850" t="str">
        <f t="shared" si="13"/>
        <v>CIHPkdSanga</v>
      </c>
    </row>
    <row r="851" spans="48:54" x14ac:dyDescent="0.3">
      <c r="AV851" t="s">
        <v>789</v>
      </c>
      <c r="AW851" t="s">
        <v>151</v>
      </c>
      <c r="AX851" t="s">
        <v>654</v>
      </c>
      <c r="AY851" s="81" t="s">
        <v>2472</v>
      </c>
      <c r="AZ851" t="s">
        <v>2473</v>
      </c>
      <c r="BA851" t="s">
        <v>538</v>
      </c>
      <c r="BB851" t="str">
        <f t="shared" si="13"/>
        <v>CIHPkdSanga</v>
      </c>
    </row>
    <row r="852" spans="48:54" x14ac:dyDescent="0.3">
      <c r="AV852" t="s">
        <v>789</v>
      </c>
      <c r="AW852" t="s">
        <v>151</v>
      </c>
      <c r="AX852" t="s">
        <v>654</v>
      </c>
      <c r="AY852" s="81" t="s">
        <v>2474</v>
      </c>
      <c r="AZ852" t="s">
        <v>2475</v>
      </c>
      <c r="BA852" t="s">
        <v>538</v>
      </c>
      <c r="BB852" t="str">
        <f t="shared" si="13"/>
        <v>CIHPkdSanga</v>
      </c>
    </row>
    <row r="853" spans="48:54" x14ac:dyDescent="0.3">
      <c r="AV853" t="s">
        <v>789</v>
      </c>
      <c r="AW853" t="s">
        <v>151</v>
      </c>
      <c r="AX853" t="s">
        <v>654</v>
      </c>
      <c r="AY853" s="81" t="s">
        <v>2476</v>
      </c>
      <c r="AZ853" t="s">
        <v>2477</v>
      </c>
      <c r="BA853" t="s">
        <v>538</v>
      </c>
      <c r="BB853" t="str">
        <f t="shared" si="13"/>
        <v>CIHPkdSanga</v>
      </c>
    </row>
    <row r="854" spans="48:54" x14ac:dyDescent="0.3">
      <c r="AV854" t="s">
        <v>789</v>
      </c>
      <c r="AW854" t="s">
        <v>151</v>
      </c>
      <c r="AX854" t="s">
        <v>663</v>
      </c>
      <c r="AY854" s="81" t="s">
        <v>2478</v>
      </c>
      <c r="AZ854" t="s">
        <v>2479</v>
      </c>
      <c r="BA854" t="s">
        <v>538</v>
      </c>
      <c r="BB854" t="str">
        <f t="shared" si="13"/>
        <v>CIHPkdSoba</v>
      </c>
    </row>
    <row r="855" spans="48:54" x14ac:dyDescent="0.3">
      <c r="AV855" t="s">
        <v>789</v>
      </c>
      <c r="AW855" t="s">
        <v>151</v>
      </c>
      <c r="AX855" t="s">
        <v>655</v>
      </c>
      <c r="AY855" s="81" t="s">
        <v>2480</v>
      </c>
      <c r="AZ855" t="s">
        <v>2481</v>
      </c>
      <c r="BA855" t="s">
        <v>538</v>
      </c>
      <c r="BB855" t="str">
        <f t="shared" si="13"/>
        <v>CIHPkdZangoKataf</v>
      </c>
    </row>
    <row r="856" spans="48:54" x14ac:dyDescent="0.3">
      <c r="AV856" t="s">
        <v>789</v>
      </c>
      <c r="AW856" t="s">
        <v>151</v>
      </c>
      <c r="AX856" t="s">
        <v>664</v>
      </c>
      <c r="AY856" s="81" t="s">
        <v>2482</v>
      </c>
      <c r="AZ856" t="s">
        <v>2483</v>
      </c>
      <c r="BA856" t="s">
        <v>538</v>
      </c>
      <c r="BB856" t="str">
        <f t="shared" si="13"/>
        <v>CIHPkdZaria</v>
      </c>
    </row>
    <row r="857" spans="48:54" x14ac:dyDescent="0.3">
      <c r="AV857" t="s">
        <v>789</v>
      </c>
      <c r="AW857" t="s">
        <v>151</v>
      </c>
      <c r="AX857" t="s">
        <v>664</v>
      </c>
      <c r="AY857" s="81" t="s">
        <v>2484</v>
      </c>
      <c r="AZ857" t="s">
        <v>2485</v>
      </c>
      <c r="BA857" t="s">
        <v>538</v>
      </c>
      <c r="BB857" t="str">
        <f t="shared" si="13"/>
        <v>CIHPkdZaria</v>
      </c>
    </row>
    <row r="858" spans="48:54" x14ac:dyDescent="0.3">
      <c r="AV858" t="s">
        <v>789</v>
      </c>
      <c r="AW858" t="s">
        <v>151</v>
      </c>
      <c r="AX858" t="s">
        <v>664</v>
      </c>
      <c r="AY858" s="81" t="s">
        <v>2486</v>
      </c>
      <c r="AZ858" t="s">
        <v>2487</v>
      </c>
      <c r="BA858" t="s">
        <v>538</v>
      </c>
      <c r="BB858" t="str">
        <f t="shared" si="13"/>
        <v>CIHPkdZaria</v>
      </c>
    </row>
    <row r="859" spans="48:54" x14ac:dyDescent="0.3">
      <c r="AV859" t="s">
        <v>789</v>
      </c>
      <c r="AW859" t="s">
        <v>155</v>
      </c>
      <c r="AX859" t="s">
        <v>680</v>
      </c>
      <c r="AY859" s="81" t="s">
        <v>2488</v>
      </c>
      <c r="AZ859" t="s">
        <v>2489</v>
      </c>
      <c r="BA859" t="s">
        <v>538</v>
      </c>
      <c r="BB859" t="str">
        <f t="shared" si="13"/>
        <v>CIHPkoAdavi</v>
      </c>
    </row>
    <row r="860" spans="48:54" x14ac:dyDescent="0.3">
      <c r="AV860" t="s">
        <v>789</v>
      </c>
      <c r="AW860" t="s">
        <v>155</v>
      </c>
      <c r="AX860" t="s">
        <v>680</v>
      </c>
      <c r="AY860" s="81" t="s">
        <v>2490</v>
      </c>
      <c r="AZ860" t="s">
        <v>2491</v>
      </c>
      <c r="BA860" t="s">
        <v>538</v>
      </c>
      <c r="BB860" t="str">
        <f t="shared" si="13"/>
        <v>CIHPkoAdavi</v>
      </c>
    </row>
    <row r="861" spans="48:54" x14ac:dyDescent="0.3">
      <c r="AV861" t="s">
        <v>789</v>
      </c>
      <c r="AW861" t="s">
        <v>155</v>
      </c>
      <c r="AX861" t="s">
        <v>681</v>
      </c>
      <c r="AY861" s="81" t="s">
        <v>2492</v>
      </c>
      <c r="AZ861" t="s">
        <v>2493</v>
      </c>
      <c r="BA861" t="s">
        <v>538</v>
      </c>
      <c r="BB861" t="str">
        <f t="shared" si="13"/>
        <v>CIHPkoAjaokuta</v>
      </c>
    </row>
    <row r="862" spans="48:54" x14ac:dyDescent="0.3">
      <c r="AV862" t="s">
        <v>789</v>
      </c>
      <c r="AW862" t="s">
        <v>155</v>
      </c>
      <c r="AX862" t="s">
        <v>682</v>
      </c>
      <c r="AY862" s="81" t="s">
        <v>2494</v>
      </c>
      <c r="AZ862" t="s">
        <v>2495</v>
      </c>
      <c r="BA862" t="s">
        <v>538</v>
      </c>
      <c r="BB862" t="str">
        <f t="shared" si="13"/>
        <v>CIHPkoAnkpa</v>
      </c>
    </row>
    <row r="863" spans="48:54" x14ac:dyDescent="0.3">
      <c r="AV863" t="s">
        <v>789</v>
      </c>
      <c r="AW863" t="s">
        <v>155</v>
      </c>
      <c r="AX863" t="s">
        <v>682</v>
      </c>
      <c r="AY863" s="81" t="s">
        <v>2496</v>
      </c>
      <c r="AZ863" t="s">
        <v>2497</v>
      </c>
      <c r="BA863" t="s">
        <v>538</v>
      </c>
      <c r="BB863" t="str">
        <f t="shared" si="13"/>
        <v>CIHPkoAnkpa</v>
      </c>
    </row>
    <row r="864" spans="48:54" x14ac:dyDescent="0.3">
      <c r="AV864" t="s">
        <v>789</v>
      </c>
      <c r="AW864" t="s">
        <v>155</v>
      </c>
      <c r="AX864" t="s">
        <v>682</v>
      </c>
      <c r="AY864" s="81" t="s">
        <v>2498</v>
      </c>
      <c r="AZ864" t="s">
        <v>2499</v>
      </c>
      <c r="BA864" t="s">
        <v>538</v>
      </c>
      <c r="BB864" t="str">
        <f t="shared" si="13"/>
        <v>CIHPkoAnkpa</v>
      </c>
    </row>
    <row r="865" spans="48:54" x14ac:dyDescent="0.3">
      <c r="AV865" t="s">
        <v>789</v>
      </c>
      <c r="AW865" t="s">
        <v>155</v>
      </c>
      <c r="AX865" t="s">
        <v>682</v>
      </c>
      <c r="AY865" s="81" t="s">
        <v>2500</v>
      </c>
      <c r="AZ865" t="s">
        <v>2501</v>
      </c>
      <c r="BA865" t="s">
        <v>538</v>
      </c>
      <c r="BB865" t="str">
        <f t="shared" si="13"/>
        <v>CIHPkoAnkpa</v>
      </c>
    </row>
    <row r="866" spans="48:54" x14ac:dyDescent="0.3">
      <c r="AV866" t="s">
        <v>789</v>
      </c>
      <c r="AW866" t="s">
        <v>155</v>
      </c>
      <c r="AX866" t="s">
        <v>682</v>
      </c>
      <c r="AY866" s="81" t="s">
        <v>2502</v>
      </c>
      <c r="AZ866" t="s">
        <v>2503</v>
      </c>
      <c r="BA866" t="s">
        <v>538</v>
      </c>
      <c r="BB866" t="str">
        <f t="shared" si="13"/>
        <v>CIHPkoAnkpa</v>
      </c>
    </row>
    <row r="867" spans="48:54" x14ac:dyDescent="0.3">
      <c r="AV867" t="s">
        <v>789</v>
      </c>
      <c r="AW867" t="s">
        <v>155</v>
      </c>
      <c r="AX867" t="s">
        <v>682</v>
      </c>
      <c r="AY867" s="81" t="s">
        <v>2504</v>
      </c>
      <c r="AZ867" t="s">
        <v>2505</v>
      </c>
      <c r="BA867" t="s">
        <v>538</v>
      </c>
      <c r="BB867" t="str">
        <f t="shared" si="13"/>
        <v>CIHPkoAnkpa</v>
      </c>
    </row>
    <row r="868" spans="48:54" x14ac:dyDescent="0.3">
      <c r="AV868" t="s">
        <v>789</v>
      </c>
      <c r="AW868" t="s">
        <v>155</v>
      </c>
      <c r="AX868" t="s">
        <v>682</v>
      </c>
      <c r="AY868" s="81" t="s">
        <v>2506</v>
      </c>
      <c r="AZ868" t="s">
        <v>2507</v>
      </c>
      <c r="BA868" t="s">
        <v>538</v>
      </c>
      <c r="BB868" t="str">
        <f t="shared" si="13"/>
        <v>CIHPkoAnkpa</v>
      </c>
    </row>
    <row r="869" spans="48:54" x14ac:dyDescent="0.3">
      <c r="AV869" t="s">
        <v>789</v>
      </c>
      <c r="AW869" t="s">
        <v>155</v>
      </c>
      <c r="AX869" t="s">
        <v>678</v>
      </c>
      <c r="AY869" s="81" t="s">
        <v>2508</v>
      </c>
      <c r="AZ869" t="s">
        <v>2509</v>
      </c>
      <c r="BA869" t="s">
        <v>538</v>
      </c>
      <c r="BB869" t="str">
        <f t="shared" si="13"/>
        <v>CIHPkoDekina</v>
      </c>
    </row>
    <row r="870" spans="48:54" x14ac:dyDescent="0.3">
      <c r="AV870" t="s">
        <v>789</v>
      </c>
      <c r="AW870" t="s">
        <v>155</v>
      </c>
      <c r="AX870" t="s">
        <v>678</v>
      </c>
      <c r="AY870" s="81" t="s">
        <v>2510</v>
      </c>
      <c r="AZ870" t="s">
        <v>2511</v>
      </c>
      <c r="BA870" t="s">
        <v>538</v>
      </c>
      <c r="BB870" t="str">
        <f t="shared" si="13"/>
        <v>CIHPkoDekina</v>
      </c>
    </row>
    <row r="871" spans="48:54" x14ac:dyDescent="0.3">
      <c r="AV871" t="s">
        <v>789</v>
      </c>
      <c r="AW871" t="s">
        <v>155</v>
      </c>
      <c r="AX871" t="s">
        <v>678</v>
      </c>
      <c r="AY871" s="81" t="s">
        <v>2512</v>
      </c>
      <c r="AZ871" t="s">
        <v>2513</v>
      </c>
      <c r="BA871" t="s">
        <v>538</v>
      </c>
      <c r="BB871" t="str">
        <f t="shared" si="13"/>
        <v>CIHPkoDekina</v>
      </c>
    </row>
    <row r="872" spans="48:54" x14ac:dyDescent="0.3">
      <c r="AV872" t="s">
        <v>789</v>
      </c>
      <c r="AW872" t="s">
        <v>155</v>
      </c>
      <c r="AX872" t="s">
        <v>678</v>
      </c>
      <c r="AY872" s="81" t="s">
        <v>2514</v>
      </c>
      <c r="AZ872" t="s">
        <v>2515</v>
      </c>
      <c r="BA872" t="s">
        <v>538</v>
      </c>
      <c r="BB872" t="str">
        <f t="shared" si="13"/>
        <v>CIHPkoDekina</v>
      </c>
    </row>
    <row r="873" spans="48:54" x14ac:dyDescent="0.3">
      <c r="AV873" t="s">
        <v>789</v>
      </c>
      <c r="AW873" t="s">
        <v>155</v>
      </c>
      <c r="AX873" t="s">
        <v>683</v>
      </c>
      <c r="AY873" s="81" t="s">
        <v>2516</v>
      </c>
      <c r="AZ873" t="s">
        <v>2517</v>
      </c>
      <c r="BA873" t="s">
        <v>538</v>
      </c>
      <c r="BB873" t="str">
        <f t="shared" si="13"/>
        <v>CIHPkoIbaji</v>
      </c>
    </row>
    <row r="874" spans="48:54" x14ac:dyDescent="0.3">
      <c r="AV874" t="s">
        <v>789</v>
      </c>
      <c r="AW874" t="s">
        <v>155</v>
      </c>
      <c r="AX874" t="s">
        <v>679</v>
      </c>
      <c r="AY874" s="81" t="s">
        <v>2518</v>
      </c>
      <c r="AZ874" t="s">
        <v>2519</v>
      </c>
      <c r="BA874" t="s">
        <v>538</v>
      </c>
      <c r="BB874" t="str">
        <f t="shared" si="13"/>
        <v>CIHPkoIdah</v>
      </c>
    </row>
    <row r="875" spans="48:54" x14ac:dyDescent="0.3">
      <c r="AV875" t="s">
        <v>789</v>
      </c>
      <c r="AW875" t="s">
        <v>155</v>
      </c>
      <c r="AX875" t="s">
        <v>684</v>
      </c>
      <c r="AY875" s="81" t="s">
        <v>2520</v>
      </c>
      <c r="AZ875" t="s">
        <v>2521</v>
      </c>
      <c r="BA875" t="s">
        <v>538</v>
      </c>
      <c r="BB875" t="str">
        <f t="shared" si="13"/>
        <v>CIHPkoIgalamelaOdolu</v>
      </c>
    </row>
    <row r="876" spans="48:54" x14ac:dyDescent="0.3">
      <c r="AV876" t="s">
        <v>789</v>
      </c>
      <c r="AW876" t="s">
        <v>155</v>
      </c>
      <c r="AX876" t="s">
        <v>685</v>
      </c>
      <c r="AY876" s="81" t="s">
        <v>2522</v>
      </c>
      <c r="AZ876" t="s">
        <v>2523</v>
      </c>
      <c r="BA876" t="s">
        <v>538</v>
      </c>
      <c r="BB876" t="str">
        <f t="shared" si="13"/>
        <v>CIHPkoKogi</v>
      </c>
    </row>
    <row r="877" spans="48:54" x14ac:dyDescent="0.3">
      <c r="AV877" t="s">
        <v>789</v>
      </c>
      <c r="AW877" t="s">
        <v>155</v>
      </c>
      <c r="AX877" t="s">
        <v>685</v>
      </c>
      <c r="AY877" s="81" t="s">
        <v>2524</v>
      </c>
      <c r="AZ877" t="s">
        <v>2525</v>
      </c>
      <c r="BA877" t="s">
        <v>538</v>
      </c>
      <c r="BB877" t="str">
        <f t="shared" si="13"/>
        <v>CIHPkoKogi</v>
      </c>
    </row>
    <row r="878" spans="48:54" x14ac:dyDescent="0.3">
      <c r="AV878" t="s">
        <v>789</v>
      </c>
      <c r="AW878" t="s">
        <v>155</v>
      </c>
      <c r="AX878" t="s">
        <v>685</v>
      </c>
      <c r="AY878" s="81" t="s">
        <v>2526</v>
      </c>
      <c r="AZ878" t="s">
        <v>2527</v>
      </c>
      <c r="BA878" t="s">
        <v>538</v>
      </c>
      <c r="BB878" t="str">
        <f t="shared" si="13"/>
        <v>CIHPkoKogi</v>
      </c>
    </row>
    <row r="879" spans="48:54" x14ac:dyDescent="0.3">
      <c r="AV879" t="s">
        <v>789</v>
      </c>
      <c r="AW879" t="s">
        <v>155</v>
      </c>
      <c r="AX879" t="s">
        <v>686</v>
      </c>
      <c r="AY879" s="81" t="s">
        <v>2528</v>
      </c>
      <c r="AZ879" t="s">
        <v>2529</v>
      </c>
      <c r="BA879" t="s">
        <v>538</v>
      </c>
      <c r="BB879" t="str">
        <f t="shared" si="13"/>
        <v>CIHPkoLokoja</v>
      </c>
    </row>
    <row r="880" spans="48:54" x14ac:dyDescent="0.3">
      <c r="AV880" t="s">
        <v>789</v>
      </c>
      <c r="AW880" t="s">
        <v>155</v>
      </c>
      <c r="AX880" t="s">
        <v>686</v>
      </c>
      <c r="AY880" s="81" t="s">
        <v>2530</v>
      </c>
      <c r="AZ880" t="s">
        <v>2531</v>
      </c>
      <c r="BA880" t="s">
        <v>538</v>
      </c>
      <c r="BB880" t="str">
        <f t="shared" si="13"/>
        <v>CIHPkoLokoja</v>
      </c>
    </row>
    <row r="881" spans="48:54" x14ac:dyDescent="0.3">
      <c r="AV881" t="s">
        <v>789</v>
      </c>
      <c r="AW881" t="s">
        <v>155</v>
      </c>
      <c r="AX881" t="s">
        <v>687</v>
      </c>
      <c r="AY881" s="81" t="s">
        <v>2532</v>
      </c>
      <c r="AZ881" t="s">
        <v>2533</v>
      </c>
      <c r="BA881" t="s">
        <v>538</v>
      </c>
      <c r="BB881" t="str">
        <f t="shared" si="13"/>
        <v>CIHPkoOfu</v>
      </c>
    </row>
    <row r="882" spans="48:54" x14ac:dyDescent="0.3">
      <c r="AV882" t="s">
        <v>789</v>
      </c>
      <c r="AW882" t="s">
        <v>155</v>
      </c>
      <c r="AX882" t="s">
        <v>687</v>
      </c>
      <c r="AY882" s="81" t="s">
        <v>2534</v>
      </c>
      <c r="AZ882" t="s">
        <v>2535</v>
      </c>
      <c r="BA882" t="s">
        <v>538</v>
      </c>
      <c r="BB882" t="str">
        <f t="shared" si="13"/>
        <v>CIHPkoOfu</v>
      </c>
    </row>
    <row r="883" spans="48:54" x14ac:dyDescent="0.3">
      <c r="AV883" t="s">
        <v>789</v>
      </c>
      <c r="AW883" t="s">
        <v>155</v>
      </c>
      <c r="AX883" t="s">
        <v>688</v>
      </c>
      <c r="AY883" s="81" t="s">
        <v>2536</v>
      </c>
      <c r="AZ883" t="s">
        <v>2537</v>
      </c>
      <c r="BA883" t="s">
        <v>538</v>
      </c>
      <c r="BB883" t="str">
        <f t="shared" si="13"/>
        <v>CIHPkoOkehi</v>
      </c>
    </row>
    <row r="884" spans="48:54" x14ac:dyDescent="0.3">
      <c r="AV884" t="s">
        <v>789</v>
      </c>
      <c r="AW884" t="s">
        <v>155</v>
      </c>
      <c r="AX884" t="s">
        <v>688</v>
      </c>
      <c r="AY884" s="81" t="s">
        <v>2538</v>
      </c>
      <c r="AZ884" t="s">
        <v>2539</v>
      </c>
      <c r="BA884" t="s">
        <v>538</v>
      </c>
      <c r="BB884" t="str">
        <f t="shared" si="13"/>
        <v>CIHPkoOkehi</v>
      </c>
    </row>
    <row r="885" spans="48:54" x14ac:dyDescent="0.3">
      <c r="AV885" t="s">
        <v>789</v>
      </c>
      <c r="AW885" t="s">
        <v>155</v>
      </c>
      <c r="AX885" t="s">
        <v>689</v>
      </c>
      <c r="AY885" s="81" t="s">
        <v>2540</v>
      </c>
      <c r="AZ885" t="s">
        <v>2541</v>
      </c>
      <c r="BA885" t="s">
        <v>538</v>
      </c>
      <c r="BB885" t="str">
        <f t="shared" si="13"/>
        <v>CIHPkoOkene</v>
      </c>
    </row>
    <row r="886" spans="48:54" x14ac:dyDescent="0.3">
      <c r="AV886" t="s">
        <v>789</v>
      </c>
      <c r="AW886" t="s">
        <v>155</v>
      </c>
      <c r="AX886" t="s">
        <v>689</v>
      </c>
      <c r="AY886" s="81" t="s">
        <v>2542</v>
      </c>
      <c r="AZ886" t="s">
        <v>2543</v>
      </c>
      <c r="BA886" t="s">
        <v>538</v>
      </c>
      <c r="BB886" t="str">
        <f t="shared" si="13"/>
        <v>CIHPkoOkene</v>
      </c>
    </row>
    <row r="887" spans="48:54" x14ac:dyDescent="0.3">
      <c r="AV887" t="s">
        <v>789</v>
      </c>
      <c r="AW887" t="s">
        <v>155</v>
      </c>
      <c r="AX887" t="s">
        <v>689</v>
      </c>
      <c r="AY887" s="81" t="s">
        <v>2544</v>
      </c>
      <c r="AZ887" t="s">
        <v>2545</v>
      </c>
      <c r="BA887" t="s">
        <v>538</v>
      </c>
      <c r="BB887" t="str">
        <f t="shared" si="13"/>
        <v>CIHPkoOkene</v>
      </c>
    </row>
    <row r="888" spans="48:54" x14ac:dyDescent="0.3">
      <c r="AV888" t="s">
        <v>789</v>
      </c>
      <c r="AW888" t="s">
        <v>155</v>
      </c>
      <c r="AX888" t="s">
        <v>690</v>
      </c>
      <c r="AY888" s="81" t="s">
        <v>2546</v>
      </c>
      <c r="AZ888" t="s">
        <v>2547</v>
      </c>
      <c r="BA888" t="s">
        <v>538</v>
      </c>
      <c r="BB888" t="str">
        <f t="shared" si="13"/>
        <v>CIHPkoOlamaboro</v>
      </c>
    </row>
    <row r="889" spans="48:54" x14ac:dyDescent="0.3">
      <c r="AV889" t="s">
        <v>789</v>
      </c>
      <c r="AW889" t="s">
        <v>155</v>
      </c>
      <c r="AX889" t="s">
        <v>690</v>
      </c>
      <c r="AY889" s="81" t="s">
        <v>2548</v>
      </c>
      <c r="AZ889" t="s">
        <v>2549</v>
      </c>
      <c r="BA889" t="s">
        <v>538</v>
      </c>
      <c r="BB889" t="str">
        <f t="shared" si="13"/>
        <v>CIHPkoOlamaboro</v>
      </c>
    </row>
    <row r="890" spans="48:54" x14ac:dyDescent="0.3">
      <c r="AV890" t="s">
        <v>789</v>
      </c>
      <c r="AW890" t="s">
        <v>155</v>
      </c>
      <c r="AX890" t="s">
        <v>690</v>
      </c>
      <c r="AY890" s="81" t="s">
        <v>2550</v>
      </c>
      <c r="AZ890" t="s">
        <v>2551</v>
      </c>
      <c r="BA890" t="s">
        <v>538</v>
      </c>
      <c r="BB890" t="str">
        <f t="shared" si="13"/>
        <v>CIHPkoOlamaboro</v>
      </c>
    </row>
    <row r="891" spans="48:54" x14ac:dyDescent="0.3">
      <c r="AV891" t="s">
        <v>789</v>
      </c>
      <c r="AW891" t="s">
        <v>155</v>
      </c>
      <c r="AX891" t="s">
        <v>691</v>
      </c>
      <c r="AY891" s="81" t="s">
        <v>2552</v>
      </c>
      <c r="AZ891" t="s">
        <v>2553</v>
      </c>
      <c r="BA891" t="s">
        <v>538</v>
      </c>
      <c r="BB891" t="str">
        <f t="shared" si="13"/>
        <v>CIHPkoOmala</v>
      </c>
    </row>
    <row r="892" spans="48:54" x14ac:dyDescent="0.3">
      <c r="AV892" t="s">
        <v>789</v>
      </c>
      <c r="AW892" t="s">
        <v>155</v>
      </c>
      <c r="AX892" t="s">
        <v>691</v>
      </c>
      <c r="AY892" s="81" t="s">
        <v>2554</v>
      </c>
      <c r="AZ892" t="s">
        <v>2555</v>
      </c>
      <c r="BA892" t="s">
        <v>538</v>
      </c>
      <c r="BB892" t="str">
        <f t="shared" si="13"/>
        <v>CIHPkoOmala</v>
      </c>
    </row>
    <row r="893" spans="48:54" x14ac:dyDescent="0.3">
      <c r="AV893" t="s">
        <v>789</v>
      </c>
      <c r="AW893" t="s">
        <v>143</v>
      </c>
      <c r="AX893" t="s">
        <v>579</v>
      </c>
      <c r="AY893" s="81" t="s">
        <v>2556</v>
      </c>
      <c r="AZ893" t="s">
        <v>2557</v>
      </c>
      <c r="BA893" t="s">
        <v>126</v>
      </c>
      <c r="BB893" t="str">
        <f t="shared" si="13"/>
        <v>ECEWSebEzzaNorth</v>
      </c>
    </row>
    <row r="894" spans="48:54" x14ac:dyDescent="0.3">
      <c r="AV894" t="s">
        <v>789</v>
      </c>
      <c r="AW894" t="s">
        <v>143</v>
      </c>
      <c r="AX894" t="s">
        <v>580</v>
      </c>
      <c r="AY894" s="81" t="s">
        <v>2558</v>
      </c>
      <c r="AZ894" t="s">
        <v>2559</v>
      </c>
      <c r="BA894" t="s">
        <v>126</v>
      </c>
      <c r="BB894" t="str">
        <f t="shared" si="13"/>
        <v>ECEWSebEzzaSouth</v>
      </c>
    </row>
    <row r="895" spans="48:54" x14ac:dyDescent="0.3">
      <c r="AV895" t="s">
        <v>789</v>
      </c>
      <c r="AW895" t="s">
        <v>143</v>
      </c>
      <c r="AX895" t="s">
        <v>580</v>
      </c>
      <c r="AY895" s="81" t="s">
        <v>2560</v>
      </c>
      <c r="AZ895" t="s">
        <v>2561</v>
      </c>
      <c r="BA895" t="s">
        <v>126</v>
      </c>
      <c r="BB895" t="str">
        <f t="shared" si="13"/>
        <v>ECEWSebEzzaSouth</v>
      </c>
    </row>
    <row r="896" spans="48:54" x14ac:dyDescent="0.3">
      <c r="AV896" t="s">
        <v>789</v>
      </c>
      <c r="AW896" t="s">
        <v>143</v>
      </c>
      <c r="AX896" t="s">
        <v>580</v>
      </c>
      <c r="AY896" s="81" t="s">
        <v>2562</v>
      </c>
      <c r="AZ896" t="s">
        <v>2563</v>
      </c>
      <c r="BA896" t="s">
        <v>126</v>
      </c>
      <c r="BB896" t="str">
        <f t="shared" si="13"/>
        <v>ECEWSebEzzaSouth</v>
      </c>
    </row>
    <row r="897" spans="48:54" x14ac:dyDescent="0.3">
      <c r="AV897" t="s">
        <v>789</v>
      </c>
      <c r="AW897" t="s">
        <v>143</v>
      </c>
      <c r="AX897" t="s">
        <v>581</v>
      </c>
      <c r="AY897" s="81" t="s">
        <v>2564</v>
      </c>
      <c r="AZ897" t="s">
        <v>2565</v>
      </c>
      <c r="BA897" t="s">
        <v>126</v>
      </c>
      <c r="BB897" t="str">
        <f t="shared" si="13"/>
        <v>ECEWSebIkwo</v>
      </c>
    </row>
    <row r="898" spans="48:54" x14ac:dyDescent="0.3">
      <c r="AV898" t="s">
        <v>789</v>
      </c>
      <c r="AW898" t="s">
        <v>143</v>
      </c>
      <c r="AX898" t="s">
        <v>581</v>
      </c>
      <c r="AY898" s="81" t="s">
        <v>2566</v>
      </c>
      <c r="AZ898" t="s">
        <v>2567</v>
      </c>
      <c r="BA898" t="s">
        <v>126</v>
      </c>
      <c r="BB898" t="str">
        <f t="shared" si="13"/>
        <v>ECEWSebIkwo</v>
      </c>
    </row>
    <row r="899" spans="48:54" x14ac:dyDescent="0.3">
      <c r="AV899" t="s">
        <v>789</v>
      </c>
      <c r="AW899" t="s">
        <v>143</v>
      </c>
      <c r="AX899" t="s">
        <v>581</v>
      </c>
      <c r="AY899" s="81" t="s">
        <v>2568</v>
      </c>
      <c r="AZ899" t="s">
        <v>2569</v>
      </c>
      <c r="BA899" t="s">
        <v>126</v>
      </c>
      <c r="BB899" t="str">
        <f t="shared" ref="BB899:BB962" si="14">SUBSTITUTE(SUBSTITUTE(BA899&amp;AX899," ",""),"-","")</f>
        <v>ECEWSebIkwo</v>
      </c>
    </row>
    <row r="900" spans="48:54" x14ac:dyDescent="0.3">
      <c r="AV900" t="s">
        <v>789</v>
      </c>
      <c r="AW900" t="s">
        <v>143</v>
      </c>
      <c r="AX900" t="s">
        <v>582</v>
      </c>
      <c r="AY900" s="81" t="s">
        <v>2570</v>
      </c>
      <c r="AZ900" t="s">
        <v>2571</v>
      </c>
      <c r="BA900" t="s">
        <v>126</v>
      </c>
      <c r="BB900" t="str">
        <f t="shared" si="14"/>
        <v>ECEWSebIshielu</v>
      </c>
    </row>
    <row r="901" spans="48:54" x14ac:dyDescent="0.3">
      <c r="AV901" t="s">
        <v>789</v>
      </c>
      <c r="AW901" t="s">
        <v>143</v>
      </c>
      <c r="AX901" t="s">
        <v>582</v>
      </c>
      <c r="AY901" s="81" t="s">
        <v>2572</v>
      </c>
      <c r="AZ901" t="s">
        <v>2573</v>
      </c>
      <c r="BA901" t="s">
        <v>126</v>
      </c>
      <c r="BB901" t="str">
        <f t="shared" si="14"/>
        <v>ECEWSebIshielu</v>
      </c>
    </row>
    <row r="902" spans="48:54" x14ac:dyDescent="0.3">
      <c r="AV902" t="s">
        <v>789</v>
      </c>
      <c r="AW902" t="s">
        <v>146</v>
      </c>
      <c r="AX902" t="s">
        <v>600</v>
      </c>
      <c r="AY902" s="81" t="s">
        <v>2574</v>
      </c>
      <c r="AZ902" t="s">
        <v>2575</v>
      </c>
      <c r="BA902" t="s">
        <v>126</v>
      </c>
      <c r="BB902" t="str">
        <f t="shared" si="14"/>
        <v>ECEWSenAninri</v>
      </c>
    </row>
    <row r="903" spans="48:54" x14ac:dyDescent="0.3">
      <c r="AV903" t="s">
        <v>789</v>
      </c>
      <c r="AW903" t="s">
        <v>146</v>
      </c>
      <c r="AX903" t="s">
        <v>600</v>
      </c>
      <c r="AY903" s="81" t="s">
        <v>2576</v>
      </c>
      <c r="AZ903" t="s">
        <v>2577</v>
      </c>
      <c r="BA903" t="s">
        <v>126</v>
      </c>
      <c r="BB903" t="str">
        <f t="shared" si="14"/>
        <v>ECEWSenAninri</v>
      </c>
    </row>
    <row r="904" spans="48:54" x14ac:dyDescent="0.3">
      <c r="AV904" t="s">
        <v>789</v>
      </c>
      <c r="AW904" t="s">
        <v>146</v>
      </c>
      <c r="AX904" t="s">
        <v>600</v>
      </c>
      <c r="AY904" s="81" t="s">
        <v>2578</v>
      </c>
      <c r="AZ904" t="s">
        <v>2579</v>
      </c>
      <c r="BA904" t="s">
        <v>126</v>
      </c>
      <c r="BB904" t="str">
        <f t="shared" si="14"/>
        <v>ECEWSenAninri</v>
      </c>
    </row>
    <row r="905" spans="48:54" x14ac:dyDescent="0.3">
      <c r="AV905" t="s">
        <v>789</v>
      </c>
      <c r="AW905" t="s">
        <v>146</v>
      </c>
      <c r="AX905" t="s">
        <v>600</v>
      </c>
      <c r="AY905" s="81" t="s">
        <v>2580</v>
      </c>
      <c r="AZ905" t="s">
        <v>2581</v>
      </c>
      <c r="BA905" t="s">
        <v>126</v>
      </c>
      <c r="BB905" t="str">
        <f t="shared" si="14"/>
        <v>ECEWSenAninri</v>
      </c>
    </row>
    <row r="906" spans="48:54" x14ac:dyDescent="0.3">
      <c r="AV906" t="s">
        <v>789</v>
      </c>
      <c r="AW906" t="s">
        <v>146</v>
      </c>
      <c r="AX906" t="s">
        <v>600</v>
      </c>
      <c r="AY906" s="81" t="s">
        <v>2582</v>
      </c>
      <c r="AZ906" t="s">
        <v>2583</v>
      </c>
      <c r="BA906" t="s">
        <v>126</v>
      </c>
      <c r="BB906" t="str">
        <f t="shared" si="14"/>
        <v>ECEWSenAninri</v>
      </c>
    </row>
    <row r="907" spans="48:54" x14ac:dyDescent="0.3">
      <c r="AV907" t="s">
        <v>789</v>
      </c>
      <c r="AW907" t="s">
        <v>146</v>
      </c>
      <c r="AX907" t="s">
        <v>600</v>
      </c>
      <c r="AY907" s="81" t="s">
        <v>2584</v>
      </c>
      <c r="AZ907" t="s">
        <v>2585</v>
      </c>
      <c r="BA907" t="s">
        <v>126</v>
      </c>
      <c r="BB907" t="str">
        <f t="shared" si="14"/>
        <v>ECEWSenAninri</v>
      </c>
    </row>
    <row r="908" spans="48:54" x14ac:dyDescent="0.3">
      <c r="AV908" t="s">
        <v>789</v>
      </c>
      <c r="AW908" t="s">
        <v>146</v>
      </c>
      <c r="AX908" t="s">
        <v>600</v>
      </c>
      <c r="AY908" s="81" t="s">
        <v>2586</v>
      </c>
      <c r="AZ908" t="s">
        <v>2587</v>
      </c>
      <c r="BA908" t="s">
        <v>126</v>
      </c>
      <c r="BB908" t="str">
        <f t="shared" si="14"/>
        <v>ECEWSenAninri</v>
      </c>
    </row>
    <row r="909" spans="48:54" x14ac:dyDescent="0.3">
      <c r="AV909" t="s">
        <v>789</v>
      </c>
      <c r="AW909" t="s">
        <v>146</v>
      </c>
      <c r="AX909" t="s">
        <v>601</v>
      </c>
      <c r="AY909" s="81" t="s">
        <v>2588</v>
      </c>
      <c r="AZ909" t="s">
        <v>2589</v>
      </c>
      <c r="BA909" t="s">
        <v>126</v>
      </c>
      <c r="BB909" t="str">
        <f t="shared" si="14"/>
        <v>ECEWSenAwgu</v>
      </c>
    </row>
    <row r="910" spans="48:54" x14ac:dyDescent="0.3">
      <c r="AV910" t="s">
        <v>789</v>
      </c>
      <c r="AW910" t="s">
        <v>146</v>
      </c>
      <c r="AX910" t="s">
        <v>601</v>
      </c>
      <c r="AY910" s="81" t="s">
        <v>2590</v>
      </c>
      <c r="AZ910" t="s">
        <v>2591</v>
      </c>
      <c r="BA910" t="s">
        <v>126</v>
      </c>
      <c r="BB910" t="str">
        <f t="shared" si="14"/>
        <v>ECEWSenAwgu</v>
      </c>
    </row>
    <row r="911" spans="48:54" x14ac:dyDescent="0.3">
      <c r="AV911" t="s">
        <v>789</v>
      </c>
      <c r="AW911" t="s">
        <v>146</v>
      </c>
      <c r="AX911" t="s">
        <v>601</v>
      </c>
      <c r="AY911" s="81" t="s">
        <v>2592</v>
      </c>
      <c r="AZ911" t="s">
        <v>2593</v>
      </c>
      <c r="BA911" t="s">
        <v>126</v>
      </c>
      <c r="BB911" t="str">
        <f t="shared" si="14"/>
        <v>ECEWSenAwgu</v>
      </c>
    </row>
    <row r="912" spans="48:54" x14ac:dyDescent="0.3">
      <c r="AV912" t="s">
        <v>789</v>
      </c>
      <c r="AW912" t="s">
        <v>146</v>
      </c>
      <c r="AX912" t="s">
        <v>601</v>
      </c>
      <c r="AY912" s="81" t="s">
        <v>2594</v>
      </c>
      <c r="AZ912" t="s">
        <v>2595</v>
      </c>
      <c r="BA912" t="s">
        <v>126</v>
      </c>
      <c r="BB912" t="str">
        <f t="shared" si="14"/>
        <v>ECEWSenAwgu</v>
      </c>
    </row>
    <row r="913" spans="48:54" x14ac:dyDescent="0.3">
      <c r="AV913" t="s">
        <v>789</v>
      </c>
      <c r="AW913" t="s">
        <v>146</v>
      </c>
      <c r="AX913" t="s">
        <v>602</v>
      </c>
      <c r="AY913" s="81" t="s">
        <v>2596</v>
      </c>
      <c r="AZ913" t="s">
        <v>2597</v>
      </c>
      <c r="BA913" t="s">
        <v>126</v>
      </c>
      <c r="BB913" t="str">
        <f t="shared" si="14"/>
        <v>ECEWSenEzeagu</v>
      </c>
    </row>
    <row r="914" spans="48:54" x14ac:dyDescent="0.3">
      <c r="AV914" t="s">
        <v>789</v>
      </c>
      <c r="AW914" t="s">
        <v>146</v>
      </c>
      <c r="AX914" t="s">
        <v>602</v>
      </c>
      <c r="AY914" s="81" t="s">
        <v>2598</v>
      </c>
      <c r="AZ914" t="s">
        <v>2599</v>
      </c>
      <c r="BA914" t="s">
        <v>126</v>
      </c>
      <c r="BB914" t="str">
        <f t="shared" si="14"/>
        <v>ECEWSenEzeagu</v>
      </c>
    </row>
    <row r="915" spans="48:54" x14ac:dyDescent="0.3">
      <c r="AV915" t="s">
        <v>789</v>
      </c>
      <c r="AW915" t="s">
        <v>146</v>
      </c>
      <c r="AX915" t="s">
        <v>603</v>
      </c>
      <c r="AY915" s="81" t="s">
        <v>2600</v>
      </c>
      <c r="AZ915" t="s">
        <v>2601</v>
      </c>
      <c r="BA915" t="s">
        <v>126</v>
      </c>
      <c r="BB915" t="str">
        <f t="shared" si="14"/>
        <v>ECEWSenOjiRiver</v>
      </c>
    </row>
    <row r="916" spans="48:54" x14ac:dyDescent="0.3">
      <c r="AV916" t="s">
        <v>789</v>
      </c>
      <c r="AW916" t="s">
        <v>146</v>
      </c>
      <c r="AX916" t="s">
        <v>603</v>
      </c>
      <c r="AY916" s="81" t="s">
        <v>2602</v>
      </c>
      <c r="AZ916" t="s">
        <v>2603</v>
      </c>
      <c r="BA916" t="s">
        <v>126</v>
      </c>
      <c r="BB916" t="str">
        <f t="shared" si="14"/>
        <v>ECEWSenOjiRiver</v>
      </c>
    </row>
    <row r="917" spans="48:54" x14ac:dyDescent="0.3">
      <c r="AV917" t="s">
        <v>789</v>
      </c>
      <c r="AW917" t="s">
        <v>146</v>
      </c>
      <c r="AX917" t="s">
        <v>603</v>
      </c>
      <c r="AY917" s="81" t="s">
        <v>2604</v>
      </c>
      <c r="AZ917" t="s">
        <v>2605</v>
      </c>
      <c r="BA917" t="s">
        <v>126</v>
      </c>
      <c r="BB917" t="str">
        <f t="shared" si="14"/>
        <v>ECEWSenOjiRiver</v>
      </c>
    </row>
    <row r="918" spans="48:54" x14ac:dyDescent="0.3">
      <c r="AV918" t="s">
        <v>789</v>
      </c>
      <c r="AW918" t="s">
        <v>146</v>
      </c>
      <c r="AX918" t="s">
        <v>603</v>
      </c>
      <c r="AY918" s="81" t="s">
        <v>2606</v>
      </c>
      <c r="AZ918" t="s">
        <v>2607</v>
      </c>
      <c r="BA918" t="s">
        <v>126</v>
      </c>
      <c r="BB918" t="str">
        <f t="shared" si="14"/>
        <v>ECEWSenOjiRiver</v>
      </c>
    </row>
    <row r="919" spans="48:54" x14ac:dyDescent="0.3">
      <c r="AV919" t="s">
        <v>789</v>
      </c>
      <c r="AW919" t="s">
        <v>146</v>
      </c>
      <c r="AX919" t="s">
        <v>604</v>
      </c>
      <c r="AY919" s="81" t="s">
        <v>2608</v>
      </c>
      <c r="AZ919" t="s">
        <v>2609</v>
      </c>
      <c r="BA919" t="s">
        <v>126</v>
      </c>
      <c r="BB919" t="str">
        <f t="shared" si="14"/>
        <v>ECEWSenUdi</v>
      </c>
    </row>
    <row r="920" spans="48:54" x14ac:dyDescent="0.3">
      <c r="AV920" t="s">
        <v>789</v>
      </c>
      <c r="AW920" t="s">
        <v>146</v>
      </c>
      <c r="AX920" t="s">
        <v>604</v>
      </c>
      <c r="AY920" s="81" t="s">
        <v>2610</v>
      </c>
      <c r="AZ920" t="s">
        <v>2611</v>
      </c>
      <c r="BA920" t="s">
        <v>126</v>
      </c>
      <c r="BB920" t="str">
        <f t="shared" si="14"/>
        <v>ECEWSenUdi</v>
      </c>
    </row>
    <row r="921" spans="48:54" x14ac:dyDescent="0.3">
      <c r="AV921" t="s">
        <v>789</v>
      </c>
      <c r="AW921" t="s">
        <v>146</v>
      </c>
      <c r="AX921" t="s">
        <v>604</v>
      </c>
      <c r="AY921" s="81" t="s">
        <v>2612</v>
      </c>
      <c r="AZ921" t="s">
        <v>2613</v>
      </c>
      <c r="BA921" t="s">
        <v>126</v>
      </c>
      <c r="BB921" t="str">
        <f t="shared" si="14"/>
        <v>ECEWSenUdi</v>
      </c>
    </row>
    <row r="922" spans="48:54" x14ac:dyDescent="0.3">
      <c r="AV922" t="s">
        <v>789</v>
      </c>
      <c r="AW922" t="s">
        <v>146</v>
      </c>
      <c r="AX922" t="s">
        <v>604</v>
      </c>
      <c r="AY922" s="81" t="s">
        <v>2614</v>
      </c>
      <c r="AZ922" t="s">
        <v>2615</v>
      </c>
      <c r="BA922" t="s">
        <v>126</v>
      </c>
      <c r="BB922" t="str">
        <f t="shared" si="14"/>
        <v>ECEWSenUdi</v>
      </c>
    </row>
    <row r="923" spans="48:54" x14ac:dyDescent="0.3">
      <c r="AV923" t="s">
        <v>789</v>
      </c>
      <c r="AW923" t="s">
        <v>146</v>
      </c>
      <c r="AX923" t="s">
        <v>604</v>
      </c>
      <c r="AY923" s="81" t="s">
        <v>2616</v>
      </c>
      <c r="AZ923" t="s">
        <v>2617</v>
      </c>
      <c r="BA923" t="s">
        <v>126</v>
      </c>
      <c r="BB923" t="str">
        <f t="shared" si="14"/>
        <v>ECEWSenUdi</v>
      </c>
    </row>
    <row r="924" spans="48:54" x14ac:dyDescent="0.3">
      <c r="AV924" t="s">
        <v>789</v>
      </c>
      <c r="AW924" t="s">
        <v>146</v>
      </c>
      <c r="AX924" t="s">
        <v>604</v>
      </c>
      <c r="AY924" s="81" t="s">
        <v>2618</v>
      </c>
      <c r="AZ924" t="s">
        <v>2619</v>
      </c>
      <c r="BA924" t="s">
        <v>126</v>
      </c>
      <c r="BB924" t="str">
        <f t="shared" si="14"/>
        <v>ECEWSenUdi</v>
      </c>
    </row>
    <row r="925" spans="48:54" x14ac:dyDescent="0.3">
      <c r="AV925" t="s">
        <v>789</v>
      </c>
      <c r="AW925" t="s">
        <v>146</v>
      </c>
      <c r="AX925" t="s">
        <v>604</v>
      </c>
      <c r="AY925" s="81" t="s">
        <v>2620</v>
      </c>
      <c r="AZ925" t="s">
        <v>2621</v>
      </c>
      <c r="BA925" t="s">
        <v>126</v>
      </c>
      <c r="BB925" t="str">
        <f t="shared" si="14"/>
        <v>ECEWSenUdi</v>
      </c>
    </row>
    <row r="926" spans="48:54" x14ac:dyDescent="0.3">
      <c r="AV926" t="s">
        <v>789</v>
      </c>
      <c r="AW926" t="s">
        <v>146</v>
      </c>
      <c r="AX926" t="s">
        <v>604</v>
      </c>
      <c r="AY926" s="81" t="s">
        <v>2622</v>
      </c>
      <c r="AZ926" t="s">
        <v>2623</v>
      </c>
      <c r="BA926" t="s">
        <v>126</v>
      </c>
      <c r="BB926" t="str">
        <f t="shared" si="14"/>
        <v>ECEWSenUdi</v>
      </c>
    </row>
    <row r="927" spans="48:54" x14ac:dyDescent="0.3">
      <c r="AV927" t="s">
        <v>789</v>
      </c>
      <c r="AW927" t="s">
        <v>146</v>
      </c>
      <c r="AX927" t="s">
        <v>604</v>
      </c>
      <c r="AY927" s="81" t="s">
        <v>2624</v>
      </c>
      <c r="AZ927" t="s">
        <v>2625</v>
      </c>
      <c r="BA927" t="s">
        <v>126</v>
      </c>
      <c r="BB927" t="str">
        <f t="shared" si="14"/>
        <v>ECEWSenUdi</v>
      </c>
    </row>
    <row r="928" spans="48:54" x14ac:dyDescent="0.3">
      <c r="AV928" t="s">
        <v>789</v>
      </c>
      <c r="AW928" t="s">
        <v>146</v>
      </c>
      <c r="AX928" t="s">
        <v>604</v>
      </c>
      <c r="AY928" s="81" t="s">
        <v>2626</v>
      </c>
      <c r="AZ928" t="s">
        <v>2627</v>
      </c>
      <c r="BA928" t="s">
        <v>126</v>
      </c>
      <c r="BB928" t="str">
        <f t="shared" si="14"/>
        <v>ECEWSenUdi</v>
      </c>
    </row>
    <row r="929" spans="48:54" x14ac:dyDescent="0.3">
      <c r="AV929" t="s">
        <v>789</v>
      </c>
      <c r="AW929" t="s">
        <v>149</v>
      </c>
      <c r="AX929" t="s">
        <v>643</v>
      </c>
      <c r="AY929" s="81" t="s">
        <v>2628</v>
      </c>
      <c r="AZ929" t="s">
        <v>2629</v>
      </c>
      <c r="BA929" t="s">
        <v>126</v>
      </c>
      <c r="BB929" t="str">
        <f t="shared" si="14"/>
        <v>ECEWSimEhimeMbano</v>
      </c>
    </row>
    <row r="930" spans="48:54" x14ac:dyDescent="0.3">
      <c r="AV930" t="s">
        <v>789</v>
      </c>
      <c r="AW930" t="s">
        <v>149</v>
      </c>
      <c r="AX930" t="s">
        <v>643</v>
      </c>
      <c r="AY930" s="81" t="s">
        <v>2630</v>
      </c>
      <c r="AZ930" t="s">
        <v>2631</v>
      </c>
      <c r="BA930" t="s">
        <v>126</v>
      </c>
      <c r="BB930" t="str">
        <f t="shared" si="14"/>
        <v>ECEWSimEhimeMbano</v>
      </c>
    </row>
    <row r="931" spans="48:54" x14ac:dyDescent="0.3">
      <c r="AV931" t="s">
        <v>789</v>
      </c>
      <c r="AW931" t="s">
        <v>149</v>
      </c>
      <c r="AX931" t="s">
        <v>643</v>
      </c>
      <c r="AY931" s="81" t="s">
        <v>2632</v>
      </c>
      <c r="AZ931" t="s">
        <v>2633</v>
      </c>
      <c r="BA931" t="s">
        <v>126</v>
      </c>
      <c r="BB931" t="str">
        <f t="shared" si="14"/>
        <v>ECEWSimEhimeMbano</v>
      </c>
    </row>
    <row r="932" spans="48:54" x14ac:dyDescent="0.3">
      <c r="AV932" t="s">
        <v>789</v>
      </c>
      <c r="AW932" t="s">
        <v>149</v>
      </c>
      <c r="AX932" t="s">
        <v>643</v>
      </c>
      <c r="AY932" s="81" t="s">
        <v>2634</v>
      </c>
      <c r="AZ932" t="s">
        <v>2635</v>
      </c>
      <c r="BA932" t="s">
        <v>126</v>
      </c>
      <c r="BB932" t="str">
        <f t="shared" si="14"/>
        <v>ECEWSimEhimeMbano</v>
      </c>
    </row>
    <row r="933" spans="48:54" x14ac:dyDescent="0.3">
      <c r="AV933" t="s">
        <v>789</v>
      </c>
      <c r="AW933" t="s">
        <v>149</v>
      </c>
      <c r="AX933" t="s">
        <v>3799</v>
      </c>
      <c r="AY933" s="81" t="s">
        <v>3800</v>
      </c>
      <c r="AZ933" t="s">
        <v>2636</v>
      </c>
      <c r="BA933" t="s">
        <v>126</v>
      </c>
      <c r="BB933" t="str">
        <f t="shared" si="14"/>
        <v>ECEWSimIhitteUboma</v>
      </c>
    </row>
    <row r="934" spans="48:54" x14ac:dyDescent="0.3">
      <c r="AV934" t="s">
        <v>789</v>
      </c>
      <c r="AW934" t="s">
        <v>149</v>
      </c>
      <c r="AX934" t="s">
        <v>3799</v>
      </c>
      <c r="AY934" s="81" t="s">
        <v>3801</v>
      </c>
      <c r="AZ934" t="s">
        <v>2637</v>
      </c>
      <c r="BA934" t="s">
        <v>126</v>
      </c>
      <c r="BB934" t="str">
        <f t="shared" si="14"/>
        <v>ECEWSimIhitteUboma</v>
      </c>
    </row>
    <row r="935" spans="48:54" x14ac:dyDescent="0.3">
      <c r="AV935" t="s">
        <v>789</v>
      </c>
      <c r="AW935" t="s">
        <v>149</v>
      </c>
      <c r="AX935" t="s">
        <v>3799</v>
      </c>
      <c r="AY935" s="81" t="s">
        <v>2628</v>
      </c>
      <c r="AZ935" t="s">
        <v>2638</v>
      </c>
      <c r="BA935" t="s">
        <v>126</v>
      </c>
      <c r="BB935" t="str">
        <f t="shared" si="14"/>
        <v>ECEWSimIhitteUboma</v>
      </c>
    </row>
    <row r="936" spans="48:54" x14ac:dyDescent="0.3">
      <c r="AV936" t="s">
        <v>789</v>
      </c>
      <c r="AW936" t="s">
        <v>149</v>
      </c>
      <c r="AX936" t="s">
        <v>645</v>
      </c>
      <c r="AY936" s="81" t="s">
        <v>2639</v>
      </c>
      <c r="AZ936" t="s">
        <v>2640</v>
      </c>
      <c r="BA936" t="s">
        <v>126</v>
      </c>
      <c r="BB936" t="str">
        <f t="shared" si="14"/>
        <v>ECEWSimIsialaMbano</v>
      </c>
    </row>
    <row r="937" spans="48:54" x14ac:dyDescent="0.3">
      <c r="AV937" t="s">
        <v>789</v>
      </c>
      <c r="AW937" t="s">
        <v>149</v>
      </c>
      <c r="AX937" t="s">
        <v>646</v>
      </c>
      <c r="AY937" s="81" t="s">
        <v>2641</v>
      </c>
      <c r="AZ937" t="s">
        <v>2642</v>
      </c>
      <c r="BA937" t="s">
        <v>126</v>
      </c>
      <c r="BB937" t="str">
        <f t="shared" si="14"/>
        <v>ECEWSimObowo</v>
      </c>
    </row>
    <row r="938" spans="48:54" x14ac:dyDescent="0.3">
      <c r="AV938" t="s">
        <v>789</v>
      </c>
      <c r="AW938" t="s">
        <v>149</v>
      </c>
      <c r="AX938" t="s">
        <v>646</v>
      </c>
      <c r="AY938" s="81" t="s">
        <v>2643</v>
      </c>
      <c r="AZ938" t="s">
        <v>2644</v>
      </c>
      <c r="BA938" t="s">
        <v>126</v>
      </c>
      <c r="BB938" t="str">
        <f t="shared" si="14"/>
        <v>ECEWSimObowo</v>
      </c>
    </row>
    <row r="939" spans="48:54" x14ac:dyDescent="0.3">
      <c r="AV939" t="s">
        <v>789</v>
      </c>
      <c r="AW939" t="s">
        <v>149</v>
      </c>
      <c r="AX939" t="s">
        <v>647</v>
      </c>
      <c r="AY939" s="81" t="s">
        <v>2645</v>
      </c>
      <c r="AZ939" t="s">
        <v>2646</v>
      </c>
      <c r="BA939" t="s">
        <v>126</v>
      </c>
      <c r="BB939" t="str">
        <f t="shared" si="14"/>
        <v>ECEWSimOkigwe</v>
      </c>
    </row>
    <row r="940" spans="48:54" x14ac:dyDescent="0.3">
      <c r="AV940" t="s">
        <v>789</v>
      </c>
      <c r="AW940" t="s">
        <v>149</v>
      </c>
      <c r="AX940" t="s">
        <v>647</v>
      </c>
      <c r="AY940" s="81" t="s">
        <v>2647</v>
      </c>
      <c r="AZ940" t="s">
        <v>2648</v>
      </c>
      <c r="BA940" t="s">
        <v>126</v>
      </c>
      <c r="BB940" t="str">
        <f t="shared" si="14"/>
        <v>ECEWSimOkigwe</v>
      </c>
    </row>
    <row r="941" spans="48:54" x14ac:dyDescent="0.3">
      <c r="AV941" t="s">
        <v>789</v>
      </c>
      <c r="AW941" t="s">
        <v>149</v>
      </c>
      <c r="AX941" t="s">
        <v>647</v>
      </c>
      <c r="AY941" s="81" t="s">
        <v>2649</v>
      </c>
      <c r="AZ941" t="s">
        <v>2650</v>
      </c>
      <c r="BA941" t="s">
        <v>126</v>
      </c>
      <c r="BB941" t="str">
        <f t="shared" si="14"/>
        <v>ECEWSimOkigwe</v>
      </c>
    </row>
    <row r="942" spans="48:54" x14ac:dyDescent="0.3">
      <c r="AV942" t="s">
        <v>789</v>
      </c>
      <c r="AW942" t="s">
        <v>149</v>
      </c>
      <c r="AX942" t="s">
        <v>648</v>
      </c>
      <c r="AY942" s="81" t="s">
        <v>2651</v>
      </c>
      <c r="AZ942" t="s">
        <v>2652</v>
      </c>
      <c r="BA942" t="s">
        <v>126</v>
      </c>
      <c r="BB942" t="str">
        <f t="shared" si="14"/>
        <v>ECEWSimOnuimo</v>
      </c>
    </row>
    <row r="943" spans="48:54" x14ac:dyDescent="0.3">
      <c r="AV943" t="s">
        <v>789</v>
      </c>
      <c r="AW943" t="s">
        <v>149</v>
      </c>
      <c r="AX943" t="s">
        <v>648</v>
      </c>
      <c r="AY943" s="81" t="s">
        <v>2653</v>
      </c>
      <c r="AZ943" t="s">
        <v>2654</v>
      </c>
      <c r="BA943" t="s">
        <v>126</v>
      </c>
      <c r="BB943" t="str">
        <f t="shared" si="14"/>
        <v>ECEWSimOnuimo</v>
      </c>
    </row>
    <row r="944" spans="48:54" x14ac:dyDescent="0.3">
      <c r="AV944" t="s">
        <v>789</v>
      </c>
      <c r="AW944" t="s">
        <v>148</v>
      </c>
      <c r="AX944" t="s">
        <v>620</v>
      </c>
      <c r="AY944" s="81" t="s">
        <v>2655</v>
      </c>
      <c r="AZ944" t="s">
        <v>2656</v>
      </c>
      <c r="BA944" t="s">
        <v>2657</v>
      </c>
      <c r="BB944" t="str">
        <f t="shared" si="14"/>
        <v>FGHINgoAkko</v>
      </c>
    </row>
    <row r="945" spans="48:54" x14ac:dyDescent="0.3">
      <c r="AV945" t="s">
        <v>789</v>
      </c>
      <c r="AW945" t="s">
        <v>148</v>
      </c>
      <c r="AX945" t="s">
        <v>620</v>
      </c>
      <c r="AY945" s="81" t="s">
        <v>2658</v>
      </c>
      <c r="AZ945" t="s">
        <v>2659</v>
      </c>
      <c r="BA945" t="s">
        <v>2657</v>
      </c>
      <c r="BB945" t="str">
        <f t="shared" si="14"/>
        <v>FGHINgoAkko</v>
      </c>
    </row>
    <row r="946" spans="48:54" x14ac:dyDescent="0.3">
      <c r="AV946" t="s">
        <v>789</v>
      </c>
      <c r="AW946" t="s">
        <v>148</v>
      </c>
      <c r="AX946" t="s">
        <v>620</v>
      </c>
      <c r="AY946" s="81" t="s">
        <v>2660</v>
      </c>
      <c r="AZ946" t="s">
        <v>2661</v>
      </c>
      <c r="BA946" t="s">
        <v>2657</v>
      </c>
      <c r="BB946" t="str">
        <f t="shared" si="14"/>
        <v>FGHINgoAkko</v>
      </c>
    </row>
    <row r="947" spans="48:54" x14ac:dyDescent="0.3">
      <c r="AV947" t="s">
        <v>789</v>
      </c>
      <c r="AW947" t="s">
        <v>148</v>
      </c>
      <c r="AX947" t="s">
        <v>620</v>
      </c>
      <c r="AY947" s="81" t="s">
        <v>2662</v>
      </c>
      <c r="AZ947" t="s">
        <v>2663</v>
      </c>
      <c r="BA947" t="s">
        <v>2657</v>
      </c>
      <c r="BB947" t="str">
        <f t="shared" si="14"/>
        <v>FGHINgoAkko</v>
      </c>
    </row>
    <row r="948" spans="48:54" x14ac:dyDescent="0.3">
      <c r="AV948" t="s">
        <v>789</v>
      </c>
      <c r="AW948" t="s">
        <v>148</v>
      </c>
      <c r="AX948" t="s">
        <v>620</v>
      </c>
      <c r="AY948" s="81" t="s">
        <v>2664</v>
      </c>
      <c r="AZ948" t="s">
        <v>2665</v>
      </c>
      <c r="BA948" t="s">
        <v>2657</v>
      </c>
      <c r="BB948" t="str">
        <f t="shared" si="14"/>
        <v>FGHINgoAkko</v>
      </c>
    </row>
    <row r="949" spans="48:54" x14ac:dyDescent="0.3">
      <c r="AV949" t="s">
        <v>789</v>
      </c>
      <c r="AW949" t="s">
        <v>148</v>
      </c>
      <c r="AX949" t="s">
        <v>620</v>
      </c>
      <c r="AY949" s="81" t="s">
        <v>2666</v>
      </c>
      <c r="AZ949" t="s">
        <v>2667</v>
      </c>
      <c r="BA949" t="s">
        <v>2657</v>
      </c>
      <c r="BB949" t="str">
        <f t="shared" si="14"/>
        <v>FGHINgoAkko</v>
      </c>
    </row>
    <row r="950" spans="48:54" x14ac:dyDescent="0.3">
      <c r="AV950" t="s">
        <v>789</v>
      </c>
      <c r="AW950" t="s">
        <v>148</v>
      </c>
      <c r="AX950" t="s">
        <v>620</v>
      </c>
      <c r="AY950" s="81" t="s">
        <v>2668</v>
      </c>
      <c r="AZ950" t="s">
        <v>2669</v>
      </c>
      <c r="BA950" t="s">
        <v>2657</v>
      </c>
      <c r="BB950" t="str">
        <f t="shared" si="14"/>
        <v>FGHINgoAkko</v>
      </c>
    </row>
    <row r="951" spans="48:54" x14ac:dyDescent="0.3">
      <c r="AV951" t="s">
        <v>789</v>
      </c>
      <c r="AW951" t="s">
        <v>148</v>
      </c>
      <c r="AX951" t="s">
        <v>620</v>
      </c>
      <c r="AY951" s="81" t="s">
        <v>2670</v>
      </c>
      <c r="AZ951" t="s">
        <v>2671</v>
      </c>
      <c r="BA951" t="s">
        <v>2657</v>
      </c>
      <c r="BB951" t="str">
        <f t="shared" si="14"/>
        <v>FGHINgoAkko</v>
      </c>
    </row>
    <row r="952" spans="48:54" x14ac:dyDescent="0.3">
      <c r="AV952" t="s">
        <v>789</v>
      </c>
      <c r="AW952" t="s">
        <v>148</v>
      </c>
      <c r="AX952" t="s">
        <v>620</v>
      </c>
      <c r="AY952" s="81" t="s">
        <v>2672</v>
      </c>
      <c r="AZ952" t="s">
        <v>2673</v>
      </c>
      <c r="BA952" t="s">
        <v>2657</v>
      </c>
      <c r="BB952" t="str">
        <f t="shared" si="14"/>
        <v>FGHINgoAkko</v>
      </c>
    </row>
    <row r="953" spans="48:54" x14ac:dyDescent="0.3">
      <c r="AV953" t="s">
        <v>789</v>
      </c>
      <c r="AW953" t="s">
        <v>148</v>
      </c>
      <c r="AX953" t="s">
        <v>620</v>
      </c>
      <c r="AY953" s="81" t="s">
        <v>2674</v>
      </c>
      <c r="AZ953" t="s">
        <v>2675</v>
      </c>
      <c r="BA953" t="s">
        <v>2657</v>
      </c>
      <c r="BB953" t="str">
        <f t="shared" si="14"/>
        <v>FGHINgoAkko</v>
      </c>
    </row>
    <row r="954" spans="48:54" x14ac:dyDescent="0.3">
      <c r="AV954" t="s">
        <v>789</v>
      </c>
      <c r="AW954" t="s">
        <v>148</v>
      </c>
      <c r="AX954" t="s">
        <v>620</v>
      </c>
      <c r="AY954" s="81" t="s">
        <v>2676</v>
      </c>
      <c r="AZ954" t="s">
        <v>2677</v>
      </c>
      <c r="BA954" t="s">
        <v>2657</v>
      </c>
      <c r="BB954" t="str">
        <f t="shared" si="14"/>
        <v>FGHINgoAkko</v>
      </c>
    </row>
    <row r="955" spans="48:54" x14ac:dyDescent="0.3">
      <c r="AV955" t="s">
        <v>789</v>
      </c>
      <c r="AW955" t="s">
        <v>148</v>
      </c>
      <c r="AX955" t="s">
        <v>3802</v>
      </c>
      <c r="AY955" s="81" t="s">
        <v>3803</v>
      </c>
      <c r="AZ955" t="s">
        <v>2678</v>
      </c>
      <c r="BA955" t="s">
        <v>2657</v>
      </c>
      <c r="BB955" t="str">
        <f t="shared" si="14"/>
        <v>FGHINgoYamaltuDeba</v>
      </c>
    </row>
    <row r="956" spans="48:54" x14ac:dyDescent="0.3">
      <c r="AV956" t="s">
        <v>789</v>
      </c>
      <c r="AW956" t="s">
        <v>148</v>
      </c>
      <c r="AX956" t="s">
        <v>3802</v>
      </c>
      <c r="AY956" s="81" t="s">
        <v>3804</v>
      </c>
      <c r="AZ956" t="s">
        <v>2679</v>
      </c>
      <c r="BA956" t="s">
        <v>2657</v>
      </c>
      <c r="BB956" t="str">
        <f t="shared" si="14"/>
        <v>FGHINgoYamaltuDeba</v>
      </c>
    </row>
    <row r="957" spans="48:54" x14ac:dyDescent="0.3">
      <c r="AV957" t="s">
        <v>789</v>
      </c>
      <c r="AW957" t="s">
        <v>148</v>
      </c>
      <c r="AX957" t="s">
        <v>3802</v>
      </c>
      <c r="AY957" s="81" t="s">
        <v>3805</v>
      </c>
      <c r="AZ957" t="s">
        <v>2680</v>
      </c>
      <c r="BA957" t="s">
        <v>2657</v>
      </c>
      <c r="BB957" t="str">
        <f t="shared" si="14"/>
        <v>FGHINgoYamaltuDeba</v>
      </c>
    </row>
    <row r="958" spans="48:54" x14ac:dyDescent="0.3">
      <c r="AV958" t="s">
        <v>789</v>
      </c>
      <c r="AW958" t="s">
        <v>148</v>
      </c>
      <c r="AX958" t="s">
        <v>3802</v>
      </c>
      <c r="AY958" s="81" t="s">
        <v>3806</v>
      </c>
      <c r="AZ958" t="s">
        <v>2681</v>
      </c>
      <c r="BA958" t="s">
        <v>2657</v>
      </c>
      <c r="BB958" t="str">
        <f t="shared" si="14"/>
        <v>FGHINgoYamaltuDeba</v>
      </c>
    </row>
    <row r="959" spans="48:54" x14ac:dyDescent="0.3">
      <c r="AV959" t="s">
        <v>789</v>
      </c>
      <c r="AW959" t="s">
        <v>148</v>
      </c>
      <c r="AX959" t="s">
        <v>3802</v>
      </c>
      <c r="AY959" s="81" t="s">
        <v>3807</v>
      </c>
      <c r="AZ959" t="s">
        <v>2682</v>
      </c>
      <c r="BA959" t="s">
        <v>2657</v>
      </c>
      <c r="BB959" t="str">
        <f t="shared" si="14"/>
        <v>FGHINgoYamaltuDeba</v>
      </c>
    </row>
    <row r="960" spans="48:54" x14ac:dyDescent="0.3">
      <c r="AV960" t="s">
        <v>789</v>
      </c>
      <c r="AW960" t="s">
        <v>148</v>
      </c>
      <c r="AX960" t="s">
        <v>3802</v>
      </c>
      <c r="AY960" s="81" t="s">
        <v>3808</v>
      </c>
      <c r="AZ960" t="s">
        <v>2683</v>
      </c>
      <c r="BA960" t="s">
        <v>2657</v>
      </c>
      <c r="BB960" t="str">
        <f t="shared" si="14"/>
        <v>FGHINgoYamaltuDeba</v>
      </c>
    </row>
    <row r="961" spans="48:54" x14ac:dyDescent="0.3">
      <c r="AV961" t="s">
        <v>789</v>
      </c>
      <c r="AW961" t="s">
        <v>148</v>
      </c>
      <c r="AX961" t="s">
        <v>3802</v>
      </c>
      <c r="AY961" s="81" t="s">
        <v>3809</v>
      </c>
      <c r="AZ961" t="s">
        <v>2684</v>
      </c>
      <c r="BA961" t="s">
        <v>2657</v>
      </c>
      <c r="BB961" t="str">
        <f t="shared" si="14"/>
        <v>FGHINgoYamaltuDeba</v>
      </c>
    </row>
    <row r="962" spans="48:54" x14ac:dyDescent="0.3">
      <c r="AV962" t="s">
        <v>789</v>
      </c>
      <c r="AW962" t="s">
        <v>148</v>
      </c>
      <c r="AX962" t="s">
        <v>3802</v>
      </c>
      <c r="AY962" s="81" t="s">
        <v>3810</v>
      </c>
      <c r="AZ962" t="s">
        <v>2685</v>
      </c>
      <c r="BA962" t="s">
        <v>2657</v>
      </c>
      <c r="BB962" t="str">
        <f t="shared" si="14"/>
        <v>FGHINgoYamaltuDeba</v>
      </c>
    </row>
    <row r="963" spans="48:54" x14ac:dyDescent="0.3">
      <c r="AV963" t="s">
        <v>789</v>
      </c>
      <c r="AW963" t="s">
        <v>148</v>
      </c>
      <c r="AX963" t="s">
        <v>3802</v>
      </c>
      <c r="AY963" s="81" t="s">
        <v>3811</v>
      </c>
      <c r="AZ963" t="s">
        <v>2686</v>
      </c>
      <c r="BA963" t="s">
        <v>2657</v>
      </c>
      <c r="BB963" t="str">
        <f t="shared" ref="BB963:BB1026" si="15">SUBSTITUTE(SUBSTITUTE(BA963&amp;AX963," ",""),"-","")</f>
        <v>FGHINgoYamaltuDeba</v>
      </c>
    </row>
    <row r="964" spans="48:54" x14ac:dyDescent="0.3">
      <c r="AV964" t="s">
        <v>789</v>
      </c>
      <c r="AW964" t="s">
        <v>148</v>
      </c>
      <c r="AX964" t="s">
        <v>3802</v>
      </c>
      <c r="AY964" s="81" t="s">
        <v>3812</v>
      </c>
      <c r="AZ964" t="s">
        <v>2687</v>
      </c>
      <c r="BA964" t="s">
        <v>2657</v>
      </c>
      <c r="BB964" t="str">
        <f t="shared" si="15"/>
        <v>FGHINgoYamaltuDeba</v>
      </c>
    </row>
    <row r="965" spans="48:54" x14ac:dyDescent="0.3">
      <c r="AV965" t="s">
        <v>789</v>
      </c>
      <c r="AW965" t="s">
        <v>148</v>
      </c>
      <c r="AX965" t="s">
        <v>3802</v>
      </c>
      <c r="AY965" s="81" t="s">
        <v>3813</v>
      </c>
      <c r="AZ965" t="s">
        <v>2688</v>
      </c>
      <c r="BA965" t="s">
        <v>2657</v>
      </c>
      <c r="BB965" t="str">
        <f t="shared" si="15"/>
        <v>FGHINgoYamaltuDeba</v>
      </c>
    </row>
    <row r="966" spans="48:54" x14ac:dyDescent="0.3">
      <c r="AV966" t="s">
        <v>789</v>
      </c>
      <c r="AW966" t="s">
        <v>148</v>
      </c>
      <c r="AX966" t="s">
        <v>3802</v>
      </c>
      <c r="AY966" s="81" t="s">
        <v>3814</v>
      </c>
      <c r="AZ966" t="s">
        <v>2689</v>
      </c>
      <c r="BA966" t="s">
        <v>2657</v>
      </c>
      <c r="BB966" t="str">
        <f t="shared" si="15"/>
        <v>FGHINgoYamaltuDeba</v>
      </c>
    </row>
    <row r="967" spans="48:54" x14ac:dyDescent="0.3">
      <c r="AV967" t="s">
        <v>789</v>
      </c>
      <c r="AW967" t="s">
        <v>151</v>
      </c>
      <c r="AX967" t="s">
        <v>665</v>
      </c>
      <c r="AY967" s="81" t="s">
        <v>2690</v>
      </c>
      <c r="AZ967" t="s">
        <v>2691</v>
      </c>
      <c r="BA967" t="s">
        <v>2657</v>
      </c>
      <c r="BB967" t="str">
        <f t="shared" si="15"/>
        <v>FGHINkdBirninGwari</v>
      </c>
    </row>
    <row r="968" spans="48:54" x14ac:dyDescent="0.3">
      <c r="AV968" t="s">
        <v>789</v>
      </c>
      <c r="AW968" t="s">
        <v>151</v>
      </c>
      <c r="AX968" t="s">
        <v>665</v>
      </c>
      <c r="AY968" s="81" t="s">
        <v>2692</v>
      </c>
      <c r="AZ968" t="s">
        <v>2693</v>
      </c>
      <c r="BA968" t="s">
        <v>2657</v>
      </c>
      <c r="BB968" t="str">
        <f t="shared" si="15"/>
        <v>FGHINkdBirninGwari</v>
      </c>
    </row>
    <row r="969" spans="48:54" x14ac:dyDescent="0.3">
      <c r="AV969" t="s">
        <v>789</v>
      </c>
      <c r="AW969" t="s">
        <v>151</v>
      </c>
      <c r="AX969" t="s">
        <v>665</v>
      </c>
      <c r="AY969" s="81" t="s">
        <v>2694</v>
      </c>
      <c r="AZ969" t="s">
        <v>2695</v>
      </c>
      <c r="BA969" t="s">
        <v>2657</v>
      </c>
      <c r="BB969" t="str">
        <f t="shared" si="15"/>
        <v>FGHINkdBirninGwari</v>
      </c>
    </row>
    <row r="970" spans="48:54" x14ac:dyDescent="0.3">
      <c r="AV970" t="s">
        <v>789</v>
      </c>
      <c r="AW970" t="s">
        <v>151</v>
      </c>
      <c r="AX970" t="s">
        <v>665</v>
      </c>
      <c r="AY970" s="81" t="s">
        <v>2696</v>
      </c>
      <c r="AZ970" t="s">
        <v>2697</v>
      </c>
      <c r="BA970" t="s">
        <v>2657</v>
      </c>
      <c r="BB970" t="str">
        <f t="shared" si="15"/>
        <v>FGHINkdBirninGwari</v>
      </c>
    </row>
    <row r="971" spans="48:54" x14ac:dyDescent="0.3">
      <c r="AV971" t="s">
        <v>789</v>
      </c>
      <c r="AW971" t="s">
        <v>151</v>
      </c>
      <c r="AX971" t="s">
        <v>665</v>
      </c>
      <c r="AY971" s="81" t="s">
        <v>2698</v>
      </c>
      <c r="AZ971" t="s">
        <v>2699</v>
      </c>
      <c r="BA971" t="s">
        <v>2657</v>
      </c>
      <c r="BB971" t="str">
        <f t="shared" si="15"/>
        <v>FGHINkdBirninGwari</v>
      </c>
    </row>
    <row r="972" spans="48:54" x14ac:dyDescent="0.3">
      <c r="AV972" t="s">
        <v>789</v>
      </c>
      <c r="AW972" t="s">
        <v>151</v>
      </c>
      <c r="AX972" t="s">
        <v>665</v>
      </c>
      <c r="AY972" s="81" t="s">
        <v>2700</v>
      </c>
      <c r="AZ972" t="s">
        <v>2701</v>
      </c>
      <c r="BA972" t="s">
        <v>2657</v>
      </c>
      <c r="BB972" t="str">
        <f t="shared" si="15"/>
        <v>FGHINkdBirninGwari</v>
      </c>
    </row>
    <row r="973" spans="48:54" x14ac:dyDescent="0.3">
      <c r="AV973" t="s">
        <v>789</v>
      </c>
      <c r="AW973" t="s">
        <v>151</v>
      </c>
      <c r="AX973" t="s">
        <v>665</v>
      </c>
      <c r="AY973" s="81" t="s">
        <v>2702</v>
      </c>
      <c r="AZ973" t="s">
        <v>2703</v>
      </c>
      <c r="BA973" t="s">
        <v>2657</v>
      </c>
      <c r="BB973" t="str">
        <f t="shared" si="15"/>
        <v>FGHINkdBirninGwari</v>
      </c>
    </row>
    <row r="974" spans="48:54" x14ac:dyDescent="0.3">
      <c r="AV974" t="s">
        <v>789</v>
      </c>
      <c r="AW974" t="s">
        <v>151</v>
      </c>
      <c r="AX974" t="s">
        <v>665</v>
      </c>
      <c r="AY974" s="81" t="s">
        <v>2704</v>
      </c>
      <c r="AZ974" t="s">
        <v>2705</v>
      </c>
      <c r="BA974" t="s">
        <v>2657</v>
      </c>
      <c r="BB974" t="str">
        <f t="shared" si="15"/>
        <v>FGHINkdBirninGwari</v>
      </c>
    </row>
    <row r="975" spans="48:54" x14ac:dyDescent="0.3">
      <c r="AV975" t="s">
        <v>789</v>
      </c>
      <c r="AW975" t="s">
        <v>151</v>
      </c>
      <c r="AX975" t="s">
        <v>665</v>
      </c>
      <c r="AY975" s="81" t="s">
        <v>2706</v>
      </c>
      <c r="AZ975" t="s">
        <v>2707</v>
      </c>
      <c r="BA975" t="s">
        <v>2657</v>
      </c>
      <c r="BB975" t="str">
        <f t="shared" si="15"/>
        <v>FGHINkdBirninGwari</v>
      </c>
    </row>
    <row r="976" spans="48:54" x14ac:dyDescent="0.3">
      <c r="AV976" t="s">
        <v>789</v>
      </c>
      <c r="AW976" t="s">
        <v>151</v>
      </c>
      <c r="AX976" t="s">
        <v>665</v>
      </c>
      <c r="AY976" s="81" t="s">
        <v>2708</v>
      </c>
      <c r="AZ976" t="s">
        <v>2709</v>
      </c>
      <c r="BA976" t="s">
        <v>2657</v>
      </c>
      <c r="BB976" t="str">
        <f t="shared" si="15"/>
        <v>FGHINkdBirninGwari</v>
      </c>
    </row>
    <row r="977" spans="48:54" x14ac:dyDescent="0.3">
      <c r="AV977" t="s">
        <v>789</v>
      </c>
      <c r="AW977" t="s">
        <v>151</v>
      </c>
      <c r="AX977" t="s">
        <v>666</v>
      </c>
      <c r="AY977" s="81" t="s">
        <v>2710</v>
      </c>
      <c r="AZ977" t="s">
        <v>2711</v>
      </c>
      <c r="BA977" t="s">
        <v>2657</v>
      </c>
      <c r="BB977" t="str">
        <f t="shared" si="15"/>
        <v>FGHINkdGiwa</v>
      </c>
    </row>
    <row r="978" spans="48:54" x14ac:dyDescent="0.3">
      <c r="AV978" t="s">
        <v>789</v>
      </c>
      <c r="AW978" t="s">
        <v>151</v>
      </c>
      <c r="AX978" t="s">
        <v>666</v>
      </c>
      <c r="AY978" s="81" t="s">
        <v>2712</v>
      </c>
      <c r="AZ978" t="s">
        <v>2713</v>
      </c>
      <c r="BA978" t="s">
        <v>2657</v>
      </c>
      <c r="BB978" t="str">
        <f t="shared" si="15"/>
        <v>FGHINkdGiwa</v>
      </c>
    </row>
    <row r="979" spans="48:54" x14ac:dyDescent="0.3">
      <c r="AV979" t="s">
        <v>789</v>
      </c>
      <c r="AW979" t="s">
        <v>151</v>
      </c>
      <c r="AX979" t="s">
        <v>667</v>
      </c>
      <c r="AY979" s="81" t="s">
        <v>2714</v>
      </c>
      <c r="AZ979" t="s">
        <v>2715</v>
      </c>
      <c r="BA979" t="s">
        <v>2657</v>
      </c>
      <c r="BB979" t="str">
        <f t="shared" si="15"/>
        <v>FGHINkdKauru</v>
      </c>
    </row>
    <row r="980" spans="48:54" x14ac:dyDescent="0.3">
      <c r="AV980" t="s">
        <v>789</v>
      </c>
      <c r="AW980" t="s">
        <v>151</v>
      </c>
      <c r="AX980" t="s">
        <v>667</v>
      </c>
      <c r="AY980" s="81" t="s">
        <v>2716</v>
      </c>
      <c r="AZ980" t="s">
        <v>2717</v>
      </c>
      <c r="BA980" t="s">
        <v>2657</v>
      </c>
      <c r="BB980" t="str">
        <f t="shared" si="15"/>
        <v>FGHINkdKauru</v>
      </c>
    </row>
    <row r="981" spans="48:54" x14ac:dyDescent="0.3">
      <c r="AV981" t="s">
        <v>789</v>
      </c>
      <c r="AW981" t="s">
        <v>151</v>
      </c>
      <c r="AX981" t="s">
        <v>667</v>
      </c>
      <c r="AY981" s="81" t="s">
        <v>2718</v>
      </c>
      <c r="AZ981" t="s">
        <v>2719</v>
      </c>
      <c r="BA981" t="s">
        <v>2657</v>
      </c>
      <c r="BB981" t="str">
        <f t="shared" si="15"/>
        <v>FGHINkdKauru</v>
      </c>
    </row>
    <row r="982" spans="48:54" x14ac:dyDescent="0.3">
      <c r="AV982" t="s">
        <v>789</v>
      </c>
      <c r="AW982" t="s">
        <v>151</v>
      </c>
      <c r="AX982" t="s">
        <v>667</v>
      </c>
      <c r="AY982" s="81" t="s">
        <v>2720</v>
      </c>
      <c r="AZ982" t="s">
        <v>2721</v>
      </c>
      <c r="BA982" t="s">
        <v>2657</v>
      </c>
      <c r="BB982" t="str">
        <f t="shared" si="15"/>
        <v>FGHINkdKauru</v>
      </c>
    </row>
    <row r="983" spans="48:54" x14ac:dyDescent="0.3">
      <c r="AV983" t="s">
        <v>789</v>
      </c>
      <c r="AW983" t="s">
        <v>151</v>
      </c>
      <c r="AX983" t="s">
        <v>667</v>
      </c>
      <c r="AY983" s="81" t="s">
        <v>2722</v>
      </c>
      <c r="AZ983" t="s">
        <v>2723</v>
      </c>
      <c r="BA983" t="s">
        <v>2657</v>
      </c>
      <c r="BB983" t="str">
        <f t="shared" si="15"/>
        <v>FGHINkdKauru</v>
      </c>
    </row>
    <row r="984" spans="48:54" x14ac:dyDescent="0.3">
      <c r="AV984" t="s">
        <v>789</v>
      </c>
      <c r="AW984" t="s">
        <v>151</v>
      </c>
      <c r="AX984" t="s">
        <v>667</v>
      </c>
      <c r="AY984" s="81" t="s">
        <v>2724</v>
      </c>
      <c r="AZ984" t="s">
        <v>2725</v>
      </c>
      <c r="BA984" t="s">
        <v>2657</v>
      </c>
      <c r="BB984" t="str">
        <f t="shared" si="15"/>
        <v>FGHINkdKauru</v>
      </c>
    </row>
    <row r="985" spans="48:54" x14ac:dyDescent="0.3">
      <c r="AV985" t="s">
        <v>789</v>
      </c>
      <c r="AW985" t="s">
        <v>151</v>
      </c>
      <c r="AX985" t="s">
        <v>653</v>
      </c>
      <c r="AY985" s="81" t="s">
        <v>2726</v>
      </c>
      <c r="AZ985" t="s">
        <v>2727</v>
      </c>
      <c r="BA985" t="s">
        <v>2657</v>
      </c>
      <c r="BB985" t="str">
        <f t="shared" si="15"/>
        <v>FGHINkdLere</v>
      </c>
    </row>
    <row r="986" spans="48:54" x14ac:dyDescent="0.3">
      <c r="AV986" t="s">
        <v>789</v>
      </c>
      <c r="AW986" t="s">
        <v>151</v>
      </c>
      <c r="AX986" t="s">
        <v>653</v>
      </c>
      <c r="AY986" s="81" t="s">
        <v>2728</v>
      </c>
      <c r="AZ986" t="s">
        <v>2729</v>
      </c>
      <c r="BA986" t="s">
        <v>2657</v>
      </c>
      <c r="BB986" t="str">
        <f t="shared" si="15"/>
        <v>FGHINkdLere</v>
      </c>
    </row>
    <row r="987" spans="48:54" x14ac:dyDescent="0.3">
      <c r="AV987" t="s">
        <v>789</v>
      </c>
      <c r="AW987" t="s">
        <v>151</v>
      </c>
      <c r="AX987" t="s">
        <v>653</v>
      </c>
      <c r="AY987" s="81" t="s">
        <v>2730</v>
      </c>
      <c r="AZ987" t="s">
        <v>2731</v>
      </c>
      <c r="BA987" t="s">
        <v>2657</v>
      </c>
      <c r="BB987" t="str">
        <f t="shared" si="15"/>
        <v>FGHINkdLere</v>
      </c>
    </row>
    <row r="988" spans="48:54" x14ac:dyDescent="0.3">
      <c r="AV988" t="s">
        <v>789</v>
      </c>
      <c r="AW988" t="s">
        <v>151</v>
      </c>
      <c r="AX988" t="s">
        <v>653</v>
      </c>
      <c r="AY988" s="81" t="s">
        <v>1875</v>
      </c>
      <c r="AZ988" t="s">
        <v>2732</v>
      </c>
      <c r="BA988" t="s">
        <v>2657</v>
      </c>
      <c r="BB988" t="str">
        <f t="shared" si="15"/>
        <v>FGHINkdLere</v>
      </c>
    </row>
    <row r="989" spans="48:54" x14ac:dyDescent="0.3">
      <c r="AV989" t="s">
        <v>789</v>
      </c>
      <c r="AW989" t="s">
        <v>151</v>
      </c>
      <c r="AX989" t="s">
        <v>653</v>
      </c>
      <c r="AY989" s="81" t="s">
        <v>2733</v>
      </c>
      <c r="AZ989" t="s">
        <v>2734</v>
      </c>
      <c r="BA989" t="s">
        <v>2657</v>
      </c>
      <c r="BB989" t="str">
        <f t="shared" si="15"/>
        <v>FGHINkdLere</v>
      </c>
    </row>
    <row r="990" spans="48:54" x14ac:dyDescent="0.3">
      <c r="AV990" t="s">
        <v>789</v>
      </c>
      <c r="AW990" t="s">
        <v>151</v>
      </c>
      <c r="AX990" t="s">
        <v>653</v>
      </c>
      <c r="AY990" s="81" t="s">
        <v>2735</v>
      </c>
      <c r="AZ990" t="s">
        <v>2736</v>
      </c>
      <c r="BA990" t="s">
        <v>2657</v>
      </c>
      <c r="BB990" t="str">
        <f t="shared" si="15"/>
        <v>FGHINkdLere</v>
      </c>
    </row>
    <row r="991" spans="48:54" x14ac:dyDescent="0.3">
      <c r="AV991" t="s">
        <v>789</v>
      </c>
      <c r="AW991" t="s">
        <v>151</v>
      </c>
      <c r="AX991" t="s">
        <v>653</v>
      </c>
      <c r="AY991" s="81" t="s">
        <v>2737</v>
      </c>
      <c r="AZ991" t="s">
        <v>2738</v>
      </c>
      <c r="BA991" t="s">
        <v>2657</v>
      </c>
      <c r="BB991" t="str">
        <f t="shared" si="15"/>
        <v>FGHINkdLere</v>
      </c>
    </row>
    <row r="992" spans="48:54" x14ac:dyDescent="0.3">
      <c r="AV992" t="s">
        <v>789</v>
      </c>
      <c r="AW992" t="s">
        <v>151</v>
      </c>
      <c r="AX992" t="s">
        <v>653</v>
      </c>
      <c r="AY992" s="81" t="s">
        <v>2739</v>
      </c>
      <c r="AZ992" t="s">
        <v>2740</v>
      </c>
      <c r="BA992" t="s">
        <v>2657</v>
      </c>
      <c r="BB992" t="str">
        <f t="shared" si="15"/>
        <v>FGHINkdLere</v>
      </c>
    </row>
    <row r="993" spans="48:54" x14ac:dyDescent="0.3">
      <c r="AV993" t="s">
        <v>789</v>
      </c>
      <c r="AW993" t="s">
        <v>151</v>
      </c>
      <c r="AX993" t="s">
        <v>653</v>
      </c>
      <c r="AY993" s="81" t="s">
        <v>2741</v>
      </c>
      <c r="AZ993" t="s">
        <v>2742</v>
      </c>
      <c r="BA993" t="s">
        <v>2657</v>
      </c>
      <c r="BB993" t="str">
        <f t="shared" si="15"/>
        <v>FGHINkdLere</v>
      </c>
    </row>
    <row r="994" spans="48:54" x14ac:dyDescent="0.3">
      <c r="AV994" t="s">
        <v>789</v>
      </c>
      <c r="AW994" t="s">
        <v>151</v>
      </c>
      <c r="AX994" t="s">
        <v>653</v>
      </c>
      <c r="AY994" s="81" t="s">
        <v>2743</v>
      </c>
      <c r="AZ994" t="s">
        <v>2744</v>
      </c>
      <c r="BA994" t="s">
        <v>2657</v>
      </c>
      <c r="BB994" t="str">
        <f t="shared" si="15"/>
        <v>FGHINkdLere</v>
      </c>
    </row>
    <row r="995" spans="48:54" x14ac:dyDescent="0.3">
      <c r="AV995" t="s">
        <v>789</v>
      </c>
      <c r="AW995" t="s">
        <v>151</v>
      </c>
      <c r="AX995" t="s">
        <v>653</v>
      </c>
      <c r="AY995" s="81" t="s">
        <v>2745</v>
      </c>
      <c r="AZ995" t="s">
        <v>2746</v>
      </c>
      <c r="BA995" t="s">
        <v>2657</v>
      </c>
      <c r="BB995" t="str">
        <f t="shared" si="15"/>
        <v>FGHINkdLere</v>
      </c>
    </row>
    <row r="996" spans="48:54" x14ac:dyDescent="0.3">
      <c r="AV996" t="s">
        <v>789</v>
      </c>
      <c r="AW996" t="s">
        <v>151</v>
      </c>
      <c r="AX996" t="s">
        <v>668</v>
      </c>
      <c r="AY996" s="81" t="s">
        <v>2747</v>
      </c>
      <c r="AZ996" t="s">
        <v>2748</v>
      </c>
      <c r="BA996" t="s">
        <v>2657</v>
      </c>
      <c r="BB996" t="str">
        <f t="shared" si="15"/>
        <v>FGHINkdMakarfi</v>
      </c>
    </row>
    <row r="997" spans="48:54" x14ac:dyDescent="0.3">
      <c r="AV997" t="s">
        <v>789</v>
      </c>
      <c r="AW997" t="s">
        <v>151</v>
      </c>
      <c r="AX997" t="s">
        <v>668</v>
      </c>
      <c r="AY997" s="81" t="s">
        <v>2749</v>
      </c>
      <c r="AZ997" t="s">
        <v>2750</v>
      </c>
      <c r="BA997" t="s">
        <v>2657</v>
      </c>
      <c r="BB997" t="str">
        <f t="shared" si="15"/>
        <v>FGHINkdMakarfi</v>
      </c>
    </row>
    <row r="998" spans="48:54" x14ac:dyDescent="0.3">
      <c r="AV998" t="s">
        <v>789</v>
      </c>
      <c r="AW998" t="s">
        <v>151</v>
      </c>
      <c r="AX998" t="s">
        <v>668</v>
      </c>
      <c r="AY998" s="81" t="s">
        <v>2751</v>
      </c>
      <c r="AZ998" t="s">
        <v>2752</v>
      </c>
      <c r="BA998" t="s">
        <v>2657</v>
      </c>
      <c r="BB998" t="str">
        <f t="shared" si="15"/>
        <v>FGHINkdMakarfi</v>
      </c>
    </row>
    <row r="999" spans="48:54" x14ac:dyDescent="0.3">
      <c r="AV999" t="s">
        <v>789</v>
      </c>
      <c r="AW999" t="s">
        <v>151</v>
      </c>
      <c r="AX999" t="s">
        <v>668</v>
      </c>
      <c r="AY999" s="81" t="s">
        <v>2753</v>
      </c>
      <c r="AZ999" t="s">
        <v>2754</v>
      </c>
      <c r="BA999" t="s">
        <v>2657</v>
      </c>
      <c r="BB999" t="str">
        <f t="shared" si="15"/>
        <v>FGHINkdMakarfi</v>
      </c>
    </row>
    <row r="1000" spans="48:54" x14ac:dyDescent="0.3">
      <c r="AV1000" t="s">
        <v>789</v>
      </c>
      <c r="AW1000" t="s">
        <v>151</v>
      </c>
      <c r="AX1000" t="s">
        <v>668</v>
      </c>
      <c r="AY1000" s="81" t="s">
        <v>2755</v>
      </c>
      <c r="AZ1000" t="s">
        <v>2756</v>
      </c>
      <c r="BA1000" t="s">
        <v>2657</v>
      </c>
      <c r="BB1000" t="str">
        <f t="shared" si="15"/>
        <v>FGHINkdMakarfi</v>
      </c>
    </row>
    <row r="1001" spans="48:54" x14ac:dyDescent="0.3">
      <c r="AV1001" t="s">
        <v>789</v>
      </c>
      <c r="AW1001" t="s">
        <v>151</v>
      </c>
      <c r="AX1001" t="s">
        <v>668</v>
      </c>
      <c r="AY1001" s="81" t="s">
        <v>2757</v>
      </c>
      <c r="AZ1001" t="s">
        <v>2758</v>
      </c>
      <c r="BA1001" t="s">
        <v>2657</v>
      </c>
      <c r="BB1001" t="str">
        <f t="shared" si="15"/>
        <v>FGHINkdMakarfi</v>
      </c>
    </row>
    <row r="1002" spans="48:54" x14ac:dyDescent="0.3">
      <c r="AV1002" t="s">
        <v>789</v>
      </c>
      <c r="AW1002" t="s">
        <v>151</v>
      </c>
      <c r="AX1002" t="s">
        <v>668</v>
      </c>
      <c r="AY1002" s="81" t="s">
        <v>2759</v>
      </c>
      <c r="AZ1002" t="s">
        <v>2760</v>
      </c>
      <c r="BA1002" t="s">
        <v>2657</v>
      </c>
      <c r="BB1002" t="str">
        <f t="shared" si="15"/>
        <v>FGHINkdMakarfi</v>
      </c>
    </row>
    <row r="1003" spans="48:54" x14ac:dyDescent="0.3">
      <c r="AV1003" t="s">
        <v>789</v>
      </c>
      <c r="AW1003" t="s">
        <v>151</v>
      </c>
      <c r="AX1003" t="s">
        <v>668</v>
      </c>
      <c r="AY1003" s="81" t="s">
        <v>2761</v>
      </c>
      <c r="AZ1003" t="s">
        <v>2762</v>
      </c>
      <c r="BA1003" t="s">
        <v>2657</v>
      </c>
      <c r="BB1003" t="str">
        <f t="shared" si="15"/>
        <v>FGHINkdMakarfi</v>
      </c>
    </row>
    <row r="1004" spans="48:54" x14ac:dyDescent="0.3">
      <c r="AV1004" t="s">
        <v>789</v>
      </c>
      <c r="AW1004" t="s">
        <v>151</v>
      </c>
      <c r="AX1004" t="s">
        <v>669</v>
      </c>
      <c r="AY1004" s="81" t="s">
        <v>2763</v>
      </c>
      <c r="AZ1004" t="s">
        <v>2764</v>
      </c>
      <c r="BA1004" t="s">
        <v>2657</v>
      </c>
      <c r="BB1004" t="str">
        <f t="shared" si="15"/>
        <v>FGHINkdSabonGari</v>
      </c>
    </row>
    <row r="1005" spans="48:54" x14ac:dyDescent="0.3">
      <c r="AV1005" t="s">
        <v>789</v>
      </c>
      <c r="AW1005" t="s">
        <v>152</v>
      </c>
      <c r="AX1005" t="s">
        <v>670</v>
      </c>
      <c r="AY1005" s="81" t="s">
        <v>2765</v>
      </c>
      <c r="AZ1005" t="s">
        <v>2766</v>
      </c>
      <c r="BA1005" t="s">
        <v>2657</v>
      </c>
      <c r="BB1005" t="str">
        <f t="shared" si="15"/>
        <v>FGHINknGezawa</v>
      </c>
    </row>
    <row r="1006" spans="48:54" x14ac:dyDescent="0.3">
      <c r="AV1006" t="s">
        <v>789</v>
      </c>
      <c r="AW1006" t="s">
        <v>152</v>
      </c>
      <c r="AX1006" t="s">
        <v>671</v>
      </c>
      <c r="AY1006" s="81" t="s">
        <v>2767</v>
      </c>
      <c r="AZ1006" t="s">
        <v>2768</v>
      </c>
      <c r="BA1006" t="s">
        <v>2657</v>
      </c>
      <c r="BB1006" t="str">
        <f t="shared" si="15"/>
        <v>FGHINknNassarawa</v>
      </c>
    </row>
    <row r="1007" spans="48:54" x14ac:dyDescent="0.3">
      <c r="AV1007" t="s">
        <v>789</v>
      </c>
      <c r="AW1007" t="s">
        <v>152</v>
      </c>
      <c r="AX1007" t="s">
        <v>672</v>
      </c>
      <c r="AY1007" s="81" t="s">
        <v>2769</v>
      </c>
      <c r="AZ1007" t="s">
        <v>2770</v>
      </c>
      <c r="BA1007" t="s">
        <v>2657</v>
      </c>
      <c r="BB1007" t="str">
        <f t="shared" si="15"/>
        <v>FGHINknTarauni</v>
      </c>
    </row>
    <row r="1008" spans="48:54" x14ac:dyDescent="0.3">
      <c r="AV1008" t="s">
        <v>789</v>
      </c>
      <c r="AW1008" t="s">
        <v>155</v>
      </c>
      <c r="AX1008" t="s">
        <v>692</v>
      </c>
      <c r="AY1008" s="81" t="s">
        <v>2771</v>
      </c>
      <c r="AZ1008" t="s">
        <v>2772</v>
      </c>
      <c r="BA1008" t="s">
        <v>2657</v>
      </c>
      <c r="BB1008" t="str">
        <f t="shared" si="15"/>
        <v>FGHINkoIjumu</v>
      </c>
    </row>
    <row r="1009" spans="48:54" x14ac:dyDescent="0.3">
      <c r="AV1009" t="s">
        <v>789</v>
      </c>
      <c r="AW1009" t="s">
        <v>155</v>
      </c>
      <c r="AX1009" t="s">
        <v>692</v>
      </c>
      <c r="AY1009" s="81" t="s">
        <v>2773</v>
      </c>
      <c r="AZ1009" t="s">
        <v>2774</v>
      </c>
      <c r="BA1009" t="s">
        <v>2657</v>
      </c>
      <c r="BB1009" t="str">
        <f t="shared" si="15"/>
        <v>FGHINkoIjumu</v>
      </c>
    </row>
    <row r="1010" spans="48:54" x14ac:dyDescent="0.3">
      <c r="AV1010" s="81" t="s">
        <v>789</v>
      </c>
      <c r="AW1010" s="81" t="s">
        <v>155</v>
      </c>
      <c r="AX1010" s="81" t="s">
        <v>3829</v>
      </c>
      <c r="AY1010" s="81" t="s">
        <v>3830</v>
      </c>
      <c r="AZ1010" s="81" t="s">
        <v>2775</v>
      </c>
      <c r="BA1010" s="81" t="s">
        <v>2657</v>
      </c>
      <c r="BB1010" s="81" t="str">
        <f t="shared" si="15"/>
        <v>FGHINkoKabbaBunu</v>
      </c>
    </row>
    <row r="1011" spans="48:54" x14ac:dyDescent="0.3">
      <c r="AV1011" t="s">
        <v>789</v>
      </c>
      <c r="AW1011" t="s">
        <v>139</v>
      </c>
      <c r="AX1011" t="s">
        <v>546</v>
      </c>
      <c r="AY1011" s="81" t="s">
        <v>2776</v>
      </c>
      <c r="AZ1011" t="s">
        <v>2777</v>
      </c>
      <c r="BA1011" t="s">
        <v>128</v>
      </c>
      <c r="BB1011" t="str">
        <f t="shared" si="15"/>
        <v>IHVNbeKatsinaAla</v>
      </c>
    </row>
    <row r="1012" spans="48:54" x14ac:dyDescent="0.3">
      <c r="AV1012" t="s">
        <v>789</v>
      </c>
      <c r="AW1012" t="s">
        <v>139</v>
      </c>
      <c r="AX1012" t="s">
        <v>546</v>
      </c>
      <c r="AY1012" s="81" t="s">
        <v>2778</v>
      </c>
      <c r="AZ1012" t="s">
        <v>2779</v>
      </c>
      <c r="BA1012" t="s">
        <v>128</v>
      </c>
      <c r="BB1012" t="str">
        <f t="shared" si="15"/>
        <v>IHVNbeKatsinaAla</v>
      </c>
    </row>
    <row r="1013" spans="48:54" x14ac:dyDescent="0.3">
      <c r="AV1013" t="s">
        <v>789</v>
      </c>
      <c r="AW1013" t="s">
        <v>139</v>
      </c>
      <c r="AX1013" t="s">
        <v>546</v>
      </c>
      <c r="AY1013" s="81" t="s">
        <v>2780</v>
      </c>
      <c r="AZ1013" t="s">
        <v>2781</v>
      </c>
      <c r="BA1013" t="s">
        <v>128</v>
      </c>
      <c r="BB1013" t="str">
        <f t="shared" si="15"/>
        <v>IHVNbeKatsinaAla</v>
      </c>
    </row>
    <row r="1014" spans="48:54" x14ac:dyDescent="0.3">
      <c r="AV1014" t="s">
        <v>789</v>
      </c>
      <c r="AW1014" t="s">
        <v>139</v>
      </c>
      <c r="AX1014" t="s">
        <v>546</v>
      </c>
      <c r="AY1014" s="81" t="s">
        <v>2782</v>
      </c>
      <c r="AZ1014" t="s">
        <v>2783</v>
      </c>
      <c r="BA1014" t="s">
        <v>128</v>
      </c>
      <c r="BB1014" t="str">
        <f t="shared" si="15"/>
        <v>IHVNbeKatsinaAla</v>
      </c>
    </row>
    <row r="1015" spans="48:54" x14ac:dyDescent="0.3">
      <c r="AV1015" t="s">
        <v>789</v>
      </c>
      <c r="AW1015" t="s">
        <v>139</v>
      </c>
      <c r="AX1015" t="s">
        <v>546</v>
      </c>
      <c r="AY1015" s="81" t="s">
        <v>2784</v>
      </c>
      <c r="AZ1015" t="s">
        <v>2785</v>
      </c>
      <c r="BA1015" t="s">
        <v>128</v>
      </c>
      <c r="BB1015" t="str">
        <f t="shared" si="15"/>
        <v>IHVNbeKatsinaAla</v>
      </c>
    </row>
    <row r="1016" spans="48:54" x14ac:dyDescent="0.3">
      <c r="AV1016" t="s">
        <v>789</v>
      </c>
      <c r="AW1016" t="s">
        <v>139</v>
      </c>
      <c r="AX1016" t="s">
        <v>546</v>
      </c>
      <c r="AY1016" s="81" t="s">
        <v>2786</v>
      </c>
      <c r="AZ1016" t="s">
        <v>2787</v>
      </c>
      <c r="BA1016" t="s">
        <v>128</v>
      </c>
      <c r="BB1016" t="str">
        <f t="shared" si="15"/>
        <v>IHVNbeKatsinaAla</v>
      </c>
    </row>
    <row r="1017" spans="48:54" x14ac:dyDescent="0.3">
      <c r="AV1017" t="s">
        <v>789</v>
      </c>
      <c r="AW1017" t="s">
        <v>139</v>
      </c>
      <c r="AX1017" t="s">
        <v>546</v>
      </c>
      <c r="AY1017" s="81" t="s">
        <v>2788</v>
      </c>
      <c r="AZ1017" t="s">
        <v>2789</v>
      </c>
      <c r="BA1017" t="s">
        <v>128</v>
      </c>
      <c r="BB1017" t="str">
        <f t="shared" si="15"/>
        <v>IHVNbeKatsinaAla</v>
      </c>
    </row>
    <row r="1018" spans="48:54" x14ac:dyDescent="0.3">
      <c r="AV1018" t="s">
        <v>789</v>
      </c>
      <c r="AW1018" t="s">
        <v>139</v>
      </c>
      <c r="AX1018" t="s">
        <v>546</v>
      </c>
      <c r="AY1018" s="81" t="s">
        <v>2790</v>
      </c>
      <c r="AZ1018" t="s">
        <v>2791</v>
      </c>
      <c r="BA1018" t="s">
        <v>128</v>
      </c>
      <c r="BB1018" t="str">
        <f t="shared" si="15"/>
        <v>IHVNbeKatsinaAla</v>
      </c>
    </row>
    <row r="1019" spans="48:54" x14ac:dyDescent="0.3">
      <c r="AV1019" t="s">
        <v>789</v>
      </c>
      <c r="AW1019" t="s">
        <v>139</v>
      </c>
      <c r="AX1019" t="s">
        <v>546</v>
      </c>
      <c r="AY1019" s="81" t="s">
        <v>2792</v>
      </c>
      <c r="AZ1019" t="s">
        <v>2793</v>
      </c>
      <c r="BA1019" t="s">
        <v>128</v>
      </c>
      <c r="BB1019" t="str">
        <f t="shared" si="15"/>
        <v>IHVNbeKatsinaAla</v>
      </c>
    </row>
    <row r="1020" spans="48:54" x14ac:dyDescent="0.3">
      <c r="AV1020" t="s">
        <v>789</v>
      </c>
      <c r="AW1020" t="s">
        <v>139</v>
      </c>
      <c r="AX1020" t="s">
        <v>546</v>
      </c>
      <c r="AY1020" s="81" t="s">
        <v>2794</v>
      </c>
      <c r="AZ1020" t="s">
        <v>2795</v>
      </c>
      <c r="BA1020" t="s">
        <v>128</v>
      </c>
      <c r="BB1020" t="str">
        <f t="shared" si="15"/>
        <v>IHVNbeKatsinaAla</v>
      </c>
    </row>
    <row r="1021" spans="48:54" x14ac:dyDescent="0.3">
      <c r="AV1021" t="s">
        <v>789</v>
      </c>
      <c r="AW1021" t="s">
        <v>139</v>
      </c>
      <c r="AX1021" t="s">
        <v>546</v>
      </c>
      <c r="AY1021" s="81" t="s">
        <v>2796</v>
      </c>
      <c r="AZ1021" t="s">
        <v>2797</v>
      </c>
      <c r="BA1021" t="s">
        <v>128</v>
      </c>
      <c r="BB1021" t="str">
        <f t="shared" si="15"/>
        <v>IHVNbeKatsinaAla</v>
      </c>
    </row>
    <row r="1022" spans="48:54" x14ac:dyDescent="0.3">
      <c r="AV1022" t="s">
        <v>789</v>
      </c>
      <c r="AW1022" t="s">
        <v>139</v>
      </c>
      <c r="AX1022" t="s">
        <v>546</v>
      </c>
      <c r="AY1022" s="81" t="s">
        <v>2798</v>
      </c>
      <c r="AZ1022" t="s">
        <v>2799</v>
      </c>
      <c r="BA1022" t="s">
        <v>128</v>
      </c>
      <c r="BB1022" t="str">
        <f t="shared" si="15"/>
        <v>IHVNbeKatsinaAla</v>
      </c>
    </row>
    <row r="1023" spans="48:54" x14ac:dyDescent="0.3">
      <c r="AV1023" t="s">
        <v>789</v>
      </c>
      <c r="AW1023" t="s">
        <v>139</v>
      </c>
      <c r="AX1023" t="s">
        <v>546</v>
      </c>
      <c r="AY1023" s="81" t="s">
        <v>2800</v>
      </c>
      <c r="AZ1023" t="s">
        <v>2801</v>
      </c>
      <c r="BA1023" t="s">
        <v>128</v>
      </c>
      <c r="BB1023" t="str">
        <f t="shared" si="15"/>
        <v>IHVNbeKatsinaAla</v>
      </c>
    </row>
    <row r="1024" spans="48:54" x14ac:dyDescent="0.3">
      <c r="AV1024" t="s">
        <v>789</v>
      </c>
      <c r="AW1024" t="s">
        <v>139</v>
      </c>
      <c r="AX1024" t="s">
        <v>547</v>
      </c>
      <c r="AY1024" s="81" t="s">
        <v>2802</v>
      </c>
      <c r="AZ1024" t="s">
        <v>2803</v>
      </c>
      <c r="BA1024" t="s">
        <v>128</v>
      </c>
      <c r="BB1024" t="str">
        <f t="shared" si="15"/>
        <v>IHVNbeKonshisha</v>
      </c>
    </row>
    <row r="1025" spans="48:54" x14ac:dyDescent="0.3">
      <c r="AV1025" t="s">
        <v>789</v>
      </c>
      <c r="AW1025" t="s">
        <v>139</v>
      </c>
      <c r="AX1025" t="s">
        <v>547</v>
      </c>
      <c r="AY1025" s="81" t="s">
        <v>2804</v>
      </c>
      <c r="AZ1025" t="s">
        <v>2805</v>
      </c>
      <c r="BA1025" t="s">
        <v>128</v>
      </c>
      <c r="BB1025" t="str">
        <f t="shared" si="15"/>
        <v>IHVNbeKonshisha</v>
      </c>
    </row>
    <row r="1026" spans="48:54" x14ac:dyDescent="0.3">
      <c r="AV1026" t="s">
        <v>789</v>
      </c>
      <c r="AW1026" t="s">
        <v>139</v>
      </c>
      <c r="AX1026" t="s">
        <v>547</v>
      </c>
      <c r="AY1026" s="81" t="s">
        <v>2806</v>
      </c>
      <c r="AZ1026" t="s">
        <v>2807</v>
      </c>
      <c r="BA1026" t="s">
        <v>128</v>
      </c>
      <c r="BB1026" t="str">
        <f t="shared" si="15"/>
        <v>IHVNbeKonshisha</v>
      </c>
    </row>
    <row r="1027" spans="48:54" x14ac:dyDescent="0.3">
      <c r="AV1027" t="s">
        <v>789</v>
      </c>
      <c r="AW1027" t="s">
        <v>139</v>
      </c>
      <c r="AX1027" t="s">
        <v>547</v>
      </c>
      <c r="AY1027" s="81" t="s">
        <v>2808</v>
      </c>
      <c r="AZ1027" t="s">
        <v>2809</v>
      </c>
      <c r="BA1027" t="s">
        <v>128</v>
      </c>
      <c r="BB1027" t="str">
        <f t="shared" ref="BB1027:BB1090" si="16">SUBSTITUTE(SUBSTITUTE(BA1027&amp;AX1027," ",""),"-","")</f>
        <v>IHVNbeKonshisha</v>
      </c>
    </row>
    <row r="1028" spans="48:54" x14ac:dyDescent="0.3">
      <c r="AV1028" t="s">
        <v>789</v>
      </c>
      <c r="AW1028" t="s">
        <v>139</v>
      </c>
      <c r="AX1028" t="s">
        <v>547</v>
      </c>
      <c r="AY1028" s="81" t="s">
        <v>2810</v>
      </c>
      <c r="AZ1028" t="s">
        <v>2811</v>
      </c>
      <c r="BA1028" t="s">
        <v>128</v>
      </c>
      <c r="BB1028" t="str">
        <f t="shared" si="16"/>
        <v>IHVNbeKonshisha</v>
      </c>
    </row>
    <row r="1029" spans="48:54" x14ac:dyDescent="0.3">
      <c r="AV1029" t="s">
        <v>789</v>
      </c>
      <c r="AW1029" t="s">
        <v>139</v>
      </c>
      <c r="AX1029" t="s">
        <v>547</v>
      </c>
      <c r="AY1029" s="81" t="s">
        <v>2812</v>
      </c>
      <c r="AZ1029" t="s">
        <v>2813</v>
      </c>
      <c r="BA1029" t="s">
        <v>128</v>
      </c>
      <c r="BB1029" t="str">
        <f t="shared" si="16"/>
        <v>IHVNbeKonshisha</v>
      </c>
    </row>
    <row r="1030" spans="48:54" x14ac:dyDescent="0.3">
      <c r="AV1030" t="s">
        <v>789</v>
      </c>
      <c r="AW1030" t="s">
        <v>139</v>
      </c>
      <c r="AX1030" t="s">
        <v>547</v>
      </c>
      <c r="AY1030" s="81" t="s">
        <v>2814</v>
      </c>
      <c r="AZ1030" t="s">
        <v>2815</v>
      </c>
      <c r="BA1030" t="s">
        <v>128</v>
      </c>
      <c r="BB1030" t="str">
        <f t="shared" si="16"/>
        <v>IHVNbeKonshisha</v>
      </c>
    </row>
    <row r="1031" spans="48:54" x14ac:dyDescent="0.3">
      <c r="AV1031" t="s">
        <v>789</v>
      </c>
      <c r="AW1031" t="s">
        <v>139</v>
      </c>
      <c r="AX1031" t="s">
        <v>547</v>
      </c>
      <c r="AY1031" s="81" t="s">
        <v>2816</v>
      </c>
      <c r="AZ1031" t="s">
        <v>2817</v>
      </c>
      <c r="BA1031" t="s">
        <v>128</v>
      </c>
      <c r="BB1031" t="str">
        <f t="shared" si="16"/>
        <v>IHVNbeKonshisha</v>
      </c>
    </row>
    <row r="1032" spans="48:54" x14ac:dyDescent="0.3">
      <c r="AV1032" t="s">
        <v>789</v>
      </c>
      <c r="AW1032" t="s">
        <v>139</v>
      </c>
      <c r="AX1032" t="s">
        <v>547</v>
      </c>
      <c r="AY1032" s="81" t="s">
        <v>2818</v>
      </c>
      <c r="AZ1032" t="s">
        <v>2819</v>
      </c>
      <c r="BA1032" t="s">
        <v>128</v>
      </c>
      <c r="BB1032" t="str">
        <f t="shared" si="16"/>
        <v>IHVNbeKonshisha</v>
      </c>
    </row>
    <row r="1033" spans="48:54" x14ac:dyDescent="0.3">
      <c r="AV1033" t="s">
        <v>789</v>
      </c>
      <c r="AW1033" t="s">
        <v>139</v>
      </c>
      <c r="AX1033" t="s">
        <v>547</v>
      </c>
      <c r="AY1033" s="81" t="s">
        <v>2820</v>
      </c>
      <c r="AZ1033" t="s">
        <v>2821</v>
      </c>
      <c r="BA1033" t="s">
        <v>128</v>
      </c>
      <c r="BB1033" t="str">
        <f t="shared" si="16"/>
        <v>IHVNbeKonshisha</v>
      </c>
    </row>
    <row r="1034" spans="48:54" x14ac:dyDescent="0.3">
      <c r="AV1034" t="s">
        <v>789</v>
      </c>
      <c r="AW1034" t="s">
        <v>139</v>
      </c>
      <c r="AX1034" t="s">
        <v>547</v>
      </c>
      <c r="AY1034" s="81" t="s">
        <v>2822</v>
      </c>
      <c r="AZ1034" t="s">
        <v>2823</v>
      </c>
      <c r="BA1034" t="s">
        <v>128</v>
      </c>
      <c r="BB1034" t="str">
        <f t="shared" si="16"/>
        <v>IHVNbeKonshisha</v>
      </c>
    </row>
    <row r="1035" spans="48:54" x14ac:dyDescent="0.3">
      <c r="AV1035" t="s">
        <v>789</v>
      </c>
      <c r="AW1035" t="s">
        <v>139</v>
      </c>
      <c r="AX1035" t="s">
        <v>547</v>
      </c>
      <c r="AY1035" s="81" t="s">
        <v>2824</v>
      </c>
      <c r="AZ1035" t="s">
        <v>2825</v>
      </c>
      <c r="BA1035" t="s">
        <v>128</v>
      </c>
      <c r="BB1035" t="str">
        <f t="shared" si="16"/>
        <v>IHVNbeKonshisha</v>
      </c>
    </row>
    <row r="1036" spans="48:54" x14ac:dyDescent="0.3">
      <c r="AV1036" t="s">
        <v>789</v>
      </c>
      <c r="AW1036" t="s">
        <v>139</v>
      </c>
      <c r="AX1036" t="s">
        <v>547</v>
      </c>
      <c r="AY1036" s="81" t="s">
        <v>2826</v>
      </c>
      <c r="AZ1036" t="s">
        <v>2827</v>
      </c>
      <c r="BA1036" t="s">
        <v>128</v>
      </c>
      <c r="BB1036" t="str">
        <f t="shared" si="16"/>
        <v>IHVNbeKonshisha</v>
      </c>
    </row>
    <row r="1037" spans="48:54" x14ac:dyDescent="0.3">
      <c r="AV1037" t="s">
        <v>789</v>
      </c>
      <c r="AW1037" t="s">
        <v>139</v>
      </c>
      <c r="AX1037" t="s">
        <v>547</v>
      </c>
      <c r="AY1037" s="81" t="s">
        <v>2828</v>
      </c>
      <c r="AZ1037" t="s">
        <v>2829</v>
      </c>
      <c r="BA1037" t="s">
        <v>128</v>
      </c>
      <c r="BB1037" t="str">
        <f t="shared" si="16"/>
        <v>IHVNbeKonshisha</v>
      </c>
    </row>
    <row r="1038" spans="48:54" x14ac:dyDescent="0.3">
      <c r="AV1038" t="s">
        <v>789</v>
      </c>
      <c r="AW1038" t="s">
        <v>139</v>
      </c>
      <c r="AX1038" t="s">
        <v>547</v>
      </c>
      <c r="AY1038" s="81" t="s">
        <v>2830</v>
      </c>
      <c r="AZ1038" t="s">
        <v>2831</v>
      </c>
      <c r="BA1038" t="s">
        <v>128</v>
      </c>
      <c r="BB1038" t="str">
        <f t="shared" si="16"/>
        <v>IHVNbeKonshisha</v>
      </c>
    </row>
    <row r="1039" spans="48:54" x14ac:dyDescent="0.3">
      <c r="AV1039" t="s">
        <v>789</v>
      </c>
      <c r="AW1039" t="s">
        <v>139</v>
      </c>
      <c r="AX1039" t="s">
        <v>547</v>
      </c>
      <c r="AY1039" s="81" t="s">
        <v>2832</v>
      </c>
      <c r="AZ1039" t="s">
        <v>2833</v>
      </c>
      <c r="BA1039" t="s">
        <v>128</v>
      </c>
      <c r="BB1039" t="str">
        <f t="shared" si="16"/>
        <v>IHVNbeKonshisha</v>
      </c>
    </row>
    <row r="1040" spans="48:54" x14ac:dyDescent="0.3">
      <c r="AV1040" t="s">
        <v>789</v>
      </c>
      <c r="AW1040" t="s">
        <v>139</v>
      </c>
      <c r="AX1040" t="s">
        <v>547</v>
      </c>
      <c r="AY1040" s="81" t="s">
        <v>2834</v>
      </c>
      <c r="AZ1040" t="s">
        <v>2835</v>
      </c>
      <c r="BA1040" t="s">
        <v>128</v>
      </c>
      <c r="BB1040" t="str">
        <f t="shared" si="16"/>
        <v>IHVNbeKonshisha</v>
      </c>
    </row>
    <row r="1041" spans="48:54" x14ac:dyDescent="0.3">
      <c r="AV1041" t="s">
        <v>789</v>
      </c>
      <c r="AW1041" t="s">
        <v>139</v>
      </c>
      <c r="AX1041" t="s">
        <v>547</v>
      </c>
      <c r="AY1041" s="81" t="s">
        <v>2836</v>
      </c>
      <c r="AZ1041" t="s">
        <v>2837</v>
      </c>
      <c r="BA1041" t="s">
        <v>128</v>
      </c>
      <c r="BB1041" t="str">
        <f t="shared" si="16"/>
        <v>IHVNbeKonshisha</v>
      </c>
    </row>
    <row r="1042" spans="48:54" x14ac:dyDescent="0.3">
      <c r="AV1042" t="s">
        <v>789</v>
      </c>
      <c r="AW1042" t="s">
        <v>139</v>
      </c>
      <c r="AX1042" t="s">
        <v>547</v>
      </c>
      <c r="AY1042" s="81" t="s">
        <v>2838</v>
      </c>
      <c r="AZ1042" t="s">
        <v>2839</v>
      </c>
      <c r="BA1042" t="s">
        <v>128</v>
      </c>
      <c r="BB1042" t="str">
        <f t="shared" si="16"/>
        <v>IHVNbeKonshisha</v>
      </c>
    </row>
    <row r="1043" spans="48:54" x14ac:dyDescent="0.3">
      <c r="AV1043" t="s">
        <v>789</v>
      </c>
      <c r="AW1043" t="s">
        <v>139</v>
      </c>
      <c r="AX1043" t="s">
        <v>547</v>
      </c>
      <c r="AY1043" s="81" t="s">
        <v>2840</v>
      </c>
      <c r="AZ1043" t="s">
        <v>2841</v>
      </c>
      <c r="BA1043" t="s">
        <v>128</v>
      </c>
      <c r="BB1043" t="str">
        <f t="shared" si="16"/>
        <v>IHVNbeKonshisha</v>
      </c>
    </row>
    <row r="1044" spans="48:54" x14ac:dyDescent="0.3">
      <c r="AV1044" t="s">
        <v>789</v>
      </c>
      <c r="AW1044" t="s">
        <v>139</v>
      </c>
      <c r="AX1044" t="s">
        <v>547</v>
      </c>
      <c r="AY1044" s="81" t="s">
        <v>2842</v>
      </c>
      <c r="AZ1044" t="s">
        <v>2843</v>
      </c>
      <c r="BA1044" t="s">
        <v>128</v>
      </c>
      <c r="BB1044" t="str">
        <f t="shared" si="16"/>
        <v>IHVNbeKonshisha</v>
      </c>
    </row>
    <row r="1045" spans="48:54" x14ac:dyDescent="0.3">
      <c r="AV1045" t="s">
        <v>789</v>
      </c>
      <c r="AW1045" t="s">
        <v>139</v>
      </c>
      <c r="AX1045" t="s">
        <v>547</v>
      </c>
      <c r="AY1045" s="81" t="s">
        <v>2844</v>
      </c>
      <c r="AZ1045" t="s">
        <v>2845</v>
      </c>
      <c r="BA1045" t="s">
        <v>128</v>
      </c>
      <c r="BB1045" t="str">
        <f t="shared" si="16"/>
        <v>IHVNbeKonshisha</v>
      </c>
    </row>
    <row r="1046" spans="48:54" x14ac:dyDescent="0.3">
      <c r="AV1046" t="s">
        <v>789</v>
      </c>
      <c r="AW1046" t="s">
        <v>139</v>
      </c>
      <c r="AX1046" t="s">
        <v>547</v>
      </c>
      <c r="AY1046" s="81" t="s">
        <v>2846</v>
      </c>
      <c r="AZ1046" t="s">
        <v>2847</v>
      </c>
      <c r="BA1046" t="s">
        <v>128</v>
      </c>
      <c r="BB1046" t="str">
        <f t="shared" si="16"/>
        <v>IHVNbeKonshisha</v>
      </c>
    </row>
    <row r="1047" spans="48:54" x14ac:dyDescent="0.3">
      <c r="AV1047" t="s">
        <v>789</v>
      </c>
      <c r="AW1047" t="s">
        <v>139</v>
      </c>
      <c r="AX1047" t="s">
        <v>547</v>
      </c>
      <c r="AY1047" s="81" t="s">
        <v>2848</v>
      </c>
      <c r="AZ1047" t="s">
        <v>2849</v>
      </c>
      <c r="BA1047" t="s">
        <v>128</v>
      </c>
      <c r="BB1047" t="str">
        <f t="shared" si="16"/>
        <v>IHVNbeKonshisha</v>
      </c>
    </row>
    <row r="1048" spans="48:54" x14ac:dyDescent="0.3">
      <c r="AV1048" t="s">
        <v>789</v>
      </c>
      <c r="AW1048" t="s">
        <v>139</v>
      </c>
      <c r="AX1048" t="s">
        <v>547</v>
      </c>
      <c r="AY1048" s="81" t="s">
        <v>2850</v>
      </c>
      <c r="AZ1048" t="s">
        <v>2851</v>
      </c>
      <c r="BA1048" t="s">
        <v>128</v>
      </c>
      <c r="BB1048" t="str">
        <f t="shared" si="16"/>
        <v>IHVNbeKonshisha</v>
      </c>
    </row>
    <row r="1049" spans="48:54" x14ac:dyDescent="0.3">
      <c r="AV1049" t="s">
        <v>789</v>
      </c>
      <c r="AW1049" t="s">
        <v>139</v>
      </c>
      <c r="AX1049" t="s">
        <v>547</v>
      </c>
      <c r="AY1049" s="81" t="s">
        <v>2852</v>
      </c>
      <c r="AZ1049" t="s">
        <v>2853</v>
      </c>
      <c r="BA1049" t="s">
        <v>128</v>
      </c>
      <c r="BB1049" t="str">
        <f t="shared" si="16"/>
        <v>IHVNbeKonshisha</v>
      </c>
    </row>
    <row r="1050" spans="48:54" x14ac:dyDescent="0.3">
      <c r="AV1050" t="s">
        <v>789</v>
      </c>
      <c r="AW1050" t="s">
        <v>139</v>
      </c>
      <c r="AX1050" t="s">
        <v>547</v>
      </c>
      <c r="AY1050" s="81" t="s">
        <v>2854</v>
      </c>
      <c r="AZ1050" t="s">
        <v>2855</v>
      </c>
      <c r="BA1050" t="s">
        <v>128</v>
      </c>
      <c r="BB1050" t="str">
        <f t="shared" si="16"/>
        <v>IHVNbeKonshisha</v>
      </c>
    </row>
    <row r="1051" spans="48:54" x14ac:dyDescent="0.3">
      <c r="AV1051" t="s">
        <v>789</v>
      </c>
      <c r="AW1051" t="s">
        <v>139</v>
      </c>
      <c r="AX1051" t="s">
        <v>547</v>
      </c>
      <c r="AY1051" s="81" t="s">
        <v>2856</v>
      </c>
      <c r="AZ1051" t="s">
        <v>2857</v>
      </c>
      <c r="BA1051" t="s">
        <v>128</v>
      </c>
      <c r="BB1051" t="str">
        <f t="shared" si="16"/>
        <v>IHVNbeKonshisha</v>
      </c>
    </row>
    <row r="1052" spans="48:54" x14ac:dyDescent="0.3">
      <c r="AV1052" t="s">
        <v>789</v>
      </c>
      <c r="AW1052" t="s">
        <v>139</v>
      </c>
      <c r="AX1052" t="s">
        <v>547</v>
      </c>
      <c r="AY1052" s="81" t="s">
        <v>2858</v>
      </c>
      <c r="AZ1052" t="s">
        <v>2859</v>
      </c>
      <c r="BA1052" t="s">
        <v>128</v>
      </c>
      <c r="BB1052" t="str">
        <f t="shared" si="16"/>
        <v>IHVNbeKonshisha</v>
      </c>
    </row>
    <row r="1053" spans="48:54" x14ac:dyDescent="0.3">
      <c r="AV1053" t="s">
        <v>789</v>
      </c>
      <c r="AW1053" t="s">
        <v>139</v>
      </c>
      <c r="AX1053" t="s">
        <v>547</v>
      </c>
      <c r="AY1053" s="81" t="s">
        <v>2860</v>
      </c>
      <c r="AZ1053" t="s">
        <v>2861</v>
      </c>
      <c r="BA1053" t="s">
        <v>128</v>
      </c>
      <c r="BB1053" t="str">
        <f t="shared" si="16"/>
        <v>IHVNbeKonshisha</v>
      </c>
    </row>
    <row r="1054" spans="48:54" x14ac:dyDescent="0.3">
      <c r="AV1054" t="s">
        <v>789</v>
      </c>
      <c r="AW1054" t="s">
        <v>139</v>
      </c>
      <c r="AX1054" t="s">
        <v>547</v>
      </c>
      <c r="AY1054" s="81" t="s">
        <v>2862</v>
      </c>
      <c r="AZ1054" t="s">
        <v>2863</v>
      </c>
      <c r="BA1054" t="s">
        <v>128</v>
      </c>
      <c r="BB1054" t="str">
        <f t="shared" si="16"/>
        <v>IHVNbeKonshisha</v>
      </c>
    </row>
    <row r="1055" spans="48:54" x14ac:dyDescent="0.3">
      <c r="AV1055" t="s">
        <v>789</v>
      </c>
      <c r="AW1055" t="s">
        <v>139</v>
      </c>
      <c r="AX1055" t="s">
        <v>547</v>
      </c>
      <c r="AY1055" s="81" t="s">
        <v>2864</v>
      </c>
      <c r="AZ1055" t="s">
        <v>2865</v>
      </c>
      <c r="BA1055" t="s">
        <v>128</v>
      </c>
      <c r="BB1055" t="str">
        <f t="shared" si="16"/>
        <v>IHVNbeKonshisha</v>
      </c>
    </row>
    <row r="1056" spans="48:54" x14ac:dyDescent="0.3">
      <c r="AV1056" t="s">
        <v>789</v>
      </c>
      <c r="AW1056" t="s">
        <v>139</v>
      </c>
      <c r="AX1056" t="s">
        <v>547</v>
      </c>
      <c r="AY1056" s="81" t="s">
        <v>2866</v>
      </c>
      <c r="AZ1056" t="s">
        <v>2867</v>
      </c>
      <c r="BA1056" t="s">
        <v>128</v>
      </c>
      <c r="BB1056" t="str">
        <f t="shared" si="16"/>
        <v>IHVNbeKonshisha</v>
      </c>
    </row>
    <row r="1057" spans="48:54" x14ac:dyDescent="0.3">
      <c r="AV1057" t="s">
        <v>789</v>
      </c>
      <c r="AW1057" t="s">
        <v>139</v>
      </c>
      <c r="AX1057" t="s">
        <v>547</v>
      </c>
      <c r="AY1057" s="81" t="s">
        <v>2868</v>
      </c>
      <c r="AZ1057" t="s">
        <v>2869</v>
      </c>
      <c r="BA1057" t="s">
        <v>128</v>
      </c>
      <c r="BB1057" t="str">
        <f t="shared" si="16"/>
        <v>IHVNbeKonshisha</v>
      </c>
    </row>
    <row r="1058" spans="48:54" x14ac:dyDescent="0.3">
      <c r="AV1058" t="s">
        <v>789</v>
      </c>
      <c r="AW1058" t="s">
        <v>139</v>
      </c>
      <c r="AX1058" t="s">
        <v>547</v>
      </c>
      <c r="AY1058" s="81" t="s">
        <v>2870</v>
      </c>
      <c r="AZ1058" t="s">
        <v>2871</v>
      </c>
      <c r="BA1058" t="s">
        <v>128</v>
      </c>
      <c r="BB1058" t="str">
        <f t="shared" si="16"/>
        <v>IHVNbeKonshisha</v>
      </c>
    </row>
    <row r="1059" spans="48:54" x14ac:dyDescent="0.3">
      <c r="AV1059" t="s">
        <v>789</v>
      </c>
      <c r="AW1059" t="s">
        <v>139</v>
      </c>
      <c r="AX1059" t="s">
        <v>547</v>
      </c>
      <c r="AY1059" s="81" t="s">
        <v>2872</v>
      </c>
      <c r="AZ1059" t="s">
        <v>2873</v>
      </c>
      <c r="BA1059" t="s">
        <v>128</v>
      </c>
      <c r="BB1059" t="str">
        <f t="shared" si="16"/>
        <v>IHVNbeKonshisha</v>
      </c>
    </row>
    <row r="1060" spans="48:54" x14ac:dyDescent="0.3">
      <c r="AV1060" t="s">
        <v>789</v>
      </c>
      <c r="AW1060" t="s">
        <v>139</v>
      </c>
      <c r="AX1060" t="s">
        <v>547</v>
      </c>
      <c r="AY1060" s="81" t="s">
        <v>2874</v>
      </c>
      <c r="AZ1060" t="s">
        <v>2875</v>
      </c>
      <c r="BA1060" t="s">
        <v>128</v>
      </c>
      <c r="BB1060" t="str">
        <f t="shared" si="16"/>
        <v>IHVNbeKonshisha</v>
      </c>
    </row>
    <row r="1061" spans="48:54" x14ac:dyDescent="0.3">
      <c r="AV1061" t="s">
        <v>789</v>
      </c>
      <c r="AW1061" t="s">
        <v>139</v>
      </c>
      <c r="AX1061" t="s">
        <v>547</v>
      </c>
      <c r="AY1061" s="81" t="s">
        <v>2876</v>
      </c>
      <c r="AZ1061" t="s">
        <v>2877</v>
      </c>
      <c r="BA1061" t="s">
        <v>128</v>
      </c>
      <c r="BB1061" t="str">
        <f t="shared" si="16"/>
        <v>IHVNbeKonshisha</v>
      </c>
    </row>
    <row r="1062" spans="48:54" x14ac:dyDescent="0.3">
      <c r="AV1062" t="s">
        <v>789</v>
      </c>
      <c r="AW1062" t="s">
        <v>139</v>
      </c>
      <c r="AX1062" t="s">
        <v>547</v>
      </c>
      <c r="AY1062" s="81" t="s">
        <v>2878</v>
      </c>
      <c r="AZ1062" t="s">
        <v>2879</v>
      </c>
      <c r="BA1062" t="s">
        <v>128</v>
      </c>
      <c r="BB1062" t="str">
        <f t="shared" si="16"/>
        <v>IHVNbeKonshisha</v>
      </c>
    </row>
    <row r="1063" spans="48:54" x14ac:dyDescent="0.3">
      <c r="AV1063" t="s">
        <v>789</v>
      </c>
      <c r="AW1063" t="s">
        <v>139</v>
      </c>
      <c r="AX1063" t="s">
        <v>547</v>
      </c>
      <c r="AY1063" s="81" t="s">
        <v>2880</v>
      </c>
      <c r="AZ1063" t="s">
        <v>2881</v>
      </c>
      <c r="BA1063" t="s">
        <v>128</v>
      </c>
      <c r="BB1063" t="str">
        <f t="shared" si="16"/>
        <v>IHVNbeKonshisha</v>
      </c>
    </row>
    <row r="1064" spans="48:54" x14ac:dyDescent="0.3">
      <c r="AV1064" t="s">
        <v>789</v>
      </c>
      <c r="AW1064" t="s">
        <v>139</v>
      </c>
      <c r="AX1064" t="s">
        <v>547</v>
      </c>
      <c r="AY1064" s="81" t="s">
        <v>2882</v>
      </c>
      <c r="AZ1064" t="s">
        <v>2883</v>
      </c>
      <c r="BA1064" t="s">
        <v>128</v>
      </c>
      <c r="BB1064" t="str">
        <f t="shared" si="16"/>
        <v>IHVNbeKonshisha</v>
      </c>
    </row>
    <row r="1065" spans="48:54" x14ac:dyDescent="0.3">
      <c r="AV1065" t="s">
        <v>789</v>
      </c>
      <c r="AW1065" t="s">
        <v>139</v>
      </c>
      <c r="AX1065" t="s">
        <v>547</v>
      </c>
      <c r="AY1065" s="81" t="s">
        <v>2884</v>
      </c>
      <c r="AZ1065" t="s">
        <v>2885</v>
      </c>
      <c r="BA1065" t="s">
        <v>128</v>
      </c>
      <c r="BB1065" t="str">
        <f t="shared" si="16"/>
        <v>IHVNbeKonshisha</v>
      </c>
    </row>
    <row r="1066" spans="48:54" x14ac:dyDescent="0.3">
      <c r="AV1066" t="s">
        <v>789</v>
      </c>
      <c r="AW1066" t="s">
        <v>139</v>
      </c>
      <c r="AX1066" t="s">
        <v>547</v>
      </c>
      <c r="AY1066" s="81" t="s">
        <v>2886</v>
      </c>
      <c r="AZ1066" t="s">
        <v>2887</v>
      </c>
      <c r="BA1066" t="s">
        <v>128</v>
      </c>
      <c r="BB1066" t="str">
        <f t="shared" si="16"/>
        <v>IHVNbeKonshisha</v>
      </c>
    </row>
    <row r="1067" spans="48:54" x14ac:dyDescent="0.3">
      <c r="AV1067" t="s">
        <v>789</v>
      </c>
      <c r="AW1067" t="s">
        <v>139</v>
      </c>
      <c r="AX1067" t="s">
        <v>547</v>
      </c>
      <c r="AY1067" s="81" t="s">
        <v>2888</v>
      </c>
      <c r="AZ1067" t="s">
        <v>2889</v>
      </c>
      <c r="BA1067" t="s">
        <v>128</v>
      </c>
      <c r="BB1067" t="str">
        <f t="shared" si="16"/>
        <v>IHVNbeKonshisha</v>
      </c>
    </row>
    <row r="1068" spans="48:54" x14ac:dyDescent="0.3">
      <c r="AV1068" t="s">
        <v>789</v>
      </c>
      <c r="AW1068" t="s">
        <v>139</v>
      </c>
      <c r="AX1068" t="s">
        <v>547</v>
      </c>
      <c r="AY1068" s="81" t="s">
        <v>2890</v>
      </c>
      <c r="AZ1068" t="s">
        <v>2891</v>
      </c>
      <c r="BA1068" t="s">
        <v>128</v>
      </c>
      <c r="BB1068" t="str">
        <f t="shared" si="16"/>
        <v>IHVNbeKonshisha</v>
      </c>
    </row>
    <row r="1069" spans="48:54" x14ac:dyDescent="0.3">
      <c r="AV1069" t="s">
        <v>789</v>
      </c>
      <c r="AW1069" t="s">
        <v>139</v>
      </c>
      <c r="AX1069" t="s">
        <v>547</v>
      </c>
      <c r="AY1069" s="81" t="s">
        <v>2892</v>
      </c>
      <c r="AZ1069" t="s">
        <v>2893</v>
      </c>
      <c r="BA1069" t="s">
        <v>128</v>
      </c>
      <c r="BB1069" t="str">
        <f t="shared" si="16"/>
        <v>IHVNbeKonshisha</v>
      </c>
    </row>
    <row r="1070" spans="48:54" x14ac:dyDescent="0.3">
      <c r="AV1070" t="s">
        <v>789</v>
      </c>
      <c r="AW1070" t="s">
        <v>139</v>
      </c>
      <c r="AX1070" t="s">
        <v>547</v>
      </c>
      <c r="AY1070" s="81" t="s">
        <v>2894</v>
      </c>
      <c r="AZ1070" t="s">
        <v>2895</v>
      </c>
      <c r="BA1070" t="s">
        <v>128</v>
      </c>
      <c r="BB1070" t="str">
        <f t="shared" si="16"/>
        <v>IHVNbeKonshisha</v>
      </c>
    </row>
    <row r="1071" spans="48:54" x14ac:dyDescent="0.3">
      <c r="AV1071" t="s">
        <v>789</v>
      </c>
      <c r="AW1071" t="s">
        <v>139</v>
      </c>
      <c r="AX1071" t="s">
        <v>550</v>
      </c>
      <c r="AY1071" s="81" t="s">
        <v>2896</v>
      </c>
      <c r="AZ1071" t="s">
        <v>2897</v>
      </c>
      <c r="BA1071" t="s">
        <v>128</v>
      </c>
      <c r="BB1071" t="str">
        <f t="shared" si="16"/>
        <v>IHVNbeMakurdi</v>
      </c>
    </row>
    <row r="1072" spans="48:54" x14ac:dyDescent="0.3">
      <c r="AV1072" t="s">
        <v>789</v>
      </c>
      <c r="AW1072" t="s">
        <v>139</v>
      </c>
      <c r="AX1072" t="s">
        <v>550</v>
      </c>
      <c r="AY1072" s="81" t="s">
        <v>2898</v>
      </c>
      <c r="AZ1072" t="s">
        <v>2899</v>
      </c>
      <c r="BA1072" t="s">
        <v>128</v>
      </c>
      <c r="BB1072" t="str">
        <f t="shared" si="16"/>
        <v>IHVNbeMakurdi</v>
      </c>
    </row>
    <row r="1073" spans="48:54" x14ac:dyDescent="0.3">
      <c r="AV1073" t="s">
        <v>789</v>
      </c>
      <c r="AW1073" t="s">
        <v>139</v>
      </c>
      <c r="AX1073" t="s">
        <v>550</v>
      </c>
      <c r="AY1073" s="81" t="s">
        <v>2900</v>
      </c>
      <c r="AZ1073" t="s">
        <v>2901</v>
      </c>
      <c r="BA1073" t="s">
        <v>128</v>
      </c>
      <c r="BB1073" t="str">
        <f t="shared" si="16"/>
        <v>IHVNbeMakurdi</v>
      </c>
    </row>
    <row r="1074" spans="48:54" x14ac:dyDescent="0.3">
      <c r="AV1074" t="s">
        <v>789</v>
      </c>
      <c r="AW1074" t="s">
        <v>139</v>
      </c>
      <c r="AX1074" t="s">
        <v>550</v>
      </c>
      <c r="AY1074" s="81" t="s">
        <v>2902</v>
      </c>
      <c r="AZ1074" t="s">
        <v>2903</v>
      </c>
      <c r="BA1074" t="s">
        <v>128</v>
      </c>
      <c r="BB1074" t="str">
        <f t="shared" si="16"/>
        <v>IHVNbeMakurdi</v>
      </c>
    </row>
    <row r="1075" spans="48:54" x14ac:dyDescent="0.3">
      <c r="AV1075" t="s">
        <v>789</v>
      </c>
      <c r="AW1075" t="s">
        <v>139</v>
      </c>
      <c r="AX1075" t="s">
        <v>550</v>
      </c>
      <c r="AY1075" s="81" t="s">
        <v>2904</v>
      </c>
      <c r="AZ1075" t="s">
        <v>2905</v>
      </c>
      <c r="BA1075" t="s">
        <v>128</v>
      </c>
      <c r="BB1075" t="str">
        <f t="shared" si="16"/>
        <v>IHVNbeMakurdi</v>
      </c>
    </row>
    <row r="1076" spans="48:54" x14ac:dyDescent="0.3">
      <c r="AV1076" t="s">
        <v>789</v>
      </c>
      <c r="AW1076" t="s">
        <v>139</v>
      </c>
      <c r="AX1076" t="s">
        <v>550</v>
      </c>
      <c r="AY1076" s="81" t="s">
        <v>2906</v>
      </c>
      <c r="AZ1076" t="s">
        <v>2907</v>
      </c>
      <c r="BA1076" t="s">
        <v>128</v>
      </c>
      <c r="BB1076" t="str">
        <f t="shared" si="16"/>
        <v>IHVNbeMakurdi</v>
      </c>
    </row>
    <row r="1077" spans="48:54" x14ac:dyDescent="0.3">
      <c r="AV1077" t="s">
        <v>789</v>
      </c>
      <c r="AW1077" t="s">
        <v>139</v>
      </c>
      <c r="AX1077" t="s">
        <v>550</v>
      </c>
      <c r="AY1077" s="81" t="s">
        <v>2908</v>
      </c>
      <c r="AZ1077" t="s">
        <v>2909</v>
      </c>
      <c r="BA1077" t="s">
        <v>128</v>
      </c>
      <c r="BB1077" t="str">
        <f t="shared" si="16"/>
        <v>IHVNbeMakurdi</v>
      </c>
    </row>
    <row r="1078" spans="48:54" x14ac:dyDescent="0.3">
      <c r="AV1078" t="s">
        <v>789</v>
      </c>
      <c r="AW1078" t="s">
        <v>139</v>
      </c>
      <c r="AX1078" t="s">
        <v>550</v>
      </c>
      <c r="AY1078" s="81" t="s">
        <v>2910</v>
      </c>
      <c r="AZ1078" t="s">
        <v>2911</v>
      </c>
      <c r="BA1078" t="s">
        <v>128</v>
      </c>
      <c r="BB1078" t="str">
        <f t="shared" si="16"/>
        <v>IHVNbeMakurdi</v>
      </c>
    </row>
    <row r="1079" spans="48:54" x14ac:dyDescent="0.3">
      <c r="AV1079" t="s">
        <v>789</v>
      </c>
      <c r="AW1079" t="s">
        <v>139</v>
      </c>
      <c r="AX1079" t="s">
        <v>550</v>
      </c>
      <c r="AY1079" s="81" t="s">
        <v>2912</v>
      </c>
      <c r="AZ1079" t="s">
        <v>2913</v>
      </c>
      <c r="BA1079" t="s">
        <v>128</v>
      </c>
      <c r="BB1079" t="str">
        <f t="shared" si="16"/>
        <v>IHVNbeMakurdi</v>
      </c>
    </row>
    <row r="1080" spans="48:54" x14ac:dyDescent="0.3">
      <c r="AV1080" t="s">
        <v>789</v>
      </c>
      <c r="AW1080" t="s">
        <v>139</v>
      </c>
      <c r="AX1080" t="s">
        <v>550</v>
      </c>
      <c r="AY1080" s="81" t="s">
        <v>2914</v>
      </c>
      <c r="AZ1080" t="s">
        <v>2915</v>
      </c>
      <c r="BA1080" t="s">
        <v>128</v>
      </c>
      <c r="BB1080" t="str">
        <f t="shared" si="16"/>
        <v>IHVNbeMakurdi</v>
      </c>
    </row>
    <row r="1081" spans="48:54" x14ac:dyDescent="0.3">
      <c r="AV1081" t="s">
        <v>789</v>
      </c>
      <c r="AW1081" t="s">
        <v>139</v>
      </c>
      <c r="AX1081" t="s">
        <v>550</v>
      </c>
      <c r="AY1081" s="81" t="s">
        <v>2916</v>
      </c>
      <c r="AZ1081" t="s">
        <v>2917</v>
      </c>
      <c r="BA1081" t="s">
        <v>128</v>
      </c>
      <c r="BB1081" t="str">
        <f t="shared" si="16"/>
        <v>IHVNbeMakurdi</v>
      </c>
    </row>
    <row r="1082" spans="48:54" x14ac:dyDescent="0.3">
      <c r="AV1082" t="s">
        <v>789</v>
      </c>
      <c r="AW1082" t="s">
        <v>139</v>
      </c>
      <c r="AX1082" t="s">
        <v>550</v>
      </c>
      <c r="AY1082" s="81" t="s">
        <v>2918</v>
      </c>
      <c r="AZ1082" t="s">
        <v>2919</v>
      </c>
      <c r="BA1082" t="s">
        <v>128</v>
      </c>
      <c r="BB1082" t="str">
        <f t="shared" si="16"/>
        <v>IHVNbeMakurdi</v>
      </c>
    </row>
    <row r="1083" spans="48:54" x14ac:dyDescent="0.3">
      <c r="AV1083" t="s">
        <v>789</v>
      </c>
      <c r="AW1083" t="s">
        <v>139</v>
      </c>
      <c r="AX1083" t="s">
        <v>550</v>
      </c>
      <c r="AY1083" s="81" t="s">
        <v>2920</v>
      </c>
      <c r="AZ1083" t="s">
        <v>2921</v>
      </c>
      <c r="BA1083" t="s">
        <v>128</v>
      </c>
      <c r="BB1083" t="str">
        <f t="shared" si="16"/>
        <v>IHVNbeMakurdi</v>
      </c>
    </row>
    <row r="1084" spans="48:54" x14ac:dyDescent="0.3">
      <c r="AV1084" t="s">
        <v>789</v>
      </c>
      <c r="AW1084" t="s">
        <v>139</v>
      </c>
      <c r="AX1084" t="s">
        <v>550</v>
      </c>
      <c r="AY1084" s="81" t="s">
        <v>2922</v>
      </c>
      <c r="AZ1084" t="s">
        <v>2923</v>
      </c>
      <c r="BA1084" t="s">
        <v>128</v>
      </c>
      <c r="BB1084" t="str">
        <f t="shared" si="16"/>
        <v>IHVNbeMakurdi</v>
      </c>
    </row>
    <row r="1085" spans="48:54" x14ac:dyDescent="0.3">
      <c r="AV1085" t="s">
        <v>789</v>
      </c>
      <c r="AW1085" t="s">
        <v>139</v>
      </c>
      <c r="AX1085" t="s">
        <v>550</v>
      </c>
      <c r="AY1085" s="81" t="s">
        <v>2924</v>
      </c>
      <c r="AZ1085" t="s">
        <v>2925</v>
      </c>
      <c r="BA1085" t="s">
        <v>128</v>
      </c>
      <c r="BB1085" t="str">
        <f t="shared" si="16"/>
        <v>IHVNbeMakurdi</v>
      </c>
    </row>
    <row r="1086" spans="48:54" x14ac:dyDescent="0.3">
      <c r="AV1086" t="s">
        <v>789</v>
      </c>
      <c r="AW1086" t="s">
        <v>139</v>
      </c>
      <c r="AX1086" t="s">
        <v>562</v>
      </c>
      <c r="AY1086" s="81" t="s">
        <v>2926</v>
      </c>
      <c r="AZ1086" t="s">
        <v>2927</v>
      </c>
      <c r="BA1086" t="s">
        <v>128</v>
      </c>
      <c r="BB1086" t="str">
        <f t="shared" si="16"/>
        <v>IHVNbeOju</v>
      </c>
    </row>
    <row r="1087" spans="48:54" x14ac:dyDescent="0.3">
      <c r="AV1087" t="s">
        <v>789</v>
      </c>
      <c r="AW1087" t="s">
        <v>139</v>
      </c>
      <c r="AX1087" t="s">
        <v>562</v>
      </c>
      <c r="AY1087" s="81" t="s">
        <v>2928</v>
      </c>
      <c r="AZ1087" t="s">
        <v>2929</v>
      </c>
      <c r="BA1087" t="s">
        <v>128</v>
      </c>
      <c r="BB1087" t="str">
        <f t="shared" si="16"/>
        <v>IHVNbeOju</v>
      </c>
    </row>
    <row r="1088" spans="48:54" x14ac:dyDescent="0.3">
      <c r="AV1088" t="s">
        <v>789</v>
      </c>
      <c r="AW1088" t="s">
        <v>139</v>
      </c>
      <c r="AX1088" t="s">
        <v>555</v>
      </c>
      <c r="AY1088" s="81" t="s">
        <v>2930</v>
      </c>
      <c r="AZ1088" t="s">
        <v>2931</v>
      </c>
      <c r="BA1088" t="s">
        <v>128</v>
      </c>
      <c r="BB1088" t="str">
        <f t="shared" si="16"/>
        <v>IHVNbeUshongo</v>
      </c>
    </row>
    <row r="1089" spans="48:54" x14ac:dyDescent="0.3">
      <c r="AV1089" t="s">
        <v>789</v>
      </c>
      <c r="AW1089" t="s">
        <v>139</v>
      </c>
      <c r="AX1089" t="s">
        <v>555</v>
      </c>
      <c r="AY1089" s="81" t="s">
        <v>2932</v>
      </c>
      <c r="AZ1089" t="s">
        <v>2933</v>
      </c>
      <c r="BA1089" t="s">
        <v>128</v>
      </c>
      <c r="BB1089" t="str">
        <f t="shared" si="16"/>
        <v>IHVNbeUshongo</v>
      </c>
    </row>
    <row r="1090" spans="48:54" x14ac:dyDescent="0.3">
      <c r="AV1090" t="s">
        <v>789</v>
      </c>
      <c r="AW1090" t="s">
        <v>139</v>
      </c>
      <c r="AX1090" t="s">
        <v>555</v>
      </c>
      <c r="AY1090" s="81" t="s">
        <v>2934</v>
      </c>
      <c r="AZ1090" t="s">
        <v>2935</v>
      </c>
      <c r="BA1090" t="s">
        <v>128</v>
      </c>
      <c r="BB1090" t="str">
        <f t="shared" si="16"/>
        <v>IHVNbeUshongo</v>
      </c>
    </row>
    <row r="1091" spans="48:54" x14ac:dyDescent="0.3">
      <c r="AV1091" t="s">
        <v>789</v>
      </c>
      <c r="AW1091" t="s">
        <v>139</v>
      </c>
      <c r="AX1091" t="s">
        <v>555</v>
      </c>
      <c r="AY1091" s="81" t="s">
        <v>1933</v>
      </c>
      <c r="AZ1091" t="s">
        <v>2936</v>
      </c>
      <c r="BA1091" t="s">
        <v>128</v>
      </c>
      <c r="BB1091" t="str">
        <f t="shared" ref="BB1091:BB1154" si="17">SUBSTITUTE(SUBSTITUTE(BA1091&amp;AX1091," ",""),"-","")</f>
        <v>IHVNbeUshongo</v>
      </c>
    </row>
    <row r="1092" spans="48:54" x14ac:dyDescent="0.3">
      <c r="AV1092" t="s">
        <v>789</v>
      </c>
      <c r="AW1092" t="s">
        <v>139</v>
      </c>
      <c r="AX1092" t="s">
        <v>555</v>
      </c>
      <c r="AY1092" s="81" t="s">
        <v>2937</v>
      </c>
      <c r="AZ1092" t="s">
        <v>2938</v>
      </c>
      <c r="BA1092" t="s">
        <v>128</v>
      </c>
      <c r="BB1092" t="str">
        <f t="shared" si="17"/>
        <v>IHVNbeUshongo</v>
      </c>
    </row>
    <row r="1093" spans="48:54" x14ac:dyDescent="0.3">
      <c r="AV1093" t="s">
        <v>789</v>
      </c>
      <c r="AW1093" t="s">
        <v>139</v>
      </c>
      <c r="AX1093" t="s">
        <v>555</v>
      </c>
      <c r="AY1093" s="81" t="s">
        <v>2939</v>
      </c>
      <c r="AZ1093" t="s">
        <v>2940</v>
      </c>
      <c r="BA1093" t="s">
        <v>128</v>
      </c>
      <c r="BB1093" t="str">
        <f t="shared" si="17"/>
        <v>IHVNbeUshongo</v>
      </c>
    </row>
    <row r="1094" spans="48:54" x14ac:dyDescent="0.3">
      <c r="AV1094" t="s">
        <v>789</v>
      </c>
      <c r="AW1094" t="s">
        <v>139</v>
      </c>
      <c r="AX1094" t="s">
        <v>555</v>
      </c>
      <c r="AY1094" s="81" t="s">
        <v>2941</v>
      </c>
      <c r="AZ1094" t="s">
        <v>2942</v>
      </c>
      <c r="BA1094" t="s">
        <v>128</v>
      </c>
      <c r="BB1094" t="str">
        <f t="shared" si="17"/>
        <v>IHVNbeUshongo</v>
      </c>
    </row>
    <row r="1095" spans="48:54" x14ac:dyDescent="0.3">
      <c r="AV1095" t="s">
        <v>789</v>
      </c>
      <c r="AW1095" t="s">
        <v>139</v>
      </c>
      <c r="AX1095" t="s">
        <v>555</v>
      </c>
      <c r="AY1095" s="81" t="s">
        <v>2943</v>
      </c>
      <c r="AZ1095" t="s">
        <v>2944</v>
      </c>
      <c r="BA1095" t="s">
        <v>128</v>
      </c>
      <c r="BB1095" t="str">
        <f t="shared" si="17"/>
        <v>IHVNbeUshongo</v>
      </c>
    </row>
    <row r="1096" spans="48:54" x14ac:dyDescent="0.3">
      <c r="AV1096" t="s">
        <v>789</v>
      </c>
      <c r="AW1096" t="s">
        <v>139</v>
      </c>
      <c r="AX1096" t="s">
        <v>555</v>
      </c>
      <c r="AY1096" s="81" t="s">
        <v>2945</v>
      </c>
      <c r="AZ1096" t="s">
        <v>2946</v>
      </c>
      <c r="BA1096" t="s">
        <v>128</v>
      </c>
      <c r="BB1096" t="str">
        <f t="shared" si="17"/>
        <v>IHVNbeUshongo</v>
      </c>
    </row>
    <row r="1097" spans="48:54" x14ac:dyDescent="0.3">
      <c r="AV1097" t="s">
        <v>789</v>
      </c>
      <c r="AW1097" t="s">
        <v>139</v>
      </c>
      <c r="AX1097" t="s">
        <v>555</v>
      </c>
      <c r="AY1097" s="81" t="s">
        <v>2947</v>
      </c>
      <c r="AZ1097" t="s">
        <v>2948</v>
      </c>
      <c r="BA1097" t="s">
        <v>128</v>
      </c>
      <c r="BB1097" t="str">
        <f t="shared" si="17"/>
        <v>IHVNbeUshongo</v>
      </c>
    </row>
    <row r="1098" spans="48:54" x14ac:dyDescent="0.3">
      <c r="AV1098" t="s">
        <v>789</v>
      </c>
      <c r="AW1098" t="s">
        <v>139</v>
      </c>
      <c r="AX1098" t="s">
        <v>555</v>
      </c>
      <c r="AY1098" s="81" t="s">
        <v>2949</v>
      </c>
      <c r="AZ1098" t="s">
        <v>2950</v>
      </c>
      <c r="BA1098" t="s">
        <v>128</v>
      </c>
      <c r="BB1098" t="str">
        <f t="shared" si="17"/>
        <v>IHVNbeUshongo</v>
      </c>
    </row>
    <row r="1099" spans="48:54" x14ac:dyDescent="0.3">
      <c r="AV1099" t="s">
        <v>789</v>
      </c>
      <c r="AW1099" t="s">
        <v>139</v>
      </c>
      <c r="AX1099" t="s">
        <v>555</v>
      </c>
      <c r="AY1099" s="81" t="s">
        <v>2951</v>
      </c>
      <c r="AZ1099" t="s">
        <v>2952</v>
      </c>
      <c r="BA1099" t="s">
        <v>128</v>
      </c>
      <c r="BB1099" t="str">
        <f t="shared" si="17"/>
        <v>IHVNbeUshongo</v>
      </c>
    </row>
    <row r="1100" spans="48:54" x14ac:dyDescent="0.3">
      <c r="AV1100" t="s">
        <v>789</v>
      </c>
      <c r="AW1100" t="s">
        <v>139</v>
      </c>
      <c r="AX1100" t="s">
        <v>555</v>
      </c>
      <c r="AY1100" s="81" t="s">
        <v>2953</v>
      </c>
      <c r="AZ1100" t="s">
        <v>2954</v>
      </c>
      <c r="BA1100" t="s">
        <v>128</v>
      </c>
      <c r="BB1100" t="str">
        <f t="shared" si="17"/>
        <v>IHVNbeUshongo</v>
      </c>
    </row>
    <row r="1101" spans="48:54" x14ac:dyDescent="0.3">
      <c r="AV1101" t="s">
        <v>789</v>
      </c>
      <c r="AW1101" t="s">
        <v>139</v>
      </c>
      <c r="AX1101" t="s">
        <v>555</v>
      </c>
      <c r="AY1101" s="81" t="s">
        <v>2955</v>
      </c>
      <c r="AZ1101" t="s">
        <v>2956</v>
      </c>
      <c r="BA1101" t="s">
        <v>128</v>
      </c>
      <c r="BB1101" t="str">
        <f t="shared" si="17"/>
        <v>IHVNbeUshongo</v>
      </c>
    </row>
    <row r="1102" spans="48:54" x14ac:dyDescent="0.3">
      <c r="AV1102" t="s">
        <v>789</v>
      </c>
      <c r="AW1102" t="s">
        <v>139</v>
      </c>
      <c r="AX1102" t="s">
        <v>555</v>
      </c>
      <c r="AY1102" s="81" t="s">
        <v>2957</v>
      </c>
      <c r="AZ1102" t="s">
        <v>2958</v>
      </c>
      <c r="BA1102" t="s">
        <v>128</v>
      </c>
      <c r="BB1102" t="str">
        <f t="shared" si="17"/>
        <v>IHVNbeUshongo</v>
      </c>
    </row>
    <row r="1103" spans="48:54" x14ac:dyDescent="0.3">
      <c r="AV1103" t="s">
        <v>789</v>
      </c>
      <c r="AW1103" t="s">
        <v>139</v>
      </c>
      <c r="AX1103" t="s">
        <v>555</v>
      </c>
      <c r="AY1103" s="81" t="s">
        <v>2959</v>
      </c>
      <c r="AZ1103" t="s">
        <v>2960</v>
      </c>
      <c r="BA1103" t="s">
        <v>128</v>
      </c>
      <c r="BB1103" t="str">
        <f t="shared" si="17"/>
        <v>IHVNbeUshongo</v>
      </c>
    </row>
    <row r="1104" spans="48:54" x14ac:dyDescent="0.3">
      <c r="AV1104" t="s">
        <v>789</v>
      </c>
      <c r="AW1104" t="s">
        <v>139</v>
      </c>
      <c r="AX1104" t="s">
        <v>555</v>
      </c>
      <c r="AY1104" s="81" t="s">
        <v>2961</v>
      </c>
      <c r="AZ1104" t="s">
        <v>2962</v>
      </c>
      <c r="BA1104" t="s">
        <v>128</v>
      </c>
      <c r="BB1104" t="str">
        <f t="shared" si="17"/>
        <v>IHVNbeUshongo</v>
      </c>
    </row>
    <row r="1105" spans="48:54" x14ac:dyDescent="0.3">
      <c r="AV1105" t="s">
        <v>789</v>
      </c>
      <c r="AW1105" t="s">
        <v>139</v>
      </c>
      <c r="AX1105" t="s">
        <v>555</v>
      </c>
      <c r="AY1105" s="81" t="s">
        <v>2963</v>
      </c>
      <c r="AZ1105" t="s">
        <v>2964</v>
      </c>
      <c r="BA1105" t="s">
        <v>128</v>
      </c>
      <c r="BB1105" t="str">
        <f t="shared" si="17"/>
        <v>IHVNbeUshongo</v>
      </c>
    </row>
    <row r="1106" spans="48:54" x14ac:dyDescent="0.3">
      <c r="AV1106" t="s">
        <v>789</v>
      </c>
      <c r="AW1106" t="s">
        <v>139</v>
      </c>
      <c r="AX1106" t="s">
        <v>555</v>
      </c>
      <c r="AY1106" s="81" t="s">
        <v>2965</v>
      </c>
      <c r="AZ1106" t="s">
        <v>2966</v>
      </c>
      <c r="BA1106" t="s">
        <v>128</v>
      </c>
      <c r="BB1106" t="str">
        <f t="shared" si="17"/>
        <v>IHVNbeUshongo</v>
      </c>
    </row>
    <row r="1107" spans="48:54" x14ac:dyDescent="0.3">
      <c r="AV1107" t="s">
        <v>789</v>
      </c>
      <c r="AW1107" t="s">
        <v>139</v>
      </c>
      <c r="AX1107" t="s">
        <v>555</v>
      </c>
      <c r="AY1107" s="81" t="s">
        <v>2967</v>
      </c>
      <c r="AZ1107" t="s">
        <v>2968</v>
      </c>
      <c r="BA1107" t="s">
        <v>128</v>
      </c>
      <c r="BB1107" t="str">
        <f t="shared" si="17"/>
        <v>IHVNbeUshongo</v>
      </c>
    </row>
    <row r="1108" spans="48:54" x14ac:dyDescent="0.3">
      <c r="AV1108" t="s">
        <v>789</v>
      </c>
      <c r="AW1108" t="s">
        <v>139</v>
      </c>
      <c r="AX1108" t="s">
        <v>555</v>
      </c>
      <c r="AY1108" s="81" t="s">
        <v>2969</v>
      </c>
      <c r="AZ1108" t="s">
        <v>2970</v>
      </c>
      <c r="BA1108" t="s">
        <v>128</v>
      </c>
      <c r="BB1108" t="str">
        <f t="shared" si="17"/>
        <v>IHVNbeUshongo</v>
      </c>
    </row>
    <row r="1109" spans="48:54" x14ac:dyDescent="0.3">
      <c r="AV1109" t="s">
        <v>789</v>
      </c>
      <c r="AW1109" t="s">
        <v>139</v>
      </c>
      <c r="AX1109" t="s">
        <v>555</v>
      </c>
      <c r="AY1109" s="81" t="s">
        <v>2971</v>
      </c>
      <c r="AZ1109" t="s">
        <v>2972</v>
      </c>
      <c r="BA1109" t="s">
        <v>128</v>
      </c>
      <c r="BB1109" t="str">
        <f t="shared" si="17"/>
        <v>IHVNbeUshongo</v>
      </c>
    </row>
    <row r="1110" spans="48:54" x14ac:dyDescent="0.3">
      <c r="AV1110" t="s">
        <v>789</v>
      </c>
      <c r="AW1110" t="s">
        <v>139</v>
      </c>
      <c r="AX1110" t="s">
        <v>555</v>
      </c>
      <c r="AY1110" s="81" t="s">
        <v>2973</v>
      </c>
      <c r="AZ1110" t="s">
        <v>2974</v>
      </c>
      <c r="BA1110" t="s">
        <v>128</v>
      </c>
      <c r="BB1110" t="str">
        <f t="shared" si="17"/>
        <v>IHVNbeUshongo</v>
      </c>
    </row>
    <row r="1111" spans="48:54" x14ac:dyDescent="0.3">
      <c r="AV1111" t="s">
        <v>789</v>
      </c>
      <c r="AW1111" t="s">
        <v>139</v>
      </c>
      <c r="AX1111" t="s">
        <v>555</v>
      </c>
      <c r="AY1111" s="81" t="s">
        <v>2975</v>
      </c>
      <c r="AZ1111" t="s">
        <v>2976</v>
      </c>
      <c r="BA1111" t="s">
        <v>128</v>
      </c>
      <c r="BB1111" t="str">
        <f t="shared" si="17"/>
        <v>IHVNbeUshongo</v>
      </c>
    </row>
    <row r="1112" spans="48:54" x14ac:dyDescent="0.3">
      <c r="AV1112" t="s">
        <v>789</v>
      </c>
      <c r="AW1112" t="s">
        <v>139</v>
      </c>
      <c r="AX1112" t="s">
        <v>555</v>
      </c>
      <c r="AY1112" s="81" t="s">
        <v>2977</v>
      </c>
      <c r="AZ1112" t="s">
        <v>2978</v>
      </c>
      <c r="BA1112" t="s">
        <v>128</v>
      </c>
      <c r="BB1112" t="str">
        <f t="shared" si="17"/>
        <v>IHVNbeUshongo</v>
      </c>
    </row>
    <row r="1113" spans="48:54" x14ac:dyDescent="0.3">
      <c r="AV1113" t="s">
        <v>789</v>
      </c>
      <c r="AW1113" t="s">
        <v>139</v>
      </c>
      <c r="AX1113" t="s">
        <v>555</v>
      </c>
      <c r="AY1113" s="81" t="s">
        <v>2979</v>
      </c>
      <c r="AZ1113" t="s">
        <v>2980</v>
      </c>
      <c r="BA1113" t="s">
        <v>128</v>
      </c>
      <c r="BB1113" t="str">
        <f t="shared" si="17"/>
        <v>IHVNbeUshongo</v>
      </c>
    </row>
    <row r="1114" spans="48:54" x14ac:dyDescent="0.3">
      <c r="AV1114" t="s">
        <v>789</v>
      </c>
      <c r="AW1114" t="s">
        <v>139</v>
      </c>
      <c r="AX1114" t="s">
        <v>555</v>
      </c>
      <c r="AY1114" s="81" t="s">
        <v>2981</v>
      </c>
      <c r="AZ1114" t="s">
        <v>2982</v>
      </c>
      <c r="BA1114" t="s">
        <v>128</v>
      </c>
      <c r="BB1114" t="str">
        <f t="shared" si="17"/>
        <v>IHVNbeUshongo</v>
      </c>
    </row>
    <row r="1115" spans="48:54" x14ac:dyDescent="0.3">
      <c r="AV1115" t="s">
        <v>789</v>
      </c>
      <c r="AW1115" t="s">
        <v>139</v>
      </c>
      <c r="AX1115" t="s">
        <v>555</v>
      </c>
      <c r="AY1115" s="81" t="s">
        <v>2983</v>
      </c>
      <c r="AZ1115" t="s">
        <v>2984</v>
      </c>
      <c r="BA1115" t="s">
        <v>128</v>
      </c>
      <c r="BB1115" t="str">
        <f t="shared" si="17"/>
        <v>IHVNbeUshongo</v>
      </c>
    </row>
    <row r="1116" spans="48:54" x14ac:dyDescent="0.3">
      <c r="AV1116" t="s">
        <v>789</v>
      </c>
      <c r="AW1116" t="s">
        <v>139</v>
      </c>
      <c r="AX1116" t="s">
        <v>555</v>
      </c>
      <c r="AY1116" s="81" t="s">
        <v>2985</v>
      </c>
      <c r="AZ1116" t="s">
        <v>2986</v>
      </c>
      <c r="BA1116" t="s">
        <v>128</v>
      </c>
      <c r="BB1116" t="str">
        <f t="shared" si="17"/>
        <v>IHVNbeUshongo</v>
      </c>
    </row>
    <row r="1117" spans="48:54" x14ac:dyDescent="0.3">
      <c r="AV1117" t="s">
        <v>789</v>
      </c>
      <c r="AW1117" t="s">
        <v>139</v>
      </c>
      <c r="AX1117" t="s">
        <v>555</v>
      </c>
      <c r="AY1117" s="81" t="s">
        <v>2987</v>
      </c>
      <c r="AZ1117" t="s">
        <v>2988</v>
      </c>
      <c r="BA1117" t="s">
        <v>128</v>
      </c>
      <c r="BB1117" t="str">
        <f t="shared" si="17"/>
        <v>IHVNbeUshongo</v>
      </c>
    </row>
    <row r="1118" spans="48:54" x14ac:dyDescent="0.3">
      <c r="AV1118" t="s">
        <v>789</v>
      </c>
      <c r="AW1118" t="s">
        <v>139</v>
      </c>
      <c r="AX1118" t="s">
        <v>555</v>
      </c>
      <c r="AY1118" s="81" t="s">
        <v>2989</v>
      </c>
      <c r="AZ1118" t="s">
        <v>2990</v>
      </c>
      <c r="BA1118" t="s">
        <v>128</v>
      </c>
      <c r="BB1118" t="str">
        <f t="shared" si="17"/>
        <v>IHVNbeUshongo</v>
      </c>
    </row>
    <row r="1119" spans="48:54" x14ac:dyDescent="0.3">
      <c r="AV1119" t="s">
        <v>789</v>
      </c>
      <c r="AW1119" t="s">
        <v>139</v>
      </c>
      <c r="AX1119" t="s">
        <v>555</v>
      </c>
      <c r="AY1119" s="81" t="s">
        <v>2991</v>
      </c>
      <c r="AZ1119" t="s">
        <v>2992</v>
      </c>
      <c r="BA1119" t="s">
        <v>128</v>
      </c>
      <c r="BB1119" t="str">
        <f t="shared" si="17"/>
        <v>IHVNbeUshongo</v>
      </c>
    </row>
    <row r="1120" spans="48:54" x14ac:dyDescent="0.3">
      <c r="AV1120" t="s">
        <v>789</v>
      </c>
      <c r="AW1120" t="s">
        <v>142</v>
      </c>
      <c r="AX1120" t="s">
        <v>564</v>
      </c>
      <c r="AY1120" s="81" t="s">
        <v>2993</v>
      </c>
      <c r="AZ1120" t="s">
        <v>2994</v>
      </c>
      <c r="BA1120" t="s">
        <v>128</v>
      </c>
      <c r="BB1120" t="str">
        <f t="shared" si="17"/>
        <v>IHVNdeEthiopeEast</v>
      </c>
    </row>
    <row r="1121" spans="48:54" x14ac:dyDescent="0.3">
      <c r="AV1121" t="s">
        <v>789</v>
      </c>
      <c r="AW1121" t="s">
        <v>142</v>
      </c>
      <c r="AX1121" t="s">
        <v>567</v>
      </c>
      <c r="AY1121" s="81" t="s">
        <v>2995</v>
      </c>
      <c r="AZ1121" t="s">
        <v>2996</v>
      </c>
      <c r="BA1121" t="s">
        <v>128</v>
      </c>
      <c r="BB1121" t="str">
        <f t="shared" si="17"/>
        <v>IHVNdeIkaSouth</v>
      </c>
    </row>
    <row r="1122" spans="48:54" x14ac:dyDescent="0.3">
      <c r="AV1122" t="s">
        <v>789</v>
      </c>
      <c r="AW1122" t="s">
        <v>142</v>
      </c>
      <c r="AX1122" t="s">
        <v>568</v>
      </c>
      <c r="AY1122" s="81" t="s">
        <v>2997</v>
      </c>
      <c r="AZ1122" t="s">
        <v>2998</v>
      </c>
      <c r="BA1122" t="s">
        <v>128</v>
      </c>
      <c r="BB1122" t="str">
        <f t="shared" si="17"/>
        <v>IHVNdeOshimiliSouth</v>
      </c>
    </row>
    <row r="1123" spans="48:54" x14ac:dyDescent="0.3">
      <c r="AV1123" t="s">
        <v>789</v>
      </c>
      <c r="AW1123" t="s">
        <v>142</v>
      </c>
      <c r="AX1123" t="s">
        <v>568</v>
      </c>
      <c r="AY1123" s="81" t="s">
        <v>2999</v>
      </c>
      <c r="AZ1123" t="s">
        <v>3000</v>
      </c>
      <c r="BA1123" t="s">
        <v>128</v>
      </c>
      <c r="BB1123" t="str">
        <f t="shared" si="17"/>
        <v>IHVNdeOshimiliSouth</v>
      </c>
    </row>
    <row r="1124" spans="48:54" x14ac:dyDescent="0.3">
      <c r="AV1124" t="s">
        <v>789</v>
      </c>
      <c r="AW1124" t="s">
        <v>142</v>
      </c>
      <c r="AX1124" t="s">
        <v>569</v>
      </c>
      <c r="AY1124" s="81" t="s">
        <v>3001</v>
      </c>
      <c r="AZ1124" t="s">
        <v>3002</v>
      </c>
      <c r="BA1124" t="s">
        <v>128</v>
      </c>
      <c r="BB1124" t="str">
        <f t="shared" si="17"/>
        <v>IHVNdeUvwie</v>
      </c>
    </row>
    <row r="1125" spans="48:54" x14ac:dyDescent="0.3">
      <c r="AV1125" t="s">
        <v>789</v>
      </c>
      <c r="AW1125" t="s">
        <v>145</v>
      </c>
      <c r="AX1125" t="s">
        <v>583</v>
      </c>
      <c r="AY1125" s="81" t="s">
        <v>3003</v>
      </c>
      <c r="AZ1125" t="s">
        <v>3004</v>
      </c>
      <c r="BA1125" t="s">
        <v>128</v>
      </c>
      <c r="BB1125" t="str">
        <f t="shared" si="17"/>
        <v>IHVNekAdoEkiti</v>
      </c>
    </row>
    <row r="1126" spans="48:54" x14ac:dyDescent="0.3">
      <c r="AV1126" t="s">
        <v>789</v>
      </c>
      <c r="AW1126" t="s">
        <v>145</v>
      </c>
      <c r="AX1126" t="s">
        <v>583</v>
      </c>
      <c r="AY1126" s="81" t="s">
        <v>3005</v>
      </c>
      <c r="AZ1126" t="s">
        <v>3006</v>
      </c>
      <c r="BA1126" t="s">
        <v>128</v>
      </c>
      <c r="BB1126" t="str">
        <f t="shared" si="17"/>
        <v>IHVNekAdoEkiti</v>
      </c>
    </row>
    <row r="1127" spans="48:54" x14ac:dyDescent="0.3">
      <c r="AV1127" t="s">
        <v>789</v>
      </c>
      <c r="AW1127" t="s">
        <v>145</v>
      </c>
      <c r="AX1127" t="s">
        <v>584</v>
      </c>
      <c r="AY1127" s="81" t="s">
        <v>3007</v>
      </c>
      <c r="AZ1127" t="s">
        <v>3008</v>
      </c>
      <c r="BA1127" t="s">
        <v>128</v>
      </c>
      <c r="BB1127" t="str">
        <f t="shared" si="17"/>
        <v>IHVNekEkitiEast</v>
      </c>
    </row>
    <row r="1128" spans="48:54" x14ac:dyDescent="0.3">
      <c r="AV1128" t="s">
        <v>789</v>
      </c>
      <c r="AW1128" t="s">
        <v>145</v>
      </c>
      <c r="AX1128" t="s">
        <v>585</v>
      </c>
      <c r="AY1128" s="81" t="s">
        <v>3009</v>
      </c>
      <c r="AZ1128" t="s">
        <v>3010</v>
      </c>
      <c r="BA1128" t="s">
        <v>128</v>
      </c>
      <c r="BB1128" t="str">
        <f t="shared" si="17"/>
        <v>IHVNekIdoOsi</v>
      </c>
    </row>
    <row r="1129" spans="48:54" x14ac:dyDescent="0.3">
      <c r="AV1129" t="s">
        <v>789</v>
      </c>
      <c r="AW1129" t="s">
        <v>145</v>
      </c>
      <c r="AX1129" t="s">
        <v>586</v>
      </c>
      <c r="AY1129" s="81" t="s">
        <v>3011</v>
      </c>
      <c r="AZ1129" t="s">
        <v>3012</v>
      </c>
      <c r="BA1129" t="s">
        <v>128</v>
      </c>
      <c r="BB1129" t="str">
        <f t="shared" si="17"/>
        <v>IHVNekIlejemeje</v>
      </c>
    </row>
    <row r="1130" spans="48:54" x14ac:dyDescent="0.3">
      <c r="AV1130" s="81" t="s">
        <v>789</v>
      </c>
      <c r="AW1130" s="81" t="s">
        <v>145</v>
      </c>
      <c r="AX1130" s="81" t="s">
        <v>3831</v>
      </c>
      <c r="AY1130" s="81" t="s">
        <v>3832</v>
      </c>
      <c r="AZ1130" s="81" t="s">
        <v>3013</v>
      </c>
      <c r="BA1130" s="81" t="s">
        <v>128</v>
      </c>
      <c r="BB1130" s="81" t="str">
        <f t="shared" si="17"/>
        <v>IHVNekIrepodunIfelodun</v>
      </c>
    </row>
    <row r="1131" spans="48:54" x14ac:dyDescent="0.3">
      <c r="AV1131" t="s">
        <v>789</v>
      </c>
      <c r="AW1131" t="s">
        <v>145</v>
      </c>
      <c r="AX1131" t="s">
        <v>588</v>
      </c>
      <c r="AY1131" s="81" t="s">
        <v>3014</v>
      </c>
      <c r="AZ1131" t="s">
        <v>3015</v>
      </c>
      <c r="BA1131" t="s">
        <v>128</v>
      </c>
      <c r="BB1131" t="str">
        <f t="shared" si="17"/>
        <v>IHVNekOye</v>
      </c>
    </row>
    <row r="1132" spans="48:54" x14ac:dyDescent="0.3">
      <c r="AV1132" t="s">
        <v>789</v>
      </c>
      <c r="AW1132" t="s">
        <v>147</v>
      </c>
      <c r="AX1132" t="s">
        <v>607</v>
      </c>
      <c r="AY1132" s="81" t="s">
        <v>3016</v>
      </c>
      <c r="AZ1132" t="s">
        <v>3017</v>
      </c>
      <c r="BA1132" t="s">
        <v>128</v>
      </c>
      <c r="BB1132" t="str">
        <f t="shared" si="17"/>
        <v>IHVNfcAbaji</v>
      </c>
    </row>
    <row r="1133" spans="48:54" x14ac:dyDescent="0.3">
      <c r="AV1133" t="s">
        <v>789</v>
      </c>
      <c r="AW1133" t="s">
        <v>147</v>
      </c>
      <c r="AX1133" t="s">
        <v>607</v>
      </c>
      <c r="AY1133" s="81" t="s">
        <v>3018</v>
      </c>
      <c r="AZ1133" t="s">
        <v>3019</v>
      </c>
      <c r="BA1133" t="s">
        <v>128</v>
      </c>
      <c r="BB1133" t="str">
        <f t="shared" si="17"/>
        <v>IHVNfcAbaji</v>
      </c>
    </row>
    <row r="1134" spans="48:54" x14ac:dyDescent="0.3">
      <c r="AV1134" t="s">
        <v>789</v>
      </c>
      <c r="AW1134" t="s">
        <v>147</v>
      </c>
      <c r="AX1134" t="s">
        <v>605</v>
      </c>
      <c r="AY1134" s="81" t="s">
        <v>3020</v>
      </c>
      <c r="AZ1134" t="s">
        <v>3021</v>
      </c>
      <c r="BA1134" t="s">
        <v>128</v>
      </c>
      <c r="BB1134" t="str">
        <f t="shared" si="17"/>
        <v>IHVNfcAbujaMunicipalAreaCouncil</v>
      </c>
    </row>
    <row r="1135" spans="48:54" x14ac:dyDescent="0.3">
      <c r="AV1135" t="s">
        <v>789</v>
      </c>
      <c r="AW1135" t="s">
        <v>147</v>
      </c>
      <c r="AX1135" t="s">
        <v>605</v>
      </c>
      <c r="AY1135" s="81" t="s">
        <v>3022</v>
      </c>
      <c r="AZ1135" t="s">
        <v>3023</v>
      </c>
      <c r="BA1135" t="s">
        <v>128</v>
      </c>
      <c r="BB1135" t="str">
        <f t="shared" si="17"/>
        <v>IHVNfcAbujaMunicipalAreaCouncil</v>
      </c>
    </row>
    <row r="1136" spans="48:54" x14ac:dyDescent="0.3">
      <c r="AV1136" t="s">
        <v>789</v>
      </c>
      <c r="AW1136" t="s">
        <v>147</v>
      </c>
      <c r="AX1136" t="s">
        <v>605</v>
      </c>
      <c r="AY1136" s="81" t="s">
        <v>3024</v>
      </c>
      <c r="AZ1136" t="s">
        <v>3025</v>
      </c>
      <c r="BA1136" t="s">
        <v>128</v>
      </c>
      <c r="BB1136" t="str">
        <f t="shared" si="17"/>
        <v>IHVNfcAbujaMunicipalAreaCouncil</v>
      </c>
    </row>
    <row r="1137" spans="48:54" x14ac:dyDescent="0.3">
      <c r="AV1137" t="s">
        <v>789</v>
      </c>
      <c r="AW1137" t="s">
        <v>147</v>
      </c>
      <c r="AX1137" t="s">
        <v>605</v>
      </c>
      <c r="AY1137" s="81" t="s">
        <v>3026</v>
      </c>
      <c r="AZ1137" t="s">
        <v>3027</v>
      </c>
      <c r="BA1137" t="s">
        <v>128</v>
      </c>
      <c r="BB1137" t="str">
        <f t="shared" si="17"/>
        <v>IHVNfcAbujaMunicipalAreaCouncil</v>
      </c>
    </row>
    <row r="1138" spans="48:54" x14ac:dyDescent="0.3">
      <c r="AV1138" t="s">
        <v>789</v>
      </c>
      <c r="AW1138" t="s">
        <v>147</v>
      </c>
      <c r="AX1138" t="s">
        <v>605</v>
      </c>
      <c r="AY1138" s="81" t="s">
        <v>3028</v>
      </c>
      <c r="AZ1138" t="s">
        <v>3029</v>
      </c>
      <c r="BA1138" t="s">
        <v>128</v>
      </c>
      <c r="BB1138" t="str">
        <f t="shared" si="17"/>
        <v>IHVNfcAbujaMunicipalAreaCouncil</v>
      </c>
    </row>
    <row r="1139" spans="48:54" x14ac:dyDescent="0.3">
      <c r="AV1139" t="s">
        <v>789</v>
      </c>
      <c r="AW1139" t="s">
        <v>147</v>
      </c>
      <c r="AX1139" t="s">
        <v>605</v>
      </c>
      <c r="AY1139" s="81" t="s">
        <v>3030</v>
      </c>
      <c r="AZ1139" t="s">
        <v>3031</v>
      </c>
      <c r="BA1139" t="s">
        <v>128</v>
      </c>
      <c r="BB1139" t="str">
        <f t="shared" si="17"/>
        <v>IHVNfcAbujaMunicipalAreaCouncil</v>
      </c>
    </row>
    <row r="1140" spans="48:54" x14ac:dyDescent="0.3">
      <c r="AV1140" t="s">
        <v>789</v>
      </c>
      <c r="AW1140" t="s">
        <v>147</v>
      </c>
      <c r="AX1140" t="s">
        <v>605</v>
      </c>
      <c r="AY1140" s="81" t="s">
        <v>3032</v>
      </c>
      <c r="AZ1140" t="s">
        <v>3033</v>
      </c>
      <c r="BA1140" t="s">
        <v>128</v>
      </c>
      <c r="BB1140" t="str">
        <f t="shared" si="17"/>
        <v>IHVNfcAbujaMunicipalAreaCouncil</v>
      </c>
    </row>
    <row r="1141" spans="48:54" x14ac:dyDescent="0.3">
      <c r="AV1141" t="s">
        <v>789</v>
      </c>
      <c r="AW1141" t="s">
        <v>147</v>
      </c>
      <c r="AX1141" t="s">
        <v>605</v>
      </c>
      <c r="AY1141" s="81" t="s">
        <v>3034</v>
      </c>
      <c r="AZ1141" t="s">
        <v>3035</v>
      </c>
      <c r="BA1141" t="s">
        <v>128</v>
      </c>
      <c r="BB1141" t="str">
        <f t="shared" si="17"/>
        <v>IHVNfcAbujaMunicipalAreaCouncil</v>
      </c>
    </row>
    <row r="1142" spans="48:54" x14ac:dyDescent="0.3">
      <c r="AV1142" t="s">
        <v>789</v>
      </c>
      <c r="AW1142" t="s">
        <v>147</v>
      </c>
      <c r="AX1142" t="s">
        <v>605</v>
      </c>
      <c r="AY1142" s="81" t="s">
        <v>3036</v>
      </c>
      <c r="AZ1142" t="s">
        <v>3037</v>
      </c>
      <c r="BA1142" t="s">
        <v>128</v>
      </c>
      <c r="BB1142" t="str">
        <f t="shared" si="17"/>
        <v>IHVNfcAbujaMunicipalAreaCouncil</v>
      </c>
    </row>
    <row r="1143" spans="48:54" x14ac:dyDescent="0.3">
      <c r="AV1143" t="s">
        <v>789</v>
      </c>
      <c r="AW1143" t="s">
        <v>147</v>
      </c>
      <c r="AX1143" t="s">
        <v>605</v>
      </c>
      <c r="AY1143" s="81" t="s">
        <v>3038</v>
      </c>
      <c r="AZ1143" t="s">
        <v>3039</v>
      </c>
      <c r="BA1143" t="s">
        <v>128</v>
      </c>
      <c r="BB1143" t="str">
        <f t="shared" si="17"/>
        <v>IHVNfcAbujaMunicipalAreaCouncil</v>
      </c>
    </row>
    <row r="1144" spans="48:54" x14ac:dyDescent="0.3">
      <c r="AV1144" t="s">
        <v>789</v>
      </c>
      <c r="AW1144" t="s">
        <v>147</v>
      </c>
      <c r="AX1144" t="s">
        <v>605</v>
      </c>
      <c r="AY1144" s="81" t="s">
        <v>3040</v>
      </c>
      <c r="AZ1144" t="s">
        <v>3041</v>
      </c>
      <c r="BA1144" t="s">
        <v>128</v>
      </c>
      <c r="BB1144" t="str">
        <f t="shared" si="17"/>
        <v>IHVNfcAbujaMunicipalAreaCouncil</v>
      </c>
    </row>
    <row r="1145" spans="48:54" x14ac:dyDescent="0.3">
      <c r="AV1145" t="s">
        <v>789</v>
      </c>
      <c r="AW1145" t="s">
        <v>147</v>
      </c>
      <c r="AX1145" t="s">
        <v>605</v>
      </c>
      <c r="AY1145" s="81" t="s">
        <v>3042</v>
      </c>
      <c r="AZ1145" t="s">
        <v>3043</v>
      </c>
      <c r="BA1145" t="s">
        <v>128</v>
      </c>
      <c r="BB1145" t="str">
        <f t="shared" si="17"/>
        <v>IHVNfcAbujaMunicipalAreaCouncil</v>
      </c>
    </row>
    <row r="1146" spans="48:54" x14ac:dyDescent="0.3">
      <c r="AV1146" t="s">
        <v>789</v>
      </c>
      <c r="AW1146" t="s">
        <v>147</v>
      </c>
      <c r="AX1146" t="s">
        <v>605</v>
      </c>
      <c r="AY1146" s="81" t="s">
        <v>3044</v>
      </c>
      <c r="AZ1146" t="s">
        <v>3045</v>
      </c>
      <c r="BA1146" t="s">
        <v>128</v>
      </c>
      <c r="BB1146" t="str">
        <f t="shared" si="17"/>
        <v>IHVNfcAbujaMunicipalAreaCouncil</v>
      </c>
    </row>
    <row r="1147" spans="48:54" x14ac:dyDescent="0.3">
      <c r="AV1147" t="s">
        <v>789</v>
      </c>
      <c r="AW1147" t="s">
        <v>147</v>
      </c>
      <c r="AX1147" t="s">
        <v>605</v>
      </c>
      <c r="AY1147" s="81" t="s">
        <v>3046</v>
      </c>
      <c r="AZ1147" t="s">
        <v>3047</v>
      </c>
      <c r="BA1147" t="s">
        <v>128</v>
      </c>
      <c r="BB1147" t="str">
        <f t="shared" si="17"/>
        <v>IHVNfcAbujaMunicipalAreaCouncil</v>
      </c>
    </row>
    <row r="1148" spans="48:54" x14ac:dyDescent="0.3">
      <c r="AV1148" t="s">
        <v>789</v>
      </c>
      <c r="AW1148" t="s">
        <v>147</v>
      </c>
      <c r="AX1148" t="s">
        <v>605</v>
      </c>
      <c r="AY1148" s="81" t="s">
        <v>3048</v>
      </c>
      <c r="AZ1148" t="s">
        <v>3049</v>
      </c>
      <c r="BA1148" t="s">
        <v>128</v>
      </c>
      <c r="BB1148" t="str">
        <f t="shared" si="17"/>
        <v>IHVNfcAbujaMunicipalAreaCouncil</v>
      </c>
    </row>
    <row r="1149" spans="48:54" x14ac:dyDescent="0.3">
      <c r="AV1149" t="s">
        <v>789</v>
      </c>
      <c r="AW1149" t="s">
        <v>147</v>
      </c>
      <c r="AX1149" t="s">
        <v>605</v>
      </c>
      <c r="AY1149" s="81" t="s">
        <v>3050</v>
      </c>
      <c r="AZ1149" t="s">
        <v>3051</v>
      </c>
      <c r="BA1149" t="s">
        <v>128</v>
      </c>
      <c r="BB1149" t="str">
        <f t="shared" si="17"/>
        <v>IHVNfcAbujaMunicipalAreaCouncil</v>
      </c>
    </row>
    <row r="1150" spans="48:54" x14ac:dyDescent="0.3">
      <c r="AV1150" t="s">
        <v>789</v>
      </c>
      <c r="AW1150" t="s">
        <v>147</v>
      </c>
      <c r="AX1150" t="s">
        <v>605</v>
      </c>
      <c r="AY1150" s="81" t="s">
        <v>3052</v>
      </c>
      <c r="AZ1150" t="s">
        <v>3053</v>
      </c>
      <c r="BA1150" t="s">
        <v>128</v>
      </c>
      <c r="BB1150" t="str">
        <f t="shared" si="17"/>
        <v>IHVNfcAbujaMunicipalAreaCouncil</v>
      </c>
    </row>
    <row r="1151" spans="48:54" x14ac:dyDescent="0.3">
      <c r="AV1151" t="s">
        <v>789</v>
      </c>
      <c r="AW1151" t="s">
        <v>147</v>
      </c>
      <c r="AX1151" t="s">
        <v>605</v>
      </c>
      <c r="AY1151" s="81" t="s">
        <v>3054</v>
      </c>
      <c r="AZ1151" t="s">
        <v>3055</v>
      </c>
      <c r="BA1151" t="s">
        <v>128</v>
      </c>
      <c r="BB1151" t="str">
        <f t="shared" si="17"/>
        <v>IHVNfcAbujaMunicipalAreaCouncil</v>
      </c>
    </row>
    <row r="1152" spans="48:54" x14ac:dyDescent="0.3">
      <c r="AV1152" t="s">
        <v>789</v>
      </c>
      <c r="AW1152" t="s">
        <v>147</v>
      </c>
      <c r="AX1152" t="s">
        <v>605</v>
      </c>
      <c r="AY1152" s="81" t="s">
        <v>3056</v>
      </c>
      <c r="AZ1152" t="s">
        <v>3057</v>
      </c>
      <c r="BA1152" t="s">
        <v>128</v>
      </c>
      <c r="BB1152" t="str">
        <f t="shared" si="17"/>
        <v>IHVNfcAbujaMunicipalAreaCouncil</v>
      </c>
    </row>
    <row r="1153" spans="48:54" x14ac:dyDescent="0.3">
      <c r="AV1153" t="s">
        <v>789</v>
      </c>
      <c r="AW1153" t="s">
        <v>147</v>
      </c>
      <c r="AX1153" t="s">
        <v>605</v>
      </c>
      <c r="AY1153" s="81" t="s">
        <v>3058</v>
      </c>
      <c r="AZ1153" t="s">
        <v>3059</v>
      </c>
      <c r="BA1153" t="s">
        <v>128</v>
      </c>
      <c r="BB1153" t="str">
        <f t="shared" si="17"/>
        <v>IHVNfcAbujaMunicipalAreaCouncil</v>
      </c>
    </row>
    <row r="1154" spans="48:54" x14ac:dyDescent="0.3">
      <c r="AV1154" t="s">
        <v>789</v>
      </c>
      <c r="AW1154" t="s">
        <v>147</v>
      </c>
      <c r="AX1154" t="s">
        <v>605</v>
      </c>
      <c r="AY1154" s="81" t="s">
        <v>3060</v>
      </c>
      <c r="AZ1154" t="s">
        <v>3061</v>
      </c>
      <c r="BA1154" t="s">
        <v>128</v>
      </c>
      <c r="BB1154" t="str">
        <f t="shared" si="17"/>
        <v>IHVNfcAbujaMunicipalAreaCouncil</v>
      </c>
    </row>
    <row r="1155" spans="48:54" x14ac:dyDescent="0.3">
      <c r="AV1155" t="s">
        <v>789</v>
      </c>
      <c r="AW1155" t="s">
        <v>147</v>
      </c>
      <c r="AX1155" t="s">
        <v>605</v>
      </c>
      <c r="AY1155" s="81" t="s">
        <v>3062</v>
      </c>
      <c r="AZ1155" t="s">
        <v>3063</v>
      </c>
      <c r="BA1155" t="s">
        <v>128</v>
      </c>
      <c r="BB1155" t="str">
        <f t="shared" ref="BB1155:BB1218" si="18">SUBSTITUTE(SUBSTITUTE(BA1155&amp;AX1155," ",""),"-","")</f>
        <v>IHVNfcAbujaMunicipalAreaCouncil</v>
      </c>
    </row>
    <row r="1156" spans="48:54" x14ac:dyDescent="0.3">
      <c r="AV1156" t="s">
        <v>789</v>
      </c>
      <c r="AW1156" t="s">
        <v>147</v>
      </c>
      <c r="AX1156" t="s">
        <v>605</v>
      </c>
      <c r="AY1156" s="81" t="s">
        <v>3064</v>
      </c>
      <c r="AZ1156" t="s">
        <v>3065</v>
      </c>
      <c r="BA1156" t="s">
        <v>128</v>
      </c>
      <c r="BB1156" t="str">
        <f t="shared" si="18"/>
        <v>IHVNfcAbujaMunicipalAreaCouncil</v>
      </c>
    </row>
    <row r="1157" spans="48:54" x14ac:dyDescent="0.3">
      <c r="AV1157" t="s">
        <v>789</v>
      </c>
      <c r="AW1157" t="s">
        <v>147</v>
      </c>
      <c r="AX1157" t="s">
        <v>605</v>
      </c>
      <c r="AY1157" s="81" t="s">
        <v>3066</v>
      </c>
      <c r="AZ1157" t="s">
        <v>3067</v>
      </c>
      <c r="BA1157" t="s">
        <v>128</v>
      </c>
      <c r="BB1157" t="str">
        <f t="shared" si="18"/>
        <v>IHVNfcAbujaMunicipalAreaCouncil</v>
      </c>
    </row>
    <row r="1158" spans="48:54" x14ac:dyDescent="0.3">
      <c r="AV1158" t="s">
        <v>789</v>
      </c>
      <c r="AW1158" t="s">
        <v>147</v>
      </c>
      <c r="AX1158" t="s">
        <v>605</v>
      </c>
      <c r="AY1158" s="81" t="s">
        <v>3068</v>
      </c>
      <c r="AZ1158" t="s">
        <v>3069</v>
      </c>
      <c r="BA1158" t="s">
        <v>128</v>
      </c>
      <c r="BB1158" t="str">
        <f t="shared" si="18"/>
        <v>IHVNfcAbujaMunicipalAreaCouncil</v>
      </c>
    </row>
    <row r="1159" spans="48:54" x14ac:dyDescent="0.3">
      <c r="AV1159" t="s">
        <v>789</v>
      </c>
      <c r="AW1159" t="s">
        <v>147</v>
      </c>
      <c r="AX1159" t="s">
        <v>605</v>
      </c>
      <c r="AY1159" s="81" t="s">
        <v>3070</v>
      </c>
      <c r="AZ1159" t="s">
        <v>3071</v>
      </c>
      <c r="BA1159" t="s">
        <v>128</v>
      </c>
      <c r="BB1159" t="str">
        <f t="shared" si="18"/>
        <v>IHVNfcAbujaMunicipalAreaCouncil</v>
      </c>
    </row>
    <row r="1160" spans="48:54" x14ac:dyDescent="0.3">
      <c r="AV1160" t="s">
        <v>789</v>
      </c>
      <c r="AW1160" t="s">
        <v>147</v>
      </c>
      <c r="AX1160" t="s">
        <v>605</v>
      </c>
      <c r="AY1160" s="81" t="s">
        <v>3072</v>
      </c>
      <c r="AZ1160" t="s">
        <v>3073</v>
      </c>
      <c r="BA1160" t="s">
        <v>128</v>
      </c>
      <c r="BB1160" t="str">
        <f t="shared" si="18"/>
        <v>IHVNfcAbujaMunicipalAreaCouncil</v>
      </c>
    </row>
    <row r="1161" spans="48:54" x14ac:dyDescent="0.3">
      <c r="AV1161" t="s">
        <v>789</v>
      </c>
      <c r="AW1161" t="s">
        <v>147</v>
      </c>
      <c r="AX1161" t="s">
        <v>605</v>
      </c>
      <c r="AY1161" s="81" t="s">
        <v>3074</v>
      </c>
      <c r="AZ1161" t="s">
        <v>3075</v>
      </c>
      <c r="BA1161" t="s">
        <v>128</v>
      </c>
      <c r="BB1161" t="str">
        <f t="shared" si="18"/>
        <v>IHVNfcAbujaMunicipalAreaCouncil</v>
      </c>
    </row>
    <row r="1162" spans="48:54" x14ac:dyDescent="0.3">
      <c r="AV1162" t="s">
        <v>789</v>
      </c>
      <c r="AW1162" t="s">
        <v>147</v>
      </c>
      <c r="AX1162" t="s">
        <v>605</v>
      </c>
      <c r="AY1162" s="81" t="s">
        <v>3076</v>
      </c>
      <c r="AZ1162" t="s">
        <v>3077</v>
      </c>
      <c r="BA1162" t="s">
        <v>128</v>
      </c>
      <c r="BB1162" t="str">
        <f t="shared" si="18"/>
        <v>IHVNfcAbujaMunicipalAreaCouncil</v>
      </c>
    </row>
    <row r="1163" spans="48:54" x14ac:dyDescent="0.3">
      <c r="AV1163" t="s">
        <v>789</v>
      </c>
      <c r="AW1163" t="s">
        <v>147</v>
      </c>
      <c r="AX1163" t="s">
        <v>605</v>
      </c>
      <c r="AY1163" s="81" t="s">
        <v>3078</v>
      </c>
      <c r="AZ1163" t="s">
        <v>3079</v>
      </c>
      <c r="BA1163" t="s">
        <v>128</v>
      </c>
      <c r="BB1163" t="str">
        <f t="shared" si="18"/>
        <v>IHVNfcAbujaMunicipalAreaCouncil</v>
      </c>
    </row>
    <row r="1164" spans="48:54" x14ac:dyDescent="0.3">
      <c r="AV1164" t="s">
        <v>789</v>
      </c>
      <c r="AW1164" t="s">
        <v>147</v>
      </c>
      <c r="AX1164" t="s">
        <v>605</v>
      </c>
      <c r="AY1164" s="81" t="s">
        <v>3080</v>
      </c>
      <c r="AZ1164" t="s">
        <v>3081</v>
      </c>
      <c r="BA1164" t="s">
        <v>128</v>
      </c>
      <c r="BB1164" t="str">
        <f t="shared" si="18"/>
        <v>IHVNfcAbujaMunicipalAreaCouncil</v>
      </c>
    </row>
    <row r="1165" spans="48:54" x14ac:dyDescent="0.3">
      <c r="AV1165" t="s">
        <v>789</v>
      </c>
      <c r="AW1165" t="s">
        <v>147</v>
      </c>
      <c r="AX1165" t="s">
        <v>605</v>
      </c>
      <c r="AY1165" s="81" t="s">
        <v>3082</v>
      </c>
      <c r="AZ1165" t="s">
        <v>3083</v>
      </c>
      <c r="BA1165" t="s">
        <v>128</v>
      </c>
      <c r="BB1165" t="str">
        <f t="shared" si="18"/>
        <v>IHVNfcAbujaMunicipalAreaCouncil</v>
      </c>
    </row>
    <row r="1166" spans="48:54" x14ac:dyDescent="0.3">
      <c r="AV1166" t="s">
        <v>789</v>
      </c>
      <c r="AW1166" t="s">
        <v>147</v>
      </c>
      <c r="AX1166" t="s">
        <v>605</v>
      </c>
      <c r="AY1166" s="81" t="s">
        <v>3084</v>
      </c>
      <c r="AZ1166" t="s">
        <v>3085</v>
      </c>
      <c r="BA1166" t="s">
        <v>128</v>
      </c>
      <c r="BB1166" t="str">
        <f t="shared" si="18"/>
        <v>IHVNfcAbujaMunicipalAreaCouncil</v>
      </c>
    </row>
    <row r="1167" spans="48:54" x14ac:dyDescent="0.3">
      <c r="AV1167" t="s">
        <v>789</v>
      </c>
      <c r="AW1167" t="s">
        <v>147</v>
      </c>
      <c r="AX1167" t="s">
        <v>605</v>
      </c>
      <c r="AY1167" s="81" t="s">
        <v>3086</v>
      </c>
      <c r="AZ1167" t="s">
        <v>3087</v>
      </c>
      <c r="BA1167" t="s">
        <v>128</v>
      </c>
      <c r="BB1167" t="str">
        <f t="shared" si="18"/>
        <v>IHVNfcAbujaMunicipalAreaCouncil</v>
      </c>
    </row>
    <row r="1168" spans="48:54" x14ac:dyDescent="0.3">
      <c r="AV1168" t="s">
        <v>789</v>
      </c>
      <c r="AW1168" t="s">
        <v>147</v>
      </c>
      <c r="AX1168" t="s">
        <v>605</v>
      </c>
      <c r="AY1168" s="81" t="s">
        <v>3088</v>
      </c>
      <c r="AZ1168" t="s">
        <v>3089</v>
      </c>
      <c r="BA1168" t="s">
        <v>128</v>
      </c>
      <c r="BB1168" t="str">
        <f t="shared" si="18"/>
        <v>IHVNfcAbujaMunicipalAreaCouncil</v>
      </c>
    </row>
    <row r="1169" spans="48:54" x14ac:dyDescent="0.3">
      <c r="AV1169" t="s">
        <v>789</v>
      </c>
      <c r="AW1169" t="s">
        <v>147</v>
      </c>
      <c r="AX1169" t="s">
        <v>605</v>
      </c>
      <c r="AY1169" s="81" t="s">
        <v>3090</v>
      </c>
      <c r="AZ1169" t="s">
        <v>3091</v>
      </c>
      <c r="BA1169" t="s">
        <v>128</v>
      </c>
      <c r="BB1169" t="str">
        <f t="shared" si="18"/>
        <v>IHVNfcAbujaMunicipalAreaCouncil</v>
      </c>
    </row>
    <row r="1170" spans="48:54" x14ac:dyDescent="0.3">
      <c r="AV1170" t="s">
        <v>789</v>
      </c>
      <c r="AW1170" t="s">
        <v>147</v>
      </c>
      <c r="AX1170" t="s">
        <v>605</v>
      </c>
      <c r="AY1170" s="81" t="s">
        <v>3092</v>
      </c>
      <c r="AZ1170" t="s">
        <v>3093</v>
      </c>
      <c r="BA1170" t="s">
        <v>128</v>
      </c>
      <c r="BB1170" t="str">
        <f t="shared" si="18"/>
        <v>IHVNfcAbujaMunicipalAreaCouncil</v>
      </c>
    </row>
    <row r="1171" spans="48:54" x14ac:dyDescent="0.3">
      <c r="AV1171" t="s">
        <v>789</v>
      </c>
      <c r="AW1171" t="s">
        <v>147</v>
      </c>
      <c r="AX1171" t="s">
        <v>605</v>
      </c>
      <c r="AY1171" s="81" t="s">
        <v>3094</v>
      </c>
      <c r="AZ1171" t="s">
        <v>3095</v>
      </c>
      <c r="BA1171" t="s">
        <v>128</v>
      </c>
      <c r="BB1171" t="str">
        <f t="shared" si="18"/>
        <v>IHVNfcAbujaMunicipalAreaCouncil</v>
      </c>
    </row>
    <row r="1172" spans="48:54" x14ac:dyDescent="0.3">
      <c r="AV1172" t="s">
        <v>789</v>
      </c>
      <c r="AW1172" t="s">
        <v>147</v>
      </c>
      <c r="AX1172" t="s">
        <v>605</v>
      </c>
      <c r="AY1172" s="81" t="s">
        <v>3096</v>
      </c>
      <c r="AZ1172" t="s">
        <v>3097</v>
      </c>
      <c r="BA1172" t="s">
        <v>128</v>
      </c>
      <c r="BB1172" t="str">
        <f t="shared" si="18"/>
        <v>IHVNfcAbujaMunicipalAreaCouncil</v>
      </c>
    </row>
    <row r="1173" spans="48:54" x14ac:dyDescent="0.3">
      <c r="AV1173" t="s">
        <v>789</v>
      </c>
      <c r="AW1173" t="s">
        <v>147</v>
      </c>
      <c r="AX1173" t="s">
        <v>605</v>
      </c>
      <c r="AY1173" s="81" t="s">
        <v>3098</v>
      </c>
      <c r="AZ1173" t="s">
        <v>3099</v>
      </c>
      <c r="BA1173" t="s">
        <v>128</v>
      </c>
      <c r="BB1173" t="str">
        <f t="shared" si="18"/>
        <v>IHVNfcAbujaMunicipalAreaCouncil</v>
      </c>
    </row>
    <row r="1174" spans="48:54" x14ac:dyDescent="0.3">
      <c r="AV1174" t="s">
        <v>789</v>
      </c>
      <c r="AW1174" t="s">
        <v>147</v>
      </c>
      <c r="AX1174" t="s">
        <v>605</v>
      </c>
      <c r="AY1174" s="81" t="s">
        <v>3100</v>
      </c>
      <c r="AZ1174" t="s">
        <v>3101</v>
      </c>
      <c r="BA1174" t="s">
        <v>128</v>
      </c>
      <c r="BB1174" t="str">
        <f t="shared" si="18"/>
        <v>IHVNfcAbujaMunicipalAreaCouncil</v>
      </c>
    </row>
    <row r="1175" spans="48:54" x14ac:dyDescent="0.3">
      <c r="AV1175" t="s">
        <v>789</v>
      </c>
      <c r="AW1175" t="s">
        <v>147</v>
      </c>
      <c r="AX1175" t="s">
        <v>605</v>
      </c>
      <c r="AY1175" s="81" t="s">
        <v>3102</v>
      </c>
      <c r="AZ1175" t="s">
        <v>3103</v>
      </c>
      <c r="BA1175" t="s">
        <v>128</v>
      </c>
      <c r="BB1175" t="str">
        <f t="shared" si="18"/>
        <v>IHVNfcAbujaMunicipalAreaCouncil</v>
      </c>
    </row>
    <row r="1176" spans="48:54" x14ac:dyDescent="0.3">
      <c r="AV1176" t="s">
        <v>789</v>
      </c>
      <c r="AW1176" t="s">
        <v>147</v>
      </c>
      <c r="AX1176" t="s">
        <v>605</v>
      </c>
      <c r="AY1176" s="81" t="s">
        <v>3104</v>
      </c>
      <c r="AZ1176" t="s">
        <v>3105</v>
      </c>
      <c r="BA1176" t="s">
        <v>128</v>
      </c>
      <c r="BB1176" t="str">
        <f t="shared" si="18"/>
        <v>IHVNfcAbujaMunicipalAreaCouncil</v>
      </c>
    </row>
    <row r="1177" spans="48:54" x14ac:dyDescent="0.3">
      <c r="AV1177" t="s">
        <v>789</v>
      </c>
      <c r="AW1177" t="s">
        <v>147</v>
      </c>
      <c r="AX1177" t="s">
        <v>605</v>
      </c>
      <c r="AY1177" s="81" t="s">
        <v>3106</v>
      </c>
      <c r="AZ1177" t="s">
        <v>3107</v>
      </c>
      <c r="BA1177" t="s">
        <v>128</v>
      </c>
      <c r="BB1177" t="str">
        <f t="shared" si="18"/>
        <v>IHVNfcAbujaMunicipalAreaCouncil</v>
      </c>
    </row>
    <row r="1178" spans="48:54" x14ac:dyDescent="0.3">
      <c r="AV1178" t="s">
        <v>789</v>
      </c>
      <c r="AW1178" t="s">
        <v>147</v>
      </c>
      <c r="AX1178" t="s">
        <v>605</v>
      </c>
      <c r="AY1178" s="81" t="s">
        <v>3108</v>
      </c>
      <c r="AZ1178" t="s">
        <v>3109</v>
      </c>
      <c r="BA1178" t="s">
        <v>128</v>
      </c>
      <c r="BB1178" t="str">
        <f t="shared" si="18"/>
        <v>IHVNfcAbujaMunicipalAreaCouncil</v>
      </c>
    </row>
    <row r="1179" spans="48:54" x14ac:dyDescent="0.3">
      <c r="AV1179" t="s">
        <v>789</v>
      </c>
      <c r="AW1179" t="s">
        <v>147</v>
      </c>
      <c r="AX1179" t="s">
        <v>605</v>
      </c>
      <c r="AY1179" s="81" t="s">
        <v>3110</v>
      </c>
      <c r="AZ1179" t="s">
        <v>3111</v>
      </c>
      <c r="BA1179" t="s">
        <v>128</v>
      </c>
      <c r="BB1179" t="str">
        <f t="shared" si="18"/>
        <v>IHVNfcAbujaMunicipalAreaCouncil</v>
      </c>
    </row>
    <row r="1180" spans="48:54" x14ac:dyDescent="0.3">
      <c r="AV1180" t="s">
        <v>789</v>
      </c>
      <c r="AW1180" t="s">
        <v>147</v>
      </c>
      <c r="AX1180" t="s">
        <v>605</v>
      </c>
      <c r="AY1180" s="81" t="s">
        <v>3112</v>
      </c>
      <c r="AZ1180" t="s">
        <v>3113</v>
      </c>
      <c r="BA1180" t="s">
        <v>128</v>
      </c>
      <c r="BB1180" t="str">
        <f t="shared" si="18"/>
        <v>IHVNfcAbujaMunicipalAreaCouncil</v>
      </c>
    </row>
    <row r="1181" spans="48:54" x14ac:dyDescent="0.3">
      <c r="AV1181" t="s">
        <v>789</v>
      </c>
      <c r="AW1181" t="s">
        <v>147</v>
      </c>
      <c r="AX1181" t="s">
        <v>605</v>
      </c>
      <c r="AY1181" s="81" t="s">
        <v>3114</v>
      </c>
      <c r="AZ1181" t="s">
        <v>3115</v>
      </c>
      <c r="BA1181" t="s">
        <v>128</v>
      </c>
      <c r="BB1181" t="str">
        <f t="shared" si="18"/>
        <v>IHVNfcAbujaMunicipalAreaCouncil</v>
      </c>
    </row>
    <row r="1182" spans="48:54" x14ac:dyDescent="0.3">
      <c r="AV1182" t="s">
        <v>789</v>
      </c>
      <c r="AW1182" t="s">
        <v>147</v>
      </c>
      <c r="AX1182" t="s">
        <v>605</v>
      </c>
      <c r="AY1182" s="81" t="s">
        <v>3116</v>
      </c>
      <c r="AZ1182" t="s">
        <v>3117</v>
      </c>
      <c r="BA1182" t="s">
        <v>128</v>
      </c>
      <c r="BB1182" t="str">
        <f t="shared" si="18"/>
        <v>IHVNfcAbujaMunicipalAreaCouncil</v>
      </c>
    </row>
    <row r="1183" spans="48:54" x14ac:dyDescent="0.3">
      <c r="AV1183" t="s">
        <v>789</v>
      </c>
      <c r="AW1183" t="s">
        <v>147</v>
      </c>
      <c r="AX1183" t="s">
        <v>605</v>
      </c>
      <c r="AY1183" s="81" t="s">
        <v>3118</v>
      </c>
      <c r="AZ1183" t="s">
        <v>3119</v>
      </c>
      <c r="BA1183" t="s">
        <v>128</v>
      </c>
      <c r="BB1183" t="str">
        <f t="shared" si="18"/>
        <v>IHVNfcAbujaMunicipalAreaCouncil</v>
      </c>
    </row>
    <row r="1184" spans="48:54" x14ac:dyDescent="0.3">
      <c r="AV1184" t="s">
        <v>789</v>
      </c>
      <c r="AW1184" t="s">
        <v>147</v>
      </c>
      <c r="AX1184" t="s">
        <v>605</v>
      </c>
      <c r="AY1184" s="81" t="s">
        <v>3120</v>
      </c>
      <c r="AZ1184" t="s">
        <v>3121</v>
      </c>
      <c r="BA1184" t="s">
        <v>128</v>
      </c>
      <c r="BB1184" t="str">
        <f t="shared" si="18"/>
        <v>IHVNfcAbujaMunicipalAreaCouncil</v>
      </c>
    </row>
    <row r="1185" spans="48:54" x14ac:dyDescent="0.3">
      <c r="AV1185" t="s">
        <v>789</v>
      </c>
      <c r="AW1185" t="s">
        <v>147</v>
      </c>
      <c r="AX1185" t="s">
        <v>605</v>
      </c>
      <c r="AY1185" s="81" t="s">
        <v>3122</v>
      </c>
      <c r="AZ1185" t="s">
        <v>3123</v>
      </c>
      <c r="BA1185" t="s">
        <v>128</v>
      </c>
      <c r="BB1185" t="str">
        <f t="shared" si="18"/>
        <v>IHVNfcAbujaMunicipalAreaCouncil</v>
      </c>
    </row>
    <row r="1186" spans="48:54" x14ac:dyDescent="0.3">
      <c r="AV1186" t="s">
        <v>789</v>
      </c>
      <c r="AW1186" t="s">
        <v>147</v>
      </c>
      <c r="AX1186" t="s">
        <v>605</v>
      </c>
      <c r="AY1186" s="81" t="s">
        <v>3124</v>
      </c>
      <c r="AZ1186" t="s">
        <v>3125</v>
      </c>
      <c r="BA1186" t="s">
        <v>128</v>
      </c>
      <c r="BB1186" t="str">
        <f t="shared" si="18"/>
        <v>IHVNfcAbujaMunicipalAreaCouncil</v>
      </c>
    </row>
    <row r="1187" spans="48:54" x14ac:dyDescent="0.3">
      <c r="AV1187" t="s">
        <v>789</v>
      </c>
      <c r="AW1187" t="s">
        <v>147</v>
      </c>
      <c r="AX1187" t="s">
        <v>605</v>
      </c>
      <c r="AY1187" s="81" t="s">
        <v>3126</v>
      </c>
      <c r="AZ1187" t="s">
        <v>3127</v>
      </c>
      <c r="BA1187" t="s">
        <v>128</v>
      </c>
      <c r="BB1187" t="str">
        <f t="shared" si="18"/>
        <v>IHVNfcAbujaMunicipalAreaCouncil</v>
      </c>
    </row>
    <row r="1188" spans="48:54" x14ac:dyDescent="0.3">
      <c r="AV1188" t="s">
        <v>789</v>
      </c>
      <c r="AW1188" t="s">
        <v>147</v>
      </c>
      <c r="AX1188" t="s">
        <v>605</v>
      </c>
      <c r="AY1188" s="81" t="s">
        <v>3128</v>
      </c>
      <c r="AZ1188" t="s">
        <v>3129</v>
      </c>
      <c r="BA1188" t="s">
        <v>128</v>
      </c>
      <c r="BB1188" t="str">
        <f t="shared" si="18"/>
        <v>IHVNfcAbujaMunicipalAreaCouncil</v>
      </c>
    </row>
    <row r="1189" spans="48:54" x14ac:dyDescent="0.3">
      <c r="AV1189" t="s">
        <v>789</v>
      </c>
      <c r="AW1189" t="s">
        <v>147</v>
      </c>
      <c r="AX1189" t="s">
        <v>605</v>
      </c>
      <c r="AY1189" s="81" t="s">
        <v>3130</v>
      </c>
      <c r="AZ1189" t="s">
        <v>3131</v>
      </c>
      <c r="BA1189" t="s">
        <v>128</v>
      </c>
      <c r="BB1189" t="str">
        <f t="shared" si="18"/>
        <v>IHVNfcAbujaMunicipalAreaCouncil</v>
      </c>
    </row>
    <row r="1190" spans="48:54" x14ac:dyDescent="0.3">
      <c r="AV1190" t="s">
        <v>789</v>
      </c>
      <c r="AW1190" t="s">
        <v>147</v>
      </c>
      <c r="AX1190" t="s">
        <v>605</v>
      </c>
      <c r="AY1190" s="81" t="s">
        <v>3132</v>
      </c>
      <c r="AZ1190" t="s">
        <v>3133</v>
      </c>
      <c r="BA1190" t="s">
        <v>128</v>
      </c>
      <c r="BB1190" t="str">
        <f t="shared" si="18"/>
        <v>IHVNfcAbujaMunicipalAreaCouncil</v>
      </c>
    </row>
    <row r="1191" spans="48:54" x14ac:dyDescent="0.3">
      <c r="AV1191" t="s">
        <v>789</v>
      </c>
      <c r="AW1191" t="s">
        <v>147</v>
      </c>
      <c r="AX1191" t="s">
        <v>605</v>
      </c>
      <c r="AY1191" s="81" t="s">
        <v>3134</v>
      </c>
      <c r="AZ1191" t="s">
        <v>3135</v>
      </c>
      <c r="BA1191" t="s">
        <v>128</v>
      </c>
      <c r="BB1191" t="str">
        <f t="shared" si="18"/>
        <v>IHVNfcAbujaMunicipalAreaCouncil</v>
      </c>
    </row>
    <row r="1192" spans="48:54" x14ac:dyDescent="0.3">
      <c r="AV1192" t="s">
        <v>789</v>
      </c>
      <c r="AW1192" t="s">
        <v>147</v>
      </c>
      <c r="AX1192" t="s">
        <v>605</v>
      </c>
      <c r="AY1192" s="81" t="s">
        <v>3136</v>
      </c>
      <c r="AZ1192" t="s">
        <v>3137</v>
      </c>
      <c r="BA1192" t="s">
        <v>128</v>
      </c>
      <c r="BB1192" t="str">
        <f t="shared" si="18"/>
        <v>IHVNfcAbujaMunicipalAreaCouncil</v>
      </c>
    </row>
    <row r="1193" spans="48:54" x14ac:dyDescent="0.3">
      <c r="AV1193" t="s">
        <v>789</v>
      </c>
      <c r="AW1193" t="s">
        <v>147</v>
      </c>
      <c r="AX1193" t="s">
        <v>605</v>
      </c>
      <c r="AY1193" s="81" t="s">
        <v>3138</v>
      </c>
      <c r="AZ1193" t="s">
        <v>3139</v>
      </c>
      <c r="BA1193" t="s">
        <v>128</v>
      </c>
      <c r="BB1193" t="str">
        <f t="shared" si="18"/>
        <v>IHVNfcAbujaMunicipalAreaCouncil</v>
      </c>
    </row>
    <row r="1194" spans="48:54" x14ac:dyDescent="0.3">
      <c r="AV1194" t="s">
        <v>789</v>
      </c>
      <c r="AW1194" t="s">
        <v>147</v>
      </c>
      <c r="AX1194" t="s">
        <v>605</v>
      </c>
      <c r="AY1194" s="81" t="s">
        <v>3140</v>
      </c>
      <c r="AZ1194" t="s">
        <v>3141</v>
      </c>
      <c r="BA1194" t="s">
        <v>128</v>
      </c>
      <c r="BB1194" t="str">
        <f t="shared" si="18"/>
        <v>IHVNfcAbujaMunicipalAreaCouncil</v>
      </c>
    </row>
    <row r="1195" spans="48:54" x14ac:dyDescent="0.3">
      <c r="AV1195" t="s">
        <v>789</v>
      </c>
      <c r="AW1195" t="s">
        <v>147</v>
      </c>
      <c r="AX1195" t="s">
        <v>605</v>
      </c>
      <c r="AY1195" s="81" t="s">
        <v>3142</v>
      </c>
      <c r="AZ1195" t="s">
        <v>3143</v>
      </c>
      <c r="BA1195" t="s">
        <v>128</v>
      </c>
      <c r="BB1195" t="str">
        <f t="shared" si="18"/>
        <v>IHVNfcAbujaMunicipalAreaCouncil</v>
      </c>
    </row>
    <row r="1196" spans="48:54" x14ac:dyDescent="0.3">
      <c r="AV1196" t="s">
        <v>789</v>
      </c>
      <c r="AW1196" t="s">
        <v>147</v>
      </c>
      <c r="AX1196" t="s">
        <v>605</v>
      </c>
      <c r="AY1196" s="81" t="s">
        <v>3144</v>
      </c>
      <c r="AZ1196" t="s">
        <v>3145</v>
      </c>
      <c r="BA1196" t="s">
        <v>128</v>
      </c>
      <c r="BB1196" t="str">
        <f t="shared" si="18"/>
        <v>IHVNfcAbujaMunicipalAreaCouncil</v>
      </c>
    </row>
    <row r="1197" spans="48:54" x14ac:dyDescent="0.3">
      <c r="AV1197" t="s">
        <v>789</v>
      </c>
      <c r="AW1197" t="s">
        <v>147</v>
      </c>
      <c r="AX1197" t="s">
        <v>605</v>
      </c>
      <c r="AY1197" s="81" t="s">
        <v>3146</v>
      </c>
      <c r="AZ1197" t="s">
        <v>3147</v>
      </c>
      <c r="BA1197" t="s">
        <v>128</v>
      </c>
      <c r="BB1197" t="str">
        <f t="shared" si="18"/>
        <v>IHVNfcAbujaMunicipalAreaCouncil</v>
      </c>
    </row>
    <row r="1198" spans="48:54" x14ac:dyDescent="0.3">
      <c r="AV1198" t="s">
        <v>789</v>
      </c>
      <c r="AW1198" t="s">
        <v>147</v>
      </c>
      <c r="AX1198" t="s">
        <v>605</v>
      </c>
      <c r="AY1198" s="81" t="s">
        <v>3148</v>
      </c>
      <c r="AZ1198" t="s">
        <v>3149</v>
      </c>
      <c r="BA1198" t="s">
        <v>128</v>
      </c>
      <c r="BB1198" t="str">
        <f t="shared" si="18"/>
        <v>IHVNfcAbujaMunicipalAreaCouncil</v>
      </c>
    </row>
    <row r="1199" spans="48:54" x14ac:dyDescent="0.3">
      <c r="AV1199" t="s">
        <v>789</v>
      </c>
      <c r="AW1199" t="s">
        <v>147</v>
      </c>
      <c r="AX1199" t="s">
        <v>605</v>
      </c>
      <c r="AY1199" s="81" t="s">
        <v>3150</v>
      </c>
      <c r="AZ1199" t="s">
        <v>3151</v>
      </c>
      <c r="BA1199" t="s">
        <v>128</v>
      </c>
      <c r="BB1199" t="str">
        <f t="shared" si="18"/>
        <v>IHVNfcAbujaMunicipalAreaCouncil</v>
      </c>
    </row>
    <row r="1200" spans="48:54" x14ac:dyDescent="0.3">
      <c r="AV1200" t="s">
        <v>789</v>
      </c>
      <c r="AW1200" t="s">
        <v>147</v>
      </c>
      <c r="AX1200" t="s">
        <v>605</v>
      </c>
      <c r="AY1200" s="81" t="s">
        <v>3152</v>
      </c>
      <c r="AZ1200" t="s">
        <v>3153</v>
      </c>
      <c r="BA1200" t="s">
        <v>128</v>
      </c>
      <c r="BB1200" t="str">
        <f t="shared" si="18"/>
        <v>IHVNfcAbujaMunicipalAreaCouncil</v>
      </c>
    </row>
    <row r="1201" spans="48:54" x14ac:dyDescent="0.3">
      <c r="AV1201" t="s">
        <v>789</v>
      </c>
      <c r="AW1201" t="s">
        <v>147</v>
      </c>
      <c r="AX1201" t="s">
        <v>605</v>
      </c>
      <c r="AY1201" s="81" t="s">
        <v>3154</v>
      </c>
      <c r="AZ1201" t="s">
        <v>3155</v>
      </c>
      <c r="BA1201" t="s">
        <v>128</v>
      </c>
      <c r="BB1201" t="str">
        <f t="shared" si="18"/>
        <v>IHVNfcAbujaMunicipalAreaCouncil</v>
      </c>
    </row>
    <row r="1202" spans="48:54" x14ac:dyDescent="0.3">
      <c r="AV1202" t="s">
        <v>789</v>
      </c>
      <c r="AW1202" t="s">
        <v>147</v>
      </c>
      <c r="AX1202" t="s">
        <v>605</v>
      </c>
      <c r="AY1202" s="81" t="s">
        <v>3156</v>
      </c>
      <c r="AZ1202" t="s">
        <v>3157</v>
      </c>
      <c r="BA1202" t="s">
        <v>128</v>
      </c>
      <c r="BB1202" t="str">
        <f t="shared" si="18"/>
        <v>IHVNfcAbujaMunicipalAreaCouncil</v>
      </c>
    </row>
    <row r="1203" spans="48:54" x14ac:dyDescent="0.3">
      <c r="AV1203" t="s">
        <v>789</v>
      </c>
      <c r="AW1203" t="s">
        <v>147</v>
      </c>
      <c r="AX1203" t="s">
        <v>605</v>
      </c>
      <c r="AY1203" s="81" t="s">
        <v>3158</v>
      </c>
      <c r="AZ1203" t="s">
        <v>3159</v>
      </c>
      <c r="BA1203" t="s">
        <v>128</v>
      </c>
      <c r="BB1203" t="str">
        <f t="shared" si="18"/>
        <v>IHVNfcAbujaMunicipalAreaCouncil</v>
      </c>
    </row>
    <row r="1204" spans="48:54" x14ac:dyDescent="0.3">
      <c r="AV1204" t="s">
        <v>789</v>
      </c>
      <c r="AW1204" t="s">
        <v>147</v>
      </c>
      <c r="AX1204" t="s">
        <v>605</v>
      </c>
      <c r="AY1204" s="81" t="s">
        <v>3160</v>
      </c>
      <c r="AZ1204" t="s">
        <v>3161</v>
      </c>
      <c r="BA1204" t="s">
        <v>128</v>
      </c>
      <c r="BB1204" t="str">
        <f t="shared" si="18"/>
        <v>IHVNfcAbujaMunicipalAreaCouncil</v>
      </c>
    </row>
    <row r="1205" spans="48:54" x14ac:dyDescent="0.3">
      <c r="AV1205" t="s">
        <v>789</v>
      </c>
      <c r="AW1205" t="s">
        <v>147</v>
      </c>
      <c r="AX1205" t="s">
        <v>605</v>
      </c>
      <c r="AY1205" s="81" t="s">
        <v>3162</v>
      </c>
      <c r="AZ1205" t="s">
        <v>3163</v>
      </c>
      <c r="BA1205" t="s">
        <v>128</v>
      </c>
      <c r="BB1205" t="str">
        <f t="shared" si="18"/>
        <v>IHVNfcAbujaMunicipalAreaCouncil</v>
      </c>
    </row>
    <row r="1206" spans="48:54" x14ac:dyDescent="0.3">
      <c r="AV1206" t="s">
        <v>789</v>
      </c>
      <c r="AW1206" t="s">
        <v>147</v>
      </c>
      <c r="AX1206" t="s">
        <v>605</v>
      </c>
      <c r="AY1206" s="81" t="s">
        <v>3164</v>
      </c>
      <c r="AZ1206" t="s">
        <v>3165</v>
      </c>
      <c r="BA1206" t="s">
        <v>128</v>
      </c>
      <c r="BB1206" t="str">
        <f t="shared" si="18"/>
        <v>IHVNfcAbujaMunicipalAreaCouncil</v>
      </c>
    </row>
    <row r="1207" spans="48:54" x14ac:dyDescent="0.3">
      <c r="AV1207" t="s">
        <v>789</v>
      </c>
      <c r="AW1207" t="s">
        <v>147</v>
      </c>
      <c r="AX1207" t="s">
        <v>605</v>
      </c>
      <c r="AY1207" s="81" t="s">
        <v>3166</v>
      </c>
      <c r="AZ1207" t="s">
        <v>3167</v>
      </c>
      <c r="BA1207" t="s">
        <v>128</v>
      </c>
      <c r="BB1207" t="str">
        <f t="shared" si="18"/>
        <v>IHVNfcAbujaMunicipalAreaCouncil</v>
      </c>
    </row>
    <row r="1208" spans="48:54" x14ac:dyDescent="0.3">
      <c r="AV1208" t="s">
        <v>789</v>
      </c>
      <c r="AW1208" t="s">
        <v>147</v>
      </c>
      <c r="AX1208" t="s">
        <v>605</v>
      </c>
      <c r="AY1208" s="81" t="s">
        <v>3168</v>
      </c>
      <c r="AZ1208" t="s">
        <v>3169</v>
      </c>
      <c r="BA1208" t="s">
        <v>128</v>
      </c>
      <c r="BB1208" t="str">
        <f t="shared" si="18"/>
        <v>IHVNfcAbujaMunicipalAreaCouncil</v>
      </c>
    </row>
    <row r="1209" spans="48:54" x14ac:dyDescent="0.3">
      <c r="AV1209" t="s">
        <v>789</v>
      </c>
      <c r="AW1209" t="s">
        <v>147</v>
      </c>
      <c r="AX1209" t="s">
        <v>605</v>
      </c>
      <c r="AY1209" s="81" t="s">
        <v>3170</v>
      </c>
      <c r="AZ1209" t="s">
        <v>3171</v>
      </c>
      <c r="BA1209" t="s">
        <v>128</v>
      </c>
      <c r="BB1209" t="str">
        <f t="shared" si="18"/>
        <v>IHVNfcAbujaMunicipalAreaCouncil</v>
      </c>
    </row>
    <row r="1210" spans="48:54" x14ac:dyDescent="0.3">
      <c r="AV1210" t="s">
        <v>789</v>
      </c>
      <c r="AW1210" t="s">
        <v>147</v>
      </c>
      <c r="AX1210" t="s">
        <v>605</v>
      </c>
      <c r="AY1210" s="81" t="s">
        <v>3172</v>
      </c>
      <c r="AZ1210" t="s">
        <v>3173</v>
      </c>
      <c r="BA1210" t="s">
        <v>128</v>
      </c>
      <c r="BB1210" t="str">
        <f t="shared" si="18"/>
        <v>IHVNfcAbujaMunicipalAreaCouncil</v>
      </c>
    </row>
    <row r="1211" spans="48:54" x14ac:dyDescent="0.3">
      <c r="AV1211" t="s">
        <v>789</v>
      </c>
      <c r="AW1211" t="s">
        <v>147</v>
      </c>
      <c r="AX1211" t="s">
        <v>605</v>
      </c>
      <c r="AY1211" s="81" t="s">
        <v>3174</v>
      </c>
      <c r="AZ1211" t="s">
        <v>3175</v>
      </c>
      <c r="BA1211" t="s">
        <v>128</v>
      </c>
      <c r="BB1211" t="str">
        <f t="shared" si="18"/>
        <v>IHVNfcAbujaMunicipalAreaCouncil</v>
      </c>
    </row>
    <row r="1212" spans="48:54" x14ac:dyDescent="0.3">
      <c r="AV1212" t="s">
        <v>789</v>
      </c>
      <c r="AW1212" t="s">
        <v>147</v>
      </c>
      <c r="AX1212" t="s">
        <v>605</v>
      </c>
      <c r="AY1212" s="81" t="s">
        <v>3176</v>
      </c>
      <c r="AZ1212" t="s">
        <v>3177</v>
      </c>
      <c r="BA1212" t="s">
        <v>128</v>
      </c>
      <c r="BB1212" t="str">
        <f t="shared" si="18"/>
        <v>IHVNfcAbujaMunicipalAreaCouncil</v>
      </c>
    </row>
    <row r="1213" spans="48:54" x14ac:dyDescent="0.3">
      <c r="AV1213" t="s">
        <v>789</v>
      </c>
      <c r="AW1213" t="s">
        <v>147</v>
      </c>
      <c r="AX1213" t="s">
        <v>605</v>
      </c>
      <c r="AY1213" s="81" t="s">
        <v>3178</v>
      </c>
      <c r="AZ1213" t="s">
        <v>3179</v>
      </c>
      <c r="BA1213" t="s">
        <v>128</v>
      </c>
      <c r="BB1213" t="str">
        <f t="shared" si="18"/>
        <v>IHVNfcAbujaMunicipalAreaCouncil</v>
      </c>
    </row>
    <row r="1214" spans="48:54" x14ac:dyDescent="0.3">
      <c r="AV1214" t="s">
        <v>789</v>
      </c>
      <c r="AW1214" t="s">
        <v>147</v>
      </c>
      <c r="AX1214" t="s">
        <v>605</v>
      </c>
      <c r="AY1214" s="81" t="s">
        <v>3180</v>
      </c>
      <c r="AZ1214" t="s">
        <v>3181</v>
      </c>
      <c r="BA1214" t="s">
        <v>128</v>
      </c>
      <c r="BB1214" t="str">
        <f t="shared" si="18"/>
        <v>IHVNfcAbujaMunicipalAreaCouncil</v>
      </c>
    </row>
    <row r="1215" spans="48:54" x14ac:dyDescent="0.3">
      <c r="AV1215" t="s">
        <v>789</v>
      </c>
      <c r="AW1215" t="s">
        <v>147</v>
      </c>
      <c r="AX1215" t="s">
        <v>605</v>
      </c>
      <c r="AY1215" s="81" t="s">
        <v>3182</v>
      </c>
      <c r="AZ1215" t="s">
        <v>3183</v>
      </c>
      <c r="BA1215" t="s">
        <v>128</v>
      </c>
      <c r="BB1215" t="str">
        <f t="shared" si="18"/>
        <v>IHVNfcAbujaMunicipalAreaCouncil</v>
      </c>
    </row>
    <row r="1216" spans="48:54" x14ac:dyDescent="0.3">
      <c r="AV1216" t="s">
        <v>789</v>
      </c>
      <c r="AW1216" t="s">
        <v>147</v>
      </c>
      <c r="AX1216" t="s">
        <v>605</v>
      </c>
      <c r="AY1216" s="81" t="s">
        <v>3184</v>
      </c>
      <c r="AZ1216" t="s">
        <v>3185</v>
      </c>
      <c r="BA1216" t="s">
        <v>128</v>
      </c>
      <c r="BB1216" t="str">
        <f t="shared" si="18"/>
        <v>IHVNfcAbujaMunicipalAreaCouncil</v>
      </c>
    </row>
    <row r="1217" spans="48:54" x14ac:dyDescent="0.3">
      <c r="AV1217" t="s">
        <v>789</v>
      </c>
      <c r="AW1217" t="s">
        <v>147</v>
      </c>
      <c r="AX1217" t="s">
        <v>605</v>
      </c>
      <c r="AY1217" s="81" t="s">
        <v>3186</v>
      </c>
      <c r="AZ1217" t="s">
        <v>3187</v>
      </c>
      <c r="BA1217" t="s">
        <v>128</v>
      </c>
      <c r="BB1217" t="str">
        <f t="shared" si="18"/>
        <v>IHVNfcAbujaMunicipalAreaCouncil</v>
      </c>
    </row>
    <row r="1218" spans="48:54" x14ac:dyDescent="0.3">
      <c r="AV1218" t="s">
        <v>789</v>
      </c>
      <c r="AW1218" t="s">
        <v>147</v>
      </c>
      <c r="AX1218" t="s">
        <v>605</v>
      </c>
      <c r="AY1218" s="81" t="s">
        <v>3188</v>
      </c>
      <c r="AZ1218" t="s">
        <v>3189</v>
      </c>
      <c r="BA1218" t="s">
        <v>128</v>
      </c>
      <c r="BB1218" t="str">
        <f t="shared" si="18"/>
        <v>IHVNfcAbujaMunicipalAreaCouncil</v>
      </c>
    </row>
    <row r="1219" spans="48:54" x14ac:dyDescent="0.3">
      <c r="AV1219" t="s">
        <v>789</v>
      </c>
      <c r="AW1219" t="s">
        <v>147</v>
      </c>
      <c r="AX1219" t="s">
        <v>605</v>
      </c>
      <c r="AY1219" s="81" t="s">
        <v>3190</v>
      </c>
      <c r="AZ1219" t="s">
        <v>3191</v>
      </c>
      <c r="BA1219" t="s">
        <v>128</v>
      </c>
      <c r="BB1219" t="str">
        <f t="shared" ref="BB1219:BB1282" si="19">SUBSTITUTE(SUBSTITUTE(BA1219&amp;AX1219," ",""),"-","")</f>
        <v>IHVNfcAbujaMunicipalAreaCouncil</v>
      </c>
    </row>
    <row r="1220" spans="48:54" x14ac:dyDescent="0.3">
      <c r="AV1220" t="s">
        <v>789</v>
      </c>
      <c r="AW1220" t="s">
        <v>147</v>
      </c>
      <c r="AX1220" t="s">
        <v>605</v>
      </c>
      <c r="AY1220" s="81" t="s">
        <v>3192</v>
      </c>
      <c r="AZ1220" t="s">
        <v>3193</v>
      </c>
      <c r="BA1220" t="s">
        <v>128</v>
      </c>
      <c r="BB1220" t="str">
        <f t="shared" si="19"/>
        <v>IHVNfcAbujaMunicipalAreaCouncil</v>
      </c>
    </row>
    <row r="1221" spans="48:54" x14ac:dyDescent="0.3">
      <c r="AV1221" t="s">
        <v>789</v>
      </c>
      <c r="AW1221" t="s">
        <v>147</v>
      </c>
      <c r="AX1221" t="s">
        <v>605</v>
      </c>
      <c r="AY1221" s="81" t="s">
        <v>3194</v>
      </c>
      <c r="AZ1221" t="s">
        <v>3195</v>
      </c>
      <c r="BA1221" t="s">
        <v>128</v>
      </c>
      <c r="BB1221" t="str">
        <f t="shared" si="19"/>
        <v>IHVNfcAbujaMunicipalAreaCouncil</v>
      </c>
    </row>
    <row r="1222" spans="48:54" x14ac:dyDescent="0.3">
      <c r="AV1222" t="s">
        <v>789</v>
      </c>
      <c r="AW1222" t="s">
        <v>147</v>
      </c>
      <c r="AX1222" t="s">
        <v>605</v>
      </c>
      <c r="AY1222" s="81" t="s">
        <v>3196</v>
      </c>
      <c r="AZ1222" t="s">
        <v>3197</v>
      </c>
      <c r="BA1222" t="s">
        <v>128</v>
      </c>
      <c r="BB1222" t="str">
        <f t="shared" si="19"/>
        <v>IHVNfcAbujaMunicipalAreaCouncil</v>
      </c>
    </row>
    <row r="1223" spans="48:54" x14ac:dyDescent="0.3">
      <c r="AV1223" t="s">
        <v>789</v>
      </c>
      <c r="AW1223" t="s">
        <v>147</v>
      </c>
      <c r="AX1223" t="s">
        <v>605</v>
      </c>
      <c r="AY1223" s="81" t="s">
        <v>3198</v>
      </c>
      <c r="AZ1223" t="s">
        <v>3199</v>
      </c>
      <c r="BA1223" t="s">
        <v>128</v>
      </c>
      <c r="BB1223" t="str">
        <f t="shared" si="19"/>
        <v>IHVNfcAbujaMunicipalAreaCouncil</v>
      </c>
    </row>
    <row r="1224" spans="48:54" x14ac:dyDescent="0.3">
      <c r="AV1224" t="s">
        <v>789</v>
      </c>
      <c r="AW1224" t="s">
        <v>147</v>
      </c>
      <c r="AX1224" t="s">
        <v>605</v>
      </c>
      <c r="AY1224" s="81" t="s">
        <v>3200</v>
      </c>
      <c r="AZ1224" t="s">
        <v>3201</v>
      </c>
      <c r="BA1224" t="s">
        <v>128</v>
      </c>
      <c r="BB1224" t="str">
        <f t="shared" si="19"/>
        <v>IHVNfcAbujaMunicipalAreaCouncil</v>
      </c>
    </row>
    <row r="1225" spans="48:54" x14ac:dyDescent="0.3">
      <c r="AV1225" t="s">
        <v>789</v>
      </c>
      <c r="AW1225" t="s">
        <v>147</v>
      </c>
      <c r="AX1225" t="s">
        <v>605</v>
      </c>
      <c r="AY1225" s="81" t="s">
        <v>3202</v>
      </c>
      <c r="AZ1225" t="s">
        <v>3203</v>
      </c>
      <c r="BA1225" t="s">
        <v>128</v>
      </c>
      <c r="BB1225" t="str">
        <f t="shared" si="19"/>
        <v>IHVNfcAbujaMunicipalAreaCouncil</v>
      </c>
    </row>
    <row r="1226" spans="48:54" x14ac:dyDescent="0.3">
      <c r="AV1226" t="s">
        <v>789</v>
      </c>
      <c r="AW1226" t="s">
        <v>147</v>
      </c>
      <c r="AX1226" t="s">
        <v>606</v>
      </c>
      <c r="AY1226" s="81" t="s">
        <v>3204</v>
      </c>
      <c r="AZ1226" t="s">
        <v>3205</v>
      </c>
      <c r="BA1226" t="s">
        <v>128</v>
      </c>
      <c r="BB1226" t="str">
        <f t="shared" si="19"/>
        <v>IHVNfcBwari</v>
      </c>
    </row>
    <row r="1227" spans="48:54" x14ac:dyDescent="0.3">
      <c r="AV1227" t="s">
        <v>789</v>
      </c>
      <c r="AW1227" t="s">
        <v>147</v>
      </c>
      <c r="AX1227" t="s">
        <v>606</v>
      </c>
      <c r="AY1227" s="81" t="s">
        <v>3206</v>
      </c>
      <c r="AZ1227" t="s">
        <v>3207</v>
      </c>
      <c r="BA1227" t="s">
        <v>128</v>
      </c>
      <c r="BB1227" t="str">
        <f t="shared" si="19"/>
        <v>IHVNfcBwari</v>
      </c>
    </row>
    <row r="1228" spans="48:54" x14ac:dyDescent="0.3">
      <c r="AV1228" t="s">
        <v>789</v>
      </c>
      <c r="AW1228" t="s">
        <v>147</v>
      </c>
      <c r="AX1228" t="s">
        <v>606</v>
      </c>
      <c r="AY1228" s="81" t="s">
        <v>3208</v>
      </c>
      <c r="AZ1228" t="s">
        <v>3209</v>
      </c>
      <c r="BA1228" t="s">
        <v>128</v>
      </c>
      <c r="BB1228" t="str">
        <f t="shared" si="19"/>
        <v>IHVNfcBwari</v>
      </c>
    </row>
    <row r="1229" spans="48:54" x14ac:dyDescent="0.3">
      <c r="AV1229" t="s">
        <v>789</v>
      </c>
      <c r="AW1229" t="s">
        <v>147</v>
      </c>
      <c r="AX1229" t="s">
        <v>606</v>
      </c>
      <c r="AY1229" s="81" t="s">
        <v>3210</v>
      </c>
      <c r="AZ1229" t="s">
        <v>3211</v>
      </c>
      <c r="BA1229" t="s">
        <v>128</v>
      </c>
      <c r="BB1229" t="str">
        <f t="shared" si="19"/>
        <v>IHVNfcBwari</v>
      </c>
    </row>
    <row r="1230" spans="48:54" x14ac:dyDescent="0.3">
      <c r="AV1230" t="s">
        <v>789</v>
      </c>
      <c r="AW1230" t="s">
        <v>147</v>
      </c>
      <c r="AX1230" t="s">
        <v>606</v>
      </c>
      <c r="AY1230" s="81" t="s">
        <v>3212</v>
      </c>
      <c r="AZ1230" t="s">
        <v>3213</v>
      </c>
      <c r="BA1230" t="s">
        <v>128</v>
      </c>
      <c r="BB1230" t="str">
        <f t="shared" si="19"/>
        <v>IHVNfcBwari</v>
      </c>
    </row>
    <row r="1231" spans="48:54" x14ac:dyDescent="0.3">
      <c r="AV1231" t="s">
        <v>789</v>
      </c>
      <c r="AW1231" t="s">
        <v>147</v>
      </c>
      <c r="AX1231" t="s">
        <v>606</v>
      </c>
      <c r="AY1231" s="81" t="s">
        <v>3214</v>
      </c>
      <c r="AZ1231" t="s">
        <v>3215</v>
      </c>
      <c r="BA1231" t="s">
        <v>128</v>
      </c>
      <c r="BB1231" t="str">
        <f t="shared" si="19"/>
        <v>IHVNfcBwari</v>
      </c>
    </row>
    <row r="1232" spans="48:54" x14ac:dyDescent="0.3">
      <c r="AV1232" t="s">
        <v>789</v>
      </c>
      <c r="AW1232" t="s">
        <v>147</v>
      </c>
      <c r="AX1232" t="s">
        <v>606</v>
      </c>
      <c r="AY1232" s="81" t="s">
        <v>3216</v>
      </c>
      <c r="AZ1232" t="s">
        <v>3217</v>
      </c>
      <c r="BA1232" t="s">
        <v>128</v>
      </c>
      <c r="BB1232" t="str">
        <f t="shared" si="19"/>
        <v>IHVNfcBwari</v>
      </c>
    </row>
    <row r="1233" spans="48:54" x14ac:dyDescent="0.3">
      <c r="AV1233" t="s">
        <v>789</v>
      </c>
      <c r="AW1233" t="s">
        <v>147</v>
      </c>
      <c r="AX1233" t="s">
        <v>606</v>
      </c>
      <c r="AY1233" s="81" t="s">
        <v>3218</v>
      </c>
      <c r="AZ1233" t="s">
        <v>3219</v>
      </c>
      <c r="BA1233" t="s">
        <v>128</v>
      </c>
      <c r="BB1233" t="str">
        <f t="shared" si="19"/>
        <v>IHVNfcBwari</v>
      </c>
    </row>
    <row r="1234" spans="48:54" x14ac:dyDescent="0.3">
      <c r="AV1234" t="s">
        <v>789</v>
      </c>
      <c r="AW1234" t="s">
        <v>147</v>
      </c>
      <c r="AX1234" t="s">
        <v>606</v>
      </c>
      <c r="AY1234" s="81" t="s">
        <v>3220</v>
      </c>
      <c r="AZ1234" t="s">
        <v>3221</v>
      </c>
      <c r="BA1234" t="s">
        <v>128</v>
      </c>
      <c r="BB1234" t="str">
        <f t="shared" si="19"/>
        <v>IHVNfcBwari</v>
      </c>
    </row>
    <row r="1235" spans="48:54" x14ac:dyDescent="0.3">
      <c r="AV1235" t="s">
        <v>789</v>
      </c>
      <c r="AW1235" t="s">
        <v>147</v>
      </c>
      <c r="AX1235" t="s">
        <v>606</v>
      </c>
      <c r="AY1235" s="81" t="s">
        <v>3222</v>
      </c>
      <c r="AZ1235" t="s">
        <v>3223</v>
      </c>
      <c r="BA1235" t="s">
        <v>128</v>
      </c>
      <c r="BB1235" t="str">
        <f t="shared" si="19"/>
        <v>IHVNfcBwari</v>
      </c>
    </row>
    <row r="1236" spans="48:54" x14ac:dyDescent="0.3">
      <c r="AV1236" t="s">
        <v>789</v>
      </c>
      <c r="AW1236" t="s">
        <v>147</v>
      </c>
      <c r="AX1236" t="s">
        <v>606</v>
      </c>
      <c r="AY1236" s="81" t="s">
        <v>3224</v>
      </c>
      <c r="AZ1236" t="s">
        <v>3225</v>
      </c>
      <c r="BA1236" t="s">
        <v>128</v>
      </c>
      <c r="BB1236" t="str">
        <f t="shared" si="19"/>
        <v>IHVNfcBwari</v>
      </c>
    </row>
    <row r="1237" spans="48:54" x14ac:dyDescent="0.3">
      <c r="AV1237" t="s">
        <v>789</v>
      </c>
      <c r="AW1237" t="s">
        <v>147</v>
      </c>
      <c r="AX1237" t="s">
        <v>606</v>
      </c>
      <c r="AY1237" s="81" t="s">
        <v>3226</v>
      </c>
      <c r="AZ1237" t="s">
        <v>3227</v>
      </c>
      <c r="BA1237" t="s">
        <v>128</v>
      </c>
      <c r="BB1237" t="str">
        <f t="shared" si="19"/>
        <v>IHVNfcBwari</v>
      </c>
    </row>
    <row r="1238" spans="48:54" x14ac:dyDescent="0.3">
      <c r="AV1238" t="s">
        <v>789</v>
      </c>
      <c r="AW1238" t="s">
        <v>147</v>
      </c>
      <c r="AX1238" t="s">
        <v>606</v>
      </c>
      <c r="AY1238" s="81" t="s">
        <v>3228</v>
      </c>
      <c r="AZ1238" t="s">
        <v>3229</v>
      </c>
      <c r="BA1238" t="s">
        <v>128</v>
      </c>
      <c r="BB1238" t="str">
        <f t="shared" si="19"/>
        <v>IHVNfcBwari</v>
      </c>
    </row>
    <row r="1239" spans="48:54" x14ac:dyDescent="0.3">
      <c r="AV1239" t="s">
        <v>789</v>
      </c>
      <c r="AW1239" t="s">
        <v>147</v>
      </c>
      <c r="AX1239" t="s">
        <v>606</v>
      </c>
      <c r="AY1239" s="81" t="s">
        <v>3230</v>
      </c>
      <c r="AZ1239" t="s">
        <v>3231</v>
      </c>
      <c r="BA1239" t="s">
        <v>128</v>
      </c>
      <c r="BB1239" t="str">
        <f t="shared" si="19"/>
        <v>IHVNfcBwari</v>
      </c>
    </row>
    <row r="1240" spans="48:54" x14ac:dyDescent="0.3">
      <c r="AV1240" t="s">
        <v>789</v>
      </c>
      <c r="AW1240" t="s">
        <v>147</v>
      </c>
      <c r="AX1240" t="s">
        <v>606</v>
      </c>
      <c r="AY1240" s="81" t="s">
        <v>3232</v>
      </c>
      <c r="AZ1240" t="s">
        <v>3233</v>
      </c>
      <c r="BA1240" t="s">
        <v>128</v>
      </c>
      <c r="BB1240" t="str">
        <f t="shared" si="19"/>
        <v>IHVNfcBwari</v>
      </c>
    </row>
    <row r="1241" spans="48:54" x14ac:dyDescent="0.3">
      <c r="AV1241" t="s">
        <v>789</v>
      </c>
      <c r="AW1241" t="s">
        <v>147</v>
      </c>
      <c r="AX1241" t="s">
        <v>606</v>
      </c>
      <c r="AY1241" s="81" t="s">
        <v>3234</v>
      </c>
      <c r="AZ1241" t="s">
        <v>3235</v>
      </c>
      <c r="BA1241" t="s">
        <v>128</v>
      </c>
      <c r="BB1241" t="str">
        <f t="shared" si="19"/>
        <v>IHVNfcBwari</v>
      </c>
    </row>
    <row r="1242" spans="48:54" x14ac:dyDescent="0.3">
      <c r="AV1242" t="s">
        <v>789</v>
      </c>
      <c r="AW1242" t="s">
        <v>147</v>
      </c>
      <c r="AX1242" t="s">
        <v>606</v>
      </c>
      <c r="AY1242" s="81" t="s">
        <v>3236</v>
      </c>
      <c r="AZ1242" t="s">
        <v>3237</v>
      </c>
      <c r="BA1242" t="s">
        <v>128</v>
      </c>
      <c r="BB1242" t="str">
        <f t="shared" si="19"/>
        <v>IHVNfcBwari</v>
      </c>
    </row>
    <row r="1243" spans="48:54" x14ac:dyDescent="0.3">
      <c r="AV1243" t="s">
        <v>789</v>
      </c>
      <c r="AW1243" t="s">
        <v>147</v>
      </c>
      <c r="AX1243" t="s">
        <v>606</v>
      </c>
      <c r="AY1243" s="81" t="s">
        <v>3238</v>
      </c>
      <c r="AZ1243" t="s">
        <v>3239</v>
      </c>
      <c r="BA1243" t="s">
        <v>128</v>
      </c>
      <c r="BB1243" t="str">
        <f t="shared" si="19"/>
        <v>IHVNfcBwari</v>
      </c>
    </row>
    <row r="1244" spans="48:54" x14ac:dyDescent="0.3">
      <c r="AV1244" t="s">
        <v>789</v>
      </c>
      <c r="AW1244" t="s">
        <v>147</v>
      </c>
      <c r="AX1244" t="s">
        <v>606</v>
      </c>
      <c r="AY1244" s="81" t="s">
        <v>3240</v>
      </c>
      <c r="AZ1244" t="s">
        <v>3241</v>
      </c>
      <c r="BA1244" t="s">
        <v>128</v>
      </c>
      <c r="BB1244" t="str">
        <f t="shared" si="19"/>
        <v>IHVNfcBwari</v>
      </c>
    </row>
    <row r="1245" spans="48:54" x14ac:dyDescent="0.3">
      <c r="AV1245" t="s">
        <v>789</v>
      </c>
      <c r="AW1245" t="s">
        <v>147</v>
      </c>
      <c r="AX1245" t="s">
        <v>606</v>
      </c>
      <c r="AY1245" s="81" t="s">
        <v>3242</v>
      </c>
      <c r="AZ1245" t="s">
        <v>3243</v>
      </c>
      <c r="BA1245" t="s">
        <v>128</v>
      </c>
      <c r="BB1245" t="str">
        <f t="shared" si="19"/>
        <v>IHVNfcBwari</v>
      </c>
    </row>
    <row r="1246" spans="48:54" x14ac:dyDescent="0.3">
      <c r="AV1246" t="s">
        <v>789</v>
      </c>
      <c r="AW1246" t="s">
        <v>147</v>
      </c>
      <c r="AX1246" t="s">
        <v>606</v>
      </c>
      <c r="AY1246" s="81" t="s">
        <v>3244</v>
      </c>
      <c r="AZ1246" t="s">
        <v>3245</v>
      </c>
      <c r="BA1246" t="s">
        <v>128</v>
      </c>
      <c r="BB1246" t="str">
        <f t="shared" si="19"/>
        <v>IHVNfcBwari</v>
      </c>
    </row>
    <row r="1247" spans="48:54" x14ac:dyDescent="0.3">
      <c r="AV1247" t="s">
        <v>789</v>
      </c>
      <c r="AW1247" t="s">
        <v>147</v>
      </c>
      <c r="AX1247" t="s">
        <v>606</v>
      </c>
      <c r="AY1247" s="81" t="s">
        <v>3246</v>
      </c>
      <c r="AZ1247" t="s">
        <v>3247</v>
      </c>
      <c r="BA1247" t="s">
        <v>128</v>
      </c>
      <c r="BB1247" t="str">
        <f t="shared" si="19"/>
        <v>IHVNfcBwari</v>
      </c>
    </row>
    <row r="1248" spans="48:54" x14ac:dyDescent="0.3">
      <c r="AV1248" t="s">
        <v>789</v>
      </c>
      <c r="AW1248" t="s">
        <v>147</v>
      </c>
      <c r="AX1248" t="s">
        <v>606</v>
      </c>
      <c r="AY1248" s="81" t="s">
        <v>3248</v>
      </c>
      <c r="AZ1248" t="s">
        <v>3249</v>
      </c>
      <c r="BA1248" t="s">
        <v>128</v>
      </c>
      <c r="BB1248" t="str">
        <f t="shared" si="19"/>
        <v>IHVNfcBwari</v>
      </c>
    </row>
    <row r="1249" spans="48:54" x14ac:dyDescent="0.3">
      <c r="AV1249" t="s">
        <v>789</v>
      </c>
      <c r="AW1249" t="s">
        <v>147</v>
      </c>
      <c r="AX1249" t="s">
        <v>606</v>
      </c>
      <c r="AY1249" s="81" t="s">
        <v>3250</v>
      </c>
      <c r="AZ1249" t="s">
        <v>3251</v>
      </c>
      <c r="BA1249" t="s">
        <v>128</v>
      </c>
      <c r="BB1249" t="str">
        <f t="shared" si="19"/>
        <v>IHVNfcBwari</v>
      </c>
    </row>
    <row r="1250" spans="48:54" x14ac:dyDescent="0.3">
      <c r="AV1250" t="s">
        <v>789</v>
      </c>
      <c r="AW1250" t="s">
        <v>147</v>
      </c>
      <c r="AX1250" t="s">
        <v>606</v>
      </c>
      <c r="AY1250" s="81" t="s">
        <v>3252</v>
      </c>
      <c r="AZ1250" t="s">
        <v>3253</v>
      </c>
      <c r="BA1250" t="s">
        <v>128</v>
      </c>
      <c r="BB1250" t="str">
        <f t="shared" si="19"/>
        <v>IHVNfcBwari</v>
      </c>
    </row>
    <row r="1251" spans="48:54" x14ac:dyDescent="0.3">
      <c r="AV1251" t="s">
        <v>789</v>
      </c>
      <c r="AW1251" t="s">
        <v>147</v>
      </c>
      <c r="AX1251" t="s">
        <v>606</v>
      </c>
      <c r="AY1251" s="81" t="s">
        <v>3254</v>
      </c>
      <c r="AZ1251" t="s">
        <v>3255</v>
      </c>
      <c r="BA1251" t="s">
        <v>128</v>
      </c>
      <c r="BB1251" t="str">
        <f t="shared" si="19"/>
        <v>IHVNfcBwari</v>
      </c>
    </row>
    <row r="1252" spans="48:54" x14ac:dyDescent="0.3">
      <c r="AV1252" t="s">
        <v>789</v>
      </c>
      <c r="AW1252" t="s">
        <v>147</v>
      </c>
      <c r="AX1252" t="s">
        <v>606</v>
      </c>
      <c r="AY1252" s="81" t="s">
        <v>3256</v>
      </c>
      <c r="AZ1252" t="s">
        <v>3257</v>
      </c>
      <c r="BA1252" t="s">
        <v>128</v>
      </c>
      <c r="BB1252" t="str">
        <f t="shared" si="19"/>
        <v>IHVNfcBwari</v>
      </c>
    </row>
    <row r="1253" spans="48:54" x14ac:dyDescent="0.3">
      <c r="AV1253" t="s">
        <v>789</v>
      </c>
      <c r="AW1253" t="s">
        <v>147</v>
      </c>
      <c r="AX1253" t="s">
        <v>606</v>
      </c>
      <c r="AY1253" s="81" t="s">
        <v>3258</v>
      </c>
      <c r="AZ1253" t="s">
        <v>3259</v>
      </c>
      <c r="BA1253" t="s">
        <v>128</v>
      </c>
      <c r="BB1253" t="str">
        <f t="shared" si="19"/>
        <v>IHVNfcBwari</v>
      </c>
    </row>
    <row r="1254" spans="48:54" x14ac:dyDescent="0.3">
      <c r="AV1254" t="s">
        <v>789</v>
      </c>
      <c r="AW1254" t="s">
        <v>147</v>
      </c>
      <c r="AX1254" t="s">
        <v>606</v>
      </c>
      <c r="AY1254" s="81" t="s">
        <v>3260</v>
      </c>
      <c r="AZ1254" t="s">
        <v>3261</v>
      </c>
      <c r="BA1254" t="s">
        <v>128</v>
      </c>
      <c r="BB1254" t="str">
        <f t="shared" si="19"/>
        <v>IHVNfcBwari</v>
      </c>
    </row>
    <row r="1255" spans="48:54" x14ac:dyDescent="0.3">
      <c r="AV1255" t="s">
        <v>789</v>
      </c>
      <c r="AW1255" t="s">
        <v>147</v>
      </c>
      <c r="AX1255" t="s">
        <v>606</v>
      </c>
      <c r="AY1255" s="81" t="s">
        <v>3262</v>
      </c>
      <c r="AZ1255" t="s">
        <v>3263</v>
      </c>
      <c r="BA1255" t="s">
        <v>128</v>
      </c>
      <c r="BB1255" t="str">
        <f t="shared" si="19"/>
        <v>IHVNfcBwari</v>
      </c>
    </row>
    <row r="1256" spans="48:54" x14ac:dyDescent="0.3">
      <c r="AV1256" t="s">
        <v>789</v>
      </c>
      <c r="AW1256" t="s">
        <v>147</v>
      </c>
      <c r="AX1256" t="s">
        <v>606</v>
      </c>
      <c r="AY1256" s="81" t="s">
        <v>3264</v>
      </c>
      <c r="AZ1256" t="s">
        <v>3265</v>
      </c>
      <c r="BA1256" t="s">
        <v>128</v>
      </c>
      <c r="BB1256" t="str">
        <f t="shared" si="19"/>
        <v>IHVNfcBwari</v>
      </c>
    </row>
    <row r="1257" spans="48:54" x14ac:dyDescent="0.3">
      <c r="AV1257" t="s">
        <v>789</v>
      </c>
      <c r="AW1257" t="s">
        <v>147</v>
      </c>
      <c r="AX1257" t="s">
        <v>606</v>
      </c>
      <c r="AY1257" s="81" t="s">
        <v>3266</v>
      </c>
      <c r="AZ1257" t="s">
        <v>3267</v>
      </c>
      <c r="BA1257" t="s">
        <v>128</v>
      </c>
      <c r="BB1257" t="str">
        <f t="shared" si="19"/>
        <v>IHVNfcBwari</v>
      </c>
    </row>
    <row r="1258" spans="48:54" x14ac:dyDescent="0.3">
      <c r="AV1258" t="s">
        <v>789</v>
      </c>
      <c r="AW1258" t="s">
        <v>147</v>
      </c>
      <c r="AX1258" t="s">
        <v>606</v>
      </c>
      <c r="AY1258" s="81" t="s">
        <v>3268</v>
      </c>
      <c r="AZ1258" t="s">
        <v>3269</v>
      </c>
      <c r="BA1258" t="s">
        <v>128</v>
      </c>
      <c r="BB1258" t="str">
        <f t="shared" si="19"/>
        <v>IHVNfcBwari</v>
      </c>
    </row>
    <row r="1259" spans="48:54" x14ac:dyDescent="0.3">
      <c r="AV1259" t="s">
        <v>789</v>
      </c>
      <c r="AW1259" t="s">
        <v>147</v>
      </c>
      <c r="AX1259" t="s">
        <v>606</v>
      </c>
      <c r="AY1259" s="81" t="s">
        <v>3270</v>
      </c>
      <c r="AZ1259" t="s">
        <v>3271</v>
      </c>
      <c r="BA1259" t="s">
        <v>128</v>
      </c>
      <c r="BB1259" t="str">
        <f t="shared" si="19"/>
        <v>IHVNfcBwari</v>
      </c>
    </row>
    <row r="1260" spans="48:54" x14ac:dyDescent="0.3">
      <c r="AV1260" t="s">
        <v>789</v>
      </c>
      <c r="AW1260" t="s">
        <v>147</v>
      </c>
      <c r="AX1260" t="s">
        <v>606</v>
      </c>
      <c r="AY1260" s="81" t="s">
        <v>3272</v>
      </c>
      <c r="AZ1260" t="s">
        <v>3273</v>
      </c>
      <c r="BA1260" t="s">
        <v>128</v>
      </c>
      <c r="BB1260" t="str">
        <f t="shared" si="19"/>
        <v>IHVNfcBwari</v>
      </c>
    </row>
    <row r="1261" spans="48:54" x14ac:dyDescent="0.3">
      <c r="AV1261" t="s">
        <v>789</v>
      </c>
      <c r="AW1261" t="s">
        <v>147</v>
      </c>
      <c r="AX1261" t="s">
        <v>606</v>
      </c>
      <c r="AY1261" s="81" t="s">
        <v>3274</v>
      </c>
      <c r="AZ1261" t="s">
        <v>3275</v>
      </c>
      <c r="BA1261" t="s">
        <v>128</v>
      </c>
      <c r="BB1261" t="str">
        <f t="shared" si="19"/>
        <v>IHVNfcBwari</v>
      </c>
    </row>
    <row r="1262" spans="48:54" x14ac:dyDescent="0.3">
      <c r="AV1262" t="s">
        <v>789</v>
      </c>
      <c r="AW1262" t="s">
        <v>147</v>
      </c>
      <c r="AX1262" t="s">
        <v>606</v>
      </c>
      <c r="AY1262" s="81" t="s">
        <v>3276</v>
      </c>
      <c r="AZ1262" t="s">
        <v>3277</v>
      </c>
      <c r="BA1262" t="s">
        <v>128</v>
      </c>
      <c r="BB1262" t="str">
        <f t="shared" si="19"/>
        <v>IHVNfcBwari</v>
      </c>
    </row>
    <row r="1263" spans="48:54" x14ac:dyDescent="0.3">
      <c r="AV1263" t="s">
        <v>789</v>
      </c>
      <c r="AW1263" t="s">
        <v>147</v>
      </c>
      <c r="AX1263" t="s">
        <v>606</v>
      </c>
      <c r="AY1263" s="81" t="s">
        <v>3278</v>
      </c>
      <c r="AZ1263" t="s">
        <v>3279</v>
      </c>
      <c r="BA1263" t="s">
        <v>128</v>
      </c>
      <c r="BB1263" t="str">
        <f t="shared" si="19"/>
        <v>IHVNfcBwari</v>
      </c>
    </row>
    <row r="1264" spans="48:54" x14ac:dyDescent="0.3">
      <c r="AV1264" t="s">
        <v>789</v>
      </c>
      <c r="AW1264" t="s">
        <v>147</v>
      </c>
      <c r="AX1264" t="s">
        <v>606</v>
      </c>
      <c r="AY1264" s="81" t="s">
        <v>3280</v>
      </c>
      <c r="AZ1264" t="s">
        <v>3281</v>
      </c>
      <c r="BA1264" t="s">
        <v>128</v>
      </c>
      <c r="BB1264" t="str">
        <f t="shared" si="19"/>
        <v>IHVNfcBwari</v>
      </c>
    </row>
    <row r="1265" spans="48:54" x14ac:dyDescent="0.3">
      <c r="AV1265" t="s">
        <v>789</v>
      </c>
      <c r="AW1265" t="s">
        <v>147</v>
      </c>
      <c r="AX1265" t="s">
        <v>606</v>
      </c>
      <c r="AY1265" s="81" t="s">
        <v>3282</v>
      </c>
      <c r="AZ1265" t="s">
        <v>3283</v>
      </c>
      <c r="BA1265" t="s">
        <v>128</v>
      </c>
      <c r="BB1265" t="str">
        <f t="shared" si="19"/>
        <v>IHVNfcBwari</v>
      </c>
    </row>
    <row r="1266" spans="48:54" x14ac:dyDescent="0.3">
      <c r="AV1266" t="s">
        <v>789</v>
      </c>
      <c r="AW1266" t="s">
        <v>147</v>
      </c>
      <c r="AX1266" t="s">
        <v>606</v>
      </c>
      <c r="AY1266" s="81" t="s">
        <v>3284</v>
      </c>
      <c r="AZ1266" t="s">
        <v>3285</v>
      </c>
      <c r="BA1266" t="s">
        <v>128</v>
      </c>
      <c r="BB1266" t="str">
        <f t="shared" si="19"/>
        <v>IHVNfcBwari</v>
      </c>
    </row>
    <row r="1267" spans="48:54" x14ac:dyDescent="0.3">
      <c r="AV1267" t="s">
        <v>789</v>
      </c>
      <c r="AW1267" t="s">
        <v>147</v>
      </c>
      <c r="AX1267" t="s">
        <v>606</v>
      </c>
      <c r="AY1267" s="81" t="s">
        <v>3286</v>
      </c>
      <c r="AZ1267" t="s">
        <v>3287</v>
      </c>
      <c r="BA1267" t="s">
        <v>128</v>
      </c>
      <c r="BB1267" t="str">
        <f t="shared" si="19"/>
        <v>IHVNfcBwari</v>
      </c>
    </row>
    <row r="1268" spans="48:54" x14ac:dyDescent="0.3">
      <c r="AV1268" t="s">
        <v>789</v>
      </c>
      <c r="AW1268" t="s">
        <v>147</v>
      </c>
      <c r="AX1268" t="s">
        <v>606</v>
      </c>
      <c r="AY1268" s="81" t="s">
        <v>3288</v>
      </c>
      <c r="AZ1268" t="s">
        <v>3289</v>
      </c>
      <c r="BA1268" t="s">
        <v>128</v>
      </c>
      <c r="BB1268" t="str">
        <f t="shared" si="19"/>
        <v>IHVNfcBwari</v>
      </c>
    </row>
    <row r="1269" spans="48:54" x14ac:dyDescent="0.3">
      <c r="AV1269" t="s">
        <v>789</v>
      </c>
      <c r="AW1269" t="s">
        <v>147</v>
      </c>
      <c r="AX1269" t="s">
        <v>606</v>
      </c>
      <c r="AY1269" s="81" t="s">
        <v>3290</v>
      </c>
      <c r="AZ1269" t="s">
        <v>3291</v>
      </c>
      <c r="BA1269" t="s">
        <v>128</v>
      </c>
      <c r="BB1269" t="str">
        <f t="shared" si="19"/>
        <v>IHVNfcBwari</v>
      </c>
    </row>
    <row r="1270" spans="48:54" x14ac:dyDescent="0.3">
      <c r="AV1270" t="s">
        <v>789</v>
      </c>
      <c r="AW1270" t="s">
        <v>147</v>
      </c>
      <c r="AX1270" t="s">
        <v>606</v>
      </c>
      <c r="AY1270" s="81" t="s">
        <v>3292</v>
      </c>
      <c r="AZ1270" t="s">
        <v>3293</v>
      </c>
      <c r="BA1270" t="s">
        <v>128</v>
      </c>
      <c r="BB1270" t="str">
        <f t="shared" si="19"/>
        <v>IHVNfcBwari</v>
      </c>
    </row>
    <row r="1271" spans="48:54" x14ac:dyDescent="0.3">
      <c r="AV1271" t="s">
        <v>789</v>
      </c>
      <c r="AW1271" t="s">
        <v>147</v>
      </c>
      <c r="AX1271" t="s">
        <v>606</v>
      </c>
      <c r="AY1271" s="81" t="s">
        <v>3294</v>
      </c>
      <c r="AZ1271" t="s">
        <v>3295</v>
      </c>
      <c r="BA1271" t="s">
        <v>128</v>
      </c>
      <c r="BB1271" t="str">
        <f t="shared" si="19"/>
        <v>IHVNfcBwari</v>
      </c>
    </row>
    <row r="1272" spans="48:54" x14ac:dyDescent="0.3">
      <c r="AV1272" t="s">
        <v>789</v>
      </c>
      <c r="AW1272" t="s">
        <v>147</v>
      </c>
      <c r="AX1272" t="s">
        <v>608</v>
      </c>
      <c r="AY1272" s="81" t="s">
        <v>3296</v>
      </c>
      <c r="AZ1272" t="s">
        <v>3297</v>
      </c>
      <c r="BA1272" t="s">
        <v>128</v>
      </c>
      <c r="BB1272" t="str">
        <f t="shared" si="19"/>
        <v>IHVNfcGwagwalada</v>
      </c>
    </row>
    <row r="1273" spans="48:54" x14ac:dyDescent="0.3">
      <c r="AV1273" t="s">
        <v>789</v>
      </c>
      <c r="AW1273" t="s">
        <v>147</v>
      </c>
      <c r="AX1273" t="s">
        <v>608</v>
      </c>
      <c r="AY1273" s="81" t="s">
        <v>3298</v>
      </c>
      <c r="AZ1273" t="s">
        <v>3299</v>
      </c>
      <c r="BA1273" t="s">
        <v>128</v>
      </c>
      <c r="BB1273" t="str">
        <f t="shared" si="19"/>
        <v>IHVNfcGwagwalada</v>
      </c>
    </row>
    <row r="1274" spans="48:54" x14ac:dyDescent="0.3">
      <c r="AV1274" t="s">
        <v>789</v>
      </c>
      <c r="AW1274" t="s">
        <v>147</v>
      </c>
      <c r="AX1274" t="s">
        <v>608</v>
      </c>
      <c r="AY1274" s="81" t="s">
        <v>3300</v>
      </c>
      <c r="AZ1274" t="s">
        <v>3301</v>
      </c>
      <c r="BA1274" t="s">
        <v>128</v>
      </c>
      <c r="BB1274" t="str">
        <f t="shared" si="19"/>
        <v>IHVNfcGwagwalada</v>
      </c>
    </row>
    <row r="1275" spans="48:54" x14ac:dyDescent="0.3">
      <c r="AV1275" t="s">
        <v>789</v>
      </c>
      <c r="AW1275" t="s">
        <v>147</v>
      </c>
      <c r="AX1275" t="s">
        <v>608</v>
      </c>
      <c r="AY1275" s="81" t="s">
        <v>3302</v>
      </c>
      <c r="AZ1275" t="s">
        <v>3303</v>
      </c>
      <c r="BA1275" t="s">
        <v>128</v>
      </c>
      <c r="BB1275" t="str">
        <f t="shared" si="19"/>
        <v>IHVNfcGwagwalada</v>
      </c>
    </row>
    <row r="1276" spans="48:54" x14ac:dyDescent="0.3">
      <c r="AV1276" t="s">
        <v>789</v>
      </c>
      <c r="AW1276" t="s">
        <v>147</v>
      </c>
      <c r="AX1276" t="s">
        <v>608</v>
      </c>
      <c r="AY1276" s="81" t="s">
        <v>3304</v>
      </c>
      <c r="AZ1276" t="s">
        <v>3305</v>
      </c>
      <c r="BA1276" t="s">
        <v>128</v>
      </c>
      <c r="BB1276" t="str">
        <f t="shared" si="19"/>
        <v>IHVNfcGwagwalada</v>
      </c>
    </row>
    <row r="1277" spans="48:54" x14ac:dyDescent="0.3">
      <c r="AV1277" t="s">
        <v>789</v>
      </c>
      <c r="AW1277" t="s">
        <v>147</v>
      </c>
      <c r="AX1277" t="s">
        <v>608</v>
      </c>
      <c r="AY1277" s="81" t="s">
        <v>3306</v>
      </c>
      <c r="AZ1277" t="s">
        <v>3307</v>
      </c>
      <c r="BA1277" t="s">
        <v>128</v>
      </c>
      <c r="BB1277" t="str">
        <f t="shared" si="19"/>
        <v>IHVNfcGwagwalada</v>
      </c>
    </row>
    <row r="1278" spans="48:54" x14ac:dyDescent="0.3">
      <c r="AV1278" t="s">
        <v>789</v>
      </c>
      <c r="AW1278" t="s">
        <v>147</v>
      </c>
      <c r="AX1278" t="s">
        <v>609</v>
      </c>
      <c r="AY1278" s="81" t="s">
        <v>3308</v>
      </c>
      <c r="AZ1278" t="s">
        <v>3309</v>
      </c>
      <c r="BA1278" t="s">
        <v>128</v>
      </c>
      <c r="BB1278" t="str">
        <f t="shared" si="19"/>
        <v>IHVNfcKuje</v>
      </c>
    </row>
    <row r="1279" spans="48:54" x14ac:dyDescent="0.3">
      <c r="AV1279" t="s">
        <v>789</v>
      </c>
      <c r="AW1279" t="s">
        <v>147</v>
      </c>
      <c r="AX1279" t="s">
        <v>609</v>
      </c>
      <c r="AY1279" s="81" t="s">
        <v>3310</v>
      </c>
      <c r="AZ1279" t="s">
        <v>3311</v>
      </c>
      <c r="BA1279" t="s">
        <v>128</v>
      </c>
      <c r="BB1279" t="str">
        <f t="shared" si="19"/>
        <v>IHVNfcKuje</v>
      </c>
    </row>
    <row r="1280" spans="48:54" x14ac:dyDescent="0.3">
      <c r="AV1280" t="s">
        <v>789</v>
      </c>
      <c r="AW1280" t="s">
        <v>151</v>
      </c>
      <c r="AX1280" t="s">
        <v>664</v>
      </c>
      <c r="AY1280" s="81" t="s">
        <v>3312</v>
      </c>
      <c r="AZ1280" t="s">
        <v>3313</v>
      </c>
      <c r="BA1280" t="s">
        <v>128</v>
      </c>
      <c r="BB1280" t="str">
        <f t="shared" si="19"/>
        <v>IHVNkdZaria</v>
      </c>
    </row>
    <row r="1281" spans="48:54" x14ac:dyDescent="0.3">
      <c r="AV1281" t="s">
        <v>789</v>
      </c>
      <c r="AW1281" t="s">
        <v>152</v>
      </c>
      <c r="AX1281" t="s">
        <v>671</v>
      </c>
      <c r="AY1281" s="81" t="s">
        <v>3314</v>
      </c>
      <c r="AZ1281" t="s">
        <v>3315</v>
      </c>
      <c r="BA1281" t="s">
        <v>128</v>
      </c>
      <c r="BB1281" t="str">
        <f t="shared" si="19"/>
        <v>IHVNknNassarawa</v>
      </c>
    </row>
    <row r="1282" spans="48:54" x14ac:dyDescent="0.3">
      <c r="AV1282" t="s">
        <v>789</v>
      </c>
      <c r="AW1282" t="s">
        <v>152</v>
      </c>
      <c r="AX1282" t="s">
        <v>671</v>
      </c>
      <c r="AY1282" s="81" t="s">
        <v>3316</v>
      </c>
      <c r="AZ1282" t="s">
        <v>3317</v>
      </c>
      <c r="BA1282" t="s">
        <v>128</v>
      </c>
      <c r="BB1282" t="str">
        <f t="shared" si="19"/>
        <v>IHVNknNassarawa</v>
      </c>
    </row>
    <row r="1283" spans="48:54" x14ac:dyDescent="0.3">
      <c r="AV1283" t="s">
        <v>789</v>
      </c>
      <c r="AW1283" t="s">
        <v>152</v>
      </c>
      <c r="AX1283" t="s">
        <v>672</v>
      </c>
      <c r="AY1283" s="81" t="s">
        <v>3318</v>
      </c>
      <c r="AZ1283" t="s">
        <v>3319</v>
      </c>
      <c r="BA1283" t="s">
        <v>128</v>
      </c>
      <c r="BB1283" t="str">
        <f t="shared" ref="BB1283:BB1346" si="20">SUBSTITUTE(SUBSTITUTE(BA1283&amp;AX1283," ",""),"-","")</f>
        <v>IHVNknTarauni</v>
      </c>
    </row>
    <row r="1284" spans="48:54" x14ac:dyDescent="0.3">
      <c r="AV1284" t="s">
        <v>789</v>
      </c>
      <c r="AW1284" t="s">
        <v>152</v>
      </c>
      <c r="AX1284" t="s">
        <v>673</v>
      </c>
      <c r="AY1284" s="81" t="s">
        <v>3320</v>
      </c>
      <c r="AZ1284" t="s">
        <v>3321</v>
      </c>
      <c r="BA1284" t="s">
        <v>128</v>
      </c>
      <c r="BB1284" t="str">
        <f t="shared" si="20"/>
        <v>IHVNknTudunWada</v>
      </c>
    </row>
    <row r="1285" spans="48:54" x14ac:dyDescent="0.3">
      <c r="AV1285" t="s">
        <v>789</v>
      </c>
      <c r="AW1285" t="s">
        <v>152</v>
      </c>
      <c r="AX1285" t="s">
        <v>674</v>
      </c>
      <c r="AY1285" s="81" t="s">
        <v>3322</v>
      </c>
      <c r="AZ1285" t="s">
        <v>3323</v>
      </c>
      <c r="BA1285" t="s">
        <v>128</v>
      </c>
      <c r="BB1285" t="str">
        <f t="shared" si="20"/>
        <v>IHVNknUngogo</v>
      </c>
    </row>
    <row r="1286" spans="48:54" x14ac:dyDescent="0.3">
      <c r="AV1286" t="s">
        <v>789</v>
      </c>
      <c r="AW1286" t="s">
        <v>152</v>
      </c>
      <c r="AX1286" t="s">
        <v>674</v>
      </c>
      <c r="AY1286" s="81" t="s">
        <v>3324</v>
      </c>
      <c r="AZ1286" t="s">
        <v>3325</v>
      </c>
      <c r="BA1286" t="s">
        <v>128</v>
      </c>
      <c r="BB1286" t="str">
        <f t="shared" si="20"/>
        <v>IHVNknUngogo</v>
      </c>
    </row>
    <row r="1287" spans="48:54" x14ac:dyDescent="0.3">
      <c r="AV1287" t="s">
        <v>789</v>
      </c>
      <c r="AW1287" t="s">
        <v>153</v>
      </c>
      <c r="AX1287" t="s">
        <v>675</v>
      </c>
      <c r="AY1287" s="81" t="s">
        <v>3326</v>
      </c>
      <c r="AZ1287" t="s">
        <v>3327</v>
      </c>
      <c r="BA1287" t="s">
        <v>128</v>
      </c>
      <c r="BB1287" t="str">
        <f t="shared" si="20"/>
        <v>IHVNktFuntua</v>
      </c>
    </row>
    <row r="1288" spans="48:54" x14ac:dyDescent="0.3">
      <c r="AV1288" t="s">
        <v>789</v>
      </c>
      <c r="AW1288" t="s">
        <v>153</v>
      </c>
      <c r="AX1288" t="s">
        <v>676</v>
      </c>
      <c r="AY1288" s="81" t="s">
        <v>3328</v>
      </c>
      <c r="AZ1288" t="s">
        <v>3329</v>
      </c>
      <c r="BA1288" t="s">
        <v>128</v>
      </c>
      <c r="BB1288" t="str">
        <f t="shared" si="20"/>
        <v>IHVNktKankia</v>
      </c>
    </row>
    <row r="1289" spans="48:54" x14ac:dyDescent="0.3">
      <c r="AV1289" t="s">
        <v>789</v>
      </c>
      <c r="AW1289" t="s">
        <v>153</v>
      </c>
      <c r="AX1289" t="s">
        <v>677</v>
      </c>
      <c r="AY1289" s="81" t="s">
        <v>3330</v>
      </c>
      <c r="AZ1289" t="s">
        <v>3331</v>
      </c>
      <c r="BA1289" t="s">
        <v>128</v>
      </c>
      <c r="BB1289" t="str">
        <f t="shared" si="20"/>
        <v>IHVNktKatsina</v>
      </c>
    </row>
    <row r="1290" spans="48:54" x14ac:dyDescent="0.3">
      <c r="AV1290" t="s">
        <v>789</v>
      </c>
      <c r="AW1290" t="s">
        <v>153</v>
      </c>
      <c r="AX1290" t="s">
        <v>677</v>
      </c>
      <c r="AY1290" s="81" t="s">
        <v>3332</v>
      </c>
      <c r="AZ1290" t="s">
        <v>3333</v>
      </c>
      <c r="BA1290" t="s">
        <v>128</v>
      </c>
      <c r="BB1290" t="str">
        <f t="shared" si="20"/>
        <v>IHVNktKatsina</v>
      </c>
    </row>
    <row r="1291" spans="48:54" x14ac:dyDescent="0.3">
      <c r="AV1291" t="s">
        <v>789</v>
      </c>
      <c r="AW1291" t="s">
        <v>158</v>
      </c>
      <c r="AX1291" t="s">
        <v>704</v>
      </c>
      <c r="AY1291" s="81" t="s">
        <v>3334</v>
      </c>
      <c r="AZ1291" t="s">
        <v>3335</v>
      </c>
      <c r="BA1291" t="s">
        <v>128</v>
      </c>
      <c r="BB1291" t="str">
        <f t="shared" si="20"/>
        <v>IHVNnaDoma</v>
      </c>
    </row>
    <row r="1292" spans="48:54" x14ac:dyDescent="0.3">
      <c r="AV1292" t="s">
        <v>789</v>
      </c>
      <c r="AW1292" t="s">
        <v>158</v>
      </c>
      <c r="AX1292" t="s">
        <v>704</v>
      </c>
      <c r="AY1292" s="81" t="s">
        <v>3336</v>
      </c>
      <c r="AZ1292" t="s">
        <v>3337</v>
      </c>
      <c r="BA1292" t="s">
        <v>128</v>
      </c>
      <c r="BB1292" t="str">
        <f t="shared" si="20"/>
        <v>IHVNnaDoma</v>
      </c>
    </row>
    <row r="1293" spans="48:54" x14ac:dyDescent="0.3">
      <c r="AV1293" t="s">
        <v>789</v>
      </c>
      <c r="AW1293" t="s">
        <v>158</v>
      </c>
      <c r="AX1293" t="s">
        <v>704</v>
      </c>
      <c r="AY1293" s="81" t="s">
        <v>3338</v>
      </c>
      <c r="AZ1293" t="s">
        <v>3339</v>
      </c>
      <c r="BA1293" t="s">
        <v>128</v>
      </c>
      <c r="BB1293" t="str">
        <f t="shared" si="20"/>
        <v>IHVNnaDoma</v>
      </c>
    </row>
    <row r="1294" spans="48:54" x14ac:dyDescent="0.3">
      <c r="AV1294" t="s">
        <v>789</v>
      </c>
      <c r="AW1294" t="s">
        <v>158</v>
      </c>
      <c r="AX1294" t="s">
        <v>704</v>
      </c>
      <c r="AY1294" s="81" t="s">
        <v>3340</v>
      </c>
      <c r="AZ1294" t="s">
        <v>3341</v>
      </c>
      <c r="BA1294" t="s">
        <v>128</v>
      </c>
      <c r="BB1294" t="str">
        <f t="shared" si="20"/>
        <v>IHVNnaDoma</v>
      </c>
    </row>
    <row r="1295" spans="48:54" x14ac:dyDescent="0.3">
      <c r="AV1295" t="s">
        <v>789</v>
      </c>
      <c r="AW1295" t="s">
        <v>158</v>
      </c>
      <c r="AX1295" t="s">
        <v>704</v>
      </c>
      <c r="AY1295" s="81" t="s">
        <v>3342</v>
      </c>
      <c r="AZ1295" t="s">
        <v>3343</v>
      </c>
      <c r="BA1295" t="s">
        <v>128</v>
      </c>
      <c r="BB1295" t="str">
        <f t="shared" si="20"/>
        <v>IHVNnaDoma</v>
      </c>
    </row>
    <row r="1296" spans="48:54" x14ac:dyDescent="0.3">
      <c r="AV1296" t="s">
        <v>789</v>
      </c>
      <c r="AW1296" t="s">
        <v>158</v>
      </c>
      <c r="AX1296" t="s">
        <v>704</v>
      </c>
      <c r="AY1296" s="81" t="s">
        <v>3344</v>
      </c>
      <c r="AZ1296" t="s">
        <v>3345</v>
      </c>
      <c r="BA1296" t="s">
        <v>128</v>
      </c>
      <c r="BB1296" t="str">
        <f t="shared" si="20"/>
        <v>IHVNnaDoma</v>
      </c>
    </row>
    <row r="1297" spans="48:54" x14ac:dyDescent="0.3">
      <c r="AV1297" t="s">
        <v>789</v>
      </c>
      <c r="AW1297" t="s">
        <v>158</v>
      </c>
      <c r="AX1297" t="s">
        <v>704</v>
      </c>
      <c r="AY1297" s="81" t="s">
        <v>3346</v>
      </c>
      <c r="AZ1297" t="s">
        <v>3347</v>
      </c>
      <c r="BA1297" t="s">
        <v>128</v>
      </c>
      <c r="BB1297" t="str">
        <f t="shared" si="20"/>
        <v>IHVNnaDoma</v>
      </c>
    </row>
    <row r="1298" spans="48:54" x14ac:dyDescent="0.3">
      <c r="AV1298" t="s">
        <v>789</v>
      </c>
      <c r="AW1298" t="s">
        <v>158</v>
      </c>
      <c r="AX1298" t="s">
        <v>704</v>
      </c>
      <c r="AY1298" s="81" t="s">
        <v>3348</v>
      </c>
      <c r="AZ1298" t="s">
        <v>3349</v>
      </c>
      <c r="BA1298" t="s">
        <v>128</v>
      </c>
      <c r="BB1298" t="str">
        <f t="shared" si="20"/>
        <v>IHVNnaDoma</v>
      </c>
    </row>
    <row r="1299" spans="48:54" x14ac:dyDescent="0.3">
      <c r="AV1299" t="s">
        <v>789</v>
      </c>
      <c r="AW1299" t="s">
        <v>158</v>
      </c>
      <c r="AX1299" t="s">
        <v>704</v>
      </c>
      <c r="AY1299" s="81" t="s">
        <v>3350</v>
      </c>
      <c r="AZ1299" t="s">
        <v>3351</v>
      </c>
      <c r="BA1299" t="s">
        <v>128</v>
      </c>
      <c r="BB1299" t="str">
        <f t="shared" si="20"/>
        <v>IHVNnaDoma</v>
      </c>
    </row>
    <row r="1300" spans="48:54" x14ac:dyDescent="0.3">
      <c r="AV1300" t="s">
        <v>789</v>
      </c>
      <c r="AW1300" t="s">
        <v>158</v>
      </c>
      <c r="AX1300" t="s">
        <v>704</v>
      </c>
      <c r="AY1300" s="81" t="s">
        <v>3352</v>
      </c>
      <c r="AZ1300" t="s">
        <v>3353</v>
      </c>
      <c r="BA1300" t="s">
        <v>128</v>
      </c>
      <c r="BB1300" t="str">
        <f t="shared" si="20"/>
        <v>IHVNnaDoma</v>
      </c>
    </row>
    <row r="1301" spans="48:54" x14ac:dyDescent="0.3">
      <c r="AV1301" t="s">
        <v>789</v>
      </c>
      <c r="AW1301" t="s">
        <v>158</v>
      </c>
      <c r="AX1301" t="s">
        <v>704</v>
      </c>
      <c r="AY1301" s="81" t="s">
        <v>3354</v>
      </c>
      <c r="AZ1301" t="s">
        <v>3355</v>
      </c>
      <c r="BA1301" t="s">
        <v>128</v>
      </c>
      <c r="BB1301" t="str">
        <f t="shared" si="20"/>
        <v>IHVNnaDoma</v>
      </c>
    </row>
    <row r="1302" spans="48:54" x14ac:dyDescent="0.3">
      <c r="AV1302" t="s">
        <v>789</v>
      </c>
      <c r="AW1302" t="s">
        <v>158</v>
      </c>
      <c r="AX1302" t="s">
        <v>704</v>
      </c>
      <c r="AY1302" s="81" t="s">
        <v>3356</v>
      </c>
      <c r="AZ1302" t="s">
        <v>3357</v>
      </c>
      <c r="BA1302" t="s">
        <v>128</v>
      </c>
      <c r="BB1302" t="str">
        <f t="shared" si="20"/>
        <v>IHVNnaDoma</v>
      </c>
    </row>
    <row r="1303" spans="48:54" x14ac:dyDescent="0.3">
      <c r="AV1303" t="s">
        <v>789</v>
      </c>
      <c r="AW1303" t="s">
        <v>158</v>
      </c>
      <c r="AX1303" t="s">
        <v>704</v>
      </c>
      <c r="AY1303" s="81" t="s">
        <v>3358</v>
      </c>
      <c r="AZ1303" t="s">
        <v>3359</v>
      </c>
      <c r="BA1303" t="s">
        <v>128</v>
      </c>
      <c r="BB1303" t="str">
        <f t="shared" si="20"/>
        <v>IHVNnaDoma</v>
      </c>
    </row>
    <row r="1304" spans="48:54" x14ac:dyDescent="0.3">
      <c r="AV1304" t="s">
        <v>789</v>
      </c>
      <c r="AW1304" t="s">
        <v>158</v>
      </c>
      <c r="AX1304" t="s">
        <v>704</v>
      </c>
      <c r="AY1304" s="81" t="s">
        <v>3360</v>
      </c>
      <c r="AZ1304" t="s">
        <v>3361</v>
      </c>
      <c r="BA1304" t="s">
        <v>128</v>
      </c>
      <c r="BB1304" t="str">
        <f t="shared" si="20"/>
        <v>IHVNnaDoma</v>
      </c>
    </row>
    <row r="1305" spans="48:54" x14ac:dyDescent="0.3">
      <c r="AV1305" t="s">
        <v>789</v>
      </c>
      <c r="AW1305" t="s">
        <v>158</v>
      </c>
      <c r="AX1305" t="s">
        <v>704</v>
      </c>
      <c r="AY1305" s="81" t="s">
        <v>3362</v>
      </c>
      <c r="AZ1305" t="s">
        <v>3363</v>
      </c>
      <c r="BA1305" t="s">
        <v>128</v>
      </c>
      <c r="BB1305" t="str">
        <f t="shared" si="20"/>
        <v>IHVNnaDoma</v>
      </c>
    </row>
    <row r="1306" spans="48:54" x14ac:dyDescent="0.3">
      <c r="AV1306" t="s">
        <v>789</v>
      </c>
      <c r="AW1306" t="s">
        <v>158</v>
      </c>
      <c r="AX1306" t="s">
        <v>704</v>
      </c>
      <c r="AY1306" s="81" t="s">
        <v>3364</v>
      </c>
      <c r="AZ1306" t="s">
        <v>3365</v>
      </c>
      <c r="BA1306" t="s">
        <v>128</v>
      </c>
      <c r="BB1306" t="str">
        <f t="shared" si="20"/>
        <v>IHVNnaDoma</v>
      </c>
    </row>
    <row r="1307" spans="48:54" x14ac:dyDescent="0.3">
      <c r="AV1307" t="s">
        <v>789</v>
      </c>
      <c r="AW1307" t="s">
        <v>158</v>
      </c>
      <c r="AX1307" t="s">
        <v>704</v>
      </c>
      <c r="AY1307" s="81" t="s">
        <v>3366</v>
      </c>
      <c r="AZ1307" t="s">
        <v>3367</v>
      </c>
      <c r="BA1307" t="s">
        <v>128</v>
      </c>
      <c r="BB1307" t="str">
        <f t="shared" si="20"/>
        <v>IHVNnaDoma</v>
      </c>
    </row>
    <row r="1308" spans="48:54" x14ac:dyDescent="0.3">
      <c r="AV1308" t="s">
        <v>789</v>
      </c>
      <c r="AW1308" t="s">
        <v>158</v>
      </c>
      <c r="AX1308" t="s">
        <v>704</v>
      </c>
      <c r="AY1308" s="81" t="s">
        <v>3368</v>
      </c>
      <c r="AZ1308" t="s">
        <v>3369</v>
      </c>
      <c r="BA1308" t="s">
        <v>128</v>
      </c>
      <c r="BB1308" t="str">
        <f t="shared" si="20"/>
        <v>IHVNnaDoma</v>
      </c>
    </row>
    <row r="1309" spans="48:54" x14ac:dyDescent="0.3">
      <c r="AV1309" t="s">
        <v>789</v>
      </c>
      <c r="AW1309" t="s">
        <v>158</v>
      </c>
      <c r="AX1309" t="s">
        <v>704</v>
      </c>
      <c r="AY1309" s="81" t="s">
        <v>3370</v>
      </c>
      <c r="AZ1309" t="s">
        <v>3371</v>
      </c>
      <c r="BA1309" t="s">
        <v>128</v>
      </c>
      <c r="BB1309" t="str">
        <f t="shared" si="20"/>
        <v>IHVNnaDoma</v>
      </c>
    </row>
    <row r="1310" spans="48:54" x14ac:dyDescent="0.3">
      <c r="AV1310" t="s">
        <v>789</v>
      </c>
      <c r="AW1310" t="s">
        <v>158</v>
      </c>
      <c r="AX1310" t="s">
        <v>704</v>
      </c>
      <c r="AY1310" s="81" t="s">
        <v>3372</v>
      </c>
      <c r="AZ1310" t="s">
        <v>3373</v>
      </c>
      <c r="BA1310" t="s">
        <v>128</v>
      </c>
      <c r="BB1310" t="str">
        <f t="shared" si="20"/>
        <v>IHVNnaDoma</v>
      </c>
    </row>
    <row r="1311" spans="48:54" x14ac:dyDescent="0.3">
      <c r="AV1311" t="s">
        <v>789</v>
      </c>
      <c r="AW1311" t="s">
        <v>158</v>
      </c>
      <c r="AX1311" t="s">
        <v>708</v>
      </c>
      <c r="AY1311" s="81" t="s">
        <v>3374</v>
      </c>
      <c r="AZ1311" t="s">
        <v>3375</v>
      </c>
      <c r="BA1311" t="s">
        <v>128</v>
      </c>
      <c r="BB1311" t="str">
        <f t="shared" si="20"/>
        <v>IHVNnaKaru</v>
      </c>
    </row>
    <row r="1312" spans="48:54" x14ac:dyDescent="0.3">
      <c r="AV1312" t="s">
        <v>789</v>
      </c>
      <c r="AW1312" t="s">
        <v>158</v>
      </c>
      <c r="AX1312" t="s">
        <v>708</v>
      </c>
      <c r="AY1312" s="81" t="s">
        <v>3376</v>
      </c>
      <c r="AZ1312" t="s">
        <v>3377</v>
      </c>
      <c r="BA1312" t="s">
        <v>128</v>
      </c>
      <c r="BB1312" t="str">
        <f t="shared" si="20"/>
        <v>IHVNnaKaru</v>
      </c>
    </row>
    <row r="1313" spans="48:54" x14ac:dyDescent="0.3">
      <c r="AV1313" t="s">
        <v>789</v>
      </c>
      <c r="AW1313" t="s">
        <v>158</v>
      </c>
      <c r="AX1313" t="s">
        <v>708</v>
      </c>
      <c r="AY1313" s="81" t="s">
        <v>3378</v>
      </c>
      <c r="AZ1313" t="s">
        <v>3379</v>
      </c>
      <c r="BA1313" t="s">
        <v>128</v>
      </c>
      <c r="BB1313" t="str">
        <f t="shared" si="20"/>
        <v>IHVNnaKaru</v>
      </c>
    </row>
    <row r="1314" spans="48:54" x14ac:dyDescent="0.3">
      <c r="AV1314" t="s">
        <v>789</v>
      </c>
      <c r="AW1314" t="s">
        <v>158</v>
      </c>
      <c r="AX1314" t="s">
        <v>708</v>
      </c>
      <c r="AY1314" s="81" t="s">
        <v>3380</v>
      </c>
      <c r="AZ1314" t="s">
        <v>3381</v>
      </c>
      <c r="BA1314" t="s">
        <v>128</v>
      </c>
      <c r="BB1314" t="str">
        <f t="shared" si="20"/>
        <v>IHVNnaKaru</v>
      </c>
    </row>
    <row r="1315" spans="48:54" x14ac:dyDescent="0.3">
      <c r="AV1315" t="s">
        <v>789</v>
      </c>
      <c r="AW1315" t="s">
        <v>158</v>
      </c>
      <c r="AX1315" t="s">
        <v>708</v>
      </c>
      <c r="AY1315" s="81" t="s">
        <v>3382</v>
      </c>
      <c r="AZ1315" t="s">
        <v>3383</v>
      </c>
      <c r="BA1315" t="s">
        <v>128</v>
      </c>
      <c r="BB1315" t="str">
        <f t="shared" si="20"/>
        <v>IHVNnaKaru</v>
      </c>
    </row>
    <row r="1316" spans="48:54" x14ac:dyDescent="0.3">
      <c r="AV1316" t="s">
        <v>789</v>
      </c>
      <c r="AW1316" t="s">
        <v>158</v>
      </c>
      <c r="AX1316" t="s">
        <v>708</v>
      </c>
      <c r="AY1316" s="81" t="s">
        <v>3384</v>
      </c>
      <c r="AZ1316" t="s">
        <v>3385</v>
      </c>
      <c r="BA1316" t="s">
        <v>128</v>
      </c>
      <c r="BB1316" t="str">
        <f t="shared" si="20"/>
        <v>IHVNnaKaru</v>
      </c>
    </row>
    <row r="1317" spans="48:54" x14ac:dyDescent="0.3">
      <c r="AV1317" t="s">
        <v>789</v>
      </c>
      <c r="AW1317" t="s">
        <v>158</v>
      </c>
      <c r="AX1317" t="s">
        <v>708</v>
      </c>
      <c r="AY1317" s="81" t="s">
        <v>3386</v>
      </c>
      <c r="AZ1317" t="s">
        <v>3387</v>
      </c>
      <c r="BA1317" t="s">
        <v>128</v>
      </c>
      <c r="BB1317" t="str">
        <f t="shared" si="20"/>
        <v>IHVNnaKaru</v>
      </c>
    </row>
    <row r="1318" spans="48:54" x14ac:dyDescent="0.3">
      <c r="AV1318" t="s">
        <v>789</v>
      </c>
      <c r="AW1318" t="s">
        <v>158</v>
      </c>
      <c r="AX1318" t="s">
        <v>708</v>
      </c>
      <c r="AY1318" s="81" t="s">
        <v>3388</v>
      </c>
      <c r="AZ1318" t="s">
        <v>3389</v>
      </c>
      <c r="BA1318" t="s">
        <v>128</v>
      </c>
      <c r="BB1318" t="str">
        <f t="shared" si="20"/>
        <v>IHVNnaKaru</v>
      </c>
    </row>
    <row r="1319" spans="48:54" x14ac:dyDescent="0.3">
      <c r="AV1319" t="s">
        <v>789</v>
      </c>
      <c r="AW1319" t="s">
        <v>158</v>
      </c>
      <c r="AX1319" t="s">
        <v>708</v>
      </c>
      <c r="AY1319" s="81" t="s">
        <v>3390</v>
      </c>
      <c r="AZ1319" t="s">
        <v>3391</v>
      </c>
      <c r="BA1319" t="s">
        <v>128</v>
      </c>
      <c r="BB1319" t="str">
        <f t="shared" si="20"/>
        <v>IHVNnaKaru</v>
      </c>
    </row>
    <row r="1320" spans="48:54" x14ac:dyDescent="0.3">
      <c r="AV1320" t="s">
        <v>789</v>
      </c>
      <c r="AW1320" t="s">
        <v>158</v>
      </c>
      <c r="AX1320" t="s">
        <v>708</v>
      </c>
      <c r="AY1320" s="81" t="s">
        <v>3392</v>
      </c>
      <c r="AZ1320" t="s">
        <v>3393</v>
      </c>
      <c r="BA1320" t="s">
        <v>128</v>
      </c>
      <c r="BB1320" t="str">
        <f t="shared" si="20"/>
        <v>IHVNnaKaru</v>
      </c>
    </row>
    <row r="1321" spans="48:54" x14ac:dyDescent="0.3">
      <c r="AV1321" t="s">
        <v>789</v>
      </c>
      <c r="AW1321" t="s">
        <v>158</v>
      </c>
      <c r="AX1321" t="s">
        <v>708</v>
      </c>
      <c r="AY1321" s="81" t="s">
        <v>3394</v>
      </c>
      <c r="AZ1321" t="s">
        <v>3395</v>
      </c>
      <c r="BA1321" t="s">
        <v>128</v>
      </c>
      <c r="BB1321" t="str">
        <f t="shared" si="20"/>
        <v>IHVNnaKaru</v>
      </c>
    </row>
    <row r="1322" spans="48:54" x14ac:dyDescent="0.3">
      <c r="AV1322" t="s">
        <v>789</v>
      </c>
      <c r="AW1322" t="s">
        <v>158</v>
      </c>
      <c r="AX1322" t="s">
        <v>708</v>
      </c>
      <c r="AY1322" s="81" t="s">
        <v>3396</v>
      </c>
      <c r="AZ1322" t="s">
        <v>3397</v>
      </c>
      <c r="BA1322" t="s">
        <v>128</v>
      </c>
      <c r="BB1322" t="str">
        <f t="shared" si="20"/>
        <v>IHVNnaKaru</v>
      </c>
    </row>
    <row r="1323" spans="48:54" x14ac:dyDescent="0.3">
      <c r="AV1323" t="s">
        <v>789</v>
      </c>
      <c r="AW1323" t="s">
        <v>158</v>
      </c>
      <c r="AX1323" t="s">
        <v>708</v>
      </c>
      <c r="AY1323" s="81" t="s">
        <v>3398</v>
      </c>
      <c r="AZ1323" t="s">
        <v>3399</v>
      </c>
      <c r="BA1323" t="s">
        <v>128</v>
      </c>
      <c r="BB1323" t="str">
        <f t="shared" si="20"/>
        <v>IHVNnaKaru</v>
      </c>
    </row>
    <row r="1324" spans="48:54" x14ac:dyDescent="0.3">
      <c r="AV1324" t="s">
        <v>789</v>
      </c>
      <c r="AW1324" t="s">
        <v>158</v>
      </c>
      <c r="AX1324" t="s">
        <v>708</v>
      </c>
      <c r="AY1324" s="81" t="s">
        <v>3400</v>
      </c>
      <c r="AZ1324" t="s">
        <v>3401</v>
      </c>
      <c r="BA1324" t="s">
        <v>128</v>
      </c>
      <c r="BB1324" t="str">
        <f t="shared" si="20"/>
        <v>IHVNnaKaru</v>
      </c>
    </row>
    <row r="1325" spans="48:54" x14ac:dyDescent="0.3">
      <c r="AV1325" t="s">
        <v>789</v>
      </c>
      <c r="AW1325" t="s">
        <v>158</v>
      </c>
      <c r="AX1325" t="s">
        <v>708</v>
      </c>
      <c r="AY1325" s="81" t="s">
        <v>3402</v>
      </c>
      <c r="AZ1325" t="s">
        <v>3403</v>
      </c>
      <c r="BA1325" t="s">
        <v>128</v>
      </c>
      <c r="BB1325" t="str">
        <f t="shared" si="20"/>
        <v>IHVNnaKaru</v>
      </c>
    </row>
    <row r="1326" spans="48:54" x14ac:dyDescent="0.3">
      <c r="AV1326" t="s">
        <v>789</v>
      </c>
      <c r="AW1326" t="s">
        <v>158</v>
      </c>
      <c r="AX1326" t="s">
        <v>708</v>
      </c>
      <c r="AY1326" s="81" t="s">
        <v>3404</v>
      </c>
      <c r="AZ1326" t="s">
        <v>3405</v>
      </c>
      <c r="BA1326" t="s">
        <v>128</v>
      </c>
      <c r="BB1326" t="str">
        <f t="shared" si="20"/>
        <v>IHVNnaKaru</v>
      </c>
    </row>
    <row r="1327" spans="48:54" x14ac:dyDescent="0.3">
      <c r="AV1327" t="s">
        <v>789</v>
      </c>
      <c r="AW1327" t="s">
        <v>158</v>
      </c>
      <c r="AX1327" t="s">
        <v>708</v>
      </c>
      <c r="AY1327" s="81" t="s">
        <v>3406</v>
      </c>
      <c r="AZ1327" t="s">
        <v>3407</v>
      </c>
      <c r="BA1327" t="s">
        <v>128</v>
      </c>
      <c r="BB1327" t="str">
        <f t="shared" si="20"/>
        <v>IHVNnaKaru</v>
      </c>
    </row>
    <row r="1328" spans="48:54" x14ac:dyDescent="0.3">
      <c r="AV1328" t="s">
        <v>789</v>
      </c>
      <c r="AW1328" t="s">
        <v>158</v>
      </c>
      <c r="AX1328" t="s">
        <v>708</v>
      </c>
      <c r="AY1328" s="81" t="s">
        <v>3408</v>
      </c>
      <c r="AZ1328" t="s">
        <v>3409</v>
      </c>
      <c r="BA1328" t="s">
        <v>128</v>
      </c>
      <c r="BB1328" t="str">
        <f t="shared" si="20"/>
        <v>IHVNnaKaru</v>
      </c>
    </row>
    <row r="1329" spans="48:54" x14ac:dyDescent="0.3">
      <c r="AV1329" t="s">
        <v>789</v>
      </c>
      <c r="AW1329" t="s">
        <v>158</v>
      </c>
      <c r="AX1329" t="s">
        <v>708</v>
      </c>
      <c r="AY1329" s="81" t="s">
        <v>3410</v>
      </c>
      <c r="AZ1329" t="s">
        <v>3411</v>
      </c>
      <c r="BA1329" t="s">
        <v>128</v>
      </c>
      <c r="BB1329" t="str">
        <f t="shared" si="20"/>
        <v>IHVNnaKaru</v>
      </c>
    </row>
    <row r="1330" spans="48:54" x14ac:dyDescent="0.3">
      <c r="AV1330" t="s">
        <v>789</v>
      </c>
      <c r="AW1330" t="s">
        <v>158</v>
      </c>
      <c r="AX1330" t="s">
        <v>708</v>
      </c>
      <c r="AY1330" s="81" t="s">
        <v>3412</v>
      </c>
      <c r="AZ1330" t="s">
        <v>3413</v>
      </c>
      <c r="BA1330" t="s">
        <v>128</v>
      </c>
      <c r="BB1330" t="str">
        <f t="shared" si="20"/>
        <v>IHVNnaKaru</v>
      </c>
    </row>
    <row r="1331" spans="48:54" x14ac:dyDescent="0.3">
      <c r="AV1331" t="s">
        <v>789</v>
      </c>
      <c r="AW1331" t="s">
        <v>158</v>
      </c>
      <c r="AX1331" t="s">
        <v>708</v>
      </c>
      <c r="AY1331" s="81" t="s">
        <v>3414</v>
      </c>
      <c r="AZ1331" t="s">
        <v>3415</v>
      </c>
      <c r="BA1331" t="s">
        <v>128</v>
      </c>
      <c r="BB1331" t="str">
        <f t="shared" si="20"/>
        <v>IHVNnaKaru</v>
      </c>
    </row>
    <row r="1332" spans="48:54" x14ac:dyDescent="0.3">
      <c r="AV1332" t="s">
        <v>789</v>
      </c>
      <c r="AW1332" t="s">
        <v>158</v>
      </c>
      <c r="AX1332" t="s">
        <v>708</v>
      </c>
      <c r="AY1332" s="81" t="s">
        <v>3416</v>
      </c>
      <c r="AZ1332" t="s">
        <v>3417</v>
      </c>
      <c r="BA1332" t="s">
        <v>128</v>
      </c>
      <c r="BB1332" t="str">
        <f t="shared" si="20"/>
        <v>IHVNnaKaru</v>
      </c>
    </row>
    <row r="1333" spans="48:54" x14ac:dyDescent="0.3">
      <c r="AV1333" t="s">
        <v>789</v>
      </c>
      <c r="AW1333" t="s">
        <v>158</v>
      </c>
      <c r="AX1333" t="s">
        <v>708</v>
      </c>
      <c r="AY1333" s="81" t="s">
        <v>3112</v>
      </c>
      <c r="AZ1333" t="s">
        <v>3418</v>
      </c>
      <c r="BA1333" t="s">
        <v>128</v>
      </c>
      <c r="BB1333" t="str">
        <f t="shared" si="20"/>
        <v>IHVNnaKaru</v>
      </c>
    </row>
    <row r="1334" spans="48:54" x14ac:dyDescent="0.3">
      <c r="AV1334" t="s">
        <v>789</v>
      </c>
      <c r="AW1334" t="s">
        <v>158</v>
      </c>
      <c r="AX1334" t="s">
        <v>708</v>
      </c>
      <c r="AY1334" s="81" t="s">
        <v>3114</v>
      </c>
      <c r="AZ1334" t="s">
        <v>3419</v>
      </c>
      <c r="BA1334" t="s">
        <v>128</v>
      </c>
      <c r="BB1334" t="str">
        <f t="shared" si="20"/>
        <v>IHVNnaKaru</v>
      </c>
    </row>
    <row r="1335" spans="48:54" x14ac:dyDescent="0.3">
      <c r="AV1335" t="s">
        <v>789</v>
      </c>
      <c r="AW1335" t="s">
        <v>158</v>
      </c>
      <c r="AX1335" t="s">
        <v>708</v>
      </c>
      <c r="AY1335" s="81" t="s">
        <v>3420</v>
      </c>
      <c r="AZ1335" t="s">
        <v>3421</v>
      </c>
      <c r="BA1335" t="s">
        <v>128</v>
      </c>
      <c r="BB1335" t="str">
        <f t="shared" si="20"/>
        <v>IHVNnaKaru</v>
      </c>
    </row>
    <row r="1336" spans="48:54" x14ac:dyDescent="0.3">
      <c r="AV1336" t="s">
        <v>789</v>
      </c>
      <c r="AW1336" t="s">
        <v>158</v>
      </c>
      <c r="AX1336" t="s">
        <v>708</v>
      </c>
      <c r="AY1336" s="81" t="s">
        <v>3422</v>
      </c>
      <c r="AZ1336" t="s">
        <v>3423</v>
      </c>
      <c r="BA1336" t="s">
        <v>128</v>
      </c>
      <c r="BB1336" t="str">
        <f t="shared" si="20"/>
        <v>IHVNnaKaru</v>
      </c>
    </row>
    <row r="1337" spans="48:54" x14ac:dyDescent="0.3">
      <c r="AV1337" t="s">
        <v>789</v>
      </c>
      <c r="AW1337" t="s">
        <v>158</v>
      </c>
      <c r="AX1337" t="s">
        <v>708</v>
      </c>
      <c r="AY1337" s="81" t="s">
        <v>3424</v>
      </c>
      <c r="AZ1337" t="s">
        <v>3425</v>
      </c>
      <c r="BA1337" t="s">
        <v>128</v>
      </c>
      <c r="BB1337" t="str">
        <f t="shared" si="20"/>
        <v>IHVNnaKaru</v>
      </c>
    </row>
    <row r="1338" spans="48:54" x14ac:dyDescent="0.3">
      <c r="AV1338" t="s">
        <v>789</v>
      </c>
      <c r="AW1338" t="s">
        <v>158</v>
      </c>
      <c r="AX1338" t="s">
        <v>708</v>
      </c>
      <c r="AY1338" s="81" t="s">
        <v>3426</v>
      </c>
      <c r="AZ1338" t="s">
        <v>3427</v>
      </c>
      <c r="BA1338" t="s">
        <v>128</v>
      </c>
      <c r="BB1338" t="str">
        <f t="shared" si="20"/>
        <v>IHVNnaKaru</v>
      </c>
    </row>
    <row r="1339" spans="48:54" x14ac:dyDescent="0.3">
      <c r="AV1339" t="s">
        <v>789</v>
      </c>
      <c r="AW1339" t="s">
        <v>158</v>
      </c>
      <c r="AX1339" t="s">
        <v>708</v>
      </c>
      <c r="AY1339" s="81" t="s">
        <v>3428</v>
      </c>
      <c r="AZ1339" t="s">
        <v>3429</v>
      </c>
      <c r="BA1339" t="s">
        <v>128</v>
      </c>
      <c r="BB1339" t="str">
        <f t="shared" si="20"/>
        <v>IHVNnaKaru</v>
      </c>
    </row>
    <row r="1340" spans="48:54" x14ac:dyDescent="0.3">
      <c r="AV1340" t="s">
        <v>789</v>
      </c>
      <c r="AW1340" t="s">
        <v>158</v>
      </c>
      <c r="AX1340" t="s">
        <v>708</v>
      </c>
      <c r="AY1340" s="81" t="s">
        <v>3430</v>
      </c>
      <c r="AZ1340" t="s">
        <v>3431</v>
      </c>
      <c r="BA1340" t="s">
        <v>128</v>
      </c>
      <c r="BB1340" t="str">
        <f t="shared" si="20"/>
        <v>IHVNnaKaru</v>
      </c>
    </row>
    <row r="1341" spans="48:54" x14ac:dyDescent="0.3">
      <c r="AV1341" t="s">
        <v>789</v>
      </c>
      <c r="AW1341" t="s">
        <v>158</v>
      </c>
      <c r="AX1341" t="s">
        <v>708</v>
      </c>
      <c r="AY1341" s="81" t="s">
        <v>3432</v>
      </c>
      <c r="AZ1341" t="s">
        <v>3433</v>
      </c>
      <c r="BA1341" t="s">
        <v>128</v>
      </c>
      <c r="BB1341" t="str">
        <f t="shared" si="20"/>
        <v>IHVNnaKaru</v>
      </c>
    </row>
    <row r="1342" spans="48:54" x14ac:dyDescent="0.3">
      <c r="AV1342" t="s">
        <v>789</v>
      </c>
      <c r="AW1342" t="s">
        <v>158</v>
      </c>
      <c r="AX1342" t="s">
        <v>708</v>
      </c>
      <c r="AY1342" s="81" t="s">
        <v>3434</v>
      </c>
      <c r="AZ1342" t="s">
        <v>3435</v>
      </c>
      <c r="BA1342" t="s">
        <v>128</v>
      </c>
      <c r="BB1342" t="str">
        <f t="shared" si="20"/>
        <v>IHVNnaKaru</v>
      </c>
    </row>
    <row r="1343" spans="48:54" x14ac:dyDescent="0.3">
      <c r="AV1343" t="s">
        <v>789</v>
      </c>
      <c r="AW1343" t="s">
        <v>158</v>
      </c>
      <c r="AX1343" t="s">
        <v>708</v>
      </c>
      <c r="AY1343" s="81" t="s">
        <v>3436</v>
      </c>
      <c r="AZ1343" t="s">
        <v>3437</v>
      </c>
      <c r="BA1343" t="s">
        <v>128</v>
      </c>
      <c r="BB1343" t="str">
        <f t="shared" si="20"/>
        <v>IHVNnaKaru</v>
      </c>
    </row>
    <row r="1344" spans="48:54" x14ac:dyDescent="0.3">
      <c r="AV1344" t="s">
        <v>789</v>
      </c>
      <c r="AW1344" t="s">
        <v>158</v>
      </c>
      <c r="AX1344" t="s">
        <v>708</v>
      </c>
      <c r="AY1344" s="81" t="s">
        <v>3438</v>
      </c>
      <c r="AZ1344" t="s">
        <v>3439</v>
      </c>
      <c r="BA1344" t="s">
        <v>128</v>
      </c>
      <c r="BB1344" t="str">
        <f t="shared" si="20"/>
        <v>IHVNnaKaru</v>
      </c>
    </row>
    <row r="1345" spans="48:54" x14ac:dyDescent="0.3">
      <c r="AV1345" t="s">
        <v>789</v>
      </c>
      <c r="AW1345" t="s">
        <v>158</v>
      </c>
      <c r="AX1345" t="s">
        <v>708</v>
      </c>
      <c r="AY1345" s="81" t="s">
        <v>3440</v>
      </c>
      <c r="AZ1345" t="s">
        <v>3441</v>
      </c>
      <c r="BA1345" t="s">
        <v>128</v>
      </c>
      <c r="BB1345" t="str">
        <f t="shared" si="20"/>
        <v>IHVNnaKaru</v>
      </c>
    </row>
    <row r="1346" spans="48:54" x14ac:dyDescent="0.3">
      <c r="AV1346" t="s">
        <v>789</v>
      </c>
      <c r="AW1346" t="s">
        <v>158</v>
      </c>
      <c r="AX1346" t="s">
        <v>708</v>
      </c>
      <c r="AY1346" s="81" t="s">
        <v>3442</v>
      </c>
      <c r="AZ1346" t="s">
        <v>3443</v>
      </c>
      <c r="BA1346" t="s">
        <v>128</v>
      </c>
      <c r="BB1346" t="str">
        <f t="shared" si="20"/>
        <v>IHVNnaKaru</v>
      </c>
    </row>
    <row r="1347" spans="48:54" x14ac:dyDescent="0.3">
      <c r="AV1347" t="s">
        <v>789</v>
      </c>
      <c r="AW1347" t="s">
        <v>158</v>
      </c>
      <c r="AX1347" t="s">
        <v>708</v>
      </c>
      <c r="AY1347" s="81" t="s">
        <v>3444</v>
      </c>
      <c r="AZ1347" t="s">
        <v>3445</v>
      </c>
      <c r="BA1347" t="s">
        <v>128</v>
      </c>
      <c r="BB1347" t="str">
        <f t="shared" ref="BB1347:BB1410" si="21">SUBSTITUTE(SUBSTITUTE(BA1347&amp;AX1347," ",""),"-","")</f>
        <v>IHVNnaKaru</v>
      </c>
    </row>
    <row r="1348" spans="48:54" x14ac:dyDescent="0.3">
      <c r="AV1348" t="s">
        <v>789</v>
      </c>
      <c r="AW1348" t="s">
        <v>158</v>
      </c>
      <c r="AX1348" t="s">
        <v>708</v>
      </c>
      <c r="AY1348" s="81" t="s">
        <v>3446</v>
      </c>
      <c r="AZ1348" t="s">
        <v>3447</v>
      </c>
      <c r="BA1348" t="s">
        <v>128</v>
      </c>
      <c r="BB1348" t="str">
        <f t="shared" si="21"/>
        <v>IHVNnaKaru</v>
      </c>
    </row>
    <row r="1349" spans="48:54" x14ac:dyDescent="0.3">
      <c r="AV1349" t="s">
        <v>789</v>
      </c>
      <c r="AW1349" t="s">
        <v>158</v>
      </c>
      <c r="AX1349" t="s">
        <v>708</v>
      </c>
      <c r="AY1349" s="81" t="s">
        <v>3448</v>
      </c>
      <c r="AZ1349" t="s">
        <v>3449</v>
      </c>
      <c r="BA1349" t="s">
        <v>128</v>
      </c>
      <c r="BB1349" t="str">
        <f t="shared" si="21"/>
        <v>IHVNnaKaru</v>
      </c>
    </row>
    <row r="1350" spans="48:54" x14ac:dyDescent="0.3">
      <c r="AV1350" t="s">
        <v>789</v>
      </c>
      <c r="AW1350" t="s">
        <v>158</v>
      </c>
      <c r="AX1350" t="s">
        <v>708</v>
      </c>
      <c r="AY1350" s="81" t="s">
        <v>3450</v>
      </c>
      <c r="AZ1350" t="s">
        <v>3451</v>
      </c>
      <c r="BA1350" t="s">
        <v>128</v>
      </c>
      <c r="BB1350" t="str">
        <f t="shared" si="21"/>
        <v>IHVNnaKaru</v>
      </c>
    </row>
    <row r="1351" spans="48:54" x14ac:dyDescent="0.3">
      <c r="AV1351" t="s">
        <v>789</v>
      </c>
      <c r="AW1351" t="s">
        <v>158</v>
      </c>
      <c r="AX1351" t="s">
        <v>708</v>
      </c>
      <c r="AY1351" s="81" t="s">
        <v>3452</v>
      </c>
      <c r="AZ1351" t="s">
        <v>3453</v>
      </c>
      <c r="BA1351" t="s">
        <v>128</v>
      </c>
      <c r="BB1351" t="str">
        <f t="shared" si="21"/>
        <v>IHVNnaKaru</v>
      </c>
    </row>
    <row r="1352" spans="48:54" x14ac:dyDescent="0.3">
      <c r="AV1352" t="s">
        <v>789</v>
      </c>
      <c r="AW1352" t="s">
        <v>158</v>
      </c>
      <c r="AX1352" t="s">
        <v>708</v>
      </c>
      <c r="AY1352" s="81" t="s">
        <v>3454</v>
      </c>
      <c r="AZ1352" t="s">
        <v>3455</v>
      </c>
      <c r="BA1352" t="s">
        <v>128</v>
      </c>
      <c r="BB1352" t="str">
        <f t="shared" si="21"/>
        <v>IHVNnaKaru</v>
      </c>
    </row>
    <row r="1353" spans="48:54" x14ac:dyDescent="0.3">
      <c r="AV1353" t="s">
        <v>789</v>
      </c>
      <c r="AW1353" t="s">
        <v>158</v>
      </c>
      <c r="AX1353" t="s">
        <v>708</v>
      </c>
      <c r="AY1353" s="81" t="s">
        <v>3456</v>
      </c>
      <c r="AZ1353" t="s">
        <v>3457</v>
      </c>
      <c r="BA1353" t="s">
        <v>128</v>
      </c>
      <c r="BB1353" t="str">
        <f t="shared" si="21"/>
        <v>IHVNnaKaru</v>
      </c>
    </row>
    <row r="1354" spans="48:54" x14ac:dyDescent="0.3">
      <c r="AV1354" t="s">
        <v>789</v>
      </c>
      <c r="AW1354" t="s">
        <v>158</v>
      </c>
      <c r="AX1354" t="s">
        <v>708</v>
      </c>
      <c r="AY1354" s="81" t="s">
        <v>2876</v>
      </c>
      <c r="AZ1354" t="s">
        <v>3458</v>
      </c>
      <c r="BA1354" t="s">
        <v>128</v>
      </c>
      <c r="BB1354" t="str">
        <f t="shared" si="21"/>
        <v>IHVNnaKaru</v>
      </c>
    </row>
    <row r="1355" spans="48:54" x14ac:dyDescent="0.3">
      <c r="AV1355" t="s">
        <v>789</v>
      </c>
      <c r="AW1355" t="s">
        <v>158</v>
      </c>
      <c r="AX1355" t="s">
        <v>708</v>
      </c>
      <c r="AY1355" s="81" t="s">
        <v>3459</v>
      </c>
      <c r="AZ1355" t="s">
        <v>3460</v>
      </c>
      <c r="BA1355" t="s">
        <v>128</v>
      </c>
      <c r="BB1355" t="str">
        <f t="shared" si="21"/>
        <v>IHVNnaKaru</v>
      </c>
    </row>
    <row r="1356" spans="48:54" x14ac:dyDescent="0.3">
      <c r="AV1356" t="s">
        <v>789</v>
      </c>
      <c r="AW1356" t="s">
        <v>158</v>
      </c>
      <c r="AX1356" t="s">
        <v>708</v>
      </c>
      <c r="AY1356" s="81" t="s">
        <v>3461</v>
      </c>
      <c r="AZ1356" t="s">
        <v>3462</v>
      </c>
      <c r="BA1356" t="s">
        <v>128</v>
      </c>
      <c r="BB1356" t="str">
        <f t="shared" si="21"/>
        <v>IHVNnaKaru</v>
      </c>
    </row>
    <row r="1357" spans="48:54" x14ac:dyDescent="0.3">
      <c r="AV1357" t="s">
        <v>789</v>
      </c>
      <c r="AW1357" t="s">
        <v>158</v>
      </c>
      <c r="AX1357" t="s">
        <v>709</v>
      </c>
      <c r="AY1357" s="81" t="s">
        <v>3463</v>
      </c>
      <c r="AZ1357" t="s">
        <v>3464</v>
      </c>
      <c r="BA1357" t="s">
        <v>128</v>
      </c>
      <c r="BB1357" t="str">
        <f t="shared" si="21"/>
        <v>IHVNnaKeana</v>
      </c>
    </row>
    <row r="1358" spans="48:54" x14ac:dyDescent="0.3">
      <c r="AV1358" t="s">
        <v>789</v>
      </c>
      <c r="AW1358" t="s">
        <v>158</v>
      </c>
      <c r="AX1358" t="s">
        <v>705</v>
      </c>
      <c r="AY1358" s="81" t="s">
        <v>3465</v>
      </c>
      <c r="AZ1358" t="s">
        <v>3466</v>
      </c>
      <c r="BA1358" t="s">
        <v>128</v>
      </c>
      <c r="BB1358" t="str">
        <f t="shared" si="21"/>
        <v>IHVNnaKeffi</v>
      </c>
    </row>
    <row r="1359" spans="48:54" x14ac:dyDescent="0.3">
      <c r="AV1359" t="s">
        <v>789</v>
      </c>
      <c r="AW1359" t="s">
        <v>158</v>
      </c>
      <c r="AX1359" t="s">
        <v>705</v>
      </c>
      <c r="AY1359" s="81" t="s">
        <v>3467</v>
      </c>
      <c r="AZ1359" t="s">
        <v>3468</v>
      </c>
      <c r="BA1359" t="s">
        <v>128</v>
      </c>
      <c r="BB1359" t="str">
        <f t="shared" si="21"/>
        <v>IHVNnaKeffi</v>
      </c>
    </row>
    <row r="1360" spans="48:54" x14ac:dyDescent="0.3">
      <c r="AV1360" t="s">
        <v>789</v>
      </c>
      <c r="AW1360" t="s">
        <v>158</v>
      </c>
      <c r="AX1360" t="s">
        <v>705</v>
      </c>
      <c r="AY1360" s="81" t="s">
        <v>3469</v>
      </c>
      <c r="AZ1360" t="s">
        <v>3470</v>
      </c>
      <c r="BA1360" t="s">
        <v>128</v>
      </c>
      <c r="BB1360" t="str">
        <f t="shared" si="21"/>
        <v>IHVNnaKeffi</v>
      </c>
    </row>
    <row r="1361" spans="48:54" x14ac:dyDescent="0.3">
      <c r="AV1361" t="s">
        <v>789</v>
      </c>
      <c r="AW1361" t="s">
        <v>158</v>
      </c>
      <c r="AX1361" t="s">
        <v>705</v>
      </c>
      <c r="AY1361" s="81" t="s">
        <v>3471</v>
      </c>
      <c r="AZ1361" t="s">
        <v>3472</v>
      </c>
      <c r="BA1361" t="s">
        <v>128</v>
      </c>
      <c r="BB1361" t="str">
        <f t="shared" si="21"/>
        <v>IHVNnaKeffi</v>
      </c>
    </row>
    <row r="1362" spans="48:54" x14ac:dyDescent="0.3">
      <c r="AV1362" t="s">
        <v>789</v>
      </c>
      <c r="AW1362" t="s">
        <v>158</v>
      </c>
      <c r="AX1362" t="s">
        <v>710</v>
      </c>
      <c r="AY1362" s="81" t="s">
        <v>3473</v>
      </c>
      <c r="AZ1362" t="s">
        <v>3474</v>
      </c>
      <c r="BA1362" t="s">
        <v>128</v>
      </c>
      <c r="BB1362" t="str">
        <f t="shared" si="21"/>
        <v>IHVNnaKokona</v>
      </c>
    </row>
    <row r="1363" spans="48:54" x14ac:dyDescent="0.3">
      <c r="AV1363" t="s">
        <v>789</v>
      </c>
      <c r="AW1363" t="s">
        <v>158</v>
      </c>
      <c r="AX1363" t="s">
        <v>706</v>
      </c>
      <c r="AY1363" s="81" t="s">
        <v>3475</v>
      </c>
      <c r="AZ1363" t="s">
        <v>3476</v>
      </c>
      <c r="BA1363" t="s">
        <v>128</v>
      </c>
      <c r="BB1363" t="str">
        <f t="shared" si="21"/>
        <v>IHVNnaLafia</v>
      </c>
    </row>
    <row r="1364" spans="48:54" x14ac:dyDescent="0.3">
      <c r="AV1364" t="s">
        <v>789</v>
      </c>
      <c r="AW1364" t="s">
        <v>158</v>
      </c>
      <c r="AX1364" t="s">
        <v>706</v>
      </c>
      <c r="AY1364" s="81" t="s">
        <v>3477</v>
      </c>
      <c r="AZ1364" t="s">
        <v>3478</v>
      </c>
      <c r="BA1364" t="s">
        <v>128</v>
      </c>
      <c r="BB1364" t="str">
        <f t="shared" si="21"/>
        <v>IHVNnaLafia</v>
      </c>
    </row>
    <row r="1365" spans="48:54" x14ac:dyDescent="0.3">
      <c r="AV1365" t="s">
        <v>789</v>
      </c>
      <c r="AW1365" t="s">
        <v>158</v>
      </c>
      <c r="AX1365" t="s">
        <v>706</v>
      </c>
      <c r="AY1365" s="81" t="s">
        <v>3479</v>
      </c>
      <c r="AZ1365" t="s">
        <v>3480</v>
      </c>
      <c r="BA1365" t="s">
        <v>128</v>
      </c>
      <c r="BB1365" t="str">
        <f t="shared" si="21"/>
        <v>IHVNnaLafia</v>
      </c>
    </row>
    <row r="1366" spans="48:54" x14ac:dyDescent="0.3">
      <c r="AV1366" t="s">
        <v>789</v>
      </c>
      <c r="AW1366" t="s">
        <v>158</v>
      </c>
      <c r="AX1366" t="s">
        <v>706</v>
      </c>
      <c r="AY1366" s="81" t="s">
        <v>3481</v>
      </c>
      <c r="AZ1366" t="s">
        <v>3482</v>
      </c>
      <c r="BA1366" t="s">
        <v>128</v>
      </c>
      <c r="BB1366" t="str">
        <f t="shared" si="21"/>
        <v>IHVNnaLafia</v>
      </c>
    </row>
    <row r="1367" spans="48:54" x14ac:dyDescent="0.3">
      <c r="AV1367" t="s">
        <v>789</v>
      </c>
      <c r="AW1367" t="s">
        <v>158</v>
      </c>
      <c r="AX1367" t="s">
        <v>706</v>
      </c>
      <c r="AY1367" s="81" t="s">
        <v>3483</v>
      </c>
      <c r="AZ1367" t="s">
        <v>3484</v>
      </c>
      <c r="BA1367" t="s">
        <v>128</v>
      </c>
      <c r="BB1367" t="str">
        <f t="shared" si="21"/>
        <v>IHVNnaLafia</v>
      </c>
    </row>
    <row r="1368" spans="48:54" x14ac:dyDescent="0.3">
      <c r="AV1368" t="s">
        <v>789</v>
      </c>
      <c r="AW1368" t="s">
        <v>158</v>
      </c>
      <c r="AX1368" t="s">
        <v>706</v>
      </c>
      <c r="AY1368" s="81" t="s">
        <v>3485</v>
      </c>
      <c r="AZ1368" t="s">
        <v>3486</v>
      </c>
      <c r="BA1368" t="s">
        <v>128</v>
      </c>
      <c r="BB1368" t="str">
        <f t="shared" si="21"/>
        <v>IHVNnaLafia</v>
      </c>
    </row>
    <row r="1369" spans="48:54" x14ac:dyDescent="0.3">
      <c r="AV1369" t="s">
        <v>789</v>
      </c>
      <c r="AW1369" t="s">
        <v>158</v>
      </c>
      <c r="AX1369" t="s">
        <v>706</v>
      </c>
      <c r="AY1369" s="81" t="s">
        <v>3487</v>
      </c>
      <c r="AZ1369" t="s">
        <v>3488</v>
      </c>
      <c r="BA1369" t="s">
        <v>128</v>
      </c>
      <c r="BB1369" t="str">
        <f t="shared" si="21"/>
        <v>IHVNnaLafia</v>
      </c>
    </row>
    <row r="1370" spans="48:54" x14ac:dyDescent="0.3">
      <c r="AV1370" t="s">
        <v>789</v>
      </c>
      <c r="AW1370" t="s">
        <v>158</v>
      </c>
      <c r="AX1370" t="s">
        <v>706</v>
      </c>
      <c r="AY1370" s="81" t="s">
        <v>3489</v>
      </c>
      <c r="AZ1370" t="s">
        <v>3490</v>
      </c>
      <c r="BA1370" t="s">
        <v>128</v>
      </c>
      <c r="BB1370" t="str">
        <f t="shared" si="21"/>
        <v>IHVNnaLafia</v>
      </c>
    </row>
    <row r="1371" spans="48:54" x14ac:dyDescent="0.3">
      <c r="AV1371" t="s">
        <v>789</v>
      </c>
      <c r="AW1371" t="s">
        <v>158</v>
      </c>
      <c r="AX1371" t="s">
        <v>706</v>
      </c>
      <c r="AY1371" s="81" t="s">
        <v>3491</v>
      </c>
      <c r="AZ1371" t="s">
        <v>3492</v>
      </c>
      <c r="BA1371" t="s">
        <v>128</v>
      </c>
      <c r="BB1371" t="str">
        <f t="shared" si="21"/>
        <v>IHVNnaLafia</v>
      </c>
    </row>
    <row r="1372" spans="48:54" x14ac:dyDescent="0.3">
      <c r="AV1372" t="s">
        <v>789</v>
      </c>
      <c r="AW1372" t="s">
        <v>158</v>
      </c>
      <c r="AX1372" t="s">
        <v>706</v>
      </c>
      <c r="AY1372" s="81" t="s">
        <v>3493</v>
      </c>
      <c r="AZ1372" t="s">
        <v>3494</v>
      </c>
      <c r="BA1372" t="s">
        <v>128</v>
      </c>
      <c r="BB1372" t="str">
        <f t="shared" si="21"/>
        <v>IHVNnaLafia</v>
      </c>
    </row>
    <row r="1373" spans="48:54" x14ac:dyDescent="0.3">
      <c r="AV1373" t="s">
        <v>789</v>
      </c>
      <c r="AW1373" t="s">
        <v>158</v>
      </c>
      <c r="AX1373" t="s">
        <v>706</v>
      </c>
      <c r="AY1373" s="81" t="s">
        <v>3495</v>
      </c>
      <c r="AZ1373" t="s">
        <v>3496</v>
      </c>
      <c r="BA1373" t="s">
        <v>128</v>
      </c>
      <c r="BB1373" t="str">
        <f t="shared" si="21"/>
        <v>IHVNnaLafia</v>
      </c>
    </row>
    <row r="1374" spans="48:54" x14ac:dyDescent="0.3">
      <c r="AV1374" t="s">
        <v>789</v>
      </c>
      <c r="AW1374" t="s">
        <v>158</v>
      </c>
      <c r="AX1374" t="s">
        <v>706</v>
      </c>
      <c r="AY1374" s="81" t="s">
        <v>3497</v>
      </c>
      <c r="AZ1374" t="s">
        <v>3498</v>
      </c>
      <c r="BA1374" t="s">
        <v>128</v>
      </c>
      <c r="BB1374" t="str">
        <f t="shared" si="21"/>
        <v>IHVNnaLafia</v>
      </c>
    </row>
    <row r="1375" spans="48:54" x14ac:dyDescent="0.3">
      <c r="AV1375" t="s">
        <v>789</v>
      </c>
      <c r="AW1375" t="s">
        <v>158</v>
      </c>
      <c r="AX1375" t="s">
        <v>706</v>
      </c>
      <c r="AY1375" s="81" t="s">
        <v>3499</v>
      </c>
      <c r="AZ1375" t="s">
        <v>3500</v>
      </c>
      <c r="BA1375" t="s">
        <v>128</v>
      </c>
      <c r="BB1375" t="str">
        <f t="shared" si="21"/>
        <v>IHVNnaLafia</v>
      </c>
    </row>
    <row r="1376" spans="48:54" x14ac:dyDescent="0.3">
      <c r="AV1376" t="s">
        <v>789</v>
      </c>
      <c r="AW1376" t="s">
        <v>158</v>
      </c>
      <c r="AX1376" t="s">
        <v>706</v>
      </c>
      <c r="AY1376" s="81" t="s">
        <v>3501</v>
      </c>
      <c r="AZ1376" t="s">
        <v>3502</v>
      </c>
      <c r="BA1376" t="s">
        <v>128</v>
      </c>
      <c r="BB1376" t="str">
        <f t="shared" si="21"/>
        <v>IHVNnaLafia</v>
      </c>
    </row>
    <row r="1377" spans="48:54" x14ac:dyDescent="0.3">
      <c r="AV1377" t="s">
        <v>789</v>
      </c>
      <c r="AW1377" t="s">
        <v>158</v>
      </c>
      <c r="AX1377" t="s">
        <v>706</v>
      </c>
      <c r="AY1377" s="81" t="s">
        <v>3503</v>
      </c>
      <c r="AZ1377" t="s">
        <v>3504</v>
      </c>
      <c r="BA1377" t="s">
        <v>128</v>
      </c>
      <c r="BB1377" t="str">
        <f t="shared" si="21"/>
        <v>IHVNnaLafia</v>
      </c>
    </row>
    <row r="1378" spans="48:54" x14ac:dyDescent="0.3">
      <c r="AV1378" t="s">
        <v>789</v>
      </c>
      <c r="AW1378" t="s">
        <v>158</v>
      </c>
      <c r="AX1378" t="s">
        <v>706</v>
      </c>
      <c r="AY1378" s="81" t="s">
        <v>3505</v>
      </c>
      <c r="AZ1378" t="s">
        <v>3506</v>
      </c>
      <c r="BA1378" t="s">
        <v>128</v>
      </c>
      <c r="BB1378" t="str">
        <f t="shared" si="21"/>
        <v>IHVNnaLafia</v>
      </c>
    </row>
    <row r="1379" spans="48:54" x14ac:dyDescent="0.3">
      <c r="AV1379" t="s">
        <v>789</v>
      </c>
      <c r="AW1379" t="s">
        <v>158</v>
      </c>
      <c r="AX1379" t="s">
        <v>706</v>
      </c>
      <c r="AY1379" s="81" t="s">
        <v>3507</v>
      </c>
      <c r="AZ1379" t="s">
        <v>3508</v>
      </c>
      <c r="BA1379" t="s">
        <v>128</v>
      </c>
      <c r="BB1379" t="str">
        <f t="shared" si="21"/>
        <v>IHVNnaLafia</v>
      </c>
    </row>
    <row r="1380" spans="48:54" x14ac:dyDescent="0.3">
      <c r="AV1380" t="s">
        <v>789</v>
      </c>
      <c r="AW1380" t="s">
        <v>158</v>
      </c>
      <c r="AX1380" t="s">
        <v>706</v>
      </c>
      <c r="AY1380" s="81" t="s">
        <v>3509</v>
      </c>
      <c r="AZ1380" t="s">
        <v>3510</v>
      </c>
      <c r="BA1380" t="s">
        <v>128</v>
      </c>
      <c r="BB1380" t="str">
        <f t="shared" si="21"/>
        <v>IHVNnaLafia</v>
      </c>
    </row>
    <row r="1381" spans="48:54" x14ac:dyDescent="0.3">
      <c r="AV1381" t="s">
        <v>789</v>
      </c>
      <c r="AW1381" t="s">
        <v>158</v>
      </c>
      <c r="AX1381" t="s">
        <v>706</v>
      </c>
      <c r="AY1381" s="81" t="s">
        <v>3511</v>
      </c>
      <c r="AZ1381" t="s">
        <v>3512</v>
      </c>
      <c r="BA1381" t="s">
        <v>128</v>
      </c>
      <c r="BB1381" t="str">
        <f t="shared" si="21"/>
        <v>IHVNnaLafia</v>
      </c>
    </row>
    <row r="1382" spans="48:54" x14ac:dyDescent="0.3">
      <c r="AV1382" t="s">
        <v>789</v>
      </c>
      <c r="AW1382" t="s">
        <v>158</v>
      </c>
      <c r="AX1382" t="s">
        <v>706</v>
      </c>
      <c r="AY1382" s="81" t="s">
        <v>3513</v>
      </c>
      <c r="AZ1382" t="s">
        <v>3514</v>
      </c>
      <c r="BA1382" t="s">
        <v>128</v>
      </c>
      <c r="BB1382" t="str">
        <f t="shared" si="21"/>
        <v>IHVNnaLafia</v>
      </c>
    </row>
    <row r="1383" spans="48:54" x14ac:dyDescent="0.3">
      <c r="AV1383" t="s">
        <v>789</v>
      </c>
      <c r="AW1383" t="s">
        <v>158</v>
      </c>
      <c r="AX1383" t="s">
        <v>706</v>
      </c>
      <c r="AY1383" s="81" t="s">
        <v>3515</v>
      </c>
      <c r="AZ1383" t="s">
        <v>3516</v>
      </c>
      <c r="BA1383" t="s">
        <v>128</v>
      </c>
      <c r="BB1383" t="str">
        <f t="shared" si="21"/>
        <v>IHVNnaLafia</v>
      </c>
    </row>
    <row r="1384" spans="48:54" x14ac:dyDescent="0.3">
      <c r="AV1384" t="s">
        <v>789</v>
      </c>
      <c r="AW1384" t="s">
        <v>158</v>
      </c>
      <c r="AX1384" t="s">
        <v>706</v>
      </c>
      <c r="AY1384" s="81" t="s">
        <v>3517</v>
      </c>
      <c r="AZ1384" t="s">
        <v>3518</v>
      </c>
      <c r="BA1384" t="s">
        <v>128</v>
      </c>
      <c r="BB1384" t="str">
        <f t="shared" si="21"/>
        <v>IHVNnaLafia</v>
      </c>
    </row>
    <row r="1385" spans="48:54" x14ac:dyDescent="0.3">
      <c r="AV1385" t="s">
        <v>789</v>
      </c>
      <c r="AW1385" t="s">
        <v>158</v>
      </c>
      <c r="AX1385" t="s">
        <v>706</v>
      </c>
      <c r="AY1385" s="81" t="s">
        <v>3519</v>
      </c>
      <c r="AZ1385" t="s">
        <v>3520</v>
      </c>
      <c r="BA1385" t="s">
        <v>128</v>
      </c>
      <c r="BB1385" t="str">
        <f t="shared" si="21"/>
        <v>IHVNnaLafia</v>
      </c>
    </row>
    <row r="1386" spans="48:54" x14ac:dyDescent="0.3">
      <c r="AV1386" t="s">
        <v>789</v>
      </c>
      <c r="AW1386" t="s">
        <v>158</v>
      </c>
      <c r="AX1386" t="s">
        <v>706</v>
      </c>
      <c r="AY1386" s="81" t="s">
        <v>3521</v>
      </c>
      <c r="AZ1386" t="s">
        <v>3522</v>
      </c>
      <c r="BA1386" t="s">
        <v>128</v>
      </c>
      <c r="BB1386" t="str">
        <f t="shared" si="21"/>
        <v>IHVNnaLafia</v>
      </c>
    </row>
    <row r="1387" spans="48:54" x14ac:dyDescent="0.3">
      <c r="AV1387" t="s">
        <v>789</v>
      </c>
      <c r="AW1387" t="s">
        <v>158</v>
      </c>
      <c r="AX1387" t="s">
        <v>706</v>
      </c>
      <c r="AY1387" s="81" t="s">
        <v>3523</v>
      </c>
      <c r="AZ1387" t="s">
        <v>3524</v>
      </c>
      <c r="BA1387" t="s">
        <v>128</v>
      </c>
      <c r="BB1387" t="str">
        <f t="shared" si="21"/>
        <v>IHVNnaLafia</v>
      </c>
    </row>
    <row r="1388" spans="48:54" x14ac:dyDescent="0.3">
      <c r="AV1388" t="s">
        <v>789</v>
      </c>
      <c r="AW1388" t="s">
        <v>158</v>
      </c>
      <c r="AX1388" t="s">
        <v>706</v>
      </c>
      <c r="AY1388" s="81" t="s">
        <v>3525</v>
      </c>
      <c r="AZ1388" t="s">
        <v>3526</v>
      </c>
      <c r="BA1388" t="s">
        <v>128</v>
      </c>
      <c r="BB1388" t="str">
        <f t="shared" si="21"/>
        <v>IHVNnaLafia</v>
      </c>
    </row>
    <row r="1389" spans="48:54" x14ac:dyDescent="0.3">
      <c r="AV1389" t="s">
        <v>789</v>
      </c>
      <c r="AW1389" t="s">
        <v>158</v>
      </c>
      <c r="AX1389" t="s">
        <v>706</v>
      </c>
      <c r="AY1389" s="81" t="s">
        <v>3527</v>
      </c>
      <c r="AZ1389" t="s">
        <v>3528</v>
      </c>
      <c r="BA1389" t="s">
        <v>128</v>
      </c>
      <c r="BB1389" t="str">
        <f t="shared" si="21"/>
        <v>IHVNnaLafia</v>
      </c>
    </row>
    <row r="1390" spans="48:54" x14ac:dyDescent="0.3">
      <c r="AV1390" t="s">
        <v>789</v>
      </c>
      <c r="AW1390" t="s">
        <v>158</v>
      </c>
      <c r="AX1390" t="s">
        <v>706</v>
      </c>
      <c r="AY1390" s="81" t="s">
        <v>3529</v>
      </c>
      <c r="AZ1390" t="s">
        <v>3530</v>
      </c>
      <c r="BA1390" t="s">
        <v>128</v>
      </c>
      <c r="BB1390" t="str">
        <f t="shared" si="21"/>
        <v>IHVNnaLafia</v>
      </c>
    </row>
    <row r="1391" spans="48:54" x14ac:dyDescent="0.3">
      <c r="AV1391" t="s">
        <v>789</v>
      </c>
      <c r="AW1391" t="s">
        <v>158</v>
      </c>
      <c r="AX1391" t="s">
        <v>706</v>
      </c>
      <c r="AY1391" s="81" t="s">
        <v>3531</v>
      </c>
      <c r="AZ1391" t="s">
        <v>3532</v>
      </c>
      <c r="BA1391" t="s">
        <v>128</v>
      </c>
      <c r="BB1391" t="str">
        <f t="shared" si="21"/>
        <v>IHVNnaLafia</v>
      </c>
    </row>
    <row r="1392" spans="48:54" x14ac:dyDescent="0.3">
      <c r="AV1392" t="s">
        <v>789</v>
      </c>
      <c r="AW1392" t="s">
        <v>158</v>
      </c>
      <c r="AX1392" t="s">
        <v>706</v>
      </c>
      <c r="AY1392" s="81" t="s">
        <v>3533</v>
      </c>
      <c r="AZ1392" t="s">
        <v>3534</v>
      </c>
      <c r="BA1392" t="s">
        <v>128</v>
      </c>
      <c r="BB1392" t="str">
        <f t="shared" si="21"/>
        <v>IHVNnaLafia</v>
      </c>
    </row>
    <row r="1393" spans="48:54" x14ac:dyDescent="0.3">
      <c r="AV1393" t="s">
        <v>789</v>
      </c>
      <c r="AW1393" t="s">
        <v>158</v>
      </c>
      <c r="AX1393" t="s">
        <v>706</v>
      </c>
      <c r="AY1393" s="81" t="s">
        <v>3535</v>
      </c>
      <c r="AZ1393" t="s">
        <v>3536</v>
      </c>
      <c r="BA1393" t="s">
        <v>128</v>
      </c>
      <c r="BB1393" t="str">
        <f t="shared" si="21"/>
        <v>IHVNnaLafia</v>
      </c>
    </row>
    <row r="1394" spans="48:54" x14ac:dyDescent="0.3">
      <c r="AV1394" t="s">
        <v>789</v>
      </c>
      <c r="AW1394" t="s">
        <v>158</v>
      </c>
      <c r="AX1394" t="s">
        <v>706</v>
      </c>
      <c r="AY1394" s="81" t="s">
        <v>3537</v>
      </c>
      <c r="AZ1394" t="s">
        <v>3538</v>
      </c>
      <c r="BA1394" t="s">
        <v>128</v>
      </c>
      <c r="BB1394" t="str">
        <f t="shared" si="21"/>
        <v>IHVNnaLafia</v>
      </c>
    </row>
    <row r="1395" spans="48:54" x14ac:dyDescent="0.3">
      <c r="AV1395" t="s">
        <v>789</v>
      </c>
      <c r="AW1395" t="s">
        <v>158</v>
      </c>
      <c r="AX1395" t="s">
        <v>706</v>
      </c>
      <c r="AY1395" s="81" t="s">
        <v>3539</v>
      </c>
      <c r="AZ1395" t="s">
        <v>3540</v>
      </c>
      <c r="BA1395" t="s">
        <v>128</v>
      </c>
      <c r="BB1395" t="str">
        <f t="shared" si="21"/>
        <v>IHVNnaLafia</v>
      </c>
    </row>
    <row r="1396" spans="48:54" x14ac:dyDescent="0.3">
      <c r="AV1396" t="s">
        <v>789</v>
      </c>
      <c r="AW1396" t="s">
        <v>158</v>
      </c>
      <c r="AX1396" t="s">
        <v>706</v>
      </c>
      <c r="AY1396" s="81" t="s">
        <v>3541</v>
      </c>
      <c r="AZ1396" t="s">
        <v>3542</v>
      </c>
      <c r="BA1396" t="s">
        <v>128</v>
      </c>
      <c r="BB1396" t="str">
        <f t="shared" si="21"/>
        <v>IHVNnaLafia</v>
      </c>
    </row>
    <row r="1397" spans="48:54" x14ac:dyDescent="0.3">
      <c r="AV1397" t="s">
        <v>789</v>
      </c>
      <c r="AW1397" t="s">
        <v>158</v>
      </c>
      <c r="AX1397" t="s">
        <v>706</v>
      </c>
      <c r="AY1397" s="81" t="s">
        <v>3543</v>
      </c>
      <c r="AZ1397" t="s">
        <v>3544</v>
      </c>
      <c r="BA1397" t="s">
        <v>128</v>
      </c>
      <c r="BB1397" t="str">
        <f t="shared" si="21"/>
        <v>IHVNnaLafia</v>
      </c>
    </row>
    <row r="1398" spans="48:54" x14ac:dyDescent="0.3">
      <c r="AV1398" t="s">
        <v>789</v>
      </c>
      <c r="AW1398" t="s">
        <v>158</v>
      </c>
      <c r="AX1398" t="s">
        <v>706</v>
      </c>
      <c r="AY1398" s="81" t="s">
        <v>3545</v>
      </c>
      <c r="AZ1398" t="s">
        <v>3546</v>
      </c>
      <c r="BA1398" t="s">
        <v>128</v>
      </c>
      <c r="BB1398" t="str">
        <f t="shared" si="21"/>
        <v>IHVNnaLafia</v>
      </c>
    </row>
    <row r="1399" spans="48:54" x14ac:dyDescent="0.3">
      <c r="AV1399" t="s">
        <v>789</v>
      </c>
      <c r="AW1399" t="s">
        <v>158</v>
      </c>
      <c r="AX1399" t="s">
        <v>706</v>
      </c>
      <c r="AY1399" s="81" t="s">
        <v>3547</v>
      </c>
      <c r="AZ1399" t="s">
        <v>3548</v>
      </c>
      <c r="BA1399" t="s">
        <v>128</v>
      </c>
      <c r="BB1399" t="str">
        <f t="shared" si="21"/>
        <v>IHVNnaLafia</v>
      </c>
    </row>
    <row r="1400" spans="48:54" x14ac:dyDescent="0.3">
      <c r="AV1400" t="s">
        <v>789</v>
      </c>
      <c r="AW1400" t="s">
        <v>158</v>
      </c>
      <c r="AX1400" t="s">
        <v>706</v>
      </c>
      <c r="AY1400" s="81" t="s">
        <v>3549</v>
      </c>
      <c r="AZ1400" t="s">
        <v>3550</v>
      </c>
      <c r="BA1400" t="s">
        <v>128</v>
      </c>
      <c r="BB1400" t="str">
        <f t="shared" si="21"/>
        <v>IHVNnaLafia</v>
      </c>
    </row>
    <row r="1401" spans="48:54" x14ac:dyDescent="0.3">
      <c r="AV1401" t="s">
        <v>789</v>
      </c>
      <c r="AW1401" t="s">
        <v>158</v>
      </c>
      <c r="AX1401" t="s">
        <v>706</v>
      </c>
      <c r="AY1401" s="81" t="s">
        <v>3551</v>
      </c>
      <c r="AZ1401" t="s">
        <v>3552</v>
      </c>
      <c r="BA1401" t="s">
        <v>128</v>
      </c>
      <c r="BB1401" t="str">
        <f t="shared" si="21"/>
        <v>IHVNnaLafia</v>
      </c>
    </row>
    <row r="1402" spans="48:54" x14ac:dyDescent="0.3">
      <c r="AV1402" t="s">
        <v>789</v>
      </c>
      <c r="AW1402" t="s">
        <v>158</v>
      </c>
      <c r="AX1402" t="s">
        <v>711</v>
      </c>
      <c r="AY1402" s="81" t="s">
        <v>3553</v>
      </c>
      <c r="AZ1402" t="s">
        <v>3554</v>
      </c>
      <c r="BA1402" t="s">
        <v>128</v>
      </c>
      <c r="BB1402" t="str">
        <f t="shared" si="21"/>
        <v>IHVNnaNasarawa</v>
      </c>
    </row>
    <row r="1403" spans="48:54" x14ac:dyDescent="0.3">
      <c r="AV1403" t="s">
        <v>789</v>
      </c>
      <c r="AW1403" t="s">
        <v>158</v>
      </c>
      <c r="AX1403" t="s">
        <v>711</v>
      </c>
      <c r="AY1403" s="81" t="s">
        <v>3555</v>
      </c>
      <c r="AZ1403" t="s">
        <v>3556</v>
      </c>
      <c r="BA1403" t="s">
        <v>128</v>
      </c>
      <c r="BB1403" t="str">
        <f t="shared" si="21"/>
        <v>IHVNnaNasarawa</v>
      </c>
    </row>
    <row r="1404" spans="48:54" x14ac:dyDescent="0.3">
      <c r="AV1404" t="s">
        <v>789</v>
      </c>
      <c r="AW1404" t="s">
        <v>158</v>
      </c>
      <c r="AX1404" t="s">
        <v>711</v>
      </c>
      <c r="AY1404" s="81" t="s">
        <v>3557</v>
      </c>
      <c r="AZ1404" t="s">
        <v>3558</v>
      </c>
      <c r="BA1404" t="s">
        <v>128</v>
      </c>
      <c r="BB1404" t="str">
        <f t="shared" si="21"/>
        <v>IHVNnaNasarawa</v>
      </c>
    </row>
    <row r="1405" spans="48:54" x14ac:dyDescent="0.3">
      <c r="AV1405" t="s">
        <v>789</v>
      </c>
      <c r="AW1405" t="s">
        <v>158</v>
      </c>
      <c r="AX1405" t="s">
        <v>711</v>
      </c>
      <c r="AY1405" s="81" t="s">
        <v>3559</v>
      </c>
      <c r="AZ1405" t="s">
        <v>3560</v>
      </c>
      <c r="BA1405" t="s">
        <v>128</v>
      </c>
      <c r="BB1405" t="str">
        <f t="shared" si="21"/>
        <v>IHVNnaNasarawa</v>
      </c>
    </row>
    <row r="1406" spans="48:54" x14ac:dyDescent="0.3">
      <c r="AV1406" t="s">
        <v>789</v>
      </c>
      <c r="AW1406" t="s">
        <v>158</v>
      </c>
      <c r="AX1406" t="s">
        <v>711</v>
      </c>
      <c r="AY1406" s="81" t="s">
        <v>3561</v>
      </c>
      <c r="AZ1406" t="s">
        <v>3562</v>
      </c>
      <c r="BA1406" t="s">
        <v>128</v>
      </c>
      <c r="BB1406" t="str">
        <f t="shared" si="21"/>
        <v>IHVNnaNasarawa</v>
      </c>
    </row>
    <row r="1407" spans="48:54" x14ac:dyDescent="0.3">
      <c r="AV1407" t="s">
        <v>789</v>
      </c>
      <c r="AW1407" t="s">
        <v>158</v>
      </c>
      <c r="AX1407" t="s">
        <v>711</v>
      </c>
      <c r="AY1407" s="81" t="s">
        <v>3563</v>
      </c>
      <c r="AZ1407" t="s">
        <v>3564</v>
      </c>
      <c r="BA1407" t="s">
        <v>128</v>
      </c>
      <c r="BB1407" t="str">
        <f t="shared" si="21"/>
        <v>IHVNnaNasarawa</v>
      </c>
    </row>
    <row r="1408" spans="48:54" x14ac:dyDescent="0.3">
      <c r="AV1408" t="s">
        <v>789</v>
      </c>
      <c r="AW1408" t="s">
        <v>158</v>
      </c>
      <c r="AX1408" t="s">
        <v>711</v>
      </c>
      <c r="AY1408" s="81" t="s">
        <v>3565</v>
      </c>
      <c r="AZ1408" t="s">
        <v>3566</v>
      </c>
      <c r="BA1408" t="s">
        <v>128</v>
      </c>
      <c r="BB1408" t="str">
        <f t="shared" si="21"/>
        <v>IHVNnaNasarawa</v>
      </c>
    </row>
    <row r="1409" spans="48:54" x14ac:dyDescent="0.3">
      <c r="AV1409" t="s">
        <v>789</v>
      </c>
      <c r="AW1409" t="s">
        <v>158</v>
      </c>
      <c r="AX1409" t="s">
        <v>711</v>
      </c>
      <c r="AY1409" s="81" t="s">
        <v>3567</v>
      </c>
      <c r="AZ1409" t="s">
        <v>3568</v>
      </c>
      <c r="BA1409" t="s">
        <v>128</v>
      </c>
      <c r="BB1409" t="str">
        <f t="shared" si="21"/>
        <v>IHVNnaNasarawa</v>
      </c>
    </row>
    <row r="1410" spans="48:54" x14ac:dyDescent="0.3">
      <c r="AV1410" t="s">
        <v>789</v>
      </c>
      <c r="AW1410" t="s">
        <v>158</v>
      </c>
      <c r="AX1410" t="s">
        <v>711</v>
      </c>
      <c r="AY1410" s="81" t="s">
        <v>3569</v>
      </c>
      <c r="AZ1410" t="s">
        <v>3570</v>
      </c>
      <c r="BA1410" t="s">
        <v>128</v>
      </c>
      <c r="BB1410" t="str">
        <f t="shared" si="21"/>
        <v>IHVNnaNasarawa</v>
      </c>
    </row>
    <row r="1411" spans="48:54" x14ac:dyDescent="0.3">
      <c r="AV1411" t="s">
        <v>789</v>
      </c>
      <c r="AW1411" t="s">
        <v>158</v>
      </c>
      <c r="AX1411" t="s">
        <v>711</v>
      </c>
      <c r="AY1411" s="81" t="s">
        <v>3571</v>
      </c>
      <c r="AZ1411" t="s">
        <v>3572</v>
      </c>
      <c r="BA1411" t="s">
        <v>128</v>
      </c>
      <c r="BB1411" t="str">
        <f t="shared" ref="BB1411:BB1474" si="22">SUBSTITUTE(SUBSTITUTE(BA1411&amp;AX1411," ",""),"-","")</f>
        <v>IHVNnaNasarawa</v>
      </c>
    </row>
    <row r="1412" spans="48:54" x14ac:dyDescent="0.3">
      <c r="AV1412" t="s">
        <v>789</v>
      </c>
      <c r="AW1412" t="s">
        <v>158</v>
      </c>
      <c r="AX1412" t="s">
        <v>711</v>
      </c>
      <c r="AY1412" s="81" t="s">
        <v>3573</v>
      </c>
      <c r="AZ1412" t="s">
        <v>3574</v>
      </c>
      <c r="BA1412" t="s">
        <v>128</v>
      </c>
      <c r="BB1412" t="str">
        <f t="shared" si="22"/>
        <v>IHVNnaNasarawa</v>
      </c>
    </row>
    <row r="1413" spans="48:54" x14ac:dyDescent="0.3">
      <c r="AV1413" t="s">
        <v>789</v>
      </c>
      <c r="AW1413" t="s">
        <v>158</v>
      </c>
      <c r="AX1413" t="s">
        <v>711</v>
      </c>
      <c r="AY1413" s="81" t="s">
        <v>3575</v>
      </c>
      <c r="AZ1413" t="s">
        <v>3576</v>
      </c>
      <c r="BA1413" t="s">
        <v>128</v>
      </c>
      <c r="BB1413" t="str">
        <f t="shared" si="22"/>
        <v>IHVNnaNasarawa</v>
      </c>
    </row>
    <row r="1414" spans="48:54" x14ac:dyDescent="0.3">
      <c r="AV1414" t="s">
        <v>789</v>
      </c>
      <c r="AW1414" t="s">
        <v>158</v>
      </c>
      <c r="AX1414" t="s">
        <v>711</v>
      </c>
      <c r="AY1414" s="81" t="s">
        <v>3577</v>
      </c>
      <c r="AZ1414" t="s">
        <v>3578</v>
      </c>
      <c r="BA1414" t="s">
        <v>128</v>
      </c>
      <c r="BB1414" t="str">
        <f t="shared" si="22"/>
        <v>IHVNnaNasarawa</v>
      </c>
    </row>
    <row r="1415" spans="48:54" x14ac:dyDescent="0.3">
      <c r="AV1415" t="s">
        <v>789</v>
      </c>
      <c r="AW1415" t="s">
        <v>158</v>
      </c>
      <c r="AX1415" t="s">
        <v>711</v>
      </c>
      <c r="AY1415" s="81" t="s">
        <v>3579</v>
      </c>
      <c r="AZ1415" t="s">
        <v>3580</v>
      </c>
      <c r="BA1415" t="s">
        <v>128</v>
      </c>
      <c r="BB1415" t="str">
        <f t="shared" si="22"/>
        <v>IHVNnaNasarawa</v>
      </c>
    </row>
    <row r="1416" spans="48:54" x14ac:dyDescent="0.3">
      <c r="AV1416" t="s">
        <v>789</v>
      </c>
      <c r="AW1416" t="s">
        <v>158</v>
      </c>
      <c r="AX1416" t="s">
        <v>711</v>
      </c>
      <c r="AY1416" s="81" t="s">
        <v>3581</v>
      </c>
      <c r="AZ1416" t="s">
        <v>3582</v>
      </c>
      <c r="BA1416" t="s">
        <v>128</v>
      </c>
      <c r="BB1416" t="str">
        <f t="shared" si="22"/>
        <v>IHVNnaNasarawa</v>
      </c>
    </row>
    <row r="1417" spans="48:54" x14ac:dyDescent="0.3">
      <c r="AV1417" t="s">
        <v>789</v>
      </c>
      <c r="AW1417" t="s">
        <v>158</v>
      </c>
      <c r="AX1417" t="s">
        <v>711</v>
      </c>
      <c r="AY1417" s="81" t="s">
        <v>3583</v>
      </c>
      <c r="AZ1417" t="s">
        <v>3584</v>
      </c>
      <c r="BA1417" t="s">
        <v>128</v>
      </c>
      <c r="BB1417" t="str">
        <f t="shared" si="22"/>
        <v>IHVNnaNasarawa</v>
      </c>
    </row>
    <row r="1418" spans="48:54" x14ac:dyDescent="0.3">
      <c r="AV1418" t="s">
        <v>789</v>
      </c>
      <c r="AW1418" t="s">
        <v>158</v>
      </c>
      <c r="AX1418" t="s">
        <v>711</v>
      </c>
      <c r="AY1418" s="81" t="s">
        <v>3585</v>
      </c>
      <c r="AZ1418" t="s">
        <v>3586</v>
      </c>
      <c r="BA1418" t="s">
        <v>128</v>
      </c>
      <c r="BB1418" t="str">
        <f t="shared" si="22"/>
        <v>IHVNnaNasarawa</v>
      </c>
    </row>
    <row r="1419" spans="48:54" x14ac:dyDescent="0.3">
      <c r="AV1419" t="s">
        <v>789</v>
      </c>
      <c r="AW1419" t="s">
        <v>158</v>
      </c>
      <c r="AX1419" t="s">
        <v>711</v>
      </c>
      <c r="AY1419" s="81" t="s">
        <v>3587</v>
      </c>
      <c r="AZ1419" t="s">
        <v>3588</v>
      </c>
      <c r="BA1419" t="s">
        <v>128</v>
      </c>
      <c r="BB1419" t="str">
        <f t="shared" si="22"/>
        <v>IHVNnaNasarawa</v>
      </c>
    </row>
    <row r="1420" spans="48:54" x14ac:dyDescent="0.3">
      <c r="AV1420" t="s">
        <v>789</v>
      </c>
      <c r="AW1420" t="s">
        <v>158</v>
      </c>
      <c r="AX1420" t="s">
        <v>711</v>
      </c>
      <c r="AY1420" s="81" t="s">
        <v>3589</v>
      </c>
      <c r="AZ1420" t="s">
        <v>3590</v>
      </c>
      <c r="BA1420" t="s">
        <v>128</v>
      </c>
      <c r="BB1420" t="str">
        <f t="shared" si="22"/>
        <v>IHVNnaNasarawa</v>
      </c>
    </row>
    <row r="1421" spans="48:54" x14ac:dyDescent="0.3">
      <c r="AV1421" t="s">
        <v>789</v>
      </c>
      <c r="AW1421" t="s">
        <v>158</v>
      </c>
      <c r="AX1421" t="s">
        <v>711</v>
      </c>
      <c r="AY1421" s="81" t="s">
        <v>3591</v>
      </c>
      <c r="AZ1421" t="s">
        <v>3592</v>
      </c>
      <c r="BA1421" t="s">
        <v>128</v>
      </c>
      <c r="BB1421" t="str">
        <f t="shared" si="22"/>
        <v>IHVNnaNasarawa</v>
      </c>
    </row>
    <row r="1422" spans="48:54" x14ac:dyDescent="0.3">
      <c r="AV1422" t="s">
        <v>789</v>
      </c>
      <c r="AW1422" t="s">
        <v>158</v>
      </c>
      <c r="AX1422" t="s">
        <v>711</v>
      </c>
      <c r="AY1422" s="81" t="s">
        <v>3593</v>
      </c>
      <c r="AZ1422" t="s">
        <v>3594</v>
      </c>
      <c r="BA1422" t="s">
        <v>128</v>
      </c>
      <c r="BB1422" t="str">
        <f t="shared" si="22"/>
        <v>IHVNnaNasarawa</v>
      </c>
    </row>
    <row r="1423" spans="48:54" x14ac:dyDescent="0.3">
      <c r="AV1423" t="s">
        <v>789</v>
      </c>
      <c r="AW1423" t="s">
        <v>158</v>
      </c>
      <c r="AX1423" t="s">
        <v>711</v>
      </c>
      <c r="AY1423" s="81" t="s">
        <v>3595</v>
      </c>
      <c r="AZ1423" t="s">
        <v>3596</v>
      </c>
      <c r="BA1423" t="s">
        <v>128</v>
      </c>
      <c r="BB1423" t="str">
        <f t="shared" si="22"/>
        <v>IHVNnaNasarawa</v>
      </c>
    </row>
    <row r="1424" spans="48:54" x14ac:dyDescent="0.3">
      <c r="AV1424" t="s">
        <v>789</v>
      </c>
      <c r="AW1424" t="s">
        <v>158</v>
      </c>
      <c r="AX1424" t="s">
        <v>711</v>
      </c>
      <c r="AY1424" s="81" t="s">
        <v>3597</v>
      </c>
      <c r="AZ1424" t="s">
        <v>3598</v>
      </c>
      <c r="BA1424" t="s">
        <v>128</v>
      </c>
      <c r="BB1424" t="str">
        <f t="shared" si="22"/>
        <v>IHVNnaNasarawa</v>
      </c>
    </row>
    <row r="1425" spans="48:54" x14ac:dyDescent="0.3">
      <c r="AV1425" t="s">
        <v>789</v>
      </c>
      <c r="AW1425" t="s">
        <v>158</v>
      </c>
      <c r="AX1425" t="s">
        <v>711</v>
      </c>
      <c r="AY1425" s="81" t="s">
        <v>3599</v>
      </c>
      <c r="AZ1425" t="s">
        <v>3600</v>
      </c>
      <c r="BA1425" t="s">
        <v>128</v>
      </c>
      <c r="BB1425" t="str">
        <f t="shared" si="22"/>
        <v>IHVNnaNasarawa</v>
      </c>
    </row>
    <row r="1426" spans="48:54" x14ac:dyDescent="0.3">
      <c r="AV1426" t="s">
        <v>789</v>
      </c>
      <c r="AW1426" t="s">
        <v>158</v>
      </c>
      <c r="AX1426" t="s">
        <v>711</v>
      </c>
      <c r="AY1426" s="81" t="s">
        <v>3601</v>
      </c>
      <c r="AZ1426" t="s">
        <v>3602</v>
      </c>
      <c r="BA1426" t="s">
        <v>128</v>
      </c>
      <c r="BB1426" t="str">
        <f t="shared" si="22"/>
        <v>IHVNnaNasarawa</v>
      </c>
    </row>
    <row r="1427" spans="48:54" x14ac:dyDescent="0.3">
      <c r="AV1427" t="s">
        <v>789</v>
      </c>
      <c r="AW1427" t="s">
        <v>158</v>
      </c>
      <c r="AX1427" t="s">
        <v>711</v>
      </c>
      <c r="AY1427" s="81" t="s">
        <v>3603</v>
      </c>
      <c r="AZ1427" t="s">
        <v>3604</v>
      </c>
      <c r="BA1427" t="s">
        <v>128</v>
      </c>
      <c r="BB1427" t="str">
        <f t="shared" si="22"/>
        <v>IHVNnaNasarawa</v>
      </c>
    </row>
    <row r="1428" spans="48:54" x14ac:dyDescent="0.3">
      <c r="AV1428" t="s">
        <v>789</v>
      </c>
      <c r="AW1428" t="s">
        <v>158</v>
      </c>
      <c r="AX1428" t="s">
        <v>711</v>
      </c>
      <c r="AY1428" s="81" t="s">
        <v>3605</v>
      </c>
      <c r="AZ1428" t="s">
        <v>3606</v>
      </c>
      <c r="BA1428" t="s">
        <v>128</v>
      </c>
      <c r="BB1428" t="str">
        <f t="shared" si="22"/>
        <v>IHVNnaNasarawa</v>
      </c>
    </row>
    <row r="1429" spans="48:54" x14ac:dyDescent="0.3">
      <c r="AV1429" t="s">
        <v>789</v>
      </c>
      <c r="AW1429" t="s">
        <v>158</v>
      </c>
      <c r="AX1429" t="s">
        <v>712</v>
      </c>
      <c r="AY1429" s="81" t="s">
        <v>3607</v>
      </c>
      <c r="AZ1429" t="s">
        <v>3608</v>
      </c>
      <c r="BA1429" t="s">
        <v>128</v>
      </c>
      <c r="BB1429" t="str">
        <f t="shared" si="22"/>
        <v>IHVNnaNasarawaEggon</v>
      </c>
    </row>
    <row r="1430" spans="48:54" x14ac:dyDescent="0.3">
      <c r="AV1430" t="s">
        <v>789</v>
      </c>
      <c r="AW1430" t="s">
        <v>158</v>
      </c>
      <c r="AX1430" t="s">
        <v>707</v>
      </c>
      <c r="AY1430" s="81" t="s">
        <v>3609</v>
      </c>
      <c r="AZ1430" t="s">
        <v>3610</v>
      </c>
      <c r="BA1430" t="s">
        <v>128</v>
      </c>
      <c r="BB1430" t="str">
        <f t="shared" si="22"/>
        <v>IHVNnaObi</v>
      </c>
    </row>
    <row r="1431" spans="48:54" x14ac:dyDescent="0.3">
      <c r="AV1431" t="s">
        <v>789</v>
      </c>
      <c r="AW1431" t="s">
        <v>158</v>
      </c>
      <c r="AX1431" t="s">
        <v>707</v>
      </c>
      <c r="AY1431" s="81" t="s">
        <v>3611</v>
      </c>
      <c r="AZ1431" t="s">
        <v>3612</v>
      </c>
      <c r="BA1431" t="s">
        <v>128</v>
      </c>
      <c r="BB1431" t="str">
        <f t="shared" si="22"/>
        <v>IHVNnaObi</v>
      </c>
    </row>
    <row r="1432" spans="48:54" x14ac:dyDescent="0.3">
      <c r="AV1432" t="s">
        <v>789</v>
      </c>
      <c r="AW1432" t="s">
        <v>158</v>
      </c>
      <c r="AX1432" t="s">
        <v>707</v>
      </c>
      <c r="AY1432" s="81" t="s">
        <v>3613</v>
      </c>
      <c r="AZ1432" t="s">
        <v>3614</v>
      </c>
      <c r="BA1432" t="s">
        <v>128</v>
      </c>
      <c r="BB1432" t="str">
        <f t="shared" si="22"/>
        <v>IHVNnaObi</v>
      </c>
    </row>
    <row r="1433" spans="48:54" x14ac:dyDescent="0.3">
      <c r="AV1433" t="s">
        <v>789</v>
      </c>
      <c r="AW1433" t="s">
        <v>158</v>
      </c>
      <c r="AX1433" t="s">
        <v>707</v>
      </c>
      <c r="AY1433" s="81" t="s">
        <v>3615</v>
      </c>
      <c r="AZ1433" t="s">
        <v>3616</v>
      </c>
      <c r="BA1433" t="s">
        <v>128</v>
      </c>
      <c r="BB1433" t="str">
        <f t="shared" si="22"/>
        <v>IHVNnaObi</v>
      </c>
    </row>
    <row r="1434" spans="48:54" x14ac:dyDescent="0.3">
      <c r="AV1434" t="s">
        <v>789</v>
      </c>
      <c r="AW1434" t="s">
        <v>158</v>
      </c>
      <c r="AX1434" t="s">
        <v>707</v>
      </c>
      <c r="AY1434" s="81" t="s">
        <v>3617</v>
      </c>
      <c r="AZ1434" t="s">
        <v>3618</v>
      </c>
      <c r="BA1434" t="s">
        <v>128</v>
      </c>
      <c r="BB1434" t="str">
        <f t="shared" si="22"/>
        <v>IHVNnaObi</v>
      </c>
    </row>
    <row r="1435" spans="48:54" x14ac:dyDescent="0.3">
      <c r="AV1435" t="s">
        <v>789</v>
      </c>
      <c r="AW1435" t="s">
        <v>158</v>
      </c>
      <c r="AX1435" t="s">
        <v>707</v>
      </c>
      <c r="AY1435" s="81" t="s">
        <v>3619</v>
      </c>
      <c r="AZ1435" t="s">
        <v>3620</v>
      </c>
      <c r="BA1435" t="s">
        <v>128</v>
      </c>
      <c r="BB1435" t="str">
        <f t="shared" si="22"/>
        <v>IHVNnaObi</v>
      </c>
    </row>
    <row r="1436" spans="48:54" x14ac:dyDescent="0.3">
      <c r="AV1436" t="s">
        <v>789</v>
      </c>
      <c r="AW1436" t="s">
        <v>158</v>
      </c>
      <c r="AX1436" t="s">
        <v>707</v>
      </c>
      <c r="AY1436" s="81" t="s">
        <v>3621</v>
      </c>
      <c r="AZ1436" t="s">
        <v>3622</v>
      </c>
      <c r="BA1436" t="s">
        <v>128</v>
      </c>
      <c r="BB1436" t="str">
        <f t="shared" si="22"/>
        <v>IHVNnaObi</v>
      </c>
    </row>
    <row r="1437" spans="48:54" x14ac:dyDescent="0.3">
      <c r="AV1437" t="s">
        <v>789</v>
      </c>
      <c r="AW1437" t="s">
        <v>158</v>
      </c>
      <c r="AX1437" t="s">
        <v>707</v>
      </c>
      <c r="AY1437" s="81" t="s">
        <v>3623</v>
      </c>
      <c r="AZ1437" t="s">
        <v>3624</v>
      </c>
      <c r="BA1437" t="s">
        <v>128</v>
      </c>
      <c r="BB1437" t="str">
        <f t="shared" si="22"/>
        <v>IHVNnaObi</v>
      </c>
    </row>
    <row r="1438" spans="48:54" x14ac:dyDescent="0.3">
      <c r="AV1438" t="s">
        <v>789</v>
      </c>
      <c r="AW1438" t="s">
        <v>158</v>
      </c>
      <c r="AX1438" t="s">
        <v>707</v>
      </c>
      <c r="AY1438" s="81" t="s">
        <v>3625</v>
      </c>
      <c r="AZ1438" t="s">
        <v>3626</v>
      </c>
      <c r="BA1438" t="s">
        <v>128</v>
      </c>
      <c r="BB1438" t="str">
        <f t="shared" si="22"/>
        <v>IHVNnaObi</v>
      </c>
    </row>
    <row r="1439" spans="48:54" x14ac:dyDescent="0.3">
      <c r="AV1439" t="s">
        <v>789</v>
      </c>
      <c r="AW1439" t="s">
        <v>158</v>
      </c>
      <c r="AX1439" t="s">
        <v>707</v>
      </c>
      <c r="AY1439" s="81" t="s">
        <v>3627</v>
      </c>
      <c r="AZ1439" t="s">
        <v>3628</v>
      </c>
      <c r="BA1439" t="s">
        <v>128</v>
      </c>
      <c r="BB1439" t="str">
        <f t="shared" si="22"/>
        <v>IHVNnaObi</v>
      </c>
    </row>
    <row r="1440" spans="48:54" x14ac:dyDescent="0.3">
      <c r="AV1440" t="s">
        <v>789</v>
      </c>
      <c r="AW1440" t="s">
        <v>158</v>
      </c>
      <c r="AX1440" t="s">
        <v>707</v>
      </c>
      <c r="AY1440" s="81" t="s">
        <v>3629</v>
      </c>
      <c r="AZ1440" t="s">
        <v>3630</v>
      </c>
      <c r="BA1440" t="s">
        <v>128</v>
      </c>
      <c r="BB1440" t="str">
        <f t="shared" si="22"/>
        <v>IHVNnaObi</v>
      </c>
    </row>
    <row r="1441" spans="48:54" x14ac:dyDescent="0.3">
      <c r="AV1441" t="s">
        <v>789</v>
      </c>
      <c r="AW1441" t="s">
        <v>158</v>
      </c>
      <c r="AX1441" t="s">
        <v>707</v>
      </c>
      <c r="AY1441" s="81" t="s">
        <v>3631</v>
      </c>
      <c r="AZ1441" t="s">
        <v>3632</v>
      </c>
      <c r="BA1441" t="s">
        <v>128</v>
      </c>
      <c r="BB1441" t="str">
        <f t="shared" si="22"/>
        <v>IHVNnaObi</v>
      </c>
    </row>
    <row r="1442" spans="48:54" x14ac:dyDescent="0.3">
      <c r="AV1442" t="s">
        <v>789</v>
      </c>
      <c r="AW1442" t="s">
        <v>158</v>
      </c>
      <c r="AX1442" t="s">
        <v>707</v>
      </c>
      <c r="AY1442" s="81" t="s">
        <v>3633</v>
      </c>
      <c r="AZ1442" t="s">
        <v>3634</v>
      </c>
      <c r="BA1442" t="s">
        <v>128</v>
      </c>
      <c r="BB1442" t="str">
        <f t="shared" si="22"/>
        <v>IHVNnaObi</v>
      </c>
    </row>
    <row r="1443" spans="48:54" x14ac:dyDescent="0.3">
      <c r="AV1443" t="s">
        <v>789</v>
      </c>
      <c r="AW1443" t="s">
        <v>158</v>
      </c>
      <c r="AX1443" t="s">
        <v>713</v>
      </c>
      <c r="AY1443" s="81" t="s">
        <v>3635</v>
      </c>
      <c r="AZ1443" t="s">
        <v>3636</v>
      </c>
      <c r="BA1443" t="s">
        <v>128</v>
      </c>
      <c r="BB1443" t="str">
        <f t="shared" si="22"/>
        <v>IHVNnaToto</v>
      </c>
    </row>
    <row r="1444" spans="48:54" x14ac:dyDescent="0.3">
      <c r="AV1444" t="s">
        <v>789</v>
      </c>
      <c r="AW1444" t="s">
        <v>158</v>
      </c>
      <c r="AX1444" t="s">
        <v>713</v>
      </c>
      <c r="AY1444" s="81" t="s">
        <v>3637</v>
      </c>
      <c r="AZ1444" t="s">
        <v>3638</v>
      </c>
      <c r="BA1444" t="s">
        <v>128</v>
      </c>
      <c r="BB1444" t="str">
        <f t="shared" si="22"/>
        <v>IHVNnaToto</v>
      </c>
    </row>
    <row r="1445" spans="48:54" x14ac:dyDescent="0.3">
      <c r="AV1445" t="s">
        <v>789</v>
      </c>
      <c r="AW1445" t="s">
        <v>158</v>
      </c>
      <c r="AX1445" t="s">
        <v>713</v>
      </c>
      <c r="AY1445" s="81" t="s">
        <v>3639</v>
      </c>
      <c r="AZ1445" t="s">
        <v>3640</v>
      </c>
      <c r="BA1445" t="s">
        <v>128</v>
      </c>
      <c r="BB1445" t="str">
        <f t="shared" si="22"/>
        <v>IHVNnaToto</v>
      </c>
    </row>
    <row r="1446" spans="48:54" x14ac:dyDescent="0.3">
      <c r="AV1446" t="s">
        <v>789</v>
      </c>
      <c r="AW1446" t="s">
        <v>160</v>
      </c>
      <c r="AX1446" t="s">
        <v>720</v>
      </c>
      <c r="AY1446" s="81" t="s">
        <v>3641</v>
      </c>
      <c r="AZ1446" t="s">
        <v>3642</v>
      </c>
      <c r="BA1446" t="s">
        <v>128</v>
      </c>
      <c r="BB1446" t="str">
        <f t="shared" si="22"/>
        <v>IHVNogAbeokutaNorth</v>
      </c>
    </row>
    <row r="1447" spans="48:54" x14ac:dyDescent="0.3">
      <c r="AV1447" t="s">
        <v>789</v>
      </c>
      <c r="AW1447" t="s">
        <v>160</v>
      </c>
      <c r="AX1447" t="s">
        <v>721</v>
      </c>
      <c r="AY1447" s="81" t="s">
        <v>3643</v>
      </c>
      <c r="AZ1447" t="s">
        <v>3644</v>
      </c>
      <c r="BA1447" t="s">
        <v>128</v>
      </c>
      <c r="BB1447" t="str">
        <f t="shared" si="22"/>
        <v>IHVNogAbeokutaSouth</v>
      </c>
    </row>
    <row r="1448" spans="48:54" x14ac:dyDescent="0.3">
      <c r="AV1448" t="s">
        <v>789</v>
      </c>
      <c r="AW1448" t="s">
        <v>160</v>
      </c>
      <c r="AX1448" t="s">
        <v>721</v>
      </c>
      <c r="AY1448" s="81" t="s">
        <v>3645</v>
      </c>
      <c r="AZ1448" t="s">
        <v>3646</v>
      </c>
      <c r="BA1448" t="s">
        <v>128</v>
      </c>
      <c r="BB1448" t="str">
        <f t="shared" si="22"/>
        <v>IHVNogAbeokutaSouth</v>
      </c>
    </row>
    <row r="1449" spans="48:54" x14ac:dyDescent="0.3">
      <c r="AV1449" t="s">
        <v>789</v>
      </c>
      <c r="AW1449" t="s">
        <v>160</v>
      </c>
      <c r="AX1449" t="s">
        <v>719</v>
      </c>
      <c r="AY1449" s="81" t="s">
        <v>3647</v>
      </c>
      <c r="AZ1449" t="s">
        <v>3648</v>
      </c>
      <c r="BA1449" t="s">
        <v>128</v>
      </c>
      <c r="BB1449" t="str">
        <f t="shared" si="22"/>
        <v>IHVNogIfo</v>
      </c>
    </row>
    <row r="1450" spans="48:54" x14ac:dyDescent="0.3">
      <c r="AV1450" t="s">
        <v>789</v>
      </c>
      <c r="AW1450" t="s">
        <v>160</v>
      </c>
      <c r="AX1450" t="s">
        <v>719</v>
      </c>
      <c r="AY1450" s="81" t="s">
        <v>3649</v>
      </c>
      <c r="AZ1450" t="s">
        <v>3650</v>
      </c>
      <c r="BA1450" t="s">
        <v>128</v>
      </c>
      <c r="BB1450" t="str">
        <f t="shared" si="22"/>
        <v>IHVNogIfo</v>
      </c>
    </row>
    <row r="1451" spans="48:54" x14ac:dyDescent="0.3">
      <c r="AV1451" t="s">
        <v>789</v>
      </c>
      <c r="AW1451" t="s">
        <v>160</v>
      </c>
      <c r="AX1451" t="s">
        <v>722</v>
      </c>
      <c r="AY1451" s="81" t="s">
        <v>3651</v>
      </c>
      <c r="AZ1451" t="s">
        <v>3652</v>
      </c>
      <c r="BA1451" t="s">
        <v>128</v>
      </c>
      <c r="BB1451" t="str">
        <f t="shared" si="22"/>
        <v>IHVNogIjebuOde</v>
      </c>
    </row>
    <row r="1452" spans="48:54" x14ac:dyDescent="0.3">
      <c r="AV1452" t="s">
        <v>789</v>
      </c>
      <c r="AW1452" t="s">
        <v>160</v>
      </c>
      <c r="AX1452" t="s">
        <v>722</v>
      </c>
      <c r="AY1452" s="81" t="s">
        <v>3653</v>
      </c>
      <c r="AZ1452" t="s">
        <v>3654</v>
      </c>
      <c r="BA1452" t="s">
        <v>128</v>
      </c>
      <c r="BB1452" t="str">
        <f t="shared" si="22"/>
        <v>IHVNogIjebuOde</v>
      </c>
    </row>
    <row r="1453" spans="48:54" x14ac:dyDescent="0.3">
      <c r="AV1453" t="s">
        <v>789</v>
      </c>
      <c r="AW1453" t="s">
        <v>160</v>
      </c>
      <c r="AX1453" t="s">
        <v>723</v>
      </c>
      <c r="AY1453" s="81" t="s">
        <v>3655</v>
      </c>
      <c r="AZ1453" t="s">
        <v>3656</v>
      </c>
      <c r="BA1453" t="s">
        <v>128</v>
      </c>
      <c r="BB1453" t="str">
        <f t="shared" si="22"/>
        <v>IHVNogSagamu</v>
      </c>
    </row>
    <row r="1454" spans="48:54" x14ac:dyDescent="0.3">
      <c r="AV1454" t="s">
        <v>789</v>
      </c>
      <c r="AW1454" t="s">
        <v>160</v>
      </c>
      <c r="AX1454" t="s">
        <v>723</v>
      </c>
      <c r="AY1454" s="81" t="s">
        <v>3657</v>
      </c>
      <c r="AZ1454" t="s">
        <v>3658</v>
      </c>
      <c r="BA1454" t="s">
        <v>128</v>
      </c>
      <c r="BB1454" t="str">
        <f t="shared" si="22"/>
        <v>IHVNogSagamu</v>
      </c>
    </row>
    <row r="1455" spans="48:54" x14ac:dyDescent="0.3">
      <c r="AV1455" t="s">
        <v>789</v>
      </c>
      <c r="AW1455" t="s">
        <v>161</v>
      </c>
      <c r="AX1455" t="s">
        <v>728</v>
      </c>
      <c r="AY1455" s="81" t="s">
        <v>3659</v>
      </c>
      <c r="AZ1455" t="s">
        <v>3660</v>
      </c>
      <c r="BA1455" t="s">
        <v>128</v>
      </c>
      <c r="BB1455" t="str">
        <f t="shared" si="22"/>
        <v>IHVNonAkokoNorthEast</v>
      </c>
    </row>
    <row r="1456" spans="48:54" x14ac:dyDescent="0.3">
      <c r="AV1456" t="s">
        <v>789</v>
      </c>
      <c r="AW1456" t="s">
        <v>161</v>
      </c>
      <c r="AX1456" t="s">
        <v>724</v>
      </c>
      <c r="AY1456" s="81" t="s">
        <v>3661</v>
      </c>
      <c r="AZ1456" t="s">
        <v>3662</v>
      </c>
      <c r="BA1456" t="s">
        <v>128</v>
      </c>
      <c r="BB1456" t="str">
        <f t="shared" si="22"/>
        <v>IHVNonAkokoSouthWest</v>
      </c>
    </row>
    <row r="1457" spans="48:54" x14ac:dyDescent="0.3">
      <c r="AV1457" t="s">
        <v>789</v>
      </c>
      <c r="AW1457" t="s">
        <v>161</v>
      </c>
      <c r="AX1457" t="s">
        <v>729</v>
      </c>
      <c r="AY1457" s="81" t="s">
        <v>3663</v>
      </c>
      <c r="AZ1457" t="s">
        <v>3664</v>
      </c>
      <c r="BA1457" t="s">
        <v>128</v>
      </c>
      <c r="BB1457" t="str">
        <f t="shared" si="22"/>
        <v>IHVNonAkureSouth</v>
      </c>
    </row>
    <row r="1458" spans="48:54" x14ac:dyDescent="0.3">
      <c r="AV1458" t="s">
        <v>789</v>
      </c>
      <c r="AW1458" t="s">
        <v>161</v>
      </c>
      <c r="AX1458" t="s">
        <v>729</v>
      </c>
      <c r="AY1458" s="81" t="s">
        <v>3665</v>
      </c>
      <c r="AZ1458" t="s">
        <v>3666</v>
      </c>
      <c r="BA1458" t="s">
        <v>128</v>
      </c>
      <c r="BB1458" t="str">
        <f t="shared" si="22"/>
        <v>IHVNonAkureSouth</v>
      </c>
    </row>
    <row r="1459" spans="48:54" x14ac:dyDescent="0.3">
      <c r="AV1459" t="s">
        <v>789</v>
      </c>
      <c r="AW1459" t="s">
        <v>161</v>
      </c>
      <c r="AX1459" t="s">
        <v>729</v>
      </c>
      <c r="AY1459" s="81" t="s">
        <v>3667</v>
      </c>
      <c r="AZ1459" t="s">
        <v>3668</v>
      </c>
      <c r="BA1459" t="s">
        <v>128</v>
      </c>
      <c r="BB1459" t="str">
        <f t="shared" si="22"/>
        <v>IHVNonAkureSouth</v>
      </c>
    </row>
    <row r="1460" spans="48:54" x14ac:dyDescent="0.3">
      <c r="AV1460" t="s">
        <v>789</v>
      </c>
      <c r="AW1460" t="s">
        <v>161</v>
      </c>
      <c r="AX1460" t="s">
        <v>730</v>
      </c>
      <c r="AY1460" s="81" t="s">
        <v>3669</v>
      </c>
      <c r="AZ1460" t="s">
        <v>3670</v>
      </c>
      <c r="BA1460" t="s">
        <v>128</v>
      </c>
      <c r="BB1460" t="str">
        <f t="shared" si="22"/>
        <v>IHVNonOdigbo</v>
      </c>
    </row>
    <row r="1461" spans="48:54" x14ac:dyDescent="0.3">
      <c r="AV1461" t="s">
        <v>789</v>
      </c>
      <c r="AW1461" t="s">
        <v>161</v>
      </c>
      <c r="AX1461" t="s">
        <v>726</v>
      </c>
      <c r="AY1461" s="81" t="s">
        <v>3671</v>
      </c>
      <c r="AZ1461" t="s">
        <v>3672</v>
      </c>
      <c r="BA1461" t="s">
        <v>128</v>
      </c>
      <c r="BB1461" t="str">
        <f t="shared" si="22"/>
        <v>IHVNonOndoWest</v>
      </c>
    </row>
    <row r="1462" spans="48:54" x14ac:dyDescent="0.3">
      <c r="AV1462" t="s">
        <v>789</v>
      </c>
      <c r="AW1462" t="s">
        <v>161</v>
      </c>
      <c r="AX1462" t="s">
        <v>727</v>
      </c>
      <c r="AY1462" s="81" t="s">
        <v>3673</v>
      </c>
      <c r="AZ1462" t="s">
        <v>3674</v>
      </c>
      <c r="BA1462" t="s">
        <v>128</v>
      </c>
      <c r="BB1462" t="str">
        <f t="shared" si="22"/>
        <v>IHVNonOwo</v>
      </c>
    </row>
    <row r="1463" spans="48:54" x14ac:dyDescent="0.3">
      <c r="AV1463" t="s">
        <v>789</v>
      </c>
      <c r="AW1463" t="s">
        <v>162</v>
      </c>
      <c r="AX1463" t="s">
        <v>734</v>
      </c>
      <c r="AY1463" s="81" t="s">
        <v>3675</v>
      </c>
      <c r="AZ1463" t="s">
        <v>3676</v>
      </c>
      <c r="BA1463" t="s">
        <v>128</v>
      </c>
      <c r="BB1463" t="str">
        <f t="shared" si="22"/>
        <v>IHVNosEdeSouth</v>
      </c>
    </row>
    <row r="1464" spans="48:54" x14ac:dyDescent="0.3">
      <c r="AV1464" t="s">
        <v>789</v>
      </c>
      <c r="AW1464" t="s">
        <v>162</v>
      </c>
      <c r="AX1464" t="s">
        <v>735</v>
      </c>
      <c r="AY1464" s="81" t="s">
        <v>3677</v>
      </c>
      <c r="AZ1464" t="s">
        <v>3678</v>
      </c>
      <c r="BA1464" t="s">
        <v>128</v>
      </c>
      <c r="BB1464" t="str">
        <f t="shared" si="22"/>
        <v>IHVNosIfeCentral</v>
      </c>
    </row>
    <row r="1465" spans="48:54" x14ac:dyDescent="0.3">
      <c r="AV1465" t="s">
        <v>789</v>
      </c>
      <c r="AW1465" t="s">
        <v>162</v>
      </c>
      <c r="AX1465" t="s">
        <v>735</v>
      </c>
      <c r="AY1465" s="81" t="s">
        <v>3679</v>
      </c>
      <c r="AZ1465" t="s">
        <v>3680</v>
      </c>
      <c r="BA1465" t="s">
        <v>128</v>
      </c>
      <c r="BB1465" t="str">
        <f t="shared" si="22"/>
        <v>IHVNosIfeCentral</v>
      </c>
    </row>
    <row r="1466" spans="48:54" x14ac:dyDescent="0.3">
      <c r="AV1466" t="s">
        <v>789</v>
      </c>
      <c r="AW1466" t="s">
        <v>162</v>
      </c>
      <c r="AX1466" t="s">
        <v>736</v>
      </c>
      <c r="AY1466" s="81" t="s">
        <v>3681</v>
      </c>
      <c r="AZ1466" t="s">
        <v>3682</v>
      </c>
      <c r="BA1466" t="s">
        <v>128</v>
      </c>
      <c r="BB1466" t="str">
        <f t="shared" si="22"/>
        <v>IHVNosIla</v>
      </c>
    </row>
    <row r="1467" spans="48:54" x14ac:dyDescent="0.3">
      <c r="AV1467" t="s">
        <v>789</v>
      </c>
      <c r="AW1467" t="s">
        <v>162</v>
      </c>
      <c r="AX1467" t="s">
        <v>736</v>
      </c>
      <c r="AY1467" s="81" t="s">
        <v>3683</v>
      </c>
      <c r="AZ1467" t="s">
        <v>3684</v>
      </c>
      <c r="BA1467" t="s">
        <v>128</v>
      </c>
      <c r="BB1467" t="str">
        <f t="shared" si="22"/>
        <v>IHVNosIla</v>
      </c>
    </row>
    <row r="1468" spans="48:54" x14ac:dyDescent="0.3">
      <c r="AV1468" t="s">
        <v>789</v>
      </c>
      <c r="AW1468" t="s">
        <v>162</v>
      </c>
      <c r="AX1468" t="s">
        <v>737</v>
      </c>
      <c r="AY1468" s="81" t="s">
        <v>3685</v>
      </c>
      <c r="AZ1468" t="s">
        <v>3686</v>
      </c>
      <c r="BA1468" t="s">
        <v>128</v>
      </c>
      <c r="BB1468" t="str">
        <f t="shared" si="22"/>
        <v>IHVNosIleshaEast</v>
      </c>
    </row>
    <row r="1469" spans="48:54" x14ac:dyDescent="0.3">
      <c r="AV1469" t="s">
        <v>789</v>
      </c>
      <c r="AW1469" t="s">
        <v>162</v>
      </c>
      <c r="AX1469" t="s">
        <v>738</v>
      </c>
      <c r="AY1469" s="81" t="s">
        <v>3687</v>
      </c>
      <c r="AZ1469" t="s">
        <v>3688</v>
      </c>
      <c r="BA1469" t="s">
        <v>128</v>
      </c>
      <c r="BB1469" t="str">
        <f t="shared" si="22"/>
        <v>IHVNosIrewole</v>
      </c>
    </row>
    <row r="1470" spans="48:54" x14ac:dyDescent="0.3">
      <c r="AV1470" t="s">
        <v>789</v>
      </c>
      <c r="AW1470" t="s">
        <v>162</v>
      </c>
      <c r="AX1470" t="s">
        <v>738</v>
      </c>
      <c r="AY1470" s="81" t="s">
        <v>3689</v>
      </c>
      <c r="AZ1470" t="s">
        <v>3690</v>
      </c>
      <c r="BA1470" t="s">
        <v>128</v>
      </c>
      <c r="BB1470" t="str">
        <f t="shared" si="22"/>
        <v>IHVNosIrewole</v>
      </c>
    </row>
    <row r="1471" spans="48:54" x14ac:dyDescent="0.3">
      <c r="AV1471" t="s">
        <v>789</v>
      </c>
      <c r="AW1471" t="s">
        <v>162</v>
      </c>
      <c r="AX1471" t="s">
        <v>733</v>
      </c>
      <c r="AY1471" s="81" t="s">
        <v>3691</v>
      </c>
      <c r="AZ1471" t="s">
        <v>3692</v>
      </c>
      <c r="BA1471" t="s">
        <v>128</v>
      </c>
      <c r="BB1471" t="str">
        <f t="shared" si="22"/>
        <v>IHVNosIwo</v>
      </c>
    </row>
    <row r="1472" spans="48:54" x14ac:dyDescent="0.3">
      <c r="AV1472" t="s">
        <v>789</v>
      </c>
      <c r="AW1472" t="s">
        <v>162</v>
      </c>
      <c r="AX1472" t="s">
        <v>739</v>
      </c>
      <c r="AY1472" s="81" t="s">
        <v>3693</v>
      </c>
      <c r="AZ1472" t="s">
        <v>3694</v>
      </c>
      <c r="BA1472" t="s">
        <v>128</v>
      </c>
      <c r="BB1472" t="str">
        <f t="shared" si="22"/>
        <v>IHVNosOsogbo</v>
      </c>
    </row>
    <row r="1473" spans="48:54" x14ac:dyDescent="0.3">
      <c r="AV1473" t="s">
        <v>789</v>
      </c>
      <c r="AW1473" t="s">
        <v>147</v>
      </c>
      <c r="AX1473" t="s">
        <v>610</v>
      </c>
      <c r="AY1473" s="81" t="s">
        <v>3695</v>
      </c>
      <c r="AZ1473" t="s">
        <v>3696</v>
      </c>
      <c r="BA1473" t="s">
        <v>539</v>
      </c>
      <c r="BB1473" t="str">
        <f t="shared" si="22"/>
        <v>PHIfcKwali</v>
      </c>
    </row>
    <row r="1474" spans="48:54" x14ac:dyDescent="0.3">
      <c r="AV1474" t="s">
        <v>789</v>
      </c>
      <c r="AW1474" t="s">
        <v>147</v>
      </c>
      <c r="AX1474" t="s">
        <v>610</v>
      </c>
      <c r="AY1474" s="81" t="s">
        <v>3697</v>
      </c>
      <c r="AZ1474" t="s">
        <v>3698</v>
      </c>
      <c r="BA1474" t="s">
        <v>539</v>
      </c>
      <c r="BB1474" t="str">
        <f t="shared" si="22"/>
        <v>PHIfcKwali</v>
      </c>
    </row>
    <row r="1475" spans="48:54" x14ac:dyDescent="0.3">
      <c r="AV1475" t="s">
        <v>789</v>
      </c>
      <c r="AW1475" t="s">
        <v>147</v>
      </c>
      <c r="AX1475" t="s">
        <v>610</v>
      </c>
      <c r="AY1475" s="81" t="s">
        <v>3699</v>
      </c>
      <c r="AZ1475" t="s">
        <v>3700</v>
      </c>
      <c r="BA1475" t="s">
        <v>539</v>
      </c>
      <c r="BB1475" t="str">
        <f t="shared" ref="BB1475:BB1504" si="23">SUBSTITUTE(SUBSTITUTE(BA1475&amp;AX1475," ",""),"-","")</f>
        <v>PHIfcKwali</v>
      </c>
    </row>
    <row r="1476" spans="48:54" x14ac:dyDescent="0.3">
      <c r="AV1476" t="s">
        <v>789</v>
      </c>
      <c r="AW1476" t="s">
        <v>147</v>
      </c>
      <c r="AX1476" t="s">
        <v>610</v>
      </c>
      <c r="AY1476" s="81" t="s">
        <v>3701</v>
      </c>
      <c r="AZ1476" t="s">
        <v>3702</v>
      </c>
      <c r="BA1476" t="s">
        <v>539</v>
      </c>
      <c r="BB1476" t="str">
        <f t="shared" si="23"/>
        <v>PHIfcKwali</v>
      </c>
    </row>
    <row r="1477" spans="48:54" x14ac:dyDescent="0.3">
      <c r="AV1477" t="s">
        <v>789</v>
      </c>
      <c r="AW1477" t="s">
        <v>147</v>
      </c>
      <c r="AX1477" t="s">
        <v>610</v>
      </c>
      <c r="AY1477" s="81" t="s">
        <v>3703</v>
      </c>
      <c r="AZ1477" t="s">
        <v>3704</v>
      </c>
      <c r="BA1477" t="s">
        <v>539</v>
      </c>
      <c r="BB1477" t="str">
        <f t="shared" si="23"/>
        <v>PHIfcKwali</v>
      </c>
    </row>
    <row r="1478" spans="48:54" x14ac:dyDescent="0.3">
      <c r="AV1478" t="s">
        <v>789</v>
      </c>
      <c r="AW1478" t="s">
        <v>158</v>
      </c>
      <c r="AX1478" t="s">
        <v>703</v>
      </c>
      <c r="AY1478" s="81" t="s">
        <v>3705</v>
      </c>
      <c r="AZ1478" t="s">
        <v>3706</v>
      </c>
      <c r="BA1478" t="s">
        <v>539</v>
      </c>
      <c r="BB1478" t="str">
        <f t="shared" si="23"/>
        <v>PHInaAkwanga</v>
      </c>
    </row>
    <row r="1479" spans="48:54" x14ac:dyDescent="0.3">
      <c r="AV1479" t="s">
        <v>789</v>
      </c>
      <c r="AW1479" t="s">
        <v>158</v>
      </c>
      <c r="AX1479" t="s">
        <v>703</v>
      </c>
      <c r="AY1479" s="81" t="s">
        <v>3707</v>
      </c>
      <c r="AZ1479" t="s">
        <v>3708</v>
      </c>
      <c r="BA1479" t="s">
        <v>539</v>
      </c>
      <c r="BB1479" t="str">
        <f t="shared" si="23"/>
        <v>PHInaAkwanga</v>
      </c>
    </row>
    <row r="1480" spans="48:54" x14ac:dyDescent="0.3">
      <c r="AV1480" t="s">
        <v>789</v>
      </c>
      <c r="AW1480" t="s">
        <v>158</v>
      </c>
      <c r="AX1480" t="s">
        <v>703</v>
      </c>
      <c r="AY1480" s="81" t="s">
        <v>3709</v>
      </c>
      <c r="AZ1480" t="s">
        <v>3710</v>
      </c>
      <c r="BA1480" t="s">
        <v>539</v>
      </c>
      <c r="BB1480" t="str">
        <f t="shared" si="23"/>
        <v>PHInaAkwanga</v>
      </c>
    </row>
    <row r="1481" spans="48:54" x14ac:dyDescent="0.3">
      <c r="AV1481" t="s">
        <v>789</v>
      </c>
      <c r="AW1481" t="s">
        <v>158</v>
      </c>
      <c r="AX1481" t="s">
        <v>703</v>
      </c>
      <c r="AY1481" s="81" t="s">
        <v>3711</v>
      </c>
      <c r="AZ1481" t="s">
        <v>3712</v>
      </c>
      <c r="BA1481" t="s">
        <v>539</v>
      </c>
      <c r="BB1481" t="str">
        <f t="shared" si="23"/>
        <v>PHInaAkwanga</v>
      </c>
    </row>
    <row r="1482" spans="48:54" x14ac:dyDescent="0.3">
      <c r="AV1482" t="s">
        <v>789</v>
      </c>
      <c r="AW1482" t="s">
        <v>158</v>
      </c>
      <c r="AX1482" t="s">
        <v>703</v>
      </c>
      <c r="AY1482" s="81" t="s">
        <v>3713</v>
      </c>
      <c r="AZ1482" t="s">
        <v>3714</v>
      </c>
      <c r="BA1482" t="s">
        <v>539</v>
      </c>
      <c r="BB1482" t="str">
        <f t="shared" si="23"/>
        <v>PHInaAkwanga</v>
      </c>
    </row>
    <row r="1483" spans="48:54" x14ac:dyDescent="0.3">
      <c r="AV1483" t="s">
        <v>789</v>
      </c>
      <c r="AW1483" t="s">
        <v>158</v>
      </c>
      <c r="AX1483" t="s">
        <v>703</v>
      </c>
      <c r="AY1483" s="81" t="s">
        <v>3715</v>
      </c>
      <c r="AZ1483" t="s">
        <v>3716</v>
      </c>
      <c r="BA1483" t="s">
        <v>539</v>
      </c>
      <c r="BB1483" t="str">
        <f t="shared" si="23"/>
        <v>PHInaAkwanga</v>
      </c>
    </row>
    <row r="1484" spans="48:54" x14ac:dyDescent="0.3">
      <c r="AV1484" t="s">
        <v>789</v>
      </c>
      <c r="AW1484" t="s">
        <v>158</v>
      </c>
      <c r="AX1484" t="s">
        <v>703</v>
      </c>
      <c r="AY1484" s="81" t="s">
        <v>3717</v>
      </c>
      <c r="AZ1484" t="s">
        <v>3718</v>
      </c>
      <c r="BA1484" t="s">
        <v>539</v>
      </c>
      <c r="BB1484" t="str">
        <f t="shared" si="23"/>
        <v>PHInaAkwanga</v>
      </c>
    </row>
    <row r="1485" spans="48:54" x14ac:dyDescent="0.3">
      <c r="AV1485" t="s">
        <v>789</v>
      </c>
      <c r="AW1485" t="s">
        <v>158</v>
      </c>
      <c r="AX1485" t="s">
        <v>703</v>
      </c>
      <c r="AY1485" s="81" t="s">
        <v>3719</v>
      </c>
      <c r="AZ1485" t="s">
        <v>3720</v>
      </c>
      <c r="BA1485" t="s">
        <v>539</v>
      </c>
      <c r="BB1485" t="str">
        <f t="shared" si="23"/>
        <v>PHInaAkwanga</v>
      </c>
    </row>
    <row r="1486" spans="48:54" x14ac:dyDescent="0.3">
      <c r="AV1486" t="s">
        <v>789</v>
      </c>
      <c r="AW1486" t="s">
        <v>158</v>
      </c>
      <c r="AX1486" t="s">
        <v>703</v>
      </c>
      <c r="AY1486" s="81" t="s">
        <v>3721</v>
      </c>
      <c r="AZ1486" t="s">
        <v>3722</v>
      </c>
      <c r="BA1486" t="s">
        <v>539</v>
      </c>
      <c r="BB1486" t="str">
        <f t="shared" si="23"/>
        <v>PHInaAkwanga</v>
      </c>
    </row>
    <row r="1487" spans="48:54" x14ac:dyDescent="0.3">
      <c r="AV1487" t="s">
        <v>789</v>
      </c>
      <c r="AW1487" t="s">
        <v>158</v>
      </c>
      <c r="AX1487" t="s">
        <v>712</v>
      </c>
      <c r="AY1487" s="81" t="s">
        <v>3723</v>
      </c>
      <c r="AZ1487" t="s">
        <v>3724</v>
      </c>
      <c r="BA1487" t="s">
        <v>539</v>
      </c>
      <c r="BB1487" t="str">
        <f t="shared" si="23"/>
        <v>PHInaNasarawaEggon</v>
      </c>
    </row>
    <row r="1488" spans="48:54" x14ac:dyDescent="0.3">
      <c r="AV1488" t="s">
        <v>789</v>
      </c>
      <c r="AW1488" t="s">
        <v>158</v>
      </c>
      <c r="AX1488" t="s">
        <v>712</v>
      </c>
      <c r="AY1488" s="81" t="s">
        <v>3725</v>
      </c>
      <c r="AZ1488" t="s">
        <v>3726</v>
      </c>
      <c r="BA1488" t="s">
        <v>539</v>
      </c>
      <c r="BB1488" t="str">
        <f t="shared" si="23"/>
        <v>PHInaNasarawaEggon</v>
      </c>
    </row>
    <row r="1489" spans="48:54" x14ac:dyDescent="0.3">
      <c r="AV1489" t="s">
        <v>789</v>
      </c>
      <c r="AW1489" t="s">
        <v>158</v>
      </c>
      <c r="AX1489" t="s">
        <v>712</v>
      </c>
      <c r="AY1489" s="81" t="s">
        <v>3727</v>
      </c>
      <c r="AZ1489" t="s">
        <v>3728</v>
      </c>
      <c r="BA1489" t="s">
        <v>539</v>
      </c>
      <c r="BB1489" t="str">
        <f t="shared" si="23"/>
        <v>PHInaNasarawaEggon</v>
      </c>
    </row>
    <row r="1490" spans="48:54" x14ac:dyDescent="0.3">
      <c r="AV1490" t="s">
        <v>789</v>
      </c>
      <c r="AW1490" t="s">
        <v>158</v>
      </c>
      <c r="AX1490" t="s">
        <v>714</v>
      </c>
      <c r="AY1490" s="81" t="s">
        <v>3729</v>
      </c>
      <c r="AZ1490" t="s">
        <v>3730</v>
      </c>
      <c r="BA1490" t="s">
        <v>539</v>
      </c>
      <c r="BB1490" t="str">
        <f t="shared" si="23"/>
        <v>PHInaWamba</v>
      </c>
    </row>
    <row r="1491" spans="48:54" x14ac:dyDescent="0.3">
      <c r="AV1491" t="s">
        <v>789</v>
      </c>
      <c r="AW1491" t="s">
        <v>158</v>
      </c>
      <c r="AX1491" t="s">
        <v>714</v>
      </c>
      <c r="AY1491" s="81" t="s">
        <v>3731</v>
      </c>
      <c r="AZ1491" t="s">
        <v>3732</v>
      </c>
      <c r="BA1491" t="s">
        <v>539</v>
      </c>
      <c r="BB1491" t="str">
        <f t="shared" si="23"/>
        <v>PHInaWamba</v>
      </c>
    </row>
    <row r="1492" spans="48:54" x14ac:dyDescent="0.3">
      <c r="AV1492" t="s">
        <v>789</v>
      </c>
      <c r="AW1492" t="s">
        <v>158</v>
      </c>
      <c r="AX1492" t="s">
        <v>714</v>
      </c>
      <c r="AY1492" s="81" t="s">
        <v>3733</v>
      </c>
      <c r="AZ1492" t="s">
        <v>3734</v>
      </c>
      <c r="BA1492" t="s">
        <v>539</v>
      </c>
      <c r="BB1492" t="str">
        <f t="shared" si="23"/>
        <v>PHInaWamba</v>
      </c>
    </row>
    <row r="1493" spans="48:54" x14ac:dyDescent="0.3">
      <c r="AV1493" t="s">
        <v>789</v>
      </c>
      <c r="AW1493" t="s">
        <v>158</v>
      </c>
      <c r="AX1493" t="s">
        <v>714</v>
      </c>
      <c r="AY1493" s="81" t="s">
        <v>3735</v>
      </c>
      <c r="AZ1493" t="s">
        <v>3736</v>
      </c>
      <c r="BA1493" t="s">
        <v>539</v>
      </c>
      <c r="BB1493" t="str">
        <f t="shared" si="23"/>
        <v>PHInaWamba</v>
      </c>
    </row>
    <row r="1494" spans="48:54" x14ac:dyDescent="0.3">
      <c r="AV1494" t="s">
        <v>789</v>
      </c>
      <c r="AW1494" t="s">
        <v>158</v>
      </c>
      <c r="AX1494" t="s">
        <v>714</v>
      </c>
      <c r="AY1494" s="81" t="s">
        <v>3737</v>
      </c>
      <c r="AZ1494" t="s">
        <v>3738</v>
      </c>
      <c r="BA1494" t="s">
        <v>539</v>
      </c>
      <c r="BB1494" t="str">
        <f t="shared" si="23"/>
        <v>PHInaWamba</v>
      </c>
    </row>
    <row r="1495" spans="48:54" x14ac:dyDescent="0.3">
      <c r="AV1495" t="s">
        <v>789</v>
      </c>
      <c r="AW1495" t="s">
        <v>158</v>
      </c>
      <c r="AX1495" t="s">
        <v>714</v>
      </c>
      <c r="AY1495" s="81" t="s">
        <v>3739</v>
      </c>
      <c r="AZ1495" t="s">
        <v>3740</v>
      </c>
      <c r="BA1495" t="s">
        <v>539</v>
      </c>
      <c r="BB1495" t="str">
        <f t="shared" si="23"/>
        <v>PHInaWamba</v>
      </c>
    </row>
    <row r="1496" spans="48:54" x14ac:dyDescent="0.3">
      <c r="AV1496" t="s">
        <v>789</v>
      </c>
      <c r="AW1496" t="s">
        <v>164</v>
      </c>
      <c r="AX1496" t="s">
        <v>782</v>
      </c>
      <c r="AY1496" s="81" t="s">
        <v>3741</v>
      </c>
      <c r="AZ1496" t="s">
        <v>3742</v>
      </c>
      <c r="BA1496" t="s">
        <v>539</v>
      </c>
      <c r="BB1496" t="str">
        <f t="shared" si="23"/>
        <v>PHIplKanam</v>
      </c>
    </row>
    <row r="1497" spans="48:54" x14ac:dyDescent="0.3">
      <c r="AV1497" t="s">
        <v>789</v>
      </c>
      <c r="AW1497" t="s">
        <v>164</v>
      </c>
      <c r="AX1497" t="s">
        <v>782</v>
      </c>
      <c r="AY1497" s="81" t="s">
        <v>3743</v>
      </c>
      <c r="AZ1497" t="s">
        <v>3744</v>
      </c>
      <c r="BA1497" t="s">
        <v>539</v>
      </c>
      <c r="BB1497" t="str">
        <f t="shared" si="23"/>
        <v>PHIplKanam</v>
      </c>
    </row>
    <row r="1498" spans="48:54" x14ac:dyDescent="0.3">
      <c r="AV1498" t="s">
        <v>789</v>
      </c>
      <c r="AW1498" t="s">
        <v>164</v>
      </c>
      <c r="AX1498" t="s">
        <v>782</v>
      </c>
      <c r="AY1498" s="81" t="s">
        <v>3745</v>
      </c>
      <c r="AZ1498" t="s">
        <v>3746</v>
      </c>
      <c r="BA1498" t="s">
        <v>539</v>
      </c>
      <c r="BB1498" t="str">
        <f t="shared" si="23"/>
        <v>PHIplKanam</v>
      </c>
    </row>
    <row r="1499" spans="48:54" x14ac:dyDescent="0.3">
      <c r="AV1499" t="s">
        <v>789</v>
      </c>
      <c r="AW1499" t="s">
        <v>164</v>
      </c>
      <c r="AX1499" t="s">
        <v>783</v>
      </c>
      <c r="AY1499" s="81" t="s">
        <v>3747</v>
      </c>
      <c r="AZ1499" t="s">
        <v>3748</v>
      </c>
      <c r="BA1499" t="s">
        <v>539</v>
      </c>
      <c r="BB1499" t="str">
        <f t="shared" si="23"/>
        <v>PHIplKanke</v>
      </c>
    </row>
    <row r="1500" spans="48:54" x14ac:dyDescent="0.3">
      <c r="AV1500" t="s">
        <v>789</v>
      </c>
      <c r="AW1500" t="s">
        <v>164</v>
      </c>
      <c r="AX1500" t="s">
        <v>783</v>
      </c>
      <c r="AY1500" s="81" t="s">
        <v>3749</v>
      </c>
      <c r="AZ1500" t="s">
        <v>3750</v>
      </c>
      <c r="BA1500" t="s">
        <v>539</v>
      </c>
      <c r="BB1500" t="str">
        <f t="shared" si="23"/>
        <v>PHIplKanke</v>
      </c>
    </row>
    <row r="1501" spans="48:54" x14ac:dyDescent="0.3">
      <c r="AV1501" t="s">
        <v>789</v>
      </c>
      <c r="AW1501" t="s">
        <v>164</v>
      </c>
      <c r="AX1501" t="s">
        <v>784</v>
      </c>
      <c r="AY1501" s="81" t="s">
        <v>3751</v>
      </c>
      <c r="AZ1501" t="s">
        <v>3752</v>
      </c>
      <c r="BA1501" t="s">
        <v>539</v>
      </c>
      <c r="BB1501" t="str">
        <f t="shared" si="23"/>
        <v>PHIplLangtangSouth</v>
      </c>
    </row>
    <row r="1502" spans="48:54" x14ac:dyDescent="0.3">
      <c r="AV1502" t="s">
        <v>789</v>
      </c>
      <c r="AW1502" t="s">
        <v>164</v>
      </c>
      <c r="AX1502" t="s">
        <v>784</v>
      </c>
      <c r="AY1502" s="81" t="s">
        <v>3753</v>
      </c>
      <c r="AZ1502" t="s">
        <v>3754</v>
      </c>
      <c r="BA1502" t="s">
        <v>539</v>
      </c>
      <c r="BB1502" t="str">
        <f t="shared" si="23"/>
        <v>PHIplLangtangSouth</v>
      </c>
    </row>
    <row r="1503" spans="48:54" x14ac:dyDescent="0.3">
      <c r="AV1503" t="s">
        <v>789</v>
      </c>
      <c r="AW1503" t="s">
        <v>164</v>
      </c>
      <c r="AX1503" t="s">
        <v>785</v>
      </c>
      <c r="AY1503" s="81" t="s">
        <v>3755</v>
      </c>
      <c r="AZ1503" t="s">
        <v>3756</v>
      </c>
      <c r="BA1503" t="s">
        <v>539</v>
      </c>
      <c r="BB1503" t="str">
        <f t="shared" si="23"/>
        <v>PHIplMikang</v>
      </c>
    </row>
    <row r="1504" spans="48:54" x14ac:dyDescent="0.3">
      <c r="AV1504" t="s">
        <v>789</v>
      </c>
      <c r="AW1504" t="s">
        <v>164</v>
      </c>
      <c r="AX1504" t="s">
        <v>785</v>
      </c>
      <c r="AY1504" s="81" t="s">
        <v>3757</v>
      </c>
      <c r="AZ1504" t="s">
        <v>3758</v>
      </c>
      <c r="BA1504" t="s">
        <v>539</v>
      </c>
      <c r="BB1504" t="str">
        <f t="shared" si="23"/>
        <v>PHIplMikang</v>
      </c>
    </row>
  </sheetData>
  <autoFilter ref="A1:BB10" xr:uid="{00000000-0009-0000-0000-00000700000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396</vt:i4>
      </vt:variant>
    </vt:vector>
  </HeadingPairs>
  <TitlesOfParts>
    <vt:vector size="405"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2017-10-26T18:55:24Z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