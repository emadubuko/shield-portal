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MGIC\Project\ShieldPortal\DMP\Report\Template\DQA FY2018 Q1\"/>
    </mc:Choice>
  </mc:AlternateContent>
  <workbookProtection workbookAlgorithmName="SHA-512" workbookHashValue="W/ZAzH9hxyLO0M0cCzfsVcUvEDPikqZWSKse4r+7egw0zUXwaOWuOycP1pTT5z4dMI45ayW5WkDl1nUXGXENyQ==" workbookSaltValue="9FgsVHaEzK+ZRDHB9BLRKw==" workbookSpinCount="100000" lockStructure="1"/>
  <bookViews>
    <workbookView xWindow="0" yWindow="0" windowWidth="20490" windowHeight="7530"/>
  </bookViews>
  <sheets>
    <sheet name="IP Dashboard" sheetId="1" r:id="rId1"/>
    <sheet name="Data Entry" sheetId="3" r:id="rId2"/>
  </sheets>
  <functionGroups builtInGroupCount="18"/>
  <definedNames>
    <definedName name="Ips">#REF!</definedName>
    <definedName name="_xlnm.Print_Area" localSheetId="0">'IP Dashboard'!$A$1:$S$43</definedName>
    <definedName name="status">#REF!</definedName>
    <definedName name="tableData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3" l="1"/>
  <c r="M11" i="3"/>
  <c r="L11" i="3"/>
  <c r="K11" i="3"/>
  <c r="J11" i="3"/>
  <c r="I11" i="3"/>
  <c r="H11" i="3"/>
  <c r="G11" i="3"/>
  <c r="F11" i="3"/>
  <c r="E11" i="3"/>
  <c r="D11" i="3"/>
  <c r="A10" i="3"/>
  <c r="N9" i="3"/>
  <c r="M9" i="3"/>
  <c r="Q19" i="1" s="1"/>
  <c r="L9" i="3"/>
  <c r="K9" i="3"/>
  <c r="O19" i="1" s="1"/>
  <c r="J9" i="3"/>
  <c r="I9" i="3"/>
  <c r="H9" i="3"/>
  <c r="G9" i="3"/>
  <c r="K19" i="1" s="1"/>
  <c r="F9" i="3"/>
  <c r="J19" i="1" s="1"/>
  <c r="E9" i="3"/>
  <c r="I19" i="1" s="1"/>
  <c r="D9" i="3"/>
  <c r="A8" i="3"/>
  <c r="N7" i="3"/>
  <c r="M7" i="3"/>
  <c r="L7" i="3"/>
  <c r="P18" i="1" s="1"/>
  <c r="K7" i="3"/>
  <c r="O18" i="1" s="1"/>
  <c r="J7" i="3"/>
  <c r="N18" i="1" s="1"/>
  <c r="I7" i="3"/>
  <c r="M18" i="1" s="1"/>
  <c r="H7" i="3"/>
  <c r="L18" i="1" s="1"/>
  <c r="G7" i="3"/>
  <c r="K18" i="1" s="1"/>
  <c r="F7" i="3"/>
  <c r="E7" i="3"/>
  <c r="D7" i="3"/>
  <c r="H18" i="1" s="1"/>
  <c r="A6" i="3"/>
  <c r="N5" i="3"/>
  <c r="M5" i="3"/>
  <c r="Q17" i="1" s="1"/>
  <c r="L5" i="3"/>
  <c r="P17" i="1" s="1"/>
  <c r="K5" i="3"/>
  <c r="O17" i="1" s="1"/>
  <c r="J5" i="3"/>
  <c r="I5" i="3"/>
  <c r="M17" i="1" s="1"/>
  <c r="H5" i="3"/>
  <c r="L17" i="1" s="1"/>
  <c r="G5" i="3"/>
  <c r="K17" i="1" s="1"/>
  <c r="F5" i="3"/>
  <c r="J17" i="1" s="1"/>
  <c r="E5" i="3"/>
  <c r="I17" i="1" s="1"/>
  <c r="D5" i="3"/>
  <c r="H17" i="1" s="1"/>
  <c r="A4" i="3"/>
  <c r="N3" i="3"/>
  <c r="R16" i="1" s="1"/>
  <c r="M3" i="3"/>
  <c r="Q16" i="1" s="1"/>
  <c r="L3" i="3"/>
  <c r="K3" i="3"/>
  <c r="O16" i="1" s="1"/>
  <c r="J3" i="3"/>
  <c r="N16" i="1" s="1"/>
  <c r="I3" i="3"/>
  <c r="M16" i="1" s="1"/>
  <c r="H3" i="3"/>
  <c r="L16" i="1" s="1"/>
  <c r="G3" i="3"/>
  <c r="K16" i="1" s="1"/>
  <c r="F3" i="3"/>
  <c r="J16" i="1" s="1"/>
  <c r="E3" i="3"/>
  <c r="I16" i="1" s="1"/>
  <c r="D3" i="3"/>
  <c r="A2" i="3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R19" i="1"/>
  <c r="P19" i="1"/>
  <c r="N19" i="1"/>
  <c r="M19" i="1"/>
  <c r="L19" i="1"/>
  <c r="H19" i="1"/>
  <c r="G19" i="1"/>
  <c r="F19" i="1"/>
  <c r="R18" i="1"/>
  <c r="Q18" i="1"/>
  <c r="J18" i="1"/>
  <c r="I18" i="1"/>
  <c r="G18" i="1"/>
  <c r="F18" i="1"/>
  <c r="R17" i="1"/>
  <c r="N17" i="1"/>
  <c r="G17" i="1"/>
  <c r="F17" i="1"/>
  <c r="P16" i="1"/>
  <c r="H16" i="1"/>
  <c r="G16" i="1"/>
  <c r="F16" i="1"/>
  <c r="F3" i="1"/>
</calcChain>
</file>

<file path=xl/sharedStrings.xml><?xml version="1.0" encoding="utf-8"?>
<sst xmlns="http://schemas.openxmlformats.org/spreadsheetml/2006/main" count="77" uniqueCount="47">
  <si>
    <t>Process Indicators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</si>
  <si>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</si>
  <si>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</si>
  <si>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</si>
  <si>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</si>
  <si>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</si>
  <si>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</si>
  <si>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</si>
  <si>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</si>
  <si>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</si>
  <si>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</si>
  <si>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</si>
  <si>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</si>
  <si>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Num:</t>
  </si>
  <si>
    <t>Dem:</t>
  </si>
  <si>
    <t>Den:</t>
  </si>
  <si>
    <t>Implementing Partner</t>
  </si>
  <si>
    <t>Outcome Indicator</t>
  </si>
  <si>
    <t>What DQA Indicator are you trying to improve?</t>
  </si>
  <si>
    <t>How many of the facilities are affected by this?</t>
  </si>
  <si>
    <t>What quality improvement approach will you use?</t>
  </si>
  <si>
    <t>What data collection method are you using for this?</t>
  </si>
  <si>
    <t>Step 1: Identify</t>
  </si>
  <si>
    <t>What is the problem?</t>
  </si>
  <si>
    <t>How do you know this is a problem?</t>
  </si>
  <si>
    <t>How will you know when the problem is resolved? (what goal do you want to achieve?)</t>
  </si>
  <si>
    <t>Step 2: Analyze</t>
  </si>
  <si>
    <t>Why does the problem occur?</t>
  </si>
  <si>
    <t>Which Quality Improvement approach did you use to analyze the problem?</t>
  </si>
  <si>
    <t>Step 3: Develop</t>
  </si>
  <si>
    <t>Which are the most viable interventions amongst all listed above that you have chosen?</t>
  </si>
  <si>
    <t>Q1</t>
  </si>
  <si>
    <t>Q2</t>
  </si>
  <si>
    <t>Q3</t>
  </si>
  <si>
    <t>Q4</t>
  </si>
  <si>
    <t>1)</t>
  </si>
  <si>
    <t>2)</t>
  </si>
  <si>
    <t>3)</t>
  </si>
  <si>
    <t>4)</t>
  </si>
  <si>
    <t>5)</t>
  </si>
  <si>
    <t>How often will you measure these chosen indicators?</t>
  </si>
  <si>
    <t>How often will you evaluate the indicators?</t>
  </si>
  <si>
    <t>Which Quality Improvement approach did you apply in developing these interventions?</t>
  </si>
  <si>
    <t>What possible interventions can help solve this problem? (List all you can think of)</t>
  </si>
  <si>
    <t xml:space="preserve">Step 4: Test and Implement </t>
  </si>
  <si>
    <t>How will you track the processes for your DQI interventions?</t>
  </si>
  <si>
    <t>Process Indicators [Numerator/Denominator]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</si>
</sst>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1" fillId="0" borderId="0"/>
  </cellStyleXfs>
  <cellXfs count="67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2" borderId="0" xfId="0" applyNumberFormat="1" applyFont="1" applyFill="1" applyBorder="1"/>
    <xf numFmtId="0" fontId="0" fillId="2" borderId="0" xfId="0" applyNumberFormat="1" applyFont="1" applyFill="1" applyBorder="1"/>
    <xf numFmtId="0" fontId="0" fillId="2" borderId="0" xfId="0" applyNumberFormat="1" applyFont="1" applyFill="1" applyBorder="1" applyAlignment="1">
      <alignment horizontal="left"/>
    </xf>
    <xf numFmtId="0" fontId="2" fillId="2" borderId="2" xfId="0" applyNumberFormat="1" applyFont="1" applyFill="1" applyBorder="1"/>
    <xf numFmtId="0" fontId="0" fillId="2" borderId="2" xfId="0" applyNumberFormat="1" applyFont="1" applyFill="1" applyBorder="1"/>
    <xf numFmtId="9" fontId="0" fillId="2" borderId="2" xfId="2" applyNumberFormat="1" applyFont="1" applyFill="1" applyBorder="1"/>
    <xf numFmtId="0" fontId="0" fillId="2" borderId="0" xfId="0" applyNumberFormat="1" applyFont="1" applyFill="1" applyBorder="1" applyAlignment="1">
      <alignment horizontal="left"/>
    </xf>
    <xf numFmtId="0" fontId="0" fillId="2" borderId="0" xfId="0" applyNumberFormat="1" applyFont="1" applyFill="1" applyBorder="1" applyAlignment="1">
      <alignment horizontal="left" wrapText="1"/>
    </xf>
    <xf numFmtId="0" fontId="0" fillId="2" borderId="1" xfId="0" applyNumberFormat="1" applyFont="1" applyFill="1" applyBorder="1"/>
    <xf numFmtId="0" fontId="0" fillId="2" borderId="1" xfId="0" applyNumberFormat="1" applyFont="1" applyFill="1" applyBorder="1" applyAlignment="1">
      <alignment horizontal="left"/>
    </xf>
    <xf numFmtId="0" fontId="2" fillId="2" borderId="0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 wrapText="1"/>
    </xf>
    <xf numFmtId="0" fontId="2" fillId="2" borderId="0" xfId="0" applyNumberFormat="1" applyFont="1" applyFill="1" applyBorder="1" applyAlignment="1">
      <alignment horizontal="left" wrapText="1"/>
    </xf>
    <xf numFmtId="0" fontId="0" fillId="2" borderId="5" xfId="0" applyNumberFormat="1" applyFont="1" applyFill="1" applyBorder="1" applyAlignment="1">
      <alignment horizontal="center"/>
    </xf>
    <xf numFmtId="0" fontId="0" fillId="2" borderId="2" xfId="0" applyNumberFormat="1" applyFont="1" applyFill="1" applyBorder="1" applyAlignment="1">
      <alignment horizontal="center"/>
    </xf>
    <xf numFmtId="0" fontId="2" fillId="2" borderId="4" xfId="0" applyNumberFormat="1" applyFont="1" applyFill="1" applyBorder="1"/>
    <xf numFmtId="49" fontId="2" fillId="2" borderId="7" xfId="0" applyNumberFormat="1" applyFont="1" applyFill="1" applyBorder="1" applyAlignment="1">
      <alignment horizontal="left" wrapText="1"/>
    </xf>
    <xf numFmtId="49" fontId="2" fillId="2" borderId="11" xfId="0" applyNumberFormat="1" applyFont="1" applyFill="1" applyBorder="1" applyAlignment="1">
      <alignment horizontal="left" wrapText="1"/>
    </xf>
    <xf numFmtId="0" fontId="2" fillId="2" borderId="8" xfId="0" applyNumberFormat="1" applyFont="1" applyFill="1" applyBorder="1"/>
    <xf numFmtId="0" fontId="0" fillId="2" borderId="0" xfId="0" applyNumberFormat="1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right"/>
    </xf>
    <xf numFmtId="0" fontId="2" fillId="2" borderId="2" xfId="0" applyNumberFormat="1" applyFont="1" applyFill="1" applyBorder="1" applyAlignment="1">
      <alignment horizontal="right"/>
    </xf>
    <xf numFmtId="0" fontId="2" fillId="2" borderId="10" xfId="0" applyNumberFormat="1" applyFont="1" applyFill="1" applyBorder="1" applyAlignment="1">
      <alignment horizontal="right"/>
    </xf>
    <xf numFmtId="9" fontId="0" fillId="2" borderId="2" xfId="2" applyNumberFormat="1" applyFont="1" applyFill="1" applyBorder="1" applyAlignment="1">
      <alignment horizontal="right"/>
    </xf>
    <xf numFmtId="9" fontId="0" fillId="2" borderId="10" xfId="2" applyNumberFormat="1" applyFont="1" applyFill="1" applyBorder="1" applyAlignment="1">
      <alignment horizontal="right"/>
    </xf>
    <xf numFmtId="9" fontId="0" fillId="0" borderId="2" xfId="0" applyNumberFormat="1" applyFont="1" applyFill="1" applyBorder="1" applyAlignment="1">
      <alignment horizontal="right"/>
    </xf>
    <xf numFmtId="9" fontId="0" fillId="0" borderId="10" xfId="0" applyNumberFormat="1" applyFont="1" applyFill="1" applyBorder="1" applyAlignment="1">
      <alignment horizontal="right"/>
    </xf>
    <xf numFmtId="0" fontId="0" fillId="2" borderId="0" xfId="0" applyNumberFormat="1" applyFont="1" applyFill="1" applyBorder="1" applyAlignment="1" applyProtection="1">
      <alignment wrapText="1"/>
      <protection locked="0"/>
    </xf>
    <xf numFmtId="0" fontId="0" fillId="2" borderId="0" xfId="0" applyNumberFormat="1" applyFont="1" applyFill="1" applyBorder="1" applyAlignment="1" applyProtection="1">
      <alignment horizontal="left" wrapText="1"/>
      <protection locked="0"/>
    </xf>
    <xf numFmtId="0" fontId="0" fillId="2" borderId="0" xfId="0" applyNumberFormat="1" applyFont="1" applyFill="1" applyBorder="1" applyProtection="1">
      <protection locked="0"/>
    </xf>
    <xf numFmtId="0" fontId="0" fillId="2" borderId="6" xfId="2" applyNumberFormat="1" applyFont="1" applyFill="1" applyBorder="1" applyAlignment="1" applyProtection="1">
      <alignment horizontal="right"/>
      <protection locked="0"/>
    </xf>
    <xf numFmtId="0" fontId="0" fillId="2" borderId="6" xfId="2" applyNumberFormat="1" applyFont="1" applyFill="1" applyBorder="1" applyProtection="1">
      <protection locked="0"/>
    </xf>
    <xf numFmtId="0" fontId="0" fillId="0" borderId="6" xfId="0" applyNumberFormat="1" applyFont="1" applyFill="1" applyBorder="1" applyProtection="1">
      <protection locked="0"/>
    </xf>
    <xf numFmtId="1" fontId="0" fillId="2" borderId="9" xfId="2" applyNumberFormat="1" applyFont="1" applyFill="1" applyBorder="1" applyAlignment="1" applyProtection="1">
      <alignment horizontal="right"/>
      <protection locked="0"/>
    </xf>
    <xf numFmtId="0" fontId="0" fillId="2" borderId="9" xfId="2" applyNumberFormat="1" applyFont="1" applyFill="1" applyBorder="1" applyAlignment="1" applyProtection="1">
      <alignment horizontal="right"/>
      <protection locked="0"/>
    </xf>
    <xf numFmtId="0" fontId="0" fillId="0" borderId="9" xfId="0" applyNumberFormat="1" applyFont="1" applyFill="1" applyBorder="1" applyProtection="1">
      <protection locked="0"/>
    </xf>
    <xf numFmtId="9" fontId="1" fillId="0" borderId="2" xfId="2" applyNumberFormat="1" applyFont="1" applyFill="1" applyBorder="1"/>
    <xf numFmtId="0" fontId="0" fillId="2" borderId="1" xfId="0" applyNumberFormat="1" applyFont="1" applyFill="1" applyBorder="1" applyAlignment="1" applyProtection="1">
      <alignment horizontal="left"/>
      <protection locked="0"/>
    </xf>
    <xf numFmtId="0" fontId="0" fillId="2" borderId="1" xfId="0" applyNumberFormat="1" applyFont="1" applyFill="1" applyBorder="1" applyProtection="1">
      <protection locked="0"/>
    </xf>
    <xf numFmtId="0" fontId="2" fillId="2" borderId="0" xfId="0" applyNumberFormat="1" applyFont="1" applyFill="1" applyBorder="1" applyAlignment="1" applyProtection="1">
      <alignment horizontal="left"/>
      <protection locked="0"/>
    </xf>
    <xf numFmtId="0" fontId="0" fillId="2" borderId="1" xfId="0" applyNumberFormat="1" applyFont="1" applyFill="1" applyBorder="1" applyAlignment="1" applyProtection="1">
      <alignment horizontal="left" wrapText="1"/>
      <protection locked="0"/>
    </xf>
    <xf numFmtId="0" fontId="2" fillId="2" borderId="0" xfId="0" applyNumberFormat="1" applyFont="1" applyFill="1" applyBorder="1" applyAlignment="1" applyProtection="1">
      <alignment horizontal="left" wrapText="1"/>
      <protection locked="0"/>
    </xf>
    <xf numFmtId="0" fontId="0" fillId="2" borderId="2" xfId="2" applyNumberFormat="1" applyFont="1" applyFill="1" applyBorder="1" applyAlignment="1" applyProtection="1">
      <alignment horizontal="center"/>
      <protection locked="0"/>
    </xf>
    <xf numFmtId="0" fontId="0" fillId="3" borderId="2" xfId="2" applyNumberFormat="1" applyFont="1" applyFill="1" applyBorder="1" applyAlignment="1">
      <alignment horizontal="center"/>
    </xf>
    <xf numFmtId="0" fontId="0" fillId="2" borderId="2" xfId="2" applyNumberFormat="1" applyFont="1" applyFill="1" applyBorder="1" applyProtection="1">
      <protection locked="0"/>
    </xf>
    <xf numFmtId="0" fontId="0" fillId="3" borderId="2" xfId="0" applyNumberFormat="1" applyFont="1" applyFill="1" applyBorder="1"/>
    <xf numFmtId="0" fontId="0" fillId="0" borderId="2" xfId="0" applyNumberFormat="1" applyFont="1" applyFill="1" applyBorder="1" applyProtection="1">
      <protection locked="0"/>
    </xf>
    <xf numFmtId="0" fontId="5" fillId="0" borderId="0" xfId="0" applyNumberFormat="1" applyFont="1" applyFill="1" applyBorder="1"/>
    <xf numFmtId="0" fontId="0" fillId="2" borderId="2" xfId="2" applyNumberFormat="1" applyFont="1" applyFill="1" applyBorder="1" applyAlignment="1" applyProtection="1">
      <alignment horizontal="right"/>
      <protection locked="0"/>
    </xf>
    <xf numFmtId="0" fontId="0" fillId="3" borderId="2" xfId="2" applyNumberFormat="1" applyFont="1" applyFill="1" applyBorder="1" applyAlignment="1">
      <alignment horizontal="right"/>
    </xf>
    <xf numFmtId="0" fontId="2" fillId="2" borderId="2" xfId="0" applyNumberFormat="1" applyFont="1" applyFill="1" applyBorder="1" applyAlignment="1">
      <alignment horizontal="center" wrapText="1"/>
    </xf>
    <xf numFmtId="49" fontId="0" fillId="4" borderId="2" xfId="0" applyNumberFormat="1" applyFont="1" applyFill="1" applyBorder="1" applyAlignment="1">
      <alignment vertical="center" wrapText="1"/>
    </xf>
    <xf numFmtId="0" fontId="0" fillId="2" borderId="0" xfId="0" applyNumberFormat="1" applyFont="1" applyFill="1" applyBorder="1" applyAlignment="1" applyProtection="1">
      <alignment horizontal="center" wrapText="1"/>
      <protection locked="0"/>
    </xf>
    <xf numFmtId="0" fontId="0" fillId="2" borderId="1" xfId="0" applyNumberFormat="1" applyFont="1" applyFill="1" applyBorder="1" applyAlignment="1">
      <alignment horizontal="left"/>
    </xf>
    <xf numFmtId="0" fontId="0" fillId="2" borderId="0" xfId="0" applyNumberFormat="1" applyFont="1" applyFill="1" applyBorder="1" applyAlignment="1">
      <alignment horizontal="left" vertical="center" wrapText="1"/>
    </xf>
    <xf numFmtId="0" fontId="0" fillId="2" borderId="1" xfId="0" applyNumberFormat="1" applyFont="1" applyFill="1" applyBorder="1" applyAlignment="1" applyProtection="1">
      <alignment horizontal="left"/>
      <protection locked="0"/>
    </xf>
    <xf numFmtId="0" fontId="0" fillId="2" borderId="0" xfId="0" applyNumberFormat="1" applyFont="1" applyFill="1" applyBorder="1" applyAlignment="1">
      <alignment vertical="center" wrapText="1"/>
    </xf>
    <xf numFmtId="0" fontId="0" fillId="2" borderId="3" xfId="0" applyNumberFormat="1" applyFont="1" applyFill="1" applyBorder="1" applyAlignment="1" applyProtection="1">
      <alignment horizontal="left" wrapText="1"/>
      <protection locked="0"/>
    </xf>
    <xf numFmtId="0" fontId="0" fillId="2" borderId="0" xfId="0" applyNumberFormat="1" applyFont="1" applyFill="1" applyBorder="1" applyAlignment="1" applyProtection="1">
      <alignment horizontal="center" wrapText="1"/>
      <protection locked="0"/>
    </xf>
    <xf numFmtId="0" fontId="0" fillId="2" borderId="1" xfId="0" applyNumberFormat="1" applyFont="1" applyFill="1" applyBorder="1" applyAlignment="1" applyProtection="1">
      <alignment horizontal="center" wrapText="1"/>
      <protection locked="0"/>
    </xf>
    <xf numFmtId="0" fontId="0" fillId="2" borderId="1" xfId="0" applyNumberFormat="1" applyFont="1" applyFill="1" applyBorder="1" applyAlignment="1" applyProtection="1">
      <alignment horizontal="left" wrapText="1"/>
      <protection locked="0"/>
    </xf>
    <xf numFmtId="0" fontId="4" fillId="3" borderId="12" xfId="0" applyNumberFormat="1" applyFont="1" applyFill="1" applyBorder="1" applyAlignment="1">
      <alignment horizontal="center" vertical="center"/>
    </xf>
    <xf numFmtId="0" fontId="4" fillId="3" borderId="14" xfId="0" applyNumberFormat="1" applyFont="1" applyFill="1" applyBorder="1" applyAlignment="1">
      <alignment horizontal="center" vertical="center"/>
    </xf>
    <xf numFmtId="0" fontId="4" fillId="3" borderId="13" xfId="0" applyNumberFormat="1" applyFont="1" applyFill="1" applyBorder="1" applyAlignment="1">
      <alignment horizontal="center" vertical="center"/>
    </xf>
    <xf numFmtId="0" fontId="4" fillId="3" borderId="15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Percent" xfId="2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2F2F"/>
      <color rgb="FFF5FB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Indicator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320036441725779E-2"/>
          <c:y val="0.18413078149920259"/>
          <c:w val="0.8733769332552439"/>
          <c:h val="0.630875058081854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'IP Dashboard'!$F$3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'IP Dashboard'!$G$2:$J$2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'IP Dashboard'!$G$3:$J$3</c:f>
              <c:numCache>
                <c:formatCode>0%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C10-4166-8BA1-A6E80E0F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066392"/>
        <c:axId val="213028416"/>
      </c:barChart>
      <c:catAx>
        <c:axId val="213066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28416"/>
        <c:crosses val="autoZero"/>
        <c:auto val="1"/>
        <c:lblAlgn val="ctr"/>
        <c:lblOffset val="100"/>
        <c:noMultiLvlLbl val="0"/>
      </c:catAx>
      <c:valAx>
        <c:axId val="21302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6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Process Improvement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13251954109026E-2"/>
          <c:y val="6.2316384180790968E-2"/>
          <c:w val="0.94398028856996163"/>
          <c:h val="0.84338345418687066"/>
        </c:manualLayout>
      </c:layout>
      <c:lineChart>
        <c:grouping val="standard"/>
        <c:varyColors val="0"/>
        <c:ser>
          <c:idx val="0"/>
          <c:order val="0"/>
          <c:tx>
            <c:strRef>
              <c:f>'IP Dashboard'!$F$16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Dashboard'!$G$16:$P$16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1-476C-AA0B-7C13748FB991}"/>
            </c:ext>
          </c:extLst>
        </c:ser>
        <c:ser>
          <c:idx val="1"/>
          <c:order val="1"/>
          <c:tx>
            <c:strRef>
              <c:f>'IP Dashboard'!$F$17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Dashboard'!$G$17:$P$17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1-476C-AA0B-7C13748FB991}"/>
            </c:ext>
          </c:extLst>
        </c:ser>
        <c:ser>
          <c:idx val="2"/>
          <c:order val="2"/>
          <c:tx>
            <c:strRef>
              <c:f>'IP Dashboard'!$F$18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Dashboard'!$G$18:$P$18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1-476C-AA0B-7C13748FB991}"/>
            </c:ext>
          </c:extLst>
        </c:ser>
        <c:ser>
          <c:idx val="3"/>
          <c:order val="3"/>
          <c:tx>
            <c:strRef>
              <c:f>'IP Dashboard'!$F$19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Dashboard'!$G$19:$P$19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1-476C-AA0B-7C13748FB991}"/>
            </c:ext>
          </c:extLst>
        </c:ser>
        <c:ser>
          <c:idx val="4"/>
          <c:order val="4"/>
          <c:tx>
            <c:strRef>
              <c:f>'IP Dashboard'!$F$20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Dashboard'!$G$20:$P$20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91-476C-AA0B-7C13748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515904"/>
        <c:axId val="212795160"/>
      </c:lineChart>
      <c:catAx>
        <c:axId val="21251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5160"/>
        <c:crosses val="autoZero"/>
        <c:auto val="1"/>
        <c:lblAlgn val="ctr"/>
        <c:lblOffset val="100"/>
        <c:noMultiLvlLbl val="0"/>
      </c:catAx>
      <c:valAx>
        <c:axId val="21279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3</xdr:row>
      <xdr:rowOff>121920</xdr:rowOff>
    </xdr:from>
    <xdr:to>
      <xdr:col>18</xdr:col>
      <xdr:colOff>15875</xdr:colOff>
      <xdr:row>13</xdr:row>
      <xdr:rowOff>160020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1000126</xdr:colOff>
      <xdr:row>21</xdr:row>
      <xdr:rowOff>34925</xdr:rowOff>
    </xdr:from>
    <xdr:to>
      <xdr:col>18</xdr:col>
      <xdr:colOff>15875</xdr:colOff>
      <xdr:row>38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92528</xdr:colOff>
      <xdr:row>3</xdr:row>
      <xdr:rowOff>310243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4DF8B8-8EDA-418E-9F58-B2E0F36984D0}"/>
            </a:ext>
          </a:extLst>
        </xdr:cNvPr>
        <xdr:cNvSpPr txBox="1"/>
      </xdr:nvSpPr>
      <xdr:spPr>
        <a:xfrm>
          <a:off x="6155871" y="14532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3"/>
  <sheetViews>
    <sheetView showGridLines="0" tabSelected="1" view="pageBreakPreview" zoomScale="90" zoomScaleNormal="100" zoomScaleSheetLayoutView="90" workbookViewId="0">
      <selection activeCell="L3" sqref="L3"/>
    </sheetView>
  </sheetViews>
  <sheetFormatPr defaultRowHeight="15" x14ac:dyDescent="0.25"/>
  <cols>
    <col min="2" max="2" width="46.140625" customWidth="1"/>
    <col min="3" max="3" width="3" style="1" customWidth="1"/>
    <col min="4" max="4" width="34.28515625" customWidth="1"/>
    <col min="5" max="5" width="16.28515625" customWidth="1"/>
    <col min="6" max="6" width="25.42578125" customWidth="1"/>
    <col min="7" max="7" width="11.7109375" customWidth="1"/>
    <col min="8" max="9" width="11.85546875" customWidth="1"/>
    <col min="10" max="10" width="11.7109375" customWidth="1"/>
    <col min="11" max="11" width="11.42578125" customWidth="1"/>
    <col min="12" max="12" width="10.42578125" customWidth="1"/>
    <col min="13" max="13" width="10.5703125" customWidth="1"/>
    <col min="14" max="14" width="12" customWidth="1"/>
    <col min="15" max="15" width="13.140625" customWidth="1"/>
    <col min="16" max="16" width="12.42578125" customWidth="1"/>
    <col min="17" max="17" width="12.28515625" customWidth="1"/>
    <col min="18" max="18" width="11.7109375" customWidth="1"/>
  </cols>
  <sheetData>
    <row r="1" spans="1:18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8" ht="30.6" customHeight="1" x14ac:dyDescent="0.25">
      <c r="A2" s="3"/>
      <c r="B2" s="4" t="s">
        <v>16</v>
      </c>
      <c r="C2" s="55"/>
      <c r="D2" s="55"/>
      <c r="E2" s="2"/>
      <c r="F2" s="5" t="s">
        <v>17</v>
      </c>
      <c r="G2" s="52" t="s">
        <v>31</v>
      </c>
      <c r="H2" s="52" t="s">
        <v>32</v>
      </c>
      <c r="I2" s="52" t="s">
        <v>33</v>
      </c>
      <c r="J2" s="52" t="s">
        <v>34</v>
      </c>
      <c r="K2" s="2"/>
      <c r="L2" s="2"/>
      <c r="M2" s="2"/>
      <c r="N2" s="2"/>
      <c r="O2" s="2"/>
      <c r="P2" s="2"/>
      <c r="Q2" s="2"/>
    </row>
    <row r="3" spans="1:18" ht="24.6" customHeight="1" x14ac:dyDescent="0.25">
      <c r="A3" s="3"/>
      <c r="B3" s="4"/>
      <c r="C3" s="4"/>
      <c r="D3" s="3"/>
      <c r="E3" s="2"/>
      <c r="F3" s="6">
        <f>C4</f>
        <v>0</v>
      </c>
      <c r="G3" s="38"/>
      <c r="H3" s="7"/>
      <c r="I3" s="7"/>
      <c r="J3" s="7"/>
      <c r="K3" s="2"/>
      <c r="L3" s="2"/>
      <c r="M3" s="2"/>
      <c r="N3" s="2"/>
      <c r="O3" s="2"/>
      <c r="P3" s="2"/>
      <c r="Q3" s="2"/>
    </row>
    <row r="4" spans="1:18" ht="24.6" customHeight="1" x14ac:dyDescent="0.25">
      <c r="A4" s="2"/>
      <c r="B4" s="8" t="s">
        <v>18</v>
      </c>
      <c r="C4" s="55"/>
      <c r="D4" s="55"/>
      <c r="E4" s="2"/>
      <c r="F4" s="2"/>
      <c r="G4" s="2"/>
      <c r="H4" s="2"/>
      <c r="I4" s="2"/>
      <c r="J4" s="2"/>
      <c r="K4" s="2"/>
      <c r="M4" s="2"/>
      <c r="N4" s="2"/>
      <c r="O4" s="2"/>
      <c r="P4" s="2"/>
      <c r="Q4" s="2"/>
    </row>
    <row r="5" spans="1:1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8" x14ac:dyDescent="0.25">
      <c r="A6" s="2"/>
      <c r="B6" s="8" t="s">
        <v>19</v>
      </c>
      <c r="C6" s="55"/>
      <c r="D6" s="55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8" ht="32.450000000000003" customHeight="1" x14ac:dyDescent="0.25">
      <c r="A8" s="2"/>
      <c r="B8" s="9" t="s">
        <v>20</v>
      </c>
      <c r="C8" s="57"/>
      <c r="D8" s="5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8" x14ac:dyDescent="0.25">
      <c r="A9" s="2"/>
      <c r="B9" s="2"/>
      <c r="C9" s="31"/>
      <c r="D9" s="3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8" ht="36.6" customHeight="1" x14ac:dyDescent="0.25">
      <c r="A10" s="2"/>
      <c r="B10" s="9" t="s">
        <v>21</v>
      </c>
      <c r="C10" s="57"/>
      <c r="D10" s="5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8" x14ac:dyDescent="0.25">
      <c r="A11" s="10"/>
      <c r="B11" s="11"/>
      <c r="C11" s="39"/>
      <c r="D11" s="40"/>
      <c r="E11" s="10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8" ht="26.45" customHeight="1" x14ac:dyDescent="0.25">
      <c r="A12" s="2"/>
      <c r="B12" s="12" t="s">
        <v>22</v>
      </c>
      <c r="C12" s="41"/>
      <c r="D12" s="31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8" ht="29.45" customHeight="1" x14ac:dyDescent="0.25">
      <c r="A13" s="2"/>
      <c r="B13" s="9" t="s">
        <v>23</v>
      </c>
      <c r="C13" s="62"/>
      <c r="D13" s="6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8" ht="30.6" customHeight="1" x14ac:dyDescent="0.25">
      <c r="A14" s="2"/>
      <c r="B14" s="9" t="s">
        <v>24</v>
      </c>
      <c r="C14" s="62"/>
      <c r="D14" s="62"/>
      <c r="E14" s="2"/>
      <c r="F14" s="2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2"/>
    </row>
    <row r="15" spans="1:18" ht="30" customHeight="1" x14ac:dyDescent="0.25">
      <c r="A15" s="2"/>
      <c r="B15" s="9" t="s">
        <v>25</v>
      </c>
      <c r="C15" s="62"/>
      <c r="D15" s="62"/>
      <c r="E15" s="2"/>
      <c r="F15" s="5" t="s">
        <v>0</v>
      </c>
      <c r="G15" s="23" t="s">
        <v>1</v>
      </c>
      <c r="H15" s="23" t="s">
        <v>2</v>
      </c>
      <c r="I15" s="23" t="s">
        <v>3</v>
      </c>
      <c r="J15" s="23" t="s">
        <v>4</v>
      </c>
      <c r="K15" s="23" t="s">
        <v>5</v>
      </c>
      <c r="L15" s="23" t="s">
        <v>6</v>
      </c>
      <c r="M15" s="23" t="s">
        <v>7</v>
      </c>
      <c r="N15" s="23" t="s">
        <v>8</v>
      </c>
      <c r="O15" s="23" t="s">
        <v>9</v>
      </c>
      <c r="P15" s="24" t="s">
        <v>10</v>
      </c>
      <c r="Q15" s="23" t="s">
        <v>11</v>
      </c>
      <c r="R15" s="23" t="s">
        <v>12</v>
      </c>
    </row>
    <row r="16" spans="1:18" ht="33.6" customHeight="1" x14ac:dyDescent="0.25">
      <c r="A16" s="10"/>
      <c r="B16" s="13"/>
      <c r="C16" s="42"/>
      <c r="D16" s="40"/>
      <c r="E16" s="3"/>
      <c r="F16" s="16">
        <f>D35</f>
        <v>0</v>
      </c>
      <c r="G16" s="25" t="str">
        <f>IFERROR('Data Entry'!C2/'Data Entry'!C3,"")</f>
        <v/>
      </c>
      <c r="H16" s="25" t="str">
        <f>IFERROR('Data Entry'!D2/'Data Entry'!D3,"")</f>
        <v/>
      </c>
      <c r="I16" s="25" t="str">
        <f>IFERROR('Data Entry'!E2/'Data Entry'!E3,"")</f>
        <v/>
      </c>
      <c r="J16" s="25" t="str">
        <f>IFERROR('Data Entry'!F2/'Data Entry'!F3,"")</f>
        <v/>
      </c>
      <c r="K16" s="25" t="str">
        <f>IFERROR('Data Entry'!G2/'Data Entry'!G3,"")</f>
        <v/>
      </c>
      <c r="L16" s="25" t="str">
        <f>IFERROR('Data Entry'!H2/'Data Entry'!H3,"")</f>
        <v/>
      </c>
      <c r="M16" s="25" t="str">
        <f>IFERROR('Data Entry'!I2/'Data Entry'!I3,"")</f>
        <v/>
      </c>
      <c r="N16" s="25" t="str">
        <f>IFERROR('Data Entry'!J2/'Data Entry'!J3,"")</f>
        <v/>
      </c>
      <c r="O16" s="25" t="str">
        <f>IFERROR('Data Entry'!K2/'Data Entry'!K3,"")</f>
        <v/>
      </c>
      <c r="P16" s="26" t="str">
        <f>IFERROR('Data Entry'!L2/'Data Entry'!L3,"")</f>
        <v/>
      </c>
      <c r="Q16" s="25" t="str">
        <f>IFERROR('Data Entry'!M2/'Data Entry'!M3,"")</f>
        <v/>
      </c>
      <c r="R16" s="25" t="str">
        <f>IFERROR('Data Entry'!N2/'Data Entry'!N3,"")</f>
        <v/>
      </c>
    </row>
    <row r="17" spans="1:18" ht="34.15" customHeight="1" x14ac:dyDescent="0.25">
      <c r="A17" s="2"/>
      <c r="B17" s="14" t="s">
        <v>26</v>
      </c>
      <c r="C17" s="43"/>
      <c r="D17" s="31"/>
      <c r="E17" s="2"/>
      <c r="F17" s="16">
        <f>D36</f>
        <v>0</v>
      </c>
      <c r="G17" s="25" t="str">
        <f>IFERROR('Data Entry'!C4/'Data Entry'!C5,"")</f>
        <v/>
      </c>
      <c r="H17" s="27" t="str">
        <f>IFERROR('Data Entry'!D4/'Data Entry'!D5,"")</f>
        <v/>
      </c>
      <c r="I17" s="27" t="str">
        <f>IFERROR('Data Entry'!E4/'Data Entry'!E5,"")</f>
        <v/>
      </c>
      <c r="J17" s="27" t="str">
        <f>IFERROR('Data Entry'!F4/'Data Entry'!F5,"")</f>
        <v/>
      </c>
      <c r="K17" s="27" t="str">
        <f>IFERROR('Data Entry'!G4/'Data Entry'!G5,"")</f>
        <v/>
      </c>
      <c r="L17" s="27" t="str">
        <f>IFERROR('Data Entry'!H4/'Data Entry'!H5,"")</f>
        <v/>
      </c>
      <c r="M17" s="27" t="str">
        <f>IFERROR('Data Entry'!I4/'Data Entry'!I5,"")</f>
        <v/>
      </c>
      <c r="N17" s="27" t="str">
        <f>IFERROR('Data Entry'!J4/'Data Entry'!J5,"")</f>
        <v/>
      </c>
      <c r="O17" s="27" t="str">
        <f>IFERROR('Data Entry'!K4/'Data Entry'!K5,"")</f>
        <v/>
      </c>
      <c r="P17" s="28" t="str">
        <f>IFERROR('Data Entry'!L4/'Data Entry'!L5,"")</f>
        <v/>
      </c>
      <c r="Q17" s="27" t="str">
        <f>IFERROR('Data Entry'!M4/'Data Entry'!M5,"")</f>
        <v/>
      </c>
      <c r="R17" s="27" t="str">
        <f>IFERROR('Data Entry'!N4/'Data Entry'!N5,"")</f>
        <v/>
      </c>
    </row>
    <row r="18" spans="1:18" ht="30" customHeight="1" x14ac:dyDescent="0.25">
      <c r="A18" s="2"/>
      <c r="B18" s="56" t="s">
        <v>27</v>
      </c>
      <c r="C18" s="29" t="s">
        <v>35</v>
      </c>
      <c r="D18" s="29"/>
      <c r="E18" s="2"/>
      <c r="F18" s="15">
        <f>D37</f>
        <v>0</v>
      </c>
      <c r="G18" s="25" t="str">
        <f>IFERROR('Data Entry'!C6/'Data Entry'!C7,"")</f>
        <v/>
      </c>
      <c r="H18" s="25" t="str">
        <f>IFERROR('Data Entry'!D6/'Data Entry'!D7,"")</f>
        <v/>
      </c>
      <c r="I18" s="25" t="str">
        <f>IFERROR('Data Entry'!E6/'Data Entry'!E7,"")</f>
        <v/>
      </c>
      <c r="J18" s="25" t="str">
        <f>IFERROR('Data Entry'!F6/'Data Entry'!F7,"")</f>
        <v/>
      </c>
      <c r="K18" s="25" t="str">
        <f>IFERROR('Data Entry'!G6/'Data Entry'!G7,"")</f>
        <v/>
      </c>
      <c r="L18" s="25" t="str">
        <f>IFERROR('Data Entry'!H6/'Data Entry'!H7,"")</f>
        <v/>
      </c>
      <c r="M18" s="25" t="str">
        <f>IFERROR('Data Entry'!I6/'Data Entry'!I7,"")</f>
        <v/>
      </c>
      <c r="N18" s="25" t="str">
        <f>IFERROR('Data Entry'!J6/'Data Entry'!J7,"")</f>
        <v/>
      </c>
      <c r="O18" s="25" t="str">
        <f>IFERROR('Data Entry'!K6/'Data Entry'!K7,"")</f>
        <v/>
      </c>
      <c r="P18" s="26" t="str">
        <f>IFERROR('Data Entry'!L6/'Data Entry'!L7,"")</f>
        <v/>
      </c>
      <c r="Q18" s="25" t="str">
        <f>IFERROR('Data Entry'!M6/'Data Entry'!M7,"")</f>
        <v/>
      </c>
      <c r="R18" s="25" t="str">
        <f>IFERROR('Data Entry'!N6/'Data Entry'!N7,"")</f>
        <v/>
      </c>
    </row>
    <row r="19" spans="1:18" s="1" customFormat="1" ht="27" customHeight="1" x14ac:dyDescent="0.25">
      <c r="A19" s="2"/>
      <c r="B19" s="56"/>
      <c r="C19" s="54" t="s">
        <v>36</v>
      </c>
      <c r="D19" s="54"/>
      <c r="E19" s="2"/>
      <c r="F19" s="16">
        <f>D38</f>
        <v>0</v>
      </c>
      <c r="G19" s="25" t="str">
        <f>IFERROR('Data Entry'!C8/'Data Entry'!C9,"")</f>
        <v/>
      </c>
      <c r="H19" s="25" t="str">
        <f>IFERROR('Data Entry'!D8/'Data Entry'!D9,"")</f>
        <v/>
      </c>
      <c r="I19" s="25" t="str">
        <f>IFERROR('Data Entry'!E8/'Data Entry'!E9,"")</f>
        <v/>
      </c>
      <c r="J19" s="25" t="str">
        <f>IFERROR('Data Entry'!F8/'Data Entry'!F9,"")</f>
        <v/>
      </c>
      <c r="K19" s="25" t="str">
        <f>IFERROR('Data Entry'!G8/'Data Entry'!G9,"")</f>
        <v/>
      </c>
      <c r="L19" s="25" t="str">
        <f>IFERROR('Data Entry'!H8/'Data Entry'!H9,"")</f>
        <v/>
      </c>
      <c r="M19" s="25" t="str">
        <f>IFERROR('Data Entry'!I8/'Data Entry'!I9,"")</f>
        <v/>
      </c>
      <c r="N19" s="25" t="str">
        <f>IFERROR('Data Entry'!J8/'Data Entry'!J9,"")</f>
        <v/>
      </c>
      <c r="O19" s="25" t="str">
        <f>IFERROR('Data Entry'!K8/'Data Entry'!K9,"")</f>
        <v/>
      </c>
      <c r="P19" s="26" t="str">
        <f>IFERROR('Data Entry'!L8/'Data Entry'!L9,"")</f>
        <v/>
      </c>
      <c r="Q19" s="25" t="str">
        <f>IFERROR('Data Entry'!M8/'Data Entry'!M9,"")</f>
        <v/>
      </c>
      <c r="R19" s="25" t="str">
        <f>IFERROR('Data Entry'!N8/'Data Entry'!N9,"")</f>
        <v/>
      </c>
    </row>
    <row r="20" spans="1:18" s="1" customFormat="1" ht="28.15" customHeight="1" x14ac:dyDescent="0.25">
      <c r="A20" s="2"/>
      <c r="B20" s="56"/>
      <c r="C20" s="54" t="s">
        <v>37</v>
      </c>
      <c r="D20" s="54"/>
      <c r="E20" s="2"/>
      <c r="F20" s="16">
        <f>D39</f>
        <v>0</v>
      </c>
      <c r="G20" s="25" t="str">
        <f>IFERROR('Data Entry'!C10/'Data Entry'!C11,"")</f>
        <v/>
      </c>
      <c r="H20" s="25" t="str">
        <f>IFERROR('Data Entry'!D10/'Data Entry'!D11,"")</f>
        <v/>
      </c>
      <c r="I20" s="25" t="str">
        <f>IFERROR('Data Entry'!E10/'Data Entry'!E11,"")</f>
        <v/>
      </c>
      <c r="J20" s="25" t="str">
        <f>IFERROR('Data Entry'!F10/'Data Entry'!F11,"")</f>
        <v/>
      </c>
      <c r="K20" s="25" t="str">
        <f>IFERROR('Data Entry'!G10/'Data Entry'!G11,"")</f>
        <v/>
      </c>
      <c r="L20" s="25" t="str">
        <f>IFERROR('Data Entry'!H10/'Data Entry'!H11,"")</f>
        <v/>
      </c>
      <c r="M20" s="25" t="str">
        <f>IFERROR('Data Entry'!I10/'Data Entry'!I11,"")</f>
        <v/>
      </c>
      <c r="N20" s="25" t="str">
        <f>IFERROR('Data Entry'!J10/'Data Entry'!J11,"")</f>
        <v/>
      </c>
      <c r="O20" s="25" t="str">
        <f>IFERROR('Data Entry'!K10/'Data Entry'!K11,"")</f>
        <v/>
      </c>
      <c r="P20" s="26" t="str">
        <f>IFERROR('Data Entry'!L10/'Data Entry'!L11,"")</f>
        <v/>
      </c>
      <c r="Q20" s="25" t="str">
        <f>IFERROR('Data Entry'!M10/'Data Entry'!M11,"")</f>
        <v/>
      </c>
      <c r="R20" s="25" t="str">
        <f>IFERROR('Data Entry'!N10/'Data Entry'!N11,"")</f>
        <v/>
      </c>
    </row>
    <row r="21" spans="1:18" s="1" customFormat="1" ht="27" customHeight="1" x14ac:dyDescent="0.25">
      <c r="A21" s="2"/>
      <c r="B21" s="56"/>
      <c r="C21" s="54" t="s">
        <v>38</v>
      </c>
      <c r="D21" s="54"/>
      <c r="E21" s="2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2"/>
    </row>
    <row r="22" spans="1:18" s="1" customFormat="1" ht="25.9" customHeight="1" x14ac:dyDescent="0.25">
      <c r="A22" s="2"/>
      <c r="B22" s="56"/>
      <c r="C22" s="54" t="s">
        <v>39</v>
      </c>
      <c r="D22" s="54"/>
      <c r="E22" s="2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2"/>
    </row>
    <row r="23" spans="1:18" ht="30" x14ac:dyDescent="0.25">
      <c r="A23" s="2"/>
      <c r="B23" s="9" t="s">
        <v>28</v>
      </c>
      <c r="C23" s="62"/>
      <c r="D23" s="62"/>
      <c r="E23" s="2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2"/>
    </row>
    <row r="24" spans="1:18" ht="37.15" customHeight="1" x14ac:dyDescent="0.25">
      <c r="A24" s="10"/>
      <c r="B24" s="10"/>
      <c r="C24" s="40"/>
      <c r="D24" s="40"/>
      <c r="E24" s="10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2"/>
    </row>
    <row r="25" spans="1:18" ht="24.6" customHeight="1" x14ac:dyDescent="0.25">
      <c r="A25" s="2"/>
      <c r="B25" s="14" t="s">
        <v>29</v>
      </c>
      <c r="C25" s="43"/>
      <c r="D25" s="31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8" ht="28.9" customHeight="1" x14ac:dyDescent="0.25">
      <c r="A26" s="2"/>
      <c r="B26" s="56" t="s">
        <v>43</v>
      </c>
      <c r="C26" s="29" t="s">
        <v>35</v>
      </c>
      <c r="D26" s="29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8" s="1" customFormat="1" ht="28.9" customHeight="1" x14ac:dyDescent="0.25">
      <c r="A27" s="2"/>
      <c r="B27" s="56"/>
      <c r="C27" s="30" t="s">
        <v>36</v>
      </c>
      <c r="D27" s="30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8" s="1" customFormat="1" ht="28.15" customHeight="1" x14ac:dyDescent="0.25">
      <c r="A28" s="2"/>
      <c r="B28" s="56"/>
      <c r="C28" s="30" t="s">
        <v>37</v>
      </c>
      <c r="D28" s="30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8" s="1" customFormat="1" ht="27.6" customHeight="1" x14ac:dyDescent="0.25">
      <c r="A29" s="2"/>
      <c r="B29" s="56"/>
      <c r="C29" s="30" t="s">
        <v>38</v>
      </c>
      <c r="D29" s="30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8" s="1" customFormat="1" ht="28.9" customHeight="1" x14ac:dyDescent="0.25">
      <c r="A30" s="2"/>
      <c r="B30" s="56"/>
      <c r="C30" s="30" t="s">
        <v>39</v>
      </c>
      <c r="D30" s="30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8" ht="30" x14ac:dyDescent="0.25">
      <c r="A31" s="2"/>
      <c r="B31" s="9" t="s">
        <v>42</v>
      </c>
      <c r="C31" s="61"/>
      <c r="D31" s="61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8" x14ac:dyDescent="0.25">
      <c r="A32" s="10"/>
      <c r="B32" s="10"/>
      <c r="C32" s="40"/>
      <c r="D32" s="40"/>
      <c r="E32" s="10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ht="29.25" customHeight="1" x14ac:dyDescent="0.25">
      <c r="A33" s="2"/>
      <c r="B33" s="14" t="s">
        <v>44</v>
      </c>
      <c r="C33" s="43"/>
      <c r="D33" s="31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ht="44.25" customHeight="1" x14ac:dyDescent="0.25">
      <c r="A34" s="2"/>
      <c r="B34" s="9" t="s">
        <v>30</v>
      </c>
      <c r="C34" s="60"/>
      <c r="D34" s="60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ht="43.15" customHeight="1" x14ac:dyDescent="0.25">
      <c r="A35" s="2"/>
      <c r="B35" s="58"/>
      <c r="C35" s="30" t="s">
        <v>35</v>
      </c>
      <c r="D35" s="31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ht="40.9" customHeight="1" x14ac:dyDescent="0.25">
      <c r="A36" s="2"/>
      <c r="B36" s="58"/>
      <c r="C36" s="30" t="s">
        <v>36</v>
      </c>
      <c r="D36" s="31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ht="41.45" customHeight="1" x14ac:dyDescent="0.25">
      <c r="A37" s="2"/>
      <c r="B37" s="58"/>
      <c r="C37" s="30" t="s">
        <v>37</v>
      </c>
      <c r="D37" s="31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ht="50.45" customHeight="1" x14ac:dyDescent="0.25">
      <c r="A38" s="2"/>
      <c r="B38" s="58"/>
      <c r="C38" s="30" t="s">
        <v>38</v>
      </c>
      <c r="D38" s="31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"/>
    </row>
    <row r="39" spans="1:17" s="1" customFormat="1" ht="48.6" customHeight="1" x14ac:dyDescent="0.25">
      <c r="A39" s="2"/>
      <c r="B39" s="58"/>
      <c r="C39" s="30" t="s">
        <v>39</v>
      </c>
      <c r="D39" s="31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"/>
    </row>
    <row r="40" spans="1:17" s="1" customFormat="1" ht="40.15" customHeight="1" x14ac:dyDescent="0.25">
      <c r="A40" s="2"/>
      <c r="B40" s="9" t="s">
        <v>40</v>
      </c>
      <c r="C40" s="57"/>
      <c r="D40" s="57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3"/>
    </row>
    <row r="41" spans="1:17" s="1" customFormat="1" ht="31.9" customHeight="1" x14ac:dyDescent="0.25">
      <c r="A41" s="2"/>
      <c r="B41" s="9" t="s">
        <v>41</v>
      </c>
      <c r="C41" s="59"/>
      <c r="D41" s="59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"/>
    </row>
    <row r="42" spans="1:1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</sheetData>
  <sheetProtection algorithmName="SHA-512" hashValue="u6nfchby3c52QU2cAVkcYnx+7/9a2zXisILRDpDwIig2jocvPRDBzuJ+Rcbetjrqkt0hQdebnB0SmC8DjhKskQ==" saltValue="HfBtH9dp2IoL4FTSsLmLJQ==" spinCount="100000" sheet="1" objects="1" scenarios="1"/>
  <mergeCells count="16">
    <mergeCell ref="C23:D23"/>
    <mergeCell ref="C13:D13"/>
    <mergeCell ref="C14:D14"/>
    <mergeCell ref="C15:D15"/>
    <mergeCell ref="B26:B30"/>
    <mergeCell ref="B35:B39"/>
    <mergeCell ref="C40:D40"/>
    <mergeCell ref="C41:D41"/>
    <mergeCell ref="C34:D34"/>
    <mergeCell ref="C31:D31"/>
    <mergeCell ref="C2:D2"/>
    <mergeCell ref="B18:B22"/>
    <mergeCell ref="C4:D4"/>
    <mergeCell ref="C6:D6"/>
    <mergeCell ref="C8:D8"/>
    <mergeCell ref="C10:D10"/>
  </mergeCells>
  <conditionalFormatting sqref="G3:J3">
    <cfRule type="cellIs" dxfId="0" priority="1" operator="between">
      <formula>95</formula>
      <formula>105</formula>
    </cfRule>
  </conditionalFormatting>
  <dataValidations count="7">
    <dataValidation type="list" allowBlank="1" showInputMessage="1" showErrorMessage="1" sqref="C40">
      <formula1>"Weekly, Monthly, Quarterly"</formula1>
    </dataValidation>
    <dataValidation type="list" allowBlank="1" showInputMessage="1" showErrorMessage="1" sqref="C41:D41">
      <formula1>"Weekly, Monthly, Quarterly, Semi-Annually, Annually"</formula1>
    </dataValidation>
    <dataValidation type="list" allowBlank="1" showInputMessage="1" showErrorMessage="1" sqref="C31:D31">
      <formula1>"Brainstorming,Affinity analysis,Creative thinking,Prioritiztion matrices,Expert decision making,Flowcharts,Client windows,Benchmarking,Quality Assurance story telling,Control charts"</formula1>
    </dataValidation>
    <dataValidation type="list" allowBlank="1" showInputMessage="1" showErrorMessage="1" sqref="C23:D23">
      <formula1>"Brainstorming,Affinity analysis,Prioritiztion matrices,Expert decision making,System modelling,Flowcharts,Cause-and-effect analysis,Force field analysis,Gantt charts,Quality Assurance story telling,Bar and pie charts,Run charts,Control charts,Histograms"</formula1>
    </dataValidation>
    <dataValidation type="list" allowBlank="1" showInputMessage="1" showErrorMessage="1" sqref="C4:D4">
      <formula1>"HTS_TST,PMTCT_EID,PMTCT_STAT,TX_NEW,PMTCT_ART,TX_CURR"</formula1>
    </dataValidation>
    <dataValidation type="list" allowBlank="1" showInputMessage="1" showErrorMessage="1" sqref="C8:D8">
      <formula1>"Individual Problem Solving ,Rapid Team Problem Solving,Systematic Team Problem Solving ,Process Improvement"</formula1>
    </dataValidation>
    <dataValidation type="list" allowBlank="1" showInputMessage="1" showErrorMessage="1" sqref="C10:D10">
      <formula1>"Quantitative approach, Qualitative approach"</formula1>
    </dataValidation>
  </dataValidations>
  <pageMargins left="0.7" right="0.7" top="0.75" bottom="0.75" header="0.3" footer="0.3"/>
  <pageSetup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7"/>
  <sheetViews>
    <sheetView zoomScale="94" workbookViewId="0">
      <selection activeCell="G15" sqref="G15"/>
    </sheetView>
  </sheetViews>
  <sheetFormatPr defaultRowHeight="15" x14ac:dyDescent="0.25"/>
  <cols>
    <col min="1" max="1" width="20.7109375" bestFit="1" customWidth="1"/>
    <col min="2" max="2" width="26" style="1" customWidth="1"/>
    <col min="3" max="3" width="11.5703125" customWidth="1"/>
    <col min="4" max="4" width="10" customWidth="1"/>
    <col min="5" max="5" width="7.7109375" bestFit="1" customWidth="1"/>
    <col min="6" max="13" width="10.7109375" customWidth="1"/>
    <col min="14" max="14" width="11.42578125" customWidth="1"/>
  </cols>
  <sheetData>
    <row r="1" spans="1:14" ht="30" customHeight="1" x14ac:dyDescent="0.25">
      <c r="A1" s="17" t="s">
        <v>0</v>
      </c>
      <c r="B1" s="17"/>
      <c r="C1" s="17" t="s">
        <v>1</v>
      </c>
      <c r="D1" s="17" t="s">
        <v>2</v>
      </c>
      <c r="E1" s="17" t="s">
        <v>3</v>
      </c>
      <c r="F1" s="17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9</v>
      </c>
      <c r="L1" s="20" t="s">
        <v>10</v>
      </c>
      <c r="M1" s="17" t="s">
        <v>11</v>
      </c>
      <c r="N1" s="17" t="s">
        <v>12</v>
      </c>
    </row>
    <row r="2" spans="1:14" ht="30" customHeight="1" x14ac:dyDescent="0.25">
      <c r="A2" s="63">
        <f>'IP Dashboard'!D35</f>
        <v>0</v>
      </c>
      <c r="B2" s="18" t="s">
        <v>13</v>
      </c>
      <c r="C2" s="32"/>
      <c r="D2" s="50"/>
      <c r="E2" s="44"/>
      <c r="F2" s="44"/>
      <c r="G2" s="44"/>
      <c r="H2" s="44"/>
      <c r="I2" s="44"/>
      <c r="J2" s="44"/>
      <c r="K2" s="44"/>
      <c r="L2" s="44"/>
      <c r="M2" s="48"/>
      <c r="N2" s="48"/>
    </row>
    <row r="3" spans="1:14" ht="30" customHeight="1" x14ac:dyDescent="0.25">
      <c r="A3" s="64"/>
      <c r="B3" s="19" t="s">
        <v>14</v>
      </c>
      <c r="C3" s="35"/>
      <c r="D3" s="47">
        <f>C3</f>
        <v>0</v>
      </c>
      <c r="E3" s="45">
        <f>C3</f>
        <v>0</v>
      </c>
      <c r="F3" s="45">
        <f>C3</f>
        <v>0</v>
      </c>
      <c r="G3" s="45">
        <f>C3</f>
        <v>0</v>
      </c>
      <c r="H3" s="45">
        <f>C3</f>
        <v>0</v>
      </c>
      <c r="I3" s="45">
        <f>C3</f>
        <v>0</v>
      </c>
      <c r="J3" s="45">
        <f>C3</f>
        <v>0</v>
      </c>
      <c r="K3" s="45">
        <f>C3</f>
        <v>0</v>
      </c>
      <c r="L3" s="45">
        <f>C3</f>
        <v>0</v>
      </c>
      <c r="M3" s="47">
        <f>C3</f>
        <v>0</v>
      </c>
      <c r="N3" s="47">
        <f>C3</f>
        <v>0</v>
      </c>
    </row>
    <row r="4" spans="1:14" ht="30" customHeight="1" x14ac:dyDescent="0.25">
      <c r="A4" s="63">
        <f>'IP Dashboard'!D36</f>
        <v>0</v>
      </c>
      <c r="B4" s="18" t="s">
        <v>13</v>
      </c>
      <c r="C4" s="32"/>
      <c r="D4" s="50"/>
      <c r="E4" s="44"/>
      <c r="F4" s="44"/>
      <c r="G4" s="44"/>
      <c r="H4" s="44"/>
      <c r="I4" s="44"/>
      <c r="J4" s="44"/>
      <c r="K4" s="44"/>
      <c r="L4" s="44"/>
      <c r="M4" s="48"/>
      <c r="N4" s="48"/>
    </row>
    <row r="5" spans="1:14" ht="30" customHeight="1" x14ac:dyDescent="0.25">
      <c r="A5" s="65"/>
      <c r="B5" s="19" t="s">
        <v>15</v>
      </c>
      <c r="C5" s="36">
        <v>0</v>
      </c>
      <c r="D5" s="51">
        <f>C5</f>
        <v>0</v>
      </c>
      <c r="E5" s="45">
        <f>C5</f>
        <v>0</v>
      </c>
      <c r="F5" s="45">
        <f>C5</f>
        <v>0</v>
      </c>
      <c r="G5" s="45">
        <f>C5</f>
        <v>0</v>
      </c>
      <c r="H5" s="45">
        <f>C5</f>
        <v>0</v>
      </c>
      <c r="I5" s="45">
        <f>C5</f>
        <v>0</v>
      </c>
      <c r="J5" s="45">
        <f>C5</f>
        <v>0</v>
      </c>
      <c r="K5" s="45">
        <f>C5</f>
        <v>0</v>
      </c>
      <c r="L5" s="45">
        <f>C5</f>
        <v>0</v>
      </c>
      <c r="M5" s="47">
        <f>C5</f>
        <v>0</v>
      </c>
      <c r="N5" s="47">
        <f>C5</f>
        <v>0</v>
      </c>
    </row>
    <row r="6" spans="1:14" ht="30" customHeight="1" x14ac:dyDescent="0.25">
      <c r="A6" s="66">
        <f>'IP Dashboard'!D37</f>
        <v>0</v>
      </c>
      <c r="B6" s="18" t="s">
        <v>13</v>
      </c>
      <c r="C6" s="33"/>
      <c r="D6" s="46"/>
      <c r="E6" s="46"/>
      <c r="F6" s="46"/>
      <c r="G6" s="46"/>
      <c r="H6" s="46"/>
      <c r="I6" s="46"/>
      <c r="J6" s="46"/>
      <c r="K6" s="46"/>
      <c r="L6" s="46"/>
      <c r="M6" s="48"/>
      <c r="N6" s="48"/>
    </row>
    <row r="7" spans="1:14" ht="30" customHeight="1" x14ac:dyDescent="0.25">
      <c r="A7" s="64"/>
      <c r="B7" s="19" t="s">
        <v>15</v>
      </c>
      <c r="C7" s="37">
        <v>0</v>
      </c>
      <c r="D7" s="47">
        <f>C7</f>
        <v>0</v>
      </c>
      <c r="E7" s="47">
        <f>C7</f>
        <v>0</v>
      </c>
      <c r="F7" s="47">
        <f>C7</f>
        <v>0</v>
      </c>
      <c r="G7" s="47">
        <f>C7</f>
        <v>0</v>
      </c>
      <c r="H7" s="47">
        <f>C7</f>
        <v>0</v>
      </c>
      <c r="I7" s="47">
        <f>C7</f>
        <v>0</v>
      </c>
      <c r="J7" s="47">
        <f>C7</f>
        <v>0</v>
      </c>
      <c r="K7" s="47">
        <f>C7</f>
        <v>0</v>
      </c>
      <c r="L7" s="47">
        <f>C7</f>
        <v>0</v>
      </c>
      <c r="M7" s="47">
        <f>C7</f>
        <v>0</v>
      </c>
      <c r="N7" s="47">
        <f>C7</f>
        <v>0</v>
      </c>
    </row>
    <row r="8" spans="1:14" ht="30" customHeight="1" x14ac:dyDescent="0.25">
      <c r="A8" s="63">
        <f>'IP Dashboard'!D38</f>
        <v>0</v>
      </c>
      <c r="B8" s="18" t="s">
        <v>13</v>
      </c>
      <c r="C8" s="34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4" ht="30" customHeight="1" x14ac:dyDescent="0.25">
      <c r="A9" s="65"/>
      <c r="B9" s="19" t="s">
        <v>15</v>
      </c>
      <c r="C9" s="37">
        <v>0</v>
      </c>
      <c r="D9" s="47">
        <f>C9</f>
        <v>0</v>
      </c>
      <c r="E9" s="47">
        <f>C9</f>
        <v>0</v>
      </c>
      <c r="F9" s="47">
        <f>C9</f>
        <v>0</v>
      </c>
      <c r="G9" s="47">
        <f>C9</f>
        <v>0</v>
      </c>
      <c r="H9" s="47">
        <f>C9</f>
        <v>0</v>
      </c>
      <c r="I9" s="47">
        <f>C9</f>
        <v>0</v>
      </c>
      <c r="J9" s="47">
        <f>C9</f>
        <v>0</v>
      </c>
      <c r="K9" s="47">
        <f>C9</f>
        <v>0</v>
      </c>
      <c r="L9" s="47">
        <f>C9</f>
        <v>0</v>
      </c>
      <c r="M9" s="47">
        <f>C9</f>
        <v>0</v>
      </c>
      <c r="N9" s="47">
        <f>C9</f>
        <v>0</v>
      </c>
    </row>
    <row r="10" spans="1:14" ht="30" customHeight="1" x14ac:dyDescent="0.25">
      <c r="A10" s="66">
        <f>'IP Dashboard'!D39</f>
        <v>0</v>
      </c>
      <c r="B10" s="18" t="s">
        <v>13</v>
      </c>
      <c r="C10" s="34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4" ht="30" customHeight="1" x14ac:dyDescent="0.25">
      <c r="A11" s="65"/>
      <c r="B11" s="19" t="s">
        <v>15</v>
      </c>
      <c r="C11" s="37">
        <v>0</v>
      </c>
      <c r="D11" s="47">
        <f>C11</f>
        <v>0</v>
      </c>
      <c r="E11" s="47">
        <f>C11</f>
        <v>0</v>
      </c>
      <c r="F11" s="47">
        <f>C11</f>
        <v>0</v>
      </c>
      <c r="G11" s="47">
        <f>C11</f>
        <v>0</v>
      </c>
      <c r="H11" s="47">
        <f>C11</f>
        <v>0</v>
      </c>
      <c r="I11" s="47">
        <f>C11</f>
        <v>0</v>
      </c>
      <c r="J11" s="47">
        <f>C11</f>
        <v>0</v>
      </c>
      <c r="K11" s="47">
        <f>C11</f>
        <v>0</v>
      </c>
      <c r="L11" s="47">
        <f>C11</f>
        <v>0</v>
      </c>
      <c r="M11" s="47">
        <f>C11</f>
        <v>0</v>
      </c>
      <c r="N11" s="47">
        <f>C11</f>
        <v>0</v>
      </c>
    </row>
    <row r="14" spans="1:14" x14ac:dyDescent="0.25">
      <c r="A14" s="1"/>
    </row>
    <row r="15" spans="1:14" ht="21" x14ac:dyDescent="0.35">
      <c r="A15" s="49"/>
      <c r="B15" s="49"/>
    </row>
    <row r="16" spans="1:14" ht="69.75" customHeight="1" x14ac:dyDescent="0.25">
      <c r="A16" s="53" t="s">
        <v>45</v>
      </c>
      <c r="B16" s="53" t="s">
        <v>46</v>
      </c>
    </row>
    <row r="17" spans="1:1" x14ac:dyDescent="0.25">
      <c r="A17" s="1"/>
    </row>
  </sheetData>
  <sheetProtection algorithmName="SHA-512" hashValue="ZAca4PvZD53+hdDgfcfVbRzUNhMj4DCOh+VKj+5J3cR/L/5hlt+/An4DrQSTYSkGE18jmZ3T7Uk47ENcrQLcQQ==" saltValue="Zv3J8Th8EUEiRa6wsGoK6g==" spinCount="100000" sheet="1" objects="1" scenarios="1"/>
  <mergeCells count="5">
    <mergeCell ref="A2:A3"/>
    <mergeCell ref="A4:A5"/>
    <mergeCell ref="A6:A7"/>
    <mergeCell ref="A8:A9"/>
    <mergeCell ref="A10:A11"/>
  </mergeCells>
  <pageMargins left="0.7" right="0.7" top="0.75" bottom="0.75" header="0.3" footer="0.3"/>
  <pageSetup orientation="portrait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IP Dashboard</vt:lpstr>
      <vt:lpstr>Data Entry</vt:lpstr>
      <vt:lpstr>'IP Dashboard'!Print_Area</vt:lpstr>
    </vt:vector>
  </TitlesOfParts>
  <Company>Institute of Human Virology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2017-03-09T12:52:09Z</dcterms:created>
  <dcterms:modified xsi:type="dcterms:W3CDTF">2018-02-08T17:59:44Z</dcterms:modified>
</cp:coreProperties>
</file>