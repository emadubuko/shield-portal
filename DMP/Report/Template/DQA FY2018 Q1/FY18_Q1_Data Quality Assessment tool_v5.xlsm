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0" windowHeight="7455"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state="hidden" r:id="rId4"/>
    <sheet name="TX_RET" sheetId="16" state="hidden" r:id="rId5"/>
    <sheet name="OVC_DQA" sheetId="15"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 i="12" l="1"/>
  <c r="K6" i="12"/>
  <c r="AB110" i="13"/>
  <c r="AB109" i="13"/>
  <c r="AA108" i="13"/>
  <c r="AB108" i="13" s="1" a="1"/>
  <c r="AB108" i="13" s="1"/>
  <c r="AC108" i="13"/>
  <c r="AD108" i="13"/>
  <c r="AE108" i="13"/>
  <c r="AF108" i="13"/>
  <c r="AG108" i="13"/>
  <c r="I108" i="13"/>
  <c r="L108" i="13"/>
  <c r="P108" i="13"/>
  <c r="T108" i="13"/>
  <c r="P14" i="12" l="1"/>
  <c r="D110" i="16"/>
  <c r="J12" i="12" s="1"/>
  <c r="D109" i="16"/>
  <c r="J13" i="12" s="1"/>
  <c r="J14" i="12" s="1"/>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A2" i="11" l="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K8" i="12" l="1"/>
  <c r="F2" i="10"/>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L7" i="12"/>
  <c r="M7" i="12"/>
  <c r="N7" i="12"/>
  <c r="O7" i="12"/>
  <c r="P7" i="12"/>
  <c r="B8" i="12"/>
  <c r="C8" i="12"/>
  <c r="D8" i="12"/>
  <c r="E8" i="12"/>
  <c r="F8" i="12"/>
  <c r="G8" i="12"/>
  <c r="H8" i="12"/>
  <c r="I8" i="12"/>
  <c r="J8" i="12"/>
  <c r="L8" i="12"/>
  <c r="M8" i="12"/>
  <c r="N8" i="12"/>
  <c r="O8" i="12"/>
  <c r="P8" i="12"/>
  <c r="G3" i="11"/>
  <c r="E5" i="11"/>
  <c r="F5" i="11"/>
  <c r="G5" i="11"/>
  <c r="E6" i="11"/>
  <c r="F6" i="11"/>
  <c r="G6" i="11"/>
</calcChain>
</file>

<file path=xl/sharedStrings.xml><?xml version="1.0" encoding="utf-8"?>
<sst xmlns="http://schemas.openxmlformats.org/spreadsheetml/2006/main" count="9793" uniqueCount="3573">
  <si>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</si>
  <si>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</si>
  <si>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</si>
  <si>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</si>
  <si>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</si>
  <si>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</si>
  <si>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</si>
  <si>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</si>
  <si>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</si>
  <si>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</si>
  <si>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</si>
  <si>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</si>
  <si>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</si>
  <si>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</si>
  <si>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</si>
  <si>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</si>
  <si>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</si>
  <si>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</si>
  <si>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</si>
  <si>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</si>
  <si>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</si>
  <si>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</si>
  <si>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</si>
  <si>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</si>
  <si>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</si>
  <si>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</si>
  <si>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</si>
  <si>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</si>
  <si>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</si>
  <si>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</si>
  <si>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</si>
  <si>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</si>
  <si>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</si>
  <si>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</si>
  <si>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</si>
  <si>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</si>
  <si>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</si>
  <si>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</si>
  <si>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</si>
  <si>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</si>
  <si>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</si>
  <si>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</si>
  <si>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</si>
  <si>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</si>
  <si>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</si>
  <si>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</si>
  <si>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</si>
  <si>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</si>
  <si>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</si>
  <si>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</si>
  <si>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</si>
  <si>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</si>
  <si>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</si>
  <si>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</si>
  <si>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</si>
  <si>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</si>
  <si>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</si>
  <si>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</si>
  <si>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</si>
  <si>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</si>
  <si>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</si>
  <si>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</si>
  <si>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</si>
  <si>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</si>
  <si>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</si>
  <si>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</si>
  <si>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</si>
  <si>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</si>
  <si>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</si>
  <si>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</si>
  <si>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</si>
  <si>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</si>
  <si>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</si>
  <si>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</si>
  <si>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</si>
  <si>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</si>
  <si>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</si>
  <si>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</si>
  <si>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</si>
  <si>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</si>
  <si>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</si>
  <si>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</si>
  <si>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</si>
  <si>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</si>
  <si>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</si>
  <si>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</si>
  <si>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</si>
  <si>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</si>
  <si>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</si>
  <si>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</si>
  <si>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</si>
  <si>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</si>
  <si>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</si>
  <si>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</si>
  <si>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</si>
  <si>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</si>
  <si>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</si>
  <si>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</si>
  <si>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</si>
  <si>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</si>
  <si>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</si>
  <si>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</si>
  <si>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</si>
  <si>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</si>
  <si>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</si>
  <si>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</si>
  <si>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</si>
  <si>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</si>
  <si>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</si>
  <si>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</si>
  <si>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</si>
  <si>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</si>
  <si>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</si>
  <si>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</si>
  <si>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</si>
  <si>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</si>
  <si>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</si>
  <si>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</si>
  <si>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</si>
  <si>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</si>
  <si>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</si>
  <si>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</si>
  <si>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</si>
  <si>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</si>
  <si>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</si>
  <si>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</si>
  <si>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</si>
  <si>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</si>
  <si>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</si>
  <si>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</si>
  <si>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</si>
  <si>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</si>
  <si>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</si>
  <si>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</si>
  <si>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</si>
  <si>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</si>
  <si>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</si>
  <si>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</si>
  <si>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</si>
  <si>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</si>
  <si>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</si>
  <si>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</si>
  <si>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</si>
  <si>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</si>
  <si>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</si>
  <si>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</si>
  <si>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</si>
  <si>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</si>
  <si>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</si>
  <si>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</si>
  <si>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</si>
  <si>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</si>
  <si>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</si>
  <si>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</si>
  <si>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</si>
  <si>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</si>
  <si>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</si>
  <si>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</si>
  <si>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</si>
  <si>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</si>
  <si>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</si>
  <si>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</si>
  <si>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</si>
  <si>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</si>
  <si>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</si>
  <si>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</si>
  <si>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</si>
  <si>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</si>
  <si>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</si>
  <si>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</si>
  <si>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</si>
  <si>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</si>
  <si>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</si>
  <si>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</si>
  <si>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</si>
  <si>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</si>
  <si>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</si>
  <si>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</si>
  <si>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</si>
  <si>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</si>
  <si>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</si>
  <si>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</si>
  <si>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</si>
  <si>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</si>
  <si>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</si>
  <si>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</si>
  <si>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</si>
  <si>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</si>
  <si>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</si>
  <si>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</si>
  <si>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</si>
  <si>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</si>
  <si>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</si>
  <si>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</si>
  <si>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</si>
  <si>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</si>
  <si>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</si>
  <si>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</si>
  <si>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</si>
  <si>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</si>
  <si>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</si>
  <si>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</si>
  <si>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</si>
  <si>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</si>
  <si>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</si>
  <si>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</si>
  <si>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</si>
  <si>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</si>
  <si>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</si>
  <si>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</si>
  <si>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</si>
  <si>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</si>
  <si>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</si>
  <si>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</si>
  <si>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</si>
  <si>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</si>
  <si>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</si>
  <si>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</si>
  <si>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</si>
  <si>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</si>
  <si>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</si>
  <si>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</si>
  <si>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</si>
  <si>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</si>
  <si>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</si>
  <si>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</si>
  <si>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</si>
  <si>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</si>
  <si>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</si>
  <si>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</si>
  <si>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</si>
  <si>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</si>
  <si>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</si>
  <si>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</si>
  <si>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</si>
  <si>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</si>
  <si>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</si>
  <si>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</si>
  <si>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</si>
  <si>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</si>
  <si>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</si>
  <si>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</si>
  <si>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</si>
  <si>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</si>
  <si>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</si>
  <si>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</si>
  <si>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</si>
  <si>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</si>
  <si>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</si>
  <si>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</si>
  <si>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</si>
  <si>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</si>
  <si>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</si>
  <si>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</si>
  <si>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</si>
  <si>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</si>
  <si>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</si>
  <si>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</si>
  <si>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</si>
  <si>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</si>
  <si>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</si>
  <si>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</si>
  <si>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</si>
  <si>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</si>
  <si>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</si>
  <si>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</si>
  <si>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</si>
  <si>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</si>
  <si>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</si>
  <si>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</si>
  <si>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</si>
  <si>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</si>
  <si>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</si>
  <si>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</si>
  <si>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</si>
  <si>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</si>
  <si>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</si>
  <si>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</si>
  <si>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</si>
  <si>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</si>
  <si>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</si>
  <si>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</si>
  <si>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</si>
  <si>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</si>
  <si>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</si>
  <si>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</si>
  <si>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</si>
  <si>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</si>
  <si>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</si>
  <si>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</si>
  <si>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</si>
  <si>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</si>
  <si>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</si>
  <si>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</si>
  <si>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</si>
  <si>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</si>
  <si>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</si>
  <si>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</si>
  <si>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</si>
  <si>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</si>
  <si>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</si>
  <si>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</si>
  <si>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</si>
  <si>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</si>
  <si>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</si>
  <si>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</si>
  <si>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</si>
  <si>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</si>
  <si>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</si>
  <si>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</si>
  <si>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</si>
  <si>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</si>
  <si>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</si>
  <si>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</si>
  <si>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</si>
  <si>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</si>
  <si>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</si>
  <si>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</si>
  <si>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</si>
  <si>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</si>
  <si>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</si>
  <si>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</si>
  <si>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</si>
  <si>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</si>
  <si>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</si>
  <si>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</si>
  <si>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</si>
  <si>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</si>
  <si>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</si>
  <si>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</si>
  <si>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</si>
  <si>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</si>
  <si>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</si>
  <si>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</si>
  <si>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</si>
  <si>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</si>
  <si>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</si>
  <si>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</si>
  <si>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</si>
  <si>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</si>
  <si>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</si>
  <si>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</si>
  <si>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</si>
  <si>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</si>
  <si>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</si>
  <si>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</si>
  <si>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</si>
  <si>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</si>
  <si>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</si>
  <si>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</si>
  <si>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</si>
  <si>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</si>
  <si>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</si>
  <si>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</si>
  <si>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</si>
  <si>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</si>
  <si>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</si>
  <si>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</si>
  <si>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</si>
  <si>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</si>
  <si>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</si>
  <si>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</si>
  <si>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</si>
  <si>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</si>
  <si>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</si>
  <si>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</si>
  <si>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</si>
  <si>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</si>
  <si>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</si>
  <si>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</si>
  <si>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</si>
  <si>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</si>
  <si>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</si>
  <si>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</si>
  <si>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</si>
  <si>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</si>
  <si>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</si>
  <si>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</si>
  <si>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</si>
  <si>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</si>
  <si>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</si>
  <si>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</si>
  <si>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</si>
  <si>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</si>
  <si>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</si>
  <si>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</si>
  <si>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</si>
  <si>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</si>
  <si>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</si>
  <si>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</si>
  <si>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</si>
  <si>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</si>
  <si>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</si>
  <si>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</si>
  <si>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</si>
  <si>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</si>
  <si>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</si>
  <si>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</si>
  <si>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</si>
  <si>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</si>
  <si>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</si>
  <si>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</si>
  <si>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</si>
  <si>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</si>
  <si>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</si>
  <si>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</si>
  <si>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</si>
  <si>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</si>
  <si>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</si>
  <si>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</si>
  <si>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</si>
  <si>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</si>
  <si>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</si>
  <si>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</si>
  <si>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</si>
  <si>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</si>
  <si>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</si>
  <si>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</si>
  <si>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</si>
  <si>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</si>
  <si>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</si>
  <si>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</si>
  <si>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</si>
  <si>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</si>
  <si>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</si>
  <si>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</si>
  <si>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</si>
  <si>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</si>
  <si>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</si>
  <si>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</si>
  <si>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</si>
  <si>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</si>
  <si>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</si>
  <si>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</si>
  <si>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</si>
  <si>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</si>
  <si>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</si>
  <si>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</si>
  <si>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</si>
  <si>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</si>
  <si>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</si>
  <si>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</si>
  <si>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</si>
  <si>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</si>
  <si>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</si>
  <si>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</si>
  <si>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</si>
  <si>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</si>
  <si>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</si>
  <si>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</si>
  <si>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</si>
  <si>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</si>
  <si>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</si>
  <si>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</si>
  <si>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</si>
  <si>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</si>
  <si>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</si>
  <si>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</si>
  <si>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</si>
  <si>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</si>
  <si>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</si>
  <si>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</si>
  <si>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</si>
  <si>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</si>
  <si>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</si>
  <si>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</si>
  <si>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</si>
  <si>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</si>
  <si>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</si>
  <si>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</si>
  <si>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</si>
  <si>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</si>
  <si>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</si>
  <si>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</si>
  <si>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</si>
  <si>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</si>
  <si>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</si>
  <si>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</si>
  <si>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</si>
  <si>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</si>
  <si>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</si>
  <si>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</si>
  <si>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</si>
  <si>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</si>
  <si>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</si>
  <si>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</si>
  <si>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</si>
  <si>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</si>
  <si>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</si>
  <si>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</si>
  <si>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</si>
  <si>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</si>
  <si>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</si>
  <si>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</si>
  <si>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</si>
  <si>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</si>
  <si>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</si>
  <si>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</si>
  <si>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</si>
  <si>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</si>
  <si>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</si>
  <si>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</si>
  <si>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</si>
  <si>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</si>
  <si>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</si>
  <si>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</si>
  <si>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</si>
  <si>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</si>
  <si>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</si>
  <si>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</si>
  <si>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</si>
  <si>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</si>
  <si>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</si>
  <si>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</si>
  <si>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</si>
  <si>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</si>
  <si>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</si>
  <si>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</si>
  <si>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</si>
  <si>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</si>
  <si>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</si>
  <si>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</si>
  <si>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</si>
  <si>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</si>
  <si>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</si>
  <si>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</si>
  <si>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</si>
  <si>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</si>
  <si>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</si>
  <si>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</si>
  <si>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</si>
  <si>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</si>
  <si>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</si>
  <si>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</si>
  <si>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</si>
  <si>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</si>
  <si>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</si>
  <si>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</si>
  <si>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</si>
  <si>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</si>
  <si>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</si>
  <si>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</si>
  <si>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</si>
  <si>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</si>
  <si>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</si>
  <si>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</si>
  <si>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</si>
  <si>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</si>
  <si>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</si>
  <si>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</si>
  <si>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</si>
  <si>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</si>
  <si>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</si>
  <si>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</si>
  <si>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</si>
  <si>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</si>
  <si>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</si>
  <si>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</si>
  <si>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</si>
  <si>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</si>
  <si>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</si>
  <si>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</si>
  <si>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</si>
  <si>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</si>
  <si>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</si>
  <si>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</si>
  <si>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</si>
  <si>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</si>
  <si>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</si>
  <si>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</si>
  <si>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</si>
  <si>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</si>
  <si>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</si>
  <si>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</si>
  <si>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</si>
  <si>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</si>
  <si>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</si>
  <si>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</si>
  <si>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</si>
  <si>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</si>
  <si>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</si>
  <si>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</si>
  <si>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</si>
  <si>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</si>
  <si>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</si>
  <si>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</si>
  <si>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</si>
  <si>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</si>
  <si>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</si>
  <si>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</si>
  <si>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</si>
  <si>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</si>
  <si>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</si>
  <si>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</si>
  <si>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</si>
  <si>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</si>
  <si>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</si>
  <si>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</si>
  <si>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</si>
  <si>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</si>
  <si>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</si>
  <si>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</si>
  <si>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</si>
  <si>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</si>
  <si>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</si>
  <si>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</si>
  <si>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</si>
  <si>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</si>
  <si>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</si>
  <si>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</si>
  <si>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</si>
  <si>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</si>
  <si>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</si>
  <si>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</si>
  <si>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</si>
  <si>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</si>
  <si>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</si>
  <si>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</si>
  <si>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</si>
  <si>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</si>
  <si>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</si>
  <si>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</si>
  <si>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</si>
  <si>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</si>
  <si>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</si>
  <si>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</si>
  <si>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</si>
  <si>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</si>
  <si>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</si>
  <si>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</si>
  <si>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</si>
  <si>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</si>
  <si>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</si>
  <si>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</si>
  <si>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</si>
  <si>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</si>
  <si>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</si>
  <si>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</si>
  <si>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</si>
  <si>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</si>
  <si>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</si>
  <si>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</si>
  <si>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</si>
  <si>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</si>
  <si>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</si>
  <si>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</si>
  <si>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</si>
  <si>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</si>
  <si>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</si>
  <si>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</si>
  <si>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</si>
  <si>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</si>
  <si>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</si>
  <si>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</si>
  <si>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</si>
  <si>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</si>
  <si>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</si>
  <si>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</si>
  <si>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</si>
  <si>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</si>
  <si>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</si>
  <si>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</si>
  <si>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</si>
  <si>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</si>
  <si>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</si>
  <si>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</si>
  <si>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</si>
  <si>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</si>
  <si>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</si>
  <si>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</si>
  <si>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</si>
  <si>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</si>
  <si>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</si>
  <si>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</si>
  <si>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</si>
  <si>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</si>
  <si>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</si>
  <si>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</si>
  <si>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</si>
  <si>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</si>
  <si>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</si>
  <si>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</si>
  <si>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</si>
  <si>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</si>
  <si>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</si>
  <si>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</si>
  <si>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</si>
  <si>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</si>
  <si>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</si>
  <si>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</si>
  <si>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</si>
  <si>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</si>
  <si>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</si>
  <si>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</si>
  <si>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</si>
  <si>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</si>
  <si>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</si>
  <si>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</si>
  <si>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</si>
  <si>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</si>
  <si>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</si>
  <si>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</si>
  <si>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</si>
  <si>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</si>
  <si>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</si>
  <si>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</si>
  <si>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</si>
  <si>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</si>
  <si>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</si>
  <si>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</si>
  <si>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</si>
  <si>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</si>
  <si>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</si>
  <si>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</si>
  <si>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</si>
  <si>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</si>
  <si>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</si>
  <si>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</si>
  <si>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</si>
  <si>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</si>
  <si>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</si>
  <si>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</si>
  <si>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</si>
  <si>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</si>
  <si>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</si>
  <si>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</si>
  <si>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</si>
  <si>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</si>
  <si>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</si>
  <si>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</si>
  <si>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</si>
  <si>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</si>
  <si>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</si>
  <si>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</si>
  <si>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</si>
  <si>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</si>
  <si>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</si>
  <si>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</si>
  <si>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</si>
  <si>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</si>
  <si>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</si>
  <si>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</si>
  <si>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</si>
  <si>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</si>
  <si>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</si>
  <si>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</si>
  <si>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</si>
  <si>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</si>
  <si>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</si>
  <si>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</si>
  <si>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</si>
  <si>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</si>
  <si>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</si>
  <si>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</si>
  <si>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</si>
  <si>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</si>
  <si>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</si>
  <si>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</si>
  <si>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</si>
  <si>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</si>
  <si>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</si>
  <si>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</si>
  <si>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</si>
  <si>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</si>
  <si>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</si>
  <si>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</si>
  <si>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</si>
  <si>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</si>
  <si>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</si>
  <si>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</si>
  <si>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</si>
  <si>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</si>
  <si>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</si>
  <si>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</si>
  <si>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</si>
  <si>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</si>
  <si>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</si>
  <si>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</si>
  <si>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</si>
  <si>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</si>
  <si>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</si>
  <si>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</si>
  <si>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</si>
  <si>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</si>
  <si>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</si>
  <si>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</si>
  <si>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</si>
  <si>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</si>
  <si>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</si>
  <si>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</si>
  <si>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</si>
  <si>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</si>
  <si>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</si>
  <si>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</si>
  <si>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</si>
  <si>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</si>
  <si>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</si>
  <si>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</si>
  <si>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</si>
  <si>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</si>
  <si>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</si>
  <si>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</si>
  <si>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</si>
  <si>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</si>
  <si>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</si>
  <si>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</si>
  <si>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</si>
  <si>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</si>
  <si>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</si>
  <si>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</si>
  <si>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</si>
  <si>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</si>
  <si>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</si>
  <si>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</si>
  <si>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</si>
  <si>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</si>
  <si>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</si>
  <si>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</si>
  <si>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</si>
  <si>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</si>
  <si>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</si>
  <si>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</si>
  <si>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</si>
  <si>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</si>
  <si>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</si>
  <si>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</si>
  <si>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</si>
  <si>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</si>
  <si>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</si>
  <si>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</si>
  <si>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</si>
  <si>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</si>
  <si>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</si>
  <si>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</si>
  <si>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</si>
  <si>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</si>
  <si>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</si>
  <si>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</si>
  <si>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</si>
  <si>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</si>
  <si>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</si>
  <si>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</si>
  <si>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</si>
  <si>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</si>
  <si>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</si>
  <si>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</si>
  <si>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</si>
  <si>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</si>
  <si>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</si>
  <si>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</si>
  <si>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</si>
  <si>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</si>
  <si>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</si>
  <si>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</si>
  <si>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</si>
  <si>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</si>
  <si>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</si>
  <si>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</si>
  <si>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</si>
  <si>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</si>
  <si>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</si>
  <si>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</si>
  <si>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</si>
  <si>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</si>
  <si>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</si>
  <si>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</si>
  <si>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</si>
  <si>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</si>
  <si>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</si>
  <si>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</si>
  <si>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</si>
  <si>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</si>
  <si>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</si>
  <si>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</si>
  <si>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</si>
  <si>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</si>
  <si>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</si>
  <si>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</si>
  <si>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</si>
  <si>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</si>
  <si>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</si>
  <si>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</si>
  <si>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</si>
  <si>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</si>
  <si>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</si>
  <si>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</si>
  <si>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</si>
  <si>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</si>
  <si>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</si>
  <si>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</si>
  <si>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</si>
  <si>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</si>
  <si>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</si>
  <si>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</si>
  <si>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</si>
  <si>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</si>
  <si>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</si>
  <si>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</si>
  <si>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</si>
  <si>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</si>
  <si>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</si>
  <si>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</si>
  <si>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</si>
  <si>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</si>
  <si>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</si>
  <si>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</si>
  <si>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</si>
  <si>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</si>
  <si>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</si>
  <si>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</si>
  <si>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</si>
  <si>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</si>
  <si>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</si>
  <si>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</si>
  <si>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</si>
  <si>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</si>
  <si>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</si>
  <si>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</si>
  <si>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</si>
  <si>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</si>
  <si>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</si>
  <si>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</si>
  <si>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</si>
  <si>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</si>
  <si>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</si>
  <si>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</si>
  <si>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</si>
  <si>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</si>
  <si>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</si>
  <si>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</si>
  <si>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</si>
  <si>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</si>
  <si>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</si>
  <si>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</si>
  <si>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</si>
  <si>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</si>
  <si>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</si>
  <si>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</si>
  <si>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</si>
  <si>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</si>
  <si>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</si>
  <si>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</si>
  <si>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</si>
  <si>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</si>
  <si>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</si>
  <si>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</si>
  <si>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</si>
  <si>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</si>
  <si>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</si>
  <si>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</si>
  <si>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</si>
  <si>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</si>
  <si>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</si>
  <si>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</si>
  <si>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</si>
  <si>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</si>
  <si>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</si>
  <si>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</si>
  <si>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</si>
  <si>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</si>
  <si>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</si>
  <si>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</si>
  <si>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</si>
  <si>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</si>
  <si>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</si>
  <si>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</si>
  <si>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</si>
  <si>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</si>
  <si>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</si>
  <si>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</si>
  <si>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</si>
  <si>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</si>
  <si>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</si>
  <si>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</si>
  <si>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</si>
  <si>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</si>
  <si>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</si>
  <si>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</si>
  <si>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</si>
  <si>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</si>
  <si>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</si>
  <si>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</si>
  <si>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</si>
  <si>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</si>
  <si>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</si>
  <si>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</si>
  <si>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</si>
  <si>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</si>
  <si>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</si>
  <si>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</si>
  <si>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</si>
  <si>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</si>
  <si>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</si>
  <si>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</si>
  <si>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</si>
  <si>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</si>
  <si>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</si>
  <si>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</si>
  <si>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</si>
  <si>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</si>
  <si>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</si>
  <si>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</si>
  <si>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</si>
  <si>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</si>
  <si>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</si>
  <si>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</si>
  <si>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</si>
  <si>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</si>
  <si>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</si>
  <si>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</si>
  <si>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</si>
  <si>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</si>
  <si>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</si>
  <si>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</si>
  <si>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</si>
  <si>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</si>
  <si>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</si>
  <si>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</si>
  <si>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</si>
  <si>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</si>
  <si>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</si>
  <si>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</si>
  <si>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</si>
  <si>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</si>
  <si>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</si>
  <si>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</si>
  <si>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</si>
  <si>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</si>
  <si>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</si>
  <si>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</si>
  <si>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</si>
  <si>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</si>
  <si>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</si>
  <si>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</si>
  <si>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</si>
  <si>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</si>
  <si>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</si>
  <si>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</si>
  <si>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</si>
  <si>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</si>
  <si>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</si>
  <si>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</si>
  <si>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</si>
  <si>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</si>
  <si>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</si>
  <si>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</si>
  <si>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</si>
  <si>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</si>
  <si>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</si>
  <si>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</si>
  <si>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</si>
  <si>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</si>
  <si>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</si>
  <si>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</si>
  <si>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</si>
  <si>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</si>
  <si>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</si>
  <si>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</si>
  <si>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</si>
  <si>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</si>
  <si>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</si>
  <si>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</si>
  <si>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</si>
  <si>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</si>
  <si>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</si>
  <si>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</si>
  <si>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</si>
  <si>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</si>
  <si>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</si>
  <si>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</si>
  <si>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</si>
  <si>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</si>
  <si>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</si>
  <si>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</si>
  <si>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</si>
  <si>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</si>
  <si>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</si>
  <si>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</si>
  <si>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</si>
  <si>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</si>
  <si>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</si>
  <si>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</si>
  <si>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</si>
  <si>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</si>
  <si>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</si>
  <si>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</si>
  <si>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</si>
  <si>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</si>
  <si>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</si>
  <si>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</si>
  <si>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</si>
  <si>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</si>
  <si>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</si>
  <si>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</si>
  <si>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</si>
  <si>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</si>
  <si>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</si>
  <si>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</si>
  <si>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</si>
  <si>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</si>
  <si>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</si>
  <si>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</si>
  <si>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</si>
  <si>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</si>
  <si>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</si>
  <si>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</si>
  <si>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</si>
  <si>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</si>
  <si>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</si>
  <si>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</si>
  <si>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</si>
  <si>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</si>
  <si>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</si>
  <si>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</si>
  <si>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</si>
  <si>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</si>
  <si>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</si>
  <si>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</si>
  <si>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</si>
  <si>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</si>
  <si>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</si>
  <si>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</si>
  <si>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</si>
  <si>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</si>
  <si>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</si>
  <si>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</si>
  <si>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</si>
  <si>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</si>
  <si>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</si>
  <si>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</si>
  <si>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</si>
  <si>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</si>
  <si>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</si>
  <si>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</si>
  <si>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</si>
  <si>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</si>
  <si>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</si>
  <si>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</si>
  <si>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</si>
  <si>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</si>
  <si>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</si>
  <si>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</si>
  <si>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</si>
  <si>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</si>
  <si>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</si>
  <si>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</si>
  <si>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</si>
  <si>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</si>
  <si>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</si>
  <si>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</si>
  <si>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</si>
  <si>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</si>
  <si>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</si>
  <si>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</si>
  <si>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</si>
  <si>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</si>
  <si>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</si>
  <si>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</si>
  <si>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</si>
  <si>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</si>
  <si>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</si>
  <si>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</si>
  <si>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</si>
  <si>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</si>
  <si>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</si>
  <si>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</si>
  <si>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</si>
  <si>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</si>
  <si>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</si>
  <si>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</si>
  <si>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</si>
  <si>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</si>
  <si>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</si>
  <si>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</si>
  <si>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</si>
  <si>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</si>
  <si>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</si>
  <si>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</si>
  <si>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</si>
  <si>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</si>
  <si>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</si>
  <si>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</si>
  <si>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</si>
  <si>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</si>
  <si>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</si>
  <si>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</si>
  <si>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</si>
  <si>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</si>
  <si>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</si>
  <si>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</si>
  <si>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</si>
  <si>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</si>
  <si>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</si>
  <si>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</si>
  <si>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</si>
  <si>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</si>
  <si>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</si>
  <si>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</si>
  <si>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</si>
  <si>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</si>
  <si>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</si>
  <si>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</si>
  <si>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</si>
  <si>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</si>
  <si>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</si>
  <si>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</si>
  <si>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</si>
  <si>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</si>
  <si>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</si>
  <si>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</si>
  <si>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</si>
  <si>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</si>
  <si>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</si>
  <si>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</si>
  <si>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</si>
  <si>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</si>
  <si>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</si>
  <si>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</si>
  <si>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</si>
  <si>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</si>
  <si>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</si>
  <si>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</si>
  <si>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</si>
  <si>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</si>
  <si>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</si>
  <si>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</si>
  <si>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</si>
  <si>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</si>
  <si>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</si>
  <si>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</si>
  <si>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</si>
  <si>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</si>
  <si>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</si>
  <si>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</si>
  <si>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</si>
  <si>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</si>
  <si>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</si>
  <si>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</si>
  <si>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</si>
  <si>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</si>
  <si>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</si>
  <si>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</si>
  <si>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</si>
  <si>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</si>
  <si>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</si>
  <si>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</si>
  <si>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</si>
  <si>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</si>
  <si>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</si>
  <si>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</si>
  <si>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</si>
  <si>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</si>
  <si>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</si>
  <si>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</si>
  <si>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</si>
  <si>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</si>
  <si>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</si>
  <si>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</si>
  <si>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</si>
  <si>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</si>
  <si>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</si>
  <si>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</si>
  <si>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</si>
  <si>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</si>
  <si>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</si>
  <si>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</si>
  <si>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</si>
  <si>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</si>
  <si>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</si>
  <si>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</si>
  <si>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</si>
  <si>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</si>
  <si>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</si>
  <si>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</si>
  <si>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</si>
  <si>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</si>
  <si>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</si>
  <si>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</si>
  <si>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</si>
  <si>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</si>
  <si>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</si>
  <si>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</si>
  <si>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</si>
  <si>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</si>
  <si>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</si>
  <si>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</si>
  <si>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</si>
  <si>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</si>
  <si>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</si>
  <si>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</si>
  <si>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</si>
  <si>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</si>
  <si>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</si>
  <si>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</si>
  <si>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</si>
  <si>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</si>
  <si>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</si>
  <si>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</si>
  <si>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</si>
  <si>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</si>
  <si>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</si>
  <si>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</si>
  <si>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</si>
  <si>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</si>
  <si>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</si>
  <si>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</si>
  <si>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</si>
  <si>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</si>
  <si>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</si>
  <si>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</si>
  <si>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</si>
  <si>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</si>
  <si>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</si>
  <si>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</si>
  <si>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</si>
  <si>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</si>
  <si>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</si>
  <si>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</si>
  <si>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</si>
  <si>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</si>
  <si>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</si>
  <si>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</si>
  <si>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</si>
  <si>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</si>
  <si>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</si>
  <si>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</si>
  <si>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</si>
  <si>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</si>
  <si>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</si>
  <si>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</si>
  <si>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</si>
  <si>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</si>
  <si>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</si>
  <si>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</si>
  <si>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</si>
  <si>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</si>
  <si>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</si>
  <si>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</si>
  <si>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</si>
  <si>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</si>
  <si>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</si>
  <si>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</si>
  <si>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</si>
  <si>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</si>
  <si>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</si>
  <si>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</si>
  <si>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</si>
  <si>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</si>
  <si>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</si>
  <si>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</si>
  <si>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</si>
  <si>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</si>
  <si>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</si>
  <si>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</si>
  <si>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</si>
  <si>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</si>
  <si>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</si>
  <si>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</si>
  <si>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</si>
  <si>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</si>
  <si>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</si>
  <si>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</si>
  <si>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</si>
  <si>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</si>
  <si>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</si>
  <si>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</si>
  <si>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</si>
  <si>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</si>
  <si>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</si>
  <si>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</si>
  <si>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</si>
  <si>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</si>
  <si>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</si>
  <si>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</si>
  <si>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</si>
  <si>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</si>
  <si>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</si>
  <si>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</si>
  <si>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</si>
  <si>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</si>
  <si>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</si>
  <si>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</si>
  <si>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</si>
  <si>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</si>
  <si>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</si>
  <si>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</si>
  <si>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</si>
  <si>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</si>
  <si>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</si>
  <si>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</si>
  <si>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</si>
  <si>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</si>
  <si>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</si>
  <si>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</si>
  <si>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</si>
  <si>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</si>
  <si>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</si>
  <si>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</si>
  <si>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</si>
  <si>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</si>
  <si>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</si>
  <si>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</si>
  <si>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</si>
  <si>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</si>
  <si>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</si>
  <si>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</si>
  <si>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</si>
  <si>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</si>
  <si>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</si>
  <si>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</si>
  <si>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</si>
  <si>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</si>
  <si>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</si>
  <si>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</si>
  <si>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</si>
  <si>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</si>
  <si>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</si>
  <si>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</si>
  <si>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</si>
  <si>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</si>
  <si>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</si>
  <si>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</si>
  <si>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</si>
  <si>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</si>
  <si>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</si>
  <si>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</si>
  <si>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</si>
  <si>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</si>
  <si>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</si>
  <si>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</si>
  <si>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</si>
  <si>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</si>
  <si>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</si>
  <si>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</si>
  <si>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</si>
  <si>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</si>
  <si>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</si>
  <si>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</si>
  <si>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</si>
  <si>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</si>
  <si>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</si>
  <si>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</si>
  <si>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</si>
  <si>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</si>
  <si>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</si>
  <si>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</si>
  <si>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</si>
  <si>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</si>
  <si>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</si>
  <si>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</si>
  <si>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</si>
  <si>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</si>
  <si>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</si>
  <si>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</si>
  <si>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</si>
  <si>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</si>
  <si>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</si>
  <si>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</si>
  <si>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</si>
  <si>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</si>
  <si>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</si>
  <si>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</si>
  <si>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</si>
  <si>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</si>
  <si>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</si>
  <si>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</si>
  <si>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</si>
  <si>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</si>
  <si>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</si>
  <si>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</si>
  <si>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</si>
  <si>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</si>
  <si>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</si>
  <si>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</si>
  <si>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</si>
  <si>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</si>
  <si>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</si>
  <si>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</si>
  <si>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</si>
  <si>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</si>
  <si>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</si>
  <si>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</si>
  <si>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</si>
  <si>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</si>
  <si>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</si>
  <si>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</si>
  <si>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</si>
  <si>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</si>
  <si>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</si>
  <si>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</si>
  <si>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</si>
  <si>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</si>
  <si>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</si>
  <si>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</si>
  <si>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</si>
  <si>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</si>
  <si>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</si>
  <si>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</si>
  <si>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</si>
  <si>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</si>
  <si>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</si>
  <si>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</si>
  <si>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</si>
  <si>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</si>
  <si>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</si>
  <si>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</si>
  <si>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</si>
  <si>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</si>
  <si>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</si>
  <si>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</si>
  <si>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</si>
  <si>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</si>
  <si>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</si>
  <si>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</si>
  <si>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</si>
  <si>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</si>
  <si>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</si>
  <si>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</si>
  <si>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</si>
  <si>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</si>
  <si>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</si>
  <si>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</si>
  <si>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</si>
  <si>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</si>
  <si>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</si>
  <si>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</si>
  <si>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</si>
  <si>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</si>
  <si>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</si>
  <si>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</si>
  <si>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</si>
  <si>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</si>
  <si>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</si>
  <si>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</si>
  <si>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</si>
  <si>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</si>
  <si>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</si>
  <si>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</si>
  <si>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</si>
  <si>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</si>
  <si>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</si>
  <si>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</si>
  <si>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</si>
  <si>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</si>
  <si>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</si>
  <si>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</si>
  <si>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</si>
  <si>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</si>
  <si>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</si>
  <si>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</si>
  <si>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</si>
  <si>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</si>
  <si>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</si>
  <si>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</si>
  <si>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</si>
  <si>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</si>
  <si>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</si>
  <si>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</si>
  <si>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</si>
  <si>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</si>
  <si>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</si>
  <si>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</si>
  <si>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</si>
  <si>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</si>
  <si>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</si>
  <si>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</si>
  <si>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</si>
  <si>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</si>
  <si>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</si>
  <si>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</si>
  <si>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</si>
  <si>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</si>
  <si>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</si>
  <si>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</si>
  <si>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</si>
  <si>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</si>
  <si>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</si>
  <si>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</si>
  <si>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</si>
  <si>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</si>
  <si>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</si>
  <si>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</si>
  <si>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</si>
  <si>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</si>
  <si>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</si>
  <si>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</si>
  <si>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</si>
  <si>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</si>
  <si>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</si>
  <si>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</si>
  <si>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</si>
  <si>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</si>
  <si>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</si>
  <si>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</si>
  <si>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</si>
  <si>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</si>
  <si>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</si>
  <si>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</si>
  <si>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</si>
  <si>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</si>
  <si>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</si>
  <si>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</si>
  <si>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</si>
  <si>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</si>
  <si>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</si>
  <si>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</si>
  <si>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</si>
  <si>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</si>
  <si>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</si>
  <si>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</si>
  <si>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</si>
  <si>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</si>
  <si>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</si>
  <si>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</si>
  <si>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</si>
  <si>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</si>
  <si>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</si>
  <si>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</si>
  <si>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</si>
  <si>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</si>
  <si>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</si>
  <si>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</si>
  <si>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</si>
  <si>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</si>
  <si>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</si>
  <si>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</si>
  <si>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</si>
  <si>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</si>
  <si>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</si>
  <si>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</si>
  <si>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</si>
  <si>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</si>
  <si>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</si>
  <si>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</si>
  <si>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</si>
  <si>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</si>
  <si>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</si>
  <si>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</si>
  <si>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</si>
  <si>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</si>
  <si>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</si>
  <si>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</si>
  <si>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</si>
  <si>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</si>
  <si>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</si>
  <si>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</si>
  <si>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</si>
  <si>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</si>
  <si>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</si>
  <si>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</si>
  <si>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</si>
  <si>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</si>
  <si>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</si>
  <si>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</si>
  <si>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</si>
  <si>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</si>
  <si>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</si>
  <si>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</si>
  <si>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</si>
  <si>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</si>
  <si>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</si>
  <si>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</si>
  <si>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</si>
  <si>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</si>
  <si>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</si>
  <si>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</si>
  <si>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</si>
  <si>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</si>
  <si>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</si>
  <si>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</si>
  <si>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</si>
  <si>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</si>
  <si>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</si>
  <si>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</si>
  <si>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</si>
  <si>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</si>
  <si>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</si>
  <si>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</si>
  <si>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</si>
  <si>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</si>
  <si>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</si>
  <si>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</si>
  <si>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</si>
  <si>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</si>
  <si>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</si>
  <si>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</si>
  <si>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</si>
  <si>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</si>
  <si>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</si>
  <si>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</si>
  <si>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</si>
  <si>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</si>
  <si>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</si>
  <si>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</si>
  <si>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</si>
  <si>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</si>
  <si>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</si>
  <si>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</si>
  <si>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</si>
  <si>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</si>
  <si>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</si>
  <si>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</si>
  <si>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</si>
  <si>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</si>
  <si>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</si>
  <si>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</si>
  <si>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</si>
  <si>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</si>
  <si>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</si>
  <si>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</si>
  <si>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</si>
  <si>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</si>
  <si>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</si>
  <si>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</si>
  <si>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</si>
  <si>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</si>
  <si>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</si>
  <si>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</si>
  <si>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</si>
  <si>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</si>
  <si>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</si>
  <si>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</si>
  <si>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</si>
  <si>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</si>
  <si>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</si>
  <si>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</si>
  <si>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</si>
  <si>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</si>
  <si>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</si>
  <si>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</si>
  <si>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</si>
  <si>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</si>
  <si>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</si>
  <si>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</si>
  <si>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</si>
  <si>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</si>
  <si>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</si>
  <si>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</si>
  <si>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</si>
  <si>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</si>
  <si>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</si>
  <si>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</si>
  <si>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</si>
  <si>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</si>
  <si>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</si>
  <si>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</si>
  <si>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</si>
  <si>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</si>
  <si>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</si>
  <si>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</si>
  <si>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</si>
  <si>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</si>
  <si>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</si>
  <si>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</si>
  <si>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</si>
  <si>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</si>
  <si>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</si>
  <si>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</si>
  <si>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</si>
  <si>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</si>
  <si>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</si>
  <si>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</si>
  <si>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</si>
  <si>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</si>
  <si>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</si>
  <si>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</si>
  <si>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</si>
  <si>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</si>
  <si>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</si>
  <si>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</si>
  <si>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</si>
  <si>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</si>
  <si>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</si>
  <si>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</si>
  <si>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</si>
  <si>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</si>
  <si>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</si>
  <si>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</si>
  <si>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</si>
  <si>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</si>
  <si>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</si>
  <si>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</si>
  <si>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</si>
  <si>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</si>
  <si>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</si>
  <si>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</si>
  <si>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</si>
  <si>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</si>
  <si>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</si>
  <si>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</si>
  <si>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</si>
  <si>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</si>
  <si>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</si>
  <si>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</si>
  <si>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</si>
  <si>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</si>
  <si>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</si>
  <si>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</si>
  <si>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</si>
  <si>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</si>
  <si>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</si>
  <si>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</si>
  <si>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</si>
  <si>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</si>
  <si>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</si>
  <si>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</si>
  <si>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</si>
  <si>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</si>
  <si>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</si>
  <si>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</si>
  <si>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</si>
  <si>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</si>
  <si>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</si>
  <si>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</si>
  <si>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</si>
  <si>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</si>
  <si>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</si>
  <si>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</si>
  <si>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</si>
  <si>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</si>
  <si>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</si>
  <si>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</si>
  <si>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</si>
  <si>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</si>
  <si>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</si>
  <si>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</si>
  <si>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</si>
  <si>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</si>
  <si>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</si>
  <si>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</si>
  <si>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</si>
  <si>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</si>
  <si>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</si>
  <si>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</si>
  <si>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</si>
  <si>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</si>
  <si>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</si>
  <si>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</si>
  <si>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</si>
  <si>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</si>
  <si>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</si>
  <si>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</si>
  <si>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</si>
  <si>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</si>
  <si>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</si>
  <si>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</si>
  <si>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</si>
  <si>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</si>
  <si>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</si>
  <si>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</si>
  <si>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</si>
  <si>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</si>
  <si>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</si>
  <si>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</si>
  <si>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</si>
  <si>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</si>
  <si>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</si>
  <si>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</si>
  <si>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</si>
  <si>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</si>
  <si>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</si>
  <si>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</si>
  <si>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</si>
  <si>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</si>
  <si>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</si>
  <si>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</si>
  <si>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</si>
  <si>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</si>
  <si>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</si>
  <si>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</si>
  <si>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</si>
  <si>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</si>
  <si>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</si>
  <si>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</si>
  <si>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</si>
  <si>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</si>
  <si>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</si>
  <si>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</si>
  <si>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</si>
  <si>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</si>
  <si>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</si>
  <si>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</si>
  <si>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</si>
  <si>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</si>
  <si>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</si>
  <si>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</si>
  <si>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</si>
  <si>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</si>
  <si>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</si>
  <si>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</si>
  <si>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</si>
  <si>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</si>
  <si>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</si>
  <si>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</si>
  <si>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</si>
  <si>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</si>
  <si>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</si>
  <si>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</si>
  <si>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</si>
  <si>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</si>
  <si>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</si>
  <si>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</si>
  <si>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</si>
  <si>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</si>
  <si>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</si>
  <si>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</si>
  <si>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</si>
  <si>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</si>
  <si>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</si>
  <si>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</si>
  <si>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</si>
  <si>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</si>
  <si>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</si>
  <si>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</si>
  <si>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</si>
  <si>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</si>
  <si>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</si>
  <si>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</si>
  <si>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</si>
  <si>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</si>
  <si>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</si>
  <si>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</si>
  <si>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</si>
  <si>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</si>
  <si>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</si>
  <si>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</si>
  <si>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</si>
  <si>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</si>
  <si>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</si>
  <si>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</si>
  <si>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</si>
  <si>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</si>
  <si>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</si>
  <si>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</si>
  <si>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</si>
  <si>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</si>
  <si>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</si>
  <si>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</si>
  <si>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</si>
  <si>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</si>
  <si>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</si>
  <si>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</si>
  <si>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</si>
  <si>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</si>
  <si>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</si>
  <si>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</si>
  <si>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</si>
  <si>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</si>
  <si>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</si>
  <si>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</si>
  <si>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</si>
  <si>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</si>
  <si>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</si>
  <si>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</si>
  <si>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</si>
  <si>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</si>
  <si>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</si>
  <si>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</si>
  <si>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</si>
  <si>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</si>
  <si>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</si>
  <si>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</si>
  <si>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</si>
  <si>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</si>
  <si>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</si>
  <si>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</si>
  <si>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</si>
  <si>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</si>
  <si>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</si>
  <si>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</si>
  <si>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</si>
  <si>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</si>
  <si>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</si>
  <si>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</si>
  <si>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</si>
  <si>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</si>
  <si>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</si>
  <si>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</si>
  <si>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</si>
  <si>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</si>
  <si>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</si>
  <si>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</si>
  <si>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</si>
  <si>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</si>
  <si>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</si>
  <si>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</si>
  <si>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</si>
  <si>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</si>
  <si>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</si>
  <si>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</si>
  <si>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</si>
  <si>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</si>
  <si>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</si>
  <si>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</si>
  <si>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</si>
  <si>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</si>
  <si>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</si>
  <si>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</si>
  <si>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</si>
  <si>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</si>
  <si>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</si>
  <si>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</si>
  <si>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</si>
  <si>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</si>
  <si>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</si>
  <si>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</si>
  <si>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</si>
  <si>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</si>
  <si>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</si>
  <si>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</si>
  <si>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</si>
  <si>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</si>
  <si>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</si>
  <si>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</si>
  <si>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</si>
  <si>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</si>
  <si>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</si>
  <si>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</si>
  <si>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</si>
  <si>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</si>
  <si>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</si>
  <si>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</si>
  <si>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</si>
  <si>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</si>
  <si>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</si>
  <si>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</si>
  <si>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</si>
  <si>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</si>
  <si>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</si>
  <si>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</si>
  <si>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</si>
  <si>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</si>
  <si>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</si>
  <si>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</si>
  <si>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</si>
  <si>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</si>
  <si>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</si>
  <si>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</si>
  <si>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</si>
  <si>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</si>
  <si>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</si>
  <si>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</si>
  <si>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</si>
  <si>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</si>
  <si>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</si>
  <si>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</si>
  <si>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</si>
  <si>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</si>
  <si>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</si>
  <si>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</si>
  <si>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</si>
  <si>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</si>
  <si>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</si>
  <si>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</si>
  <si>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</si>
  <si>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</si>
  <si>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</si>
  <si>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</si>
  <si>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</si>
  <si>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</si>
  <si>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</si>
  <si>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</si>
  <si>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</si>
  <si>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</si>
  <si>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</si>
  <si>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</si>
  <si>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</si>
  <si>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</si>
  <si>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</si>
  <si>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</si>
  <si>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</si>
  <si>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</si>
  <si>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</si>
  <si>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</si>
  <si>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</si>
  <si>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</si>
  <si>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</si>
  <si>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</si>
  <si>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</si>
  <si>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</si>
  <si>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</si>
  <si>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</si>
  <si>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</si>
  <si>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</si>
  <si>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</si>
  <si>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</si>
  <si>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</si>
  <si>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</si>
  <si>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</si>
  <si>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</si>
  <si>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</si>
  <si>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</si>
  <si>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</si>
  <si>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</si>
  <si>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</si>
  <si>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</si>
  <si>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</si>
  <si>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</si>
  <si>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</si>
  <si>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</si>
  <si>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</si>
  <si>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</si>
  <si>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</si>
  <si>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</si>
  <si>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</si>
  <si>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</si>
  <si>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</si>
  <si>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</si>
  <si>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</si>
  <si>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</si>
  <si>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</si>
  <si>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</si>
  <si>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</si>
  <si>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</si>
  <si>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</si>
  <si>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</si>
  <si>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</si>
  <si>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</si>
  <si>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</si>
  <si>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</si>
  <si>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</si>
  <si>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</si>
  <si>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</si>
  <si>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</si>
  <si>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</si>
  <si>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</si>
  <si>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</si>
  <si>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</si>
  <si>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</si>
  <si>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</si>
  <si>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</si>
  <si>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</si>
  <si>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</si>
  <si>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</si>
  <si>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</si>
  <si>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</si>
  <si>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</si>
  <si>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</si>
  <si>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</si>
  <si>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</si>
  <si>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</si>
  <si>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</si>
  <si>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</si>
  <si>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</si>
  <si>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</si>
  <si>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</si>
  <si>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</si>
  <si>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</si>
  <si>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</si>
  <si>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</si>
  <si>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</si>
  <si>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</si>
  <si>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</si>
  <si>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</si>
  <si>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</si>
  <si>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</si>
  <si>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</si>
  <si>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</si>
  <si>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</si>
  <si>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</si>
  <si>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</si>
  <si>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</si>
  <si>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</si>
  <si>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</si>
  <si>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</si>
  <si>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</si>
  <si>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</si>
  <si>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</si>
  <si>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</si>
  <si>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</si>
  <si>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</si>
  <si>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</si>
  <si>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</si>
  <si>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</si>
  <si>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</si>
  <si>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</si>
  <si>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</si>
  <si>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</si>
  <si>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</si>
  <si>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</si>
  <si>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</si>
  <si>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</si>
  <si>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</si>
  <si>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</si>
  <si>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</si>
  <si>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</si>
  <si>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</si>
  <si>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</si>
  <si>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</si>
  <si>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</si>
  <si>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</si>
  <si>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</si>
  <si>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</si>
  <si>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</si>
  <si>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</si>
  <si>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</si>
  <si>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</si>
  <si>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</si>
  <si>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</si>
  <si>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</si>
  <si>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</si>
  <si>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</si>
  <si>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</si>
  <si>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</si>
  <si>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</si>
  <si>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</si>
  <si>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</si>
  <si>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</si>
  <si>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</si>
  <si>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</si>
  <si>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</si>
  <si>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</si>
  <si>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</si>
  <si>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</si>
  <si>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</si>
  <si>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</si>
  <si>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</si>
  <si>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</si>
  <si>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</si>
  <si>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</si>
  <si>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</si>
  <si>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</si>
  <si>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</si>
  <si>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</si>
  <si>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</si>
  <si>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</si>
  <si>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</si>
  <si>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</si>
  <si>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</si>
  <si>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</si>
  <si>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</si>
  <si>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</si>
  <si>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</si>
  <si>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</si>
  <si>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</si>
  <si>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</si>
  <si>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</si>
  <si>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</si>
  <si>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</si>
  <si>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</si>
  <si>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</si>
  <si>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</si>
  <si>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</si>
  <si>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</si>
  <si>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</si>
  <si>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</si>
  <si>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</si>
  <si>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</si>
  <si>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</si>
  <si>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</si>
  <si>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</si>
  <si>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</si>
  <si>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</si>
  <si>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</si>
  <si>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</si>
  <si>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</si>
  <si>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</si>
  <si>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</si>
  <si>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</si>
  <si>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</si>
  <si>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</si>
  <si>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</si>
  <si>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</si>
  <si>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</si>
  <si>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</si>
  <si>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</si>
  <si>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</si>
  <si>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</si>
  <si>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</si>
  <si>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</si>
  <si>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</si>
  <si>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</si>
  <si>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</si>
  <si>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</si>
  <si>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</si>
  <si>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</si>
  <si>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</si>
  <si>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</si>
  <si>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</si>
  <si>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</si>
  <si>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</si>
  <si>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</si>
  <si>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</si>
  <si>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</si>
  <si>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</si>
  <si>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</si>
  <si>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</si>
  <si>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</si>
  <si>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</si>
  <si>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</si>
  <si>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</si>
  <si>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</si>
  <si>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</si>
  <si>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</si>
  <si>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</si>
  <si>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</si>
  <si>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</si>
  <si>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</si>
  <si>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</si>
  <si>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</si>
  <si>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</si>
  <si>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</si>
  <si>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</si>
  <si>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</si>
  <si>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</si>
  <si>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</si>
  <si>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</si>
  <si>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</si>
  <si>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</si>
  <si>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</si>
  <si>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</si>
  <si>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</si>
  <si>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</si>
  <si>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</si>
  <si>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</si>
  <si>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</si>
  <si>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</si>
  <si>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</si>
  <si>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</si>
  <si>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</si>
  <si>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</si>
  <si>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</si>
  <si>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</si>
  <si>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</si>
  <si>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</si>
  <si>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</si>
  <si>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</si>
  <si>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</si>
  <si>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</si>
  <si>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</si>
  <si>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</si>
  <si>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</si>
  <si>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</si>
  <si>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</si>
  <si>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</si>
  <si>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</si>
  <si>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</si>
  <si>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</si>
  <si>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</si>
  <si>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</si>
  <si>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</si>
  <si>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</si>
  <si>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</si>
  <si>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</si>
  <si>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</si>
  <si>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</si>
  <si>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</si>
  <si>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</si>
  <si>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</si>
  <si>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</si>
  <si>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</si>
  <si>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</si>
  <si>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</si>
  <si>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</si>
  <si>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</si>
  <si>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</si>
  <si>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</si>
  <si>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</si>
  <si>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</si>
  <si>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</si>
  <si>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</si>
  <si>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</si>
  <si>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</si>
  <si>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</si>
  <si>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</si>
  <si>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</si>
  <si>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</si>
  <si>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</si>
  <si>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</si>
  <si>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</si>
  <si>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</si>
  <si>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</si>
  <si>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</si>
  <si>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</si>
  <si>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</si>
  <si>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</si>
  <si>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</si>
  <si>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</si>
  <si>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</si>
  <si>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</si>
  <si>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</si>
  <si>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</si>
  <si>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</si>
  <si>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</si>
  <si>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</si>
  <si>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</si>
  <si>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</si>
  <si>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</si>
  <si>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</si>
  <si>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</si>
  <si>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</si>
  <si>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</si>
  <si>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</si>
  <si>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</si>
  <si>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</si>
  <si>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</si>
  <si>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</si>
  <si>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</si>
  <si>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</si>
  <si>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</si>
  <si>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</si>
  <si>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</si>
  <si>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</si>
  <si>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</si>
  <si>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</si>
  <si>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</si>
  <si>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</si>
  <si>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</si>
  <si>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</si>
  <si>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</si>
  <si>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</si>
  <si>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</si>
  <si>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</si>
  <si>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</si>
  <si>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</si>
  <si>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</si>
  <si>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</si>
  <si>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</si>
  <si>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</si>
  <si>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</si>
  <si>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</si>
  <si>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</si>
  <si>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</si>
  <si>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</si>
  <si>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</si>
  <si>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</si>
  <si>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</si>
  <si>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</si>
  <si>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</si>
  <si>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</si>
  <si>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</si>
  <si>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</si>
  <si>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</si>
  <si>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</si>
  <si>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</si>
  <si>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</si>
  <si>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</si>
  <si>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</si>
  <si>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</si>
  <si>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</si>
  <si>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</si>
  <si>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</si>
  <si>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</si>
  <si>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</si>
  <si>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</si>
  <si>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</si>
  <si>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</si>
  <si>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</si>
  <si>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</si>
  <si>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</si>
  <si>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</si>
  <si>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</si>
  <si>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</si>
  <si>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</si>
  <si>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</si>
  <si>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</si>
  <si>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</si>
  <si>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</si>
  <si>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</si>
  <si>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</si>
  <si>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</si>
  <si>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</si>
  <si>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</si>
  <si>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</si>
  <si>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</si>
  <si>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</si>
  <si>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</si>
  <si>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</si>
  <si>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</si>
  <si>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</si>
  <si>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</si>
  <si>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</si>
  <si>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</si>
  <si>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</si>
  <si>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</si>
  <si>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</si>
  <si>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</si>
  <si>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</si>
  <si>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</si>
  <si>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</si>
  <si>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</si>
  <si>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</si>
  <si>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</si>
  <si>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</si>
  <si>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</si>
  <si>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</si>
  <si>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</si>
  <si>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</si>
  <si>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</si>
  <si>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</si>
  <si>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</si>
  <si>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</si>
  <si>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</si>
  <si>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</si>
  <si>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</si>
  <si>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</si>
  <si>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</si>
  <si>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</si>
  <si>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</si>
  <si>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</si>
  <si>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</si>
  <si>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</si>
  <si>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</si>
  <si>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</si>
  <si>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</si>
  <si>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</si>
  <si>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</si>
  <si>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</si>
  <si>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</si>
  <si>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</si>
  <si>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</si>
  <si>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</si>
  <si>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</si>
  <si>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</si>
  <si>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</si>
  <si>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</si>
  <si>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</si>
  <si>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</si>
  <si>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</si>
  <si>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</si>
  <si>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</si>
  <si>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</si>
  <si>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</si>
  <si>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</si>
  <si>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</si>
  <si>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</si>
  <si>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</si>
  <si>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</si>
  <si>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</si>
  <si>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</si>
  <si>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</si>
  <si>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</si>
  <si>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</si>
  <si>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</si>
  <si>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</si>
  <si>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</si>
  <si>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</si>
  <si>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</si>
  <si>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</si>
  <si>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</si>
  <si>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</si>
  <si>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</si>
  <si>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</si>
  <si>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</si>
  <si>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</si>
  <si>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</si>
  <si>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</si>
  <si>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</si>
  <si>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</si>
  <si>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</si>
  <si>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</si>
  <si>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</si>
  <si>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</si>
  <si>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</si>
  <si>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</si>
  <si>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</si>
  <si>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</si>
  <si>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</si>
  <si>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</si>
  <si>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</si>
  <si>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</si>
  <si>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</si>
  <si>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</si>
  <si>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</si>
  <si>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</si>
  <si>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</si>
  <si>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</si>
  <si>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</si>
  <si>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</si>
  <si>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</si>
  <si>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</si>
  <si>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</si>
  <si>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</si>
  <si>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</si>
  <si>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</si>
  <si>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</si>
  <si>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</si>
  <si>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</si>
  <si>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</si>
  <si>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</si>
  <si>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</si>
  <si>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</si>
  <si>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</si>
  <si>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</si>
  <si>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</si>
  <si>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</si>
  <si>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</si>
  <si>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</si>
  <si>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</si>
  <si>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</si>
  <si>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</si>
  <si>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</si>
  <si>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</si>
  <si>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</si>
  <si>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</si>
  <si>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</si>
  <si>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</si>
  <si>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</si>
  <si>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</si>
  <si>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</si>
  <si>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</si>
  <si>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</si>
  <si>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</si>
  <si>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</si>
  <si>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</si>
  <si>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</si>
  <si>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</si>
  <si>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</si>
  <si>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</si>
  <si>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</si>
  <si>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</si>
  <si>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</si>
  <si>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</si>
  <si>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</si>
  <si>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</si>
  <si>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</si>
  <si>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</si>
  <si>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</si>
  <si>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</si>
  <si>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</si>
  <si>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</si>
  <si>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</si>
  <si>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</si>
  <si>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</si>
  <si>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</si>
  <si>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</si>
  <si>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</si>
  <si>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</si>
  <si>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</si>
  <si>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</si>
  <si>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</si>
  <si>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</si>
  <si>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</si>
  <si>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</si>
  <si>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</si>
  <si>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</si>
  <si>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</si>
  <si>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</si>
  <si>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</si>
  <si>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</si>
  <si>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</si>
  <si>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</si>
  <si>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</si>
  <si>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</si>
  <si>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</si>
  <si>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</si>
  <si>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</si>
  <si>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</si>
  <si>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</si>
  <si>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</si>
  <si>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</si>
  <si>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</si>
  <si>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</si>
  <si>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</si>
  <si>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</si>
  <si>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</si>
  <si>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</si>
  <si>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</si>
  <si>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</si>
  <si>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</si>
  <si>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</si>
  <si>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</si>
  <si>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</si>
  <si>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</si>
  <si>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</si>
  <si>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</si>
  <si>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</si>
  <si>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</si>
  <si>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</si>
  <si>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</si>
  <si>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</si>
  <si>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</si>
  <si>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</si>
  <si>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</si>
  <si>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</si>
  <si>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</si>
  <si>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</si>
  <si>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</si>
  <si>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</si>
  <si>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</si>
  <si>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</si>
  <si>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</si>
  <si>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</si>
  <si>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</si>
  <si>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</si>
  <si>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</si>
  <si>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</si>
  <si>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</si>
  <si>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</si>
  <si>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</si>
  <si>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</si>
  <si>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</si>
  <si>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</si>
  <si>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</si>
  <si>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</si>
  <si>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</si>
  <si>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</si>
  <si>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</si>
  <si>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</si>
  <si>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</si>
  <si>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</si>
  <si>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</si>
  <si>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</si>
  <si>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</si>
  <si>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</si>
  <si>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</si>
  <si>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</si>
  <si>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</si>
  <si>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</si>
  <si>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</si>
  <si>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</si>
  <si>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</si>
  <si>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</si>
  <si>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</si>
  <si>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</si>
  <si>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</si>
  <si>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</si>
  <si>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</si>
  <si>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</si>
  <si>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</si>
  <si>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</si>
  <si>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</si>
  <si>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</si>
  <si>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</si>
  <si>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</si>
  <si>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</si>
  <si>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</si>
  <si>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</si>
  <si>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</si>
  <si>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</si>
  <si>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</si>
  <si>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</si>
  <si>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</si>
  <si>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</si>
  <si>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</si>
  <si>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</si>
  <si>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</si>
  <si>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</si>
  <si>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</si>
  <si>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</si>
  <si>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</si>
  <si>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</si>
  <si>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</si>
  <si>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</si>
  <si>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</si>
  <si>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</si>
  <si>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</si>
  <si>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</si>
  <si>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</si>
  <si>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</si>
  <si>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</si>
  <si>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</si>
  <si>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</si>
  <si>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</si>
  <si>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</si>
  <si>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</si>
  <si>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</si>
  <si>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</si>
  <si>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</si>
  <si>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</si>
  <si>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</si>
  <si>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</si>
  <si>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</si>
  <si>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</si>
  <si>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</si>
  <si>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</si>
  <si>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</si>
  <si>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</si>
  <si>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</si>
  <si>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</si>
  <si>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</si>
  <si>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</si>
  <si>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</si>
  <si>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</si>
  <si>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</si>
  <si>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</si>
  <si>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</si>
  <si>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</si>
  <si>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</si>
  <si>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</si>
  <si>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</si>
  <si>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</si>
  <si>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</si>
  <si>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</si>
  <si>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</si>
  <si>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</si>
  <si>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</si>
  <si>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</si>
  <si>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</si>
  <si>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</si>
  <si>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</si>
  <si>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</si>
  <si>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</si>
  <si>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</si>
  <si>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</si>
  <si>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</si>
  <si>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</si>
  <si>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</si>
  <si>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</si>
  <si>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</si>
  <si>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</si>
  <si>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</si>
  <si>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</si>
  <si>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</si>
  <si>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</si>
  <si>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</si>
  <si>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</si>
  <si>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</si>
  <si>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</si>
  <si>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</si>
  <si>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</si>
  <si>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</si>
  <si>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</si>
  <si>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</si>
  <si>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</si>
  <si>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</si>
  <si>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</si>
  <si>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</si>
  <si>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</si>
  <si>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</si>
  <si>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</si>
  <si>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</si>
  <si>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</si>
  <si>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</si>
  <si>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</si>
  <si>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</si>
  <si>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</si>
  <si>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</si>
  <si>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</si>
  <si>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</si>
  <si>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</si>
  <si>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</si>
  <si>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</si>
  <si>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</si>
  <si>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</si>
  <si>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</si>
  <si>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</si>
  <si>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</si>
  <si>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</si>
  <si>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</si>
  <si>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</si>
  <si>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</si>
  <si>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</si>
  <si>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</si>
  <si>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</si>
  <si>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</si>
  <si>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</si>
  <si>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</si>
  <si>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</si>
  <si>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</si>
  <si>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</si>
  <si>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</si>
  <si>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</si>
  <si>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</si>
  <si>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</si>
  <si>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</si>
  <si>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</si>
  <si>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</si>
  <si>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</si>
  <si>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</si>
  <si>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</si>
  <si>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</si>
  <si>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</si>
  <si>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</si>
  <si>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</si>
  <si>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</si>
  <si>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</si>
  <si>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</si>
  <si>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</si>
  <si>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</si>
  <si>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</si>
  <si>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</si>
  <si>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</si>
  <si>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</si>
  <si>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</si>
  <si>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</si>
  <si>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</si>
  <si>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</si>
  <si>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</si>
  <si>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</si>
  <si>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</si>
  <si>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</si>
  <si>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</si>
  <si>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</si>
  <si>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</si>
  <si>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</si>
  <si>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</si>
  <si>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</si>
  <si>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</si>
  <si>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</si>
  <si>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</si>
  <si>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</si>
  <si>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</si>
  <si>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</si>
  <si>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</si>
  <si>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</si>
  <si>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</si>
  <si>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</si>
  <si>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</si>
  <si>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</si>
  <si>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</si>
  <si>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</si>
  <si>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</si>
  <si>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</si>
  <si>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</si>
  <si>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</si>
  <si>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</si>
  <si>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</si>
  <si>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</si>
  <si>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</si>
  <si>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</si>
  <si>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</si>
  <si>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</si>
  <si>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</si>
  <si>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</si>
  <si>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</si>
  <si>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</si>
  <si>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</si>
  <si>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</si>
  <si>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</si>
  <si>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</si>
  <si>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</si>
  <si>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</si>
  <si>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</si>
  <si>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</si>
  <si>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</si>
  <si>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</si>
  <si>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</si>
  <si>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</si>
  <si>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</si>
  <si>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</si>
  <si>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</si>
  <si>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</si>
  <si>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</si>
  <si>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</si>
  <si>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</si>
  <si>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</si>
  <si>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</si>
  <si>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</si>
  <si>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</si>
  <si>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</si>
  <si>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</si>
  <si>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</si>
  <si>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</si>
  <si>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</si>
  <si>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</si>
  <si>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</si>
  <si>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</si>
  <si>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</si>
  <si>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</si>
  <si>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</si>
  <si>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</si>
  <si>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</si>
  <si>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</si>
  <si>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</si>
  <si>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</si>
  <si>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</si>
  <si>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</si>
  <si>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</si>
  <si>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</si>
  <si>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</si>
  <si>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</si>
  <si>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</si>
  <si>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</si>
  <si>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</si>
  <si>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</si>
  <si>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</si>
  <si>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</si>
  <si>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</si>
  <si>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</si>
  <si>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</si>
  <si>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</si>
  <si>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</si>
  <si>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</si>
  <si>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</si>
  <si>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</si>
  <si>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</si>
  <si>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</si>
  <si>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</si>
  <si>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</si>
  <si>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</si>
  <si>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</si>
  <si>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</si>
  <si>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</si>
  <si>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</si>
  <si>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</si>
  <si>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</si>
  <si>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</si>
  <si>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</si>
  <si>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</si>
  <si>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</si>
  <si>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</si>
  <si>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</si>
  <si>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</si>
  <si>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</si>
  <si>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</si>
  <si>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</si>
  <si>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</si>
  <si>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</si>
  <si>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</si>
  <si>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</si>
  <si>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</si>
  <si>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</si>
  <si>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</si>
  <si>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</si>
  <si>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</si>
  <si>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</si>
  <si>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</si>
  <si>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</si>
  <si>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</si>
  <si>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</si>
  <si>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</si>
  <si>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</si>
  <si>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</si>
  <si>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</si>
  <si>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</si>
  <si>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</si>
  <si>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</si>
  <si>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</si>
  <si>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</si>
  <si>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</si>
  <si>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</si>
  <si>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</si>
  <si>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</si>
  <si>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</si>
  <si>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</si>
  <si>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</si>
  <si>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</si>
  <si>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</si>
  <si>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</si>
  <si>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</si>
  <si>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</si>
  <si>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</si>
  <si>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</si>
  <si>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</si>
  <si>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</si>
  <si>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</si>
  <si>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</si>
  <si>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</si>
  <si>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</si>
  <si>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</si>
  <si>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</si>
  <si>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</si>
  <si>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</si>
  <si>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</si>
  <si>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</si>
  <si>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</si>
  <si>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</si>
  <si>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</si>
  <si>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</si>
  <si>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</si>
  <si>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</si>
  <si>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</si>
  <si>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</si>
  <si>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</si>
  <si>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</si>
  <si>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</si>
  <si>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</si>
  <si>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</si>
  <si>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</si>
  <si>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</si>
  <si>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</si>
  <si>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</si>
  <si>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</si>
  <si>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</si>
  <si>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</si>
  <si>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</si>
  <si>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</si>
  <si>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</si>
  <si>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</si>
  <si>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</si>
  <si>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</si>
  <si>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</si>
  <si>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</si>
  <si>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</si>
  <si>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</si>
  <si>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</si>
  <si>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</si>
  <si>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</si>
  <si>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</si>
  <si>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</si>
  <si>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</si>
  <si>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</si>
  <si>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</si>
  <si>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</si>
  <si>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</si>
  <si>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</si>
  <si>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</si>
  <si>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</si>
  <si>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</si>
  <si>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</si>
  <si>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</si>
  <si>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</si>
  <si>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</si>
  <si>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</si>
  <si>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</si>
  <si>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</si>
  <si>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</si>
  <si>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</si>
  <si>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</si>
  <si>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</si>
  <si>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</si>
  <si>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</si>
  <si>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</si>
  <si>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</si>
  <si>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</si>
  <si>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</si>
  <si>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</si>
  <si>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</si>
  <si>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</si>
  <si>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</si>
  <si>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</si>
  <si>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</si>
  <si>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</si>
  <si>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</si>
  <si>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</si>
  <si>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</si>
  <si>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</si>
  <si>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</si>
  <si>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</si>
  <si>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</si>
  <si>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</si>
  <si>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</si>
  <si>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</si>
  <si>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</si>
  <si>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</si>
  <si>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</si>
  <si>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</si>
  <si>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</si>
  <si>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</si>
  <si>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</si>
  <si>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</si>
  <si>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</si>
  <si>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</si>
  <si>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</si>
  <si>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</si>
  <si>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</si>
  <si>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</si>
  <si>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</si>
  <si>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</si>
  <si>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</si>
  <si>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</si>
  <si>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</si>
  <si>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</si>
  <si>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</si>
  <si>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</si>
  <si>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</si>
  <si>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</si>
  <si>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</si>
  <si>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</si>
  <si>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</si>
  <si>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</si>
  <si>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</si>
  <si>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</si>
  <si>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</si>
  <si>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</si>
  <si>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</si>
  <si>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</si>
  <si>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</si>
  <si>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</si>
  <si>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</si>
  <si>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</si>
  <si>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</si>
  <si>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</si>
  <si>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</si>
  <si>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</si>
  <si>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</si>
  <si>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</si>
  <si>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</si>
  <si>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</si>
  <si>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</si>
  <si>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</si>
  <si>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</si>
  <si>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</si>
  <si>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</si>
  <si>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</si>
  <si>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</si>
  <si>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</si>
  <si>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</si>
  <si>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</si>
  <si>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</si>
  <si>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</si>
  <si>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</si>
  <si>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</si>
  <si>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</si>
  <si>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</si>
  <si>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</si>
  <si>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</si>
  <si>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</si>
  <si>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</si>
  <si>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</si>
  <si>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</si>
  <si>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</si>
  <si>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</si>
  <si>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</si>
  <si>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</si>
  <si>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</si>
  <si>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</si>
  <si>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</si>
  <si>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</si>
  <si>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</si>
  <si>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</si>
  <si>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</si>
  <si>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</si>
  <si>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</si>
  <si>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</si>
  <si>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</si>
  <si>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</si>
  <si>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</si>
  <si>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</si>
  <si>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</si>
  <si>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</si>
  <si>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</si>
  <si>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</si>
  <si>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</si>
  <si>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</si>
  <si>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</si>
  <si>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</si>
  <si>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</si>
  <si>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</si>
  <si>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</si>
  <si>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</si>
  <si>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</si>
  <si>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</si>
  <si>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</si>
  <si>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</si>
  <si>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</si>
  <si>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</si>
  <si>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</si>
  <si>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</si>
  <si>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</si>
  <si>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</si>
  <si>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</si>
  <si>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</si>
  <si>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</si>
  <si>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</si>
  <si>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</si>
  <si>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</si>
  <si>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</si>
  <si>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</si>
  <si>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</si>
  <si>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</si>
  <si>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</si>
  <si>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</si>
  <si>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</si>
  <si>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</si>
  <si>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</si>
  <si>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</si>
  <si>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</si>
  <si>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</si>
  <si>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</si>
  <si>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</si>
  <si>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</si>
  <si>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</si>
  <si>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</si>
  <si>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</si>
  <si>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</si>
  <si>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</si>
  <si>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</si>
  <si>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</si>
  <si>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</si>
  <si>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</si>
  <si>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</si>
  <si>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</si>
  <si>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</si>
  <si>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</si>
  <si>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</si>
  <si>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</si>
  <si>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</si>
  <si>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</si>
  <si>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</si>
  <si>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</si>
  <si>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</si>
  <si>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</si>
  <si>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</si>
  <si>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</si>
  <si>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</si>
  <si>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</si>
  <si>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</si>
  <si>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</si>
  <si>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</si>
  <si>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</si>
  <si>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</si>
  <si>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</si>
  <si>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</si>
  <si>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</si>
  <si>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</si>
  <si>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</si>
  <si>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</si>
  <si>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</si>
  <si>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</si>
  <si>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</si>
  <si>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</si>
  <si>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</si>
  <si>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</si>
  <si>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</si>
  <si>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</si>
  <si>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</si>
  <si>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</si>
  <si>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</si>
  <si>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</si>
  <si>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</si>
  <si>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</si>
  <si>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</si>
  <si>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</si>
  <si>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</si>
  <si>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</si>
  <si>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</si>
  <si>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</si>
  <si>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</si>
  <si>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</si>
  <si>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</si>
  <si>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</si>
  <si>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</si>
  <si>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</si>
  <si>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</si>
  <si>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</si>
  <si>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</si>
  <si>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</si>
  <si>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</si>
  <si>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</si>
  <si>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</si>
  <si>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</si>
  <si>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</si>
  <si>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</si>
  <si>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</si>
  <si>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</si>
  <si>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</si>
  <si>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</si>
  <si>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</si>
  <si>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</si>
  <si>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</si>
  <si>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</si>
  <si>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</si>
  <si>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</si>
  <si>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</si>
  <si>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</si>
  <si>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</si>
  <si>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</si>
  <si>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</si>
  <si>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</si>
  <si>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</si>
  <si>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</si>
  <si>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</si>
  <si>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</si>
  <si>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</si>
  <si>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</si>
  <si>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</si>
  <si>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</si>
  <si>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</si>
  <si>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</si>
  <si>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</si>
  <si>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</si>
  <si>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</si>
  <si>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</si>
  <si>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</si>
  <si>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</si>
  <si>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</si>
  <si>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</si>
  <si>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</si>
  <si>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</si>
  <si>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</si>
  <si>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</si>
  <si>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</si>
  <si>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</si>
  <si>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</si>
  <si>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</si>
  <si>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</si>
  <si>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</si>
  <si>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</si>
  <si>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</si>
  <si>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</si>
  <si>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</si>
  <si>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</si>
  <si>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</si>
  <si>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</si>
  <si>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</si>
  <si>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</si>
  <si>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</si>
  <si>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</si>
  <si>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</si>
  <si>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</si>
  <si>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</si>
  <si>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</si>
  <si>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</si>
  <si>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</si>
  <si>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</si>
  <si>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</si>
  <si>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</si>
  <si>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</si>
  <si>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</si>
  <si>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</si>
  <si>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</si>
  <si>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</si>
  <si>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</si>
  <si>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</si>
  <si>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</si>
  <si>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</si>
  <si>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</si>
  <si>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</si>
  <si>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</si>
  <si>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</si>
  <si>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</si>
  <si>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</si>
  <si>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</si>
  <si>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</si>
  <si>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</si>
  <si>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</si>
  <si>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</si>
  <si>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</si>
  <si>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</si>
  <si>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</si>
  <si>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</si>
  <si>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</si>
  <si>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</si>
  <si>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</si>
  <si>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</si>
  <si>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</si>
  <si>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</si>
  <si>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</si>
  <si>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</si>
  <si>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</si>
  <si>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</si>
  <si>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</si>
  <si>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</si>
  <si>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</si>
  <si>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</si>
  <si>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</si>
  <si>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</si>
  <si>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</si>
  <si>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</si>
  <si>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</si>
  <si>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</si>
  <si>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</si>
  <si>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</si>
  <si>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</si>
  <si>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</si>
  <si>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</si>
  <si>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</si>
  <si>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</si>
  <si>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</si>
  <si>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</si>
  <si>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</si>
  <si>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</si>
  <si>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</si>
  <si>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</si>
  <si>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</si>
  <si>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</si>
  <si>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</si>
  <si>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</si>
  <si>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</si>
  <si>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</si>
  <si>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</si>
  <si>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</si>
  <si>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</si>
  <si>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</si>
  <si>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</si>
  <si>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</si>
  <si>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</si>
  <si>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</si>
  <si>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</si>
  <si>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</si>
  <si>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</si>
  <si>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</si>
  <si>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</si>
  <si>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</si>
  <si>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</si>
  <si>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</si>
  <si>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</si>
  <si>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</si>
  <si>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</si>
  <si>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</si>
  <si>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</si>
  <si>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</si>
  <si>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</si>
  <si>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</si>
  <si>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</si>
  <si>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</si>
  <si>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</si>
  <si>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</si>
  <si>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</si>
  <si>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</si>
  <si>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</si>
  <si>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</si>
  <si>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</si>
  <si>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</si>
  <si>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</si>
  <si>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</si>
  <si>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</si>
  <si>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</si>
  <si>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</si>
  <si>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</si>
  <si>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</si>
  <si>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</si>
  <si>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</si>
  <si>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</si>
  <si>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</si>
  <si>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</si>
  <si>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</si>
  <si>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</si>
  <si>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</si>
  <si>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</si>
  <si>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</si>
  <si>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</si>
  <si>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</si>
  <si>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</si>
  <si>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</si>
  <si>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</si>
  <si>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</si>
  <si>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</si>
  <si>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</si>
  <si>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</si>
  <si>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</si>
  <si>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</si>
  <si>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</si>
  <si>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</si>
  <si>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</si>
  <si>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</si>
  <si>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</si>
  <si>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</si>
  <si>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</si>
  <si>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</si>
  <si>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</si>
  <si>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</si>
  <si>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</si>
  <si>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</si>
  <si>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</si>
  <si>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</si>
  <si>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</si>
  <si>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</si>
  <si>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</si>
  <si>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</si>
  <si>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</si>
  <si>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</si>
  <si>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</si>
  <si>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</si>
  <si>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</si>
  <si>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</si>
  <si>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</si>
  <si>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</si>
  <si>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patients who had a viral load test done (Based on the number of patients reported on RADET)</t>
  </si>
  <si>
    <t>Number of patients who were virally suppressed (Based on the number of patients reported on RADET)</t>
  </si>
  <si>
    <t>Viral Suppression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</si>
  <si>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</si>
  <si>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</si>
  <si>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</si>
  <si>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</si>
  <si>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</si>
  <si>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</si>
  <si>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</si>
  <si>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</si>
  <si>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</si>
  <si>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Q1FY18 DATIM Report</t>
  </si>
  <si>
    <t>TX_Curr Validation (ART Site as at December 2017)</t>
  </si>
  <si>
    <t>TX_RET (ART Site as at December 2017)</t>
  </si>
  <si>
    <t>TX_PVLS (ART Site as at December 2017)</t>
  </si>
  <si>
    <t>PMTCT_HEI_POS</t>
  </si>
  <si>
    <t xml:space="preserve">Number of HIV Exposed babies who tested positive for HIV within 0- 12 months of birth as reported on DATIM) </t>
  </si>
  <si>
    <t>Child follow up Register, PMTCT MSF</t>
  </si>
  <si>
    <t>Oct</t>
  </si>
  <si>
    <t>Nov</t>
  </si>
  <si>
    <t>Dec</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</si>
  <si>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</si>
  <si>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</si>
  <si>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</si>
  <si>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</si>
  <si>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</si>
  <si>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</si>
  <si>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</si>
  <si>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</si>
  <si>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</si>
  <si>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version: 20180124</t>
  </si>
  <si>
    <t>fc AMAC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</si>
</sst>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6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1" fontId="2" fillId="15" borderId="61" xfId="0" applyNumberFormat="1" applyFont="1" applyFill="1" applyBorder="1" applyAlignment="1" applyProtection="1">
      <alignment horizontal="right"/>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4" xfId="0" applyFont="1" applyFill="1" applyBorder="1" applyAlignment="1">
      <alignment vertical="center"/>
    </xf>
    <xf numFmtId="0" fontId="2" fillId="23" borderId="69" xfId="0" applyFont="1" applyFill="1" applyBorder="1" applyAlignment="1">
      <alignment vertical="center"/>
    </xf>
    <xf numFmtId="1" fontId="34" fillId="23" borderId="20" xfId="0" applyNumberFormat="1" applyFont="1" applyFill="1" applyBorder="1" applyAlignment="1">
      <alignment horizontal="center" vertical="center"/>
    </xf>
    <xf numFmtId="1" fontId="34" fillId="23" borderId="21" xfId="0" applyNumberFormat="1" applyFont="1" applyFill="1" applyBorder="1" applyAlignment="1">
      <alignment horizontal="center" vertical="center"/>
    </xf>
    <xf numFmtId="1" fontId="34" fillId="23" borderId="24"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cellXfs>
  <cellStyles count="4">
    <cellStyle name="Normal" xfId="0" builtinId="0"/>
    <cellStyle name="Normal 2" xfId="2" xr:uid="{00000000-0005-0000-0000-000001000000}"/>
    <cellStyle name="Percent" xfId="1" builtinId="5"/>
    <cellStyle name="Percent 2" xfId="3" xr:uid="{00000000-0005-0000-0000-000003000000}"/>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69" t="s">
        <v>3505</v>
      </c>
      <c r="B1" s="270"/>
      <c r="C1" s="271"/>
      <c r="D1" s="272"/>
      <c r="E1" s="272"/>
      <c r="F1" s="272"/>
      <c r="G1" s="273"/>
      <c r="H1" s="274"/>
      <c r="I1" s="277" t="s">
        <v>3506</v>
      </c>
      <c r="J1" s="278"/>
      <c r="K1" s="279"/>
      <c r="L1" s="280"/>
      <c r="M1" s="280"/>
      <c r="N1" s="280"/>
      <c r="O1" s="281"/>
    </row>
    <row r="2" spans="1:22" ht="26.25" x14ac:dyDescent="0.25">
      <c r="A2" s="262" t="s">
        <v>73</v>
      </c>
      <c r="B2" s="263"/>
      <c r="C2" s="264"/>
      <c r="D2" s="282"/>
      <c r="E2" s="282"/>
      <c r="F2" s="282"/>
      <c r="G2" s="283"/>
      <c r="H2" s="275"/>
      <c r="I2" s="284" t="s">
        <v>3369</v>
      </c>
      <c r="J2" s="285"/>
      <c r="K2" s="286"/>
      <c r="L2" s="246"/>
      <c r="M2" s="246"/>
      <c r="N2" s="246"/>
      <c r="O2" s="247"/>
    </row>
    <row r="3" spans="1:22" ht="26.25" x14ac:dyDescent="0.25">
      <c r="A3" s="259" t="s">
        <v>72</v>
      </c>
      <c r="B3" s="260"/>
      <c r="C3" s="261"/>
      <c r="D3" s="248"/>
      <c r="E3" s="248"/>
      <c r="F3" s="248"/>
      <c r="G3" s="249"/>
      <c r="H3" s="275"/>
      <c r="I3" s="250" t="s">
        <v>3388</v>
      </c>
      <c r="J3" s="251"/>
      <c r="K3" s="252"/>
      <c r="L3" s="246"/>
      <c r="M3" s="246"/>
      <c r="N3" s="246"/>
      <c r="O3" s="247"/>
    </row>
    <row r="4" spans="1:22" ht="27" thickBot="1" x14ac:dyDescent="0.3">
      <c r="A4" s="287" t="s">
        <v>3507</v>
      </c>
      <c r="B4" s="288"/>
      <c r="C4" s="289"/>
      <c r="D4" s="253"/>
      <c r="E4" s="253"/>
      <c r="F4" s="253"/>
      <c r="G4" s="254"/>
      <c r="H4" s="276"/>
      <c r="I4" s="255" t="s">
        <v>3369</v>
      </c>
      <c r="J4" s="256"/>
      <c r="K4" s="256"/>
      <c r="L4" s="257"/>
      <c r="M4" s="257"/>
      <c r="N4" s="257"/>
      <c r="O4" s="258"/>
    </row>
    <row r="5" spans="1:22" ht="30.75" thickBot="1" x14ac:dyDescent="0.3">
      <c r="A5" s="173"/>
      <c r="B5" s="174" t="s">
        <v>70</v>
      </c>
      <c r="C5" s="175" t="s">
        <v>3494</v>
      </c>
      <c r="D5" s="176" t="s">
        <v>3495</v>
      </c>
      <c r="E5" s="177" t="s">
        <v>3496</v>
      </c>
      <c r="F5" s="176" t="s">
        <v>68</v>
      </c>
      <c r="G5" s="176" t="s">
        <v>3497</v>
      </c>
      <c r="H5" s="178" t="s">
        <v>3498</v>
      </c>
      <c r="I5" s="178" t="s">
        <v>125</v>
      </c>
      <c r="J5" s="178" t="s">
        <v>69</v>
      </c>
      <c r="K5" s="458" t="s">
        <v>3556</v>
      </c>
      <c r="L5" s="178" t="s">
        <v>71</v>
      </c>
      <c r="M5" s="459" t="s">
        <v>3422</v>
      </c>
      <c r="N5" s="459" t="s">
        <v>3425</v>
      </c>
      <c r="O5" s="459" t="s">
        <v>3424</v>
      </c>
      <c r="P5" s="460" t="s">
        <v>3526</v>
      </c>
      <c r="V5" s="62"/>
    </row>
    <row r="6" spans="1:22" x14ac:dyDescent="0.25">
      <c r="A6" s="179" t="s">
        <v>3499</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461">
        <f ca="1">'All Questions'!F44</f>
        <v>0</v>
      </c>
      <c r="N6" s="461">
        <f ca="1">'All Questions'!F50</f>
        <v>0</v>
      </c>
      <c r="O6" s="461">
        <f ca="1">'All Questions'!F55</f>
        <v>0</v>
      </c>
      <c r="P6" s="462">
        <f>'All Questions'!F65</f>
        <v>0</v>
      </c>
      <c r="V6" s="62"/>
    </row>
    <row r="7" spans="1:22" x14ac:dyDescent="0.25">
      <c r="A7" s="182" t="s">
        <v>3500</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ROUND((SUM('All Questions'!D35:F35)+SUM('All Questions'!D36:F36))/2,0)</f>
        <v>0</v>
      </c>
      <c r="L7" s="160">
        <f ca="1">ROUND((SUM('All Questions'!D40:F40)+SUM('All Questions'!D41:F41))/2,0)</f>
        <v>0</v>
      </c>
      <c r="M7" s="463">
        <f ca="1">ROUND(SUM('All Questions'!F45:F47)/2,0)</f>
        <v>0</v>
      </c>
      <c r="N7" s="463">
        <f ca="1">ROUND(SUM('All Questions'!F51:F52)/2,0)</f>
        <v>0</v>
      </c>
      <c r="O7" s="463">
        <f ca="1">ROUND(SUM('All Questions'!F56:F57),0)</f>
        <v>0</v>
      </c>
      <c r="P7" s="464">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si="0"/>
        <v>0</v>
      </c>
      <c r="L8" s="184">
        <f t="shared" ca="1" si="0"/>
        <v>0</v>
      </c>
      <c r="M8" s="465">
        <f t="shared" ca="1" si="0"/>
        <v>0</v>
      </c>
      <c r="N8" s="465">
        <f t="shared" ca="1" si="0"/>
        <v>0</v>
      </c>
      <c r="O8" s="465">
        <f t="shared" ca="1" si="0"/>
        <v>0</v>
      </c>
      <c r="P8" s="465">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37" t="s">
        <v>3536</v>
      </c>
      <c r="B11" s="238"/>
      <c r="C11" s="238"/>
      <c r="D11" s="238"/>
      <c r="E11" s="239"/>
      <c r="F11" s="62"/>
      <c r="G11" s="237" t="s">
        <v>3534</v>
      </c>
      <c r="H11" s="238"/>
      <c r="I11" s="238"/>
      <c r="J11" s="265"/>
      <c r="K11" s="215"/>
      <c r="L11" s="237" t="s">
        <v>3535</v>
      </c>
      <c r="M11" s="238"/>
      <c r="N11" s="238"/>
      <c r="O11" s="238"/>
      <c r="P11" s="265"/>
    </row>
    <row r="12" spans="1:22" x14ac:dyDescent="0.25">
      <c r="A12" s="240" t="s">
        <v>3501</v>
      </c>
      <c r="B12" s="241"/>
      <c r="C12" s="241"/>
      <c r="D12" s="241"/>
      <c r="E12" s="187"/>
      <c r="F12" s="62"/>
      <c r="G12" s="266" t="s">
        <v>3538</v>
      </c>
      <c r="H12" s="267"/>
      <c r="I12" s="268"/>
      <c r="J12" s="216">
        <f>TX_RET!D110</f>
        <v>0</v>
      </c>
      <c r="K12" s="217"/>
      <c r="L12" s="228" t="s">
        <v>3543</v>
      </c>
      <c r="M12" s="229"/>
      <c r="N12" s="229"/>
      <c r="O12" s="230"/>
      <c r="P12" s="216">
        <v>0</v>
      </c>
    </row>
    <row r="13" spans="1:22" x14ac:dyDescent="0.25">
      <c r="A13" s="242" t="s">
        <v>3502</v>
      </c>
      <c r="B13" s="243"/>
      <c r="C13" s="243"/>
      <c r="D13" s="243"/>
      <c r="E13" s="187">
        <f>TX_CURR!AB109</f>
        <v>0</v>
      </c>
      <c r="F13" s="62"/>
      <c r="G13" s="231" t="s">
        <v>3502</v>
      </c>
      <c r="H13" s="232"/>
      <c r="I13" s="233"/>
      <c r="J13" s="218">
        <f>TX_RET!D109</f>
        <v>0</v>
      </c>
      <c r="K13" s="217"/>
      <c r="L13" s="231" t="s">
        <v>3544</v>
      </c>
      <c r="M13" s="232"/>
      <c r="N13" s="232"/>
      <c r="O13" s="233"/>
      <c r="P13" s="218">
        <v>0</v>
      </c>
    </row>
    <row r="14" spans="1:22" ht="15.75" thickBot="1" x14ac:dyDescent="0.3">
      <c r="A14" s="244" t="s">
        <v>3503</v>
      </c>
      <c r="B14" s="245"/>
      <c r="C14" s="245"/>
      <c r="D14" s="245"/>
      <c r="E14" s="188">
        <f>IFERROR(E13/E12,0)</f>
        <v>0</v>
      </c>
      <c r="F14" s="62"/>
      <c r="G14" s="234" t="s">
        <v>3539</v>
      </c>
      <c r="H14" s="235"/>
      <c r="I14" s="236"/>
      <c r="J14" s="219">
        <f>IFERROR(J13/J12,0)</f>
        <v>0</v>
      </c>
      <c r="K14" s="220"/>
      <c r="L14" s="234" t="s">
        <v>3545</v>
      </c>
      <c r="M14" s="235"/>
      <c r="N14" s="235"/>
      <c r="O14" s="236"/>
      <c r="P14" s="219">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7" sqref="G7"/>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298" t="s">
        <v>3571</v>
      </c>
      <c r="G1" s="299"/>
      <c r="H1" s="57"/>
      <c r="I1" s="94"/>
      <c r="J1" s="94"/>
      <c r="K1" s="301" t="s">
        <v>3389</v>
      </c>
      <c r="L1" s="301"/>
      <c r="M1" s="301"/>
      <c r="N1" s="301"/>
      <c r="O1" s="301"/>
      <c r="P1" s="301"/>
      <c r="Q1" s="301"/>
      <c r="R1" s="301"/>
      <c r="S1" s="301"/>
      <c r="T1" s="301"/>
      <c r="U1" s="301"/>
      <c r="V1" s="301"/>
      <c r="W1" s="301"/>
      <c r="X1" s="301"/>
      <c r="Y1" s="301"/>
      <c r="Z1" s="301"/>
      <c r="AA1" s="301"/>
      <c r="AB1" s="301"/>
      <c r="AC1" s="301"/>
      <c r="AD1" s="301"/>
      <c r="AE1" s="94"/>
      <c r="AF1" s="94"/>
    </row>
    <row r="2" spans="1:32" ht="40.15" customHeight="1" x14ac:dyDescent="0.25">
      <c r="A2" s="94"/>
      <c r="B2" s="121" t="s">
        <v>3368</v>
      </c>
      <c r="C2" s="81" t="s">
        <v>3378</v>
      </c>
      <c r="D2" s="82" t="s">
        <v>3373</v>
      </c>
      <c r="E2" s="126"/>
      <c r="F2" s="86" t="s">
        <v>3379</v>
      </c>
      <c r="G2" s="88"/>
      <c r="H2" s="67"/>
      <c r="I2" s="94"/>
      <c r="J2" s="94"/>
      <c r="K2" s="300" t="s">
        <v>127</v>
      </c>
      <c r="L2" s="300"/>
      <c r="M2" s="110" t="s">
        <v>71</v>
      </c>
      <c r="N2" s="300" t="s">
        <v>128</v>
      </c>
      <c r="O2" s="300"/>
      <c r="P2" s="110" t="s">
        <v>154</v>
      </c>
      <c r="Q2" s="224" t="s">
        <v>1</v>
      </c>
      <c r="R2" s="110" t="s">
        <v>142</v>
      </c>
      <c r="S2" s="224"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92" t="s">
        <v>71</v>
      </c>
      <c r="D3" s="138" t="s">
        <v>3377</v>
      </c>
      <c r="E3" s="139"/>
      <c r="F3" s="140"/>
      <c r="G3" s="132">
        <f ca="1">_xlfn.IFNA(VLOOKUP(C3,Worksheet!$C$3:$G$12,5,FALSE),G3)</f>
        <v>0</v>
      </c>
      <c r="H3" s="63" t="s">
        <v>71</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141" t="s">
        <v>3469</v>
      </c>
      <c r="D4" s="142" t="s">
        <v>3479</v>
      </c>
      <c r="E4" s="89" t="s">
        <v>3559</v>
      </c>
      <c r="F4" s="89" t="s">
        <v>3560</v>
      </c>
      <c r="G4" s="89" t="s">
        <v>3561</v>
      </c>
      <c r="H4" s="63" t="s">
        <v>71</v>
      </c>
      <c r="I4" s="94"/>
      <c r="J4" s="94"/>
      <c r="K4" s="81"/>
      <c r="L4" s="163" t="s">
        <v>123</v>
      </c>
      <c r="M4" s="163" t="s">
        <v>3494</v>
      </c>
      <c r="N4" s="163" t="s">
        <v>3495</v>
      </c>
      <c r="O4" s="163" t="s">
        <v>3496</v>
      </c>
      <c r="P4" s="163" t="s">
        <v>68</v>
      </c>
      <c r="Q4" s="163" t="s">
        <v>3497</v>
      </c>
      <c r="R4" s="163" t="s">
        <v>3498</v>
      </c>
      <c r="S4" s="163" t="s">
        <v>125</v>
      </c>
      <c r="T4" s="163" t="s">
        <v>69</v>
      </c>
      <c r="U4" s="163" t="s">
        <v>3556</v>
      </c>
      <c r="V4" s="163" t="s">
        <v>71</v>
      </c>
      <c r="W4" s="455" t="s">
        <v>3422</v>
      </c>
      <c r="X4" s="455" t="s">
        <v>3425</v>
      </c>
      <c r="Y4" s="455" t="s">
        <v>3424</v>
      </c>
      <c r="Z4" s="455" t="s">
        <v>3526</v>
      </c>
      <c r="AA4" s="108"/>
      <c r="AB4" s="108"/>
      <c r="AC4" s="108"/>
      <c r="AD4" s="108"/>
      <c r="AE4" s="108"/>
      <c r="AF4" s="94"/>
    </row>
    <row r="5" spans="1:32" ht="40.15" customHeight="1" x14ac:dyDescent="0.25">
      <c r="A5" s="94"/>
      <c r="B5" s="122"/>
      <c r="C5" s="84">
        <v>251</v>
      </c>
      <c r="D5" s="133" t="s">
        <v>3480</v>
      </c>
      <c r="E5" s="75">
        <f ca="1">_xlfn.IFNA(VLOOKUP(C5,Worksheet!$C$3:$G$12,3,FALSE),E5)</f>
        <v>0</v>
      </c>
      <c r="F5" s="150">
        <f ca="1">_xlfn.IFNA(VLOOKUP(C5,Worksheet!$C$3:$G$12,4,FALSE),F5)</f>
        <v>0</v>
      </c>
      <c r="G5" s="150">
        <f ca="1">_xlfn.IFNA(VLOOKUP(C5,Worksheet!$C$3:$G$12,5,FALSE),G5)</f>
        <v>0</v>
      </c>
      <c r="H5" s="63" t="s">
        <v>71</v>
      </c>
      <c r="I5" s="94"/>
      <c r="J5" s="94"/>
      <c r="K5" s="81" t="s">
        <v>3552</v>
      </c>
      <c r="L5" s="167">
        <v>0</v>
      </c>
      <c r="M5" s="167">
        <v>0</v>
      </c>
      <c r="N5" s="167">
        <v>0</v>
      </c>
      <c r="O5" s="167">
        <v>0</v>
      </c>
      <c r="P5" s="167">
        <v>0</v>
      </c>
      <c r="Q5" s="167">
        <v>0</v>
      </c>
      <c r="R5" s="167">
        <v>0</v>
      </c>
      <c r="S5" s="168">
        <v>0</v>
      </c>
      <c r="T5" s="168">
        <v>0</v>
      </c>
      <c r="U5" s="168">
        <v>0</v>
      </c>
      <c r="V5" s="168">
        <v>0</v>
      </c>
      <c r="W5" s="456">
        <v>0</v>
      </c>
      <c r="X5" s="456">
        <v>0</v>
      </c>
      <c r="Y5" s="456">
        <v>0</v>
      </c>
      <c r="Z5" s="456">
        <v>0</v>
      </c>
      <c r="AA5" s="108"/>
      <c r="AB5" s="108"/>
      <c r="AC5" s="108"/>
      <c r="AD5" s="108"/>
      <c r="AE5" s="108"/>
      <c r="AF5" s="94"/>
    </row>
    <row r="6" spans="1:32" ht="40.15" customHeight="1" x14ac:dyDescent="0.25">
      <c r="A6" s="94"/>
      <c r="B6" s="122"/>
      <c r="C6" s="84">
        <v>252</v>
      </c>
      <c r="D6" s="133" t="s">
        <v>3481</v>
      </c>
      <c r="E6" s="75">
        <f ca="1">_xlfn.IFNA(VLOOKUP(C6,Worksheet!$C$3:$G$12,3,FALSE),E6)</f>
        <v>0</v>
      </c>
      <c r="F6" s="150">
        <f ca="1">_xlfn.IFNA(VLOOKUP(C6,Worksheet!$C$3:$G$12,4,FALSE),F6)</f>
        <v>0</v>
      </c>
      <c r="G6" s="150">
        <f ca="1">_xlfn.IFNA(VLOOKUP(C6,Worksheet!$C$3:$G$12,5,FALSE),G6)</f>
        <v>0</v>
      </c>
      <c r="H6" s="63" t="s">
        <v>71</v>
      </c>
      <c r="I6" s="94"/>
      <c r="J6" s="94"/>
      <c r="K6" s="81" t="s">
        <v>3500</v>
      </c>
      <c r="L6" s="167">
        <v>0</v>
      </c>
      <c r="M6" s="167">
        <v>0</v>
      </c>
      <c r="N6" s="167">
        <v>0</v>
      </c>
      <c r="O6" s="167">
        <v>0</v>
      </c>
      <c r="P6" s="168">
        <v>0</v>
      </c>
      <c r="Q6" s="168">
        <v>0</v>
      </c>
      <c r="R6" s="168">
        <v>0</v>
      </c>
      <c r="S6" s="167">
        <v>0</v>
      </c>
      <c r="T6" s="167">
        <v>0</v>
      </c>
      <c r="U6" s="167">
        <v>0</v>
      </c>
      <c r="V6" s="167">
        <v>0</v>
      </c>
      <c r="W6" s="456">
        <v>0</v>
      </c>
      <c r="X6" s="456">
        <v>0</v>
      </c>
      <c r="Y6" s="456">
        <v>0</v>
      </c>
      <c r="Z6" s="456">
        <v>0</v>
      </c>
      <c r="AA6" s="108"/>
      <c r="AB6" s="108"/>
      <c r="AC6" s="108"/>
      <c r="AD6" s="108"/>
      <c r="AE6" s="108"/>
      <c r="AF6" s="94"/>
    </row>
    <row r="7" spans="1:32" ht="40.15" customHeight="1" x14ac:dyDescent="0.25">
      <c r="A7" s="94"/>
      <c r="B7" s="64"/>
      <c r="C7" s="170"/>
      <c r="D7" s="170"/>
      <c r="E7" s="170"/>
      <c r="F7" s="170"/>
      <c r="G7" s="170"/>
      <c r="H7" s="63" t="s">
        <v>68</v>
      </c>
      <c r="I7" s="94"/>
      <c r="J7" s="99"/>
      <c r="K7" s="165" t="s">
        <v>3504</v>
      </c>
      <c r="L7" s="169">
        <v>0</v>
      </c>
      <c r="M7" s="169">
        <v>0</v>
      </c>
      <c r="N7" s="169">
        <v>0</v>
      </c>
      <c r="O7" s="169">
        <v>0</v>
      </c>
      <c r="P7" s="169">
        <v>0</v>
      </c>
      <c r="Q7" s="169">
        <v>0</v>
      </c>
      <c r="R7" s="169">
        <v>0</v>
      </c>
      <c r="S7" s="169">
        <v>0</v>
      </c>
      <c r="T7" s="169">
        <v>0</v>
      </c>
      <c r="U7" s="169">
        <v>0</v>
      </c>
      <c r="V7" s="169">
        <v>0</v>
      </c>
      <c r="W7" s="457">
        <v>0</v>
      </c>
      <c r="X7" s="457">
        <v>0</v>
      </c>
      <c r="Y7" s="457">
        <v>0</v>
      </c>
      <c r="Z7" s="457">
        <v>0</v>
      </c>
      <c r="AA7" s="108"/>
      <c r="AB7" s="108"/>
      <c r="AC7" s="108"/>
      <c r="AD7" s="108"/>
      <c r="AE7" s="108"/>
      <c r="AF7" s="94"/>
    </row>
    <row r="8" spans="1:32" ht="40.15" customHeight="1" x14ac:dyDescent="0.25">
      <c r="A8" s="94"/>
      <c r="B8" s="64"/>
      <c r="C8" s="170"/>
      <c r="D8" s="170"/>
      <c r="E8" s="170"/>
      <c r="F8" s="170"/>
      <c r="G8" s="170"/>
      <c r="H8" s="63" t="s">
        <v>68</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64"/>
      <c r="C9" s="170"/>
      <c r="D9" s="170"/>
      <c r="E9" s="170"/>
      <c r="F9" s="170"/>
      <c r="G9" s="170"/>
      <c r="H9" s="63" t="s">
        <v>68</v>
      </c>
      <c r="I9" s="94"/>
      <c r="J9" s="99"/>
      <c r="K9" s="295" t="s">
        <v>3553</v>
      </c>
      <c r="L9" s="296"/>
      <c r="M9" s="296"/>
      <c r="N9" s="297"/>
      <c r="O9" s="166"/>
      <c r="P9" s="295" t="s">
        <v>3554</v>
      </c>
      <c r="Q9" s="296"/>
      <c r="R9" s="296"/>
      <c r="S9" s="297"/>
      <c r="T9" s="166"/>
      <c r="U9" s="295" t="s">
        <v>3555</v>
      </c>
      <c r="V9" s="296"/>
      <c r="W9" s="296"/>
      <c r="X9" s="297"/>
      <c r="Y9" s="166"/>
      <c r="Z9" s="108"/>
      <c r="AA9" s="108"/>
      <c r="AB9" s="108"/>
      <c r="AC9" s="108"/>
      <c r="AD9" s="108"/>
      <c r="AE9" s="158"/>
      <c r="AF9" s="94"/>
    </row>
    <row r="10" spans="1:32" ht="40.15" customHeight="1" x14ac:dyDescent="0.25">
      <c r="A10" s="94"/>
      <c r="B10" s="64"/>
      <c r="C10" s="170"/>
      <c r="D10" s="170"/>
      <c r="E10" s="170"/>
      <c r="F10" s="170"/>
      <c r="G10" s="170"/>
      <c r="H10" s="63" t="s">
        <v>68</v>
      </c>
      <c r="I10" s="94"/>
      <c r="J10" s="99"/>
      <c r="K10" s="290" t="s">
        <v>3521</v>
      </c>
      <c r="L10" s="291"/>
      <c r="M10" s="291"/>
      <c r="N10" s="189"/>
      <c r="O10" s="166"/>
      <c r="P10" s="290" t="s">
        <v>3538</v>
      </c>
      <c r="Q10" s="291"/>
      <c r="R10" s="291"/>
      <c r="S10" s="189"/>
      <c r="T10" s="166"/>
      <c r="U10" s="290" t="s">
        <v>3540</v>
      </c>
      <c r="V10" s="291"/>
      <c r="W10" s="291"/>
      <c r="X10" s="189"/>
      <c r="Y10" s="166"/>
      <c r="Z10" s="108"/>
      <c r="AA10" s="108"/>
      <c r="AB10" s="108"/>
      <c r="AC10" s="108"/>
      <c r="AD10" s="108"/>
      <c r="AE10" s="158"/>
      <c r="AF10" s="94"/>
    </row>
    <row r="11" spans="1:32" ht="50.45" customHeight="1" x14ac:dyDescent="0.25">
      <c r="A11" s="94"/>
      <c r="B11" s="64"/>
      <c r="C11" s="170"/>
      <c r="D11" s="170"/>
      <c r="E11" s="170"/>
      <c r="F11" s="170"/>
      <c r="G11" s="170"/>
      <c r="H11" s="63" t="s">
        <v>68</v>
      </c>
      <c r="I11" s="94"/>
      <c r="J11" s="99"/>
      <c r="K11" s="290" t="s">
        <v>3522</v>
      </c>
      <c r="L11" s="291"/>
      <c r="M11" s="291"/>
      <c r="N11" s="189">
        <v>0</v>
      </c>
      <c r="O11" s="108"/>
      <c r="P11" s="290" t="s">
        <v>3502</v>
      </c>
      <c r="Q11" s="291"/>
      <c r="R11" s="291"/>
      <c r="S11" s="189">
        <v>0</v>
      </c>
      <c r="T11" s="166"/>
      <c r="U11" s="290" t="s">
        <v>3541</v>
      </c>
      <c r="V11" s="291"/>
      <c r="W11" s="291"/>
      <c r="X11" s="189">
        <v>0</v>
      </c>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290" t="s">
        <v>3503</v>
      </c>
      <c r="L12" s="291"/>
      <c r="M12" s="291"/>
      <c r="N12" s="169">
        <v>0</v>
      </c>
      <c r="O12" s="108"/>
      <c r="P12" s="290" t="s">
        <v>3539</v>
      </c>
      <c r="Q12" s="291"/>
      <c r="R12" s="291"/>
      <c r="S12" s="169">
        <v>0</v>
      </c>
      <c r="T12" s="108"/>
      <c r="U12" s="290" t="s">
        <v>3542</v>
      </c>
      <c r="V12" s="291"/>
      <c r="W12" s="291"/>
      <c r="X12" s="169">
        <v>0</v>
      </c>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292" t="s">
        <v>151</v>
      </c>
      <c r="L14" s="292"/>
      <c r="M14" s="171"/>
      <c r="N14" s="171"/>
      <c r="O14" s="171"/>
      <c r="P14" s="293" t="s">
        <v>150</v>
      </c>
      <c r="Q14" s="293"/>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294" t="s">
        <v>61</v>
      </c>
      <c r="L15" s="294"/>
      <c r="M15" s="172"/>
      <c r="N15" s="172"/>
      <c r="O15" s="172"/>
      <c r="P15" s="293" t="s">
        <v>150</v>
      </c>
      <c r="Q15" s="293"/>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selectLockedCells="1"/>
  <mergeCells count="20">
    <mergeCell ref="U10:W10"/>
    <mergeCell ref="F1:G1"/>
    <mergeCell ref="K2:L2"/>
    <mergeCell ref="N2:O2"/>
    <mergeCell ref="K1:AD1"/>
    <mergeCell ref="U9:X9"/>
    <mergeCell ref="K10:M10"/>
    <mergeCell ref="K9:N9"/>
    <mergeCell ref="P9:S9"/>
    <mergeCell ref="P10:R10"/>
    <mergeCell ref="P11:R11"/>
    <mergeCell ref="P12:R12"/>
    <mergeCell ref="U11:W11"/>
    <mergeCell ref="U12:W12"/>
    <mergeCell ref="K14:L14"/>
    <mergeCell ref="P14:Q14"/>
    <mergeCell ref="K15:L15"/>
    <mergeCell ref="P15:Q15"/>
    <mergeCell ref="K11:M11"/>
    <mergeCell ref="K12:M12"/>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V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D9" sqref="D9"/>
    </sheetView>
  </sheetViews>
  <sheetFormatPr defaultColWidth="8.85546875" defaultRowHeight="45" customHeight="1" x14ac:dyDescent="0.25"/>
  <cols>
    <col min="1" max="1" width="10.42578125" style="107" customWidth="1"/>
    <col min="2" max="2" width="16.7109375" style="118" bestFit="1"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hidden="1" customHeight="1" x14ac:dyDescent="0.25">
      <c r="A2" s="122"/>
      <c r="B2" s="92" t="s">
        <v>123</v>
      </c>
      <c r="C2" s="90" t="s">
        <v>3374</v>
      </c>
      <c r="D2" s="83"/>
      <c r="E2" s="87"/>
      <c r="F2" s="132">
        <f ca="1">_xlfn.IFNA(VLOOKUP(B2,Worksheet!$C$3:$G$12,5,FALSE),F2)</f>
        <v>0</v>
      </c>
      <c r="G2" s="63" t="s">
        <v>123</v>
      </c>
    </row>
    <row r="3" spans="1:7" ht="45" hidden="1" customHeight="1" x14ac:dyDescent="0.25">
      <c r="A3" s="122"/>
      <c r="B3" s="123" t="s">
        <v>3380</v>
      </c>
      <c r="C3" s="90" t="s">
        <v>3375</v>
      </c>
      <c r="D3" s="83"/>
      <c r="E3" s="87"/>
      <c r="F3" s="132">
        <f ca="1">_xlfn.IFNA(VLOOKUP(B3,Worksheet!$C$3:$G$12,5,FALSE),F3)</f>
        <v>0</v>
      </c>
      <c r="G3" s="63" t="s">
        <v>123</v>
      </c>
    </row>
    <row r="4" spans="1:7" ht="45" hidden="1" customHeight="1" x14ac:dyDescent="0.25">
      <c r="A4" s="122"/>
      <c r="B4" s="123" t="s">
        <v>3381</v>
      </c>
      <c r="C4" s="90" t="s">
        <v>3376</v>
      </c>
      <c r="D4" s="83"/>
      <c r="E4" s="87"/>
      <c r="F4" s="132">
        <f ca="1">_xlfn.IFNA(VLOOKUP(B4,Worksheet!$C$3:$G$12,5,FALSE),F4)</f>
        <v>0</v>
      </c>
      <c r="G4" s="63" t="s">
        <v>123</v>
      </c>
    </row>
    <row r="5" spans="1:7" ht="45" hidden="1" customHeight="1" x14ac:dyDescent="0.25">
      <c r="A5" s="122"/>
      <c r="B5" s="123" t="s">
        <v>3382</v>
      </c>
      <c r="C5" s="90" t="s">
        <v>3421</v>
      </c>
      <c r="D5" s="83"/>
      <c r="E5" s="87"/>
      <c r="F5" s="132">
        <f ca="1">_xlfn.IFNA(VLOOKUP(B5,Worksheet!$C$3:$G$12,5,FALSE),F5)</f>
        <v>0</v>
      </c>
      <c r="G5" s="63" t="s">
        <v>123</v>
      </c>
    </row>
    <row r="6" spans="1:7" ht="45" hidden="1" customHeight="1" x14ac:dyDescent="0.25">
      <c r="A6" s="122"/>
      <c r="B6" s="84" t="s">
        <v>3463</v>
      </c>
      <c r="C6" s="130" t="s">
        <v>3464</v>
      </c>
      <c r="D6" s="89" t="s">
        <v>3559</v>
      </c>
      <c r="E6" s="89" t="s">
        <v>3560</v>
      </c>
      <c r="F6" s="89" t="s">
        <v>3561</v>
      </c>
      <c r="G6" s="63" t="s">
        <v>123</v>
      </c>
    </row>
    <row r="7" spans="1:7" ht="45" hidden="1" customHeight="1" x14ac:dyDescent="0.25">
      <c r="A7" s="122"/>
      <c r="B7" s="84">
        <v>211</v>
      </c>
      <c r="C7" s="131" t="s">
        <v>3465</v>
      </c>
      <c r="D7" s="75">
        <f ca="1">_xlfn.IFNA(VLOOKUP(B7,Worksheet!$C$3:$G$12,3,FALSE),D7)</f>
        <v>0</v>
      </c>
      <c r="E7" s="132">
        <f ca="1">_xlfn.IFNA(VLOOKUP(B7,Worksheet!$C$3:$G$12,4,FALSE),E7)</f>
        <v>0</v>
      </c>
      <c r="F7" s="132">
        <f ca="1">_xlfn.IFNA(VLOOKUP(B7,Worksheet!$C$3:$G$12,5,FALSE),F7)</f>
        <v>0</v>
      </c>
      <c r="G7" s="63" t="s">
        <v>123</v>
      </c>
    </row>
    <row r="8" spans="1:7" ht="45" hidden="1" customHeight="1" x14ac:dyDescent="0.25">
      <c r="A8" s="122"/>
      <c r="B8" s="84">
        <v>212</v>
      </c>
      <c r="C8" s="131" t="s">
        <v>3466</v>
      </c>
      <c r="D8" s="75">
        <f ca="1">_xlfn.IFNA(VLOOKUP(B8,Worksheet!$C$3:$G$12,3,FALSE),D8)</f>
        <v>0</v>
      </c>
      <c r="E8" s="132">
        <f ca="1">_xlfn.IFNA(VLOOKUP(B8,Worksheet!$C$3:$G$12,4,FALSE),E8)</f>
        <v>0</v>
      </c>
      <c r="F8" s="132">
        <f ca="1">_xlfn.IFNA(VLOOKUP(B8,Worksheet!$C$3:$G$12,5,FALSE),F8)</f>
        <v>0</v>
      </c>
      <c r="G8" s="63" t="s">
        <v>123</v>
      </c>
    </row>
    <row r="9" spans="1:7" ht="45" hidden="1" customHeight="1" x14ac:dyDescent="0.25">
      <c r="A9" s="122"/>
      <c r="B9" s="84">
        <v>213</v>
      </c>
      <c r="C9" s="131" t="s">
        <v>3467</v>
      </c>
      <c r="D9" s="75">
        <f ca="1">_xlfn.IFNA(VLOOKUP(B9,Worksheet!$C$3:$G$12,3,FALSE),D9)</f>
        <v>0</v>
      </c>
      <c r="E9" s="132">
        <f ca="1">_xlfn.IFNA(VLOOKUP(B9,Worksheet!$C$3:$G$12,4,FALSE),E9)</f>
        <v>0</v>
      </c>
      <c r="F9" s="132">
        <f ca="1">_xlfn.IFNA(VLOOKUP(B9,Worksheet!$C$3:$G$12,5,FALSE),F9)</f>
        <v>0</v>
      </c>
      <c r="G9" s="63" t="s">
        <v>123</v>
      </c>
    </row>
    <row r="10" spans="1:7" ht="45" hidden="1" customHeight="1" x14ac:dyDescent="0.25">
      <c r="A10" s="122"/>
      <c r="B10" s="84">
        <v>214</v>
      </c>
      <c r="C10" s="131" t="s">
        <v>3468</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09"/>
      <c r="D11" s="310"/>
      <c r="E11" s="310"/>
      <c r="F11" s="311"/>
      <c r="G11" s="63"/>
    </row>
    <row r="12" spans="1:7" ht="45" hidden="1" customHeight="1" x14ac:dyDescent="0.25">
      <c r="A12" s="122"/>
      <c r="B12" s="124" t="s">
        <v>68</v>
      </c>
      <c r="C12" s="90" t="s">
        <v>3431</v>
      </c>
      <c r="D12" s="83"/>
      <c r="E12" s="87"/>
      <c r="F12" s="132">
        <f ca="1">_xlfn.IFNA(VLOOKUP(B12,Worksheet!$C$3:$G$12,5,FALSE),F12)</f>
        <v>0</v>
      </c>
      <c r="G12" s="63" t="s">
        <v>68</v>
      </c>
    </row>
    <row r="13" spans="1:7" ht="45" hidden="1" customHeight="1" x14ac:dyDescent="0.25">
      <c r="A13" s="122"/>
      <c r="B13" s="125" t="s">
        <v>3383</v>
      </c>
      <c r="C13" s="90" t="s">
        <v>3370</v>
      </c>
      <c r="D13" s="83"/>
      <c r="E13" s="87"/>
      <c r="F13" s="132">
        <f ca="1">_xlfn.IFNA(VLOOKUP(B13,Worksheet!$C$3:$G$12,5,FALSE),F13)</f>
        <v>0</v>
      </c>
      <c r="G13" s="63" t="s">
        <v>68</v>
      </c>
    </row>
    <row r="14" spans="1:7" ht="45" hidden="1" customHeight="1" x14ac:dyDescent="0.25">
      <c r="A14" s="122"/>
      <c r="B14" s="125" t="s">
        <v>3384</v>
      </c>
      <c r="C14" s="90" t="s">
        <v>3371</v>
      </c>
      <c r="D14" s="83"/>
      <c r="E14" s="87"/>
      <c r="F14" s="132">
        <f ca="1">_xlfn.IFNA(VLOOKUP(B14,Worksheet!$C$3:$G$12,5,FALSE),F14)</f>
        <v>0</v>
      </c>
      <c r="G14" s="63" t="s">
        <v>68</v>
      </c>
    </row>
    <row r="15" spans="1:7" ht="45" hidden="1" customHeight="1" x14ac:dyDescent="0.25">
      <c r="A15" s="122"/>
      <c r="B15" s="81" t="s">
        <v>3469</v>
      </c>
      <c r="C15" s="130" t="s">
        <v>3470</v>
      </c>
      <c r="D15" s="89" t="s">
        <v>3559</v>
      </c>
      <c r="E15" s="89" t="s">
        <v>3560</v>
      </c>
      <c r="F15" s="89" t="s">
        <v>3561</v>
      </c>
      <c r="G15" s="63" t="s">
        <v>68</v>
      </c>
    </row>
    <row r="16" spans="1:7" ht="45" hidden="1" customHeight="1" x14ac:dyDescent="0.25">
      <c r="A16" s="122"/>
      <c r="B16" s="84">
        <v>221</v>
      </c>
      <c r="C16" s="133" t="s">
        <v>3471</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3524</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3472</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3473</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3474</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3475</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09"/>
      <c r="D22" s="310"/>
      <c r="E22" s="310"/>
      <c r="F22" s="311"/>
      <c r="G22" s="71"/>
    </row>
    <row r="23" spans="1:7" ht="45" hidden="1" customHeight="1" x14ac:dyDescent="0.25">
      <c r="A23" s="122"/>
      <c r="B23" s="81" t="s">
        <v>125</v>
      </c>
      <c r="C23" s="90" t="s">
        <v>3432</v>
      </c>
      <c r="D23" s="82"/>
      <c r="E23" s="82"/>
      <c r="F23" s="132">
        <f ca="1">_xlfn.IFNA(VLOOKUP(B23,Worksheet!$C$3:$G$12,5,FALSE),F23)</f>
        <v>0</v>
      </c>
      <c r="G23" s="71" t="s">
        <v>125</v>
      </c>
    </row>
    <row r="24" spans="1:7" ht="45" hidden="1" customHeight="1" x14ac:dyDescent="0.25">
      <c r="A24" s="122"/>
      <c r="B24" s="81" t="s">
        <v>3463</v>
      </c>
      <c r="C24" s="130" t="s">
        <v>3476</v>
      </c>
      <c r="D24" s="89" t="s">
        <v>3559</v>
      </c>
      <c r="E24" s="89" t="s">
        <v>3560</v>
      </c>
      <c r="F24" s="89" t="s">
        <v>3561</v>
      </c>
      <c r="G24" s="71" t="s">
        <v>125</v>
      </c>
    </row>
    <row r="25" spans="1:7" ht="45" hidden="1" customHeight="1" x14ac:dyDescent="0.25">
      <c r="A25" s="122"/>
      <c r="B25" s="84">
        <v>231</v>
      </c>
      <c r="C25" s="133" t="s">
        <v>3430</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25">
      <c r="A26" s="122"/>
      <c r="B26" s="84">
        <v>232</v>
      </c>
      <c r="C26" s="133" t="s">
        <v>3523</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09"/>
      <c r="D27" s="310"/>
      <c r="E27" s="310"/>
      <c r="F27" s="311"/>
      <c r="G27" s="136"/>
    </row>
    <row r="28" spans="1:7" ht="45" hidden="1" customHeight="1" x14ac:dyDescent="0.25">
      <c r="A28" s="122"/>
      <c r="B28" s="81" t="s">
        <v>69</v>
      </c>
      <c r="C28" s="90" t="s">
        <v>3564</v>
      </c>
      <c r="D28" s="83"/>
      <c r="E28" s="87"/>
      <c r="F28" s="132">
        <f ca="1">_xlfn.IFNA(VLOOKUP(B28,Worksheet!$C$3:$G$12,5,FALSE),F28)</f>
        <v>0</v>
      </c>
      <c r="G28" s="63" t="s">
        <v>69</v>
      </c>
    </row>
    <row r="29" spans="1:7" ht="45" hidden="1" customHeight="1" x14ac:dyDescent="0.25">
      <c r="A29" s="122"/>
      <c r="B29" s="91" t="s">
        <v>3477</v>
      </c>
      <c r="C29" s="130" t="s">
        <v>3478</v>
      </c>
      <c r="D29" s="89" t="s">
        <v>3559</v>
      </c>
      <c r="E29" s="89" t="s">
        <v>3560</v>
      </c>
      <c r="F29" s="89" t="s">
        <v>3561</v>
      </c>
      <c r="G29" s="63" t="s">
        <v>69</v>
      </c>
    </row>
    <row r="30" spans="1:7" ht="45" hidden="1" customHeight="1" x14ac:dyDescent="0.25">
      <c r="A30" s="122"/>
      <c r="B30" s="84">
        <v>241</v>
      </c>
      <c r="C30" s="133" t="s">
        <v>3565</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3566</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09"/>
      <c r="D32" s="310"/>
      <c r="E32" s="310"/>
      <c r="F32" s="311"/>
      <c r="G32" s="137"/>
    </row>
    <row r="33" spans="1:7" ht="45" hidden="1" customHeight="1" x14ac:dyDescent="0.25">
      <c r="A33" s="134"/>
      <c r="B33" s="92" t="s">
        <v>3556</v>
      </c>
      <c r="C33" s="138" t="s">
        <v>3557</v>
      </c>
      <c r="D33" s="139"/>
      <c r="E33" s="140"/>
      <c r="F33" s="132">
        <v>0</v>
      </c>
      <c r="G33" s="63" t="s">
        <v>3556</v>
      </c>
    </row>
    <row r="34" spans="1:7" ht="45" hidden="1" customHeight="1" x14ac:dyDescent="0.25">
      <c r="A34" s="134"/>
      <c r="B34" s="141" t="s">
        <v>3469</v>
      </c>
      <c r="C34" s="130" t="s">
        <v>3558</v>
      </c>
      <c r="D34" s="89" t="s">
        <v>3559</v>
      </c>
      <c r="E34" s="89" t="s">
        <v>3560</v>
      </c>
      <c r="F34" s="89" t="s">
        <v>3561</v>
      </c>
      <c r="G34" s="63" t="s">
        <v>3556</v>
      </c>
    </row>
    <row r="35" spans="1:7" ht="45" hidden="1" customHeight="1" x14ac:dyDescent="0.25">
      <c r="A35" s="134"/>
      <c r="B35" s="84">
        <v>451</v>
      </c>
      <c r="C35" s="133" t="s">
        <v>3562</v>
      </c>
      <c r="D35" s="75">
        <v>0</v>
      </c>
      <c r="E35" s="75">
        <v>0</v>
      </c>
      <c r="F35" s="75">
        <v>0</v>
      </c>
      <c r="G35" s="63" t="s">
        <v>3556</v>
      </c>
    </row>
    <row r="36" spans="1:7" ht="45" hidden="1" customHeight="1" x14ac:dyDescent="0.25">
      <c r="A36" s="134"/>
      <c r="B36" s="84">
        <v>452</v>
      </c>
      <c r="C36" s="133" t="s">
        <v>3563</v>
      </c>
      <c r="D36" s="75">
        <v>0</v>
      </c>
      <c r="E36" s="75">
        <v>0</v>
      </c>
      <c r="F36" s="75">
        <v>0</v>
      </c>
      <c r="G36" s="63" t="s">
        <v>3556</v>
      </c>
    </row>
    <row r="37" spans="1:7" ht="45" hidden="1" customHeight="1" x14ac:dyDescent="0.25">
      <c r="A37" s="134"/>
      <c r="B37" s="135"/>
      <c r="C37" s="225"/>
      <c r="D37" s="226"/>
      <c r="E37" s="226"/>
      <c r="F37" s="227"/>
      <c r="G37" s="137"/>
    </row>
    <row r="38" spans="1:7" s="72" customFormat="1" ht="45" customHeight="1" x14ac:dyDescent="0.25">
      <c r="A38" s="122"/>
      <c r="B38" s="92" t="s">
        <v>71</v>
      </c>
      <c r="C38" s="138" t="s">
        <v>3377</v>
      </c>
      <c r="D38" s="139"/>
      <c r="E38" s="140"/>
      <c r="F38" s="132">
        <f ca="1">_xlfn.IFNA(VLOOKUP(B38,Worksheet!$C$3:$G$12,5,FALSE),F38)</f>
        <v>0</v>
      </c>
      <c r="G38" s="63" t="s">
        <v>71</v>
      </c>
    </row>
    <row r="39" spans="1:7" s="72" customFormat="1" ht="45" customHeight="1" x14ac:dyDescent="0.25">
      <c r="A39" s="122"/>
      <c r="B39" s="141" t="s">
        <v>3469</v>
      </c>
      <c r="C39" s="142" t="s">
        <v>3479</v>
      </c>
      <c r="D39" s="89" t="s">
        <v>3559</v>
      </c>
      <c r="E39" s="89" t="s">
        <v>3560</v>
      </c>
      <c r="F39" s="89" t="s">
        <v>3561</v>
      </c>
      <c r="G39" s="63" t="s">
        <v>71</v>
      </c>
    </row>
    <row r="40" spans="1:7" s="72" customFormat="1" ht="45" customHeight="1" x14ac:dyDescent="0.25">
      <c r="A40" s="122"/>
      <c r="B40" s="84">
        <v>251</v>
      </c>
      <c r="C40" s="133" t="s">
        <v>3480</v>
      </c>
      <c r="D40" s="75">
        <f ca="1">_xlfn.IFNA(VLOOKUP(B40,Worksheet!$C$3:$G$12,3,FALSE),D40)</f>
        <v>0</v>
      </c>
      <c r="E40" s="132">
        <f ca="1">_xlfn.IFNA(VLOOKUP(B40,Worksheet!$C$3:$G$12,4,FALSE),E40)</f>
        <v>0</v>
      </c>
      <c r="F40" s="132">
        <f ca="1">_xlfn.IFNA(VLOOKUP(B40,Worksheet!$C$3:$G$12,5,FALSE),F40)</f>
        <v>0</v>
      </c>
      <c r="G40" s="63" t="s">
        <v>71</v>
      </c>
    </row>
    <row r="41" spans="1:7" s="72" customFormat="1" ht="45" customHeight="1" x14ac:dyDescent="0.25">
      <c r="A41" s="122"/>
      <c r="B41" s="84">
        <v>252</v>
      </c>
      <c r="C41" s="133" t="s">
        <v>3481</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12"/>
      <c r="D42" s="313"/>
      <c r="E42" s="313"/>
      <c r="F42" s="314"/>
      <c r="G42" s="63"/>
    </row>
    <row r="43" spans="1:7" s="72" customFormat="1" ht="45" hidden="1" customHeight="1" x14ac:dyDescent="0.25">
      <c r="A43" s="122"/>
      <c r="B43" s="69"/>
      <c r="C43" s="302"/>
      <c r="D43" s="304"/>
      <c r="E43" s="304"/>
      <c r="F43" s="305"/>
      <c r="G43" s="63"/>
    </row>
    <row r="44" spans="1:7" s="72" customFormat="1" ht="45" hidden="1" customHeight="1" x14ac:dyDescent="0.25">
      <c r="A44" s="122"/>
      <c r="B44" s="81" t="s">
        <v>3422</v>
      </c>
      <c r="C44" s="205" t="s">
        <v>3433</v>
      </c>
      <c r="D44" s="203"/>
      <c r="E44" s="206"/>
      <c r="F44" s="207">
        <f ca="1">_xlfn.IFNA(VLOOKUP(B44,Worksheet!$C$3:$G$12,5,FALSE),F44)</f>
        <v>0</v>
      </c>
      <c r="G44" s="63" t="s">
        <v>3422</v>
      </c>
    </row>
    <row r="45" spans="1:7" s="72" customFormat="1" ht="45" hidden="1" customHeight="1" x14ac:dyDescent="0.25">
      <c r="A45" s="122"/>
      <c r="B45" s="81" t="s">
        <v>3477</v>
      </c>
      <c r="C45" s="142" t="s">
        <v>3482</v>
      </c>
      <c r="D45" s="204"/>
      <c r="E45" s="202"/>
      <c r="F45" s="208" t="s">
        <v>3525</v>
      </c>
      <c r="G45" s="63" t="s">
        <v>3422</v>
      </c>
    </row>
    <row r="46" spans="1:7" s="76" customFormat="1" ht="45" hidden="1" customHeight="1" x14ac:dyDescent="0.25">
      <c r="A46" s="122"/>
      <c r="B46" s="84">
        <v>261</v>
      </c>
      <c r="C46" s="133" t="s">
        <v>3483</v>
      </c>
      <c r="D46" s="204"/>
      <c r="E46" s="202"/>
      <c r="F46" s="132">
        <f ca="1">_xlfn.IFNA(VLOOKUP(B46,Worksheet!$C$3:$G$12,5,FALSE),F46)</f>
        <v>0</v>
      </c>
      <c r="G46" s="63" t="s">
        <v>3422</v>
      </c>
    </row>
    <row r="47" spans="1:7" s="72" customFormat="1" ht="45" hidden="1" customHeight="1" x14ac:dyDescent="0.25">
      <c r="A47" s="122"/>
      <c r="B47" s="84">
        <v>262</v>
      </c>
      <c r="C47" s="133" t="s">
        <v>3484</v>
      </c>
      <c r="D47" s="204"/>
      <c r="E47" s="202"/>
      <c r="F47" s="132">
        <f ca="1">_xlfn.IFNA(VLOOKUP(B47,Worksheet!$C$3:$G$12,5,FALSE),F47)</f>
        <v>0</v>
      </c>
      <c r="G47" s="63" t="s">
        <v>3422</v>
      </c>
    </row>
    <row r="48" spans="1:7" s="72" customFormat="1" ht="45" hidden="1" customHeight="1" x14ac:dyDescent="0.25">
      <c r="A48" s="122"/>
      <c r="B48" s="84">
        <v>263</v>
      </c>
      <c r="C48" s="133" t="s">
        <v>3485</v>
      </c>
      <c r="D48" s="204"/>
      <c r="E48" s="202"/>
      <c r="F48" s="132">
        <f ca="1">_xlfn.IFNA(VLOOKUP(B48,Worksheet!$C$3:$G$12,5,FALSE),F48)</f>
        <v>0</v>
      </c>
      <c r="G48" s="63" t="s">
        <v>3422</v>
      </c>
    </row>
    <row r="49" spans="1:7" s="72" customFormat="1" ht="45" hidden="1" customHeight="1" x14ac:dyDescent="0.25">
      <c r="A49" s="122"/>
      <c r="B49" s="69"/>
      <c r="C49" s="302"/>
      <c r="D49" s="303"/>
      <c r="E49" s="304"/>
      <c r="F49" s="305"/>
      <c r="G49" s="73"/>
    </row>
    <row r="50" spans="1:7" s="72" customFormat="1" ht="45" hidden="1" customHeight="1" x14ac:dyDescent="0.25">
      <c r="A50" s="122"/>
      <c r="B50" s="81" t="s">
        <v>3423</v>
      </c>
      <c r="C50" s="90" t="s">
        <v>3486</v>
      </c>
      <c r="D50" s="203"/>
      <c r="E50" s="206"/>
      <c r="F50" s="132">
        <f ca="1">_xlfn.IFNA(VLOOKUP(B50,Worksheet!$C$3:$G$12,5,FALSE),F50)</f>
        <v>0</v>
      </c>
      <c r="G50" s="73" t="s">
        <v>3425</v>
      </c>
    </row>
    <row r="51" spans="1:7" s="72" customFormat="1" ht="45" hidden="1" customHeight="1" x14ac:dyDescent="0.25">
      <c r="A51" s="122"/>
      <c r="B51" s="81" t="s">
        <v>3477</v>
      </c>
      <c r="C51" s="142" t="s">
        <v>3487</v>
      </c>
      <c r="D51" s="204"/>
      <c r="E51" s="202"/>
      <c r="F51" s="208" t="s">
        <v>3525</v>
      </c>
      <c r="G51" s="73" t="s">
        <v>3425</v>
      </c>
    </row>
    <row r="52" spans="1:7" s="72" customFormat="1" ht="45" hidden="1" customHeight="1" x14ac:dyDescent="0.25">
      <c r="A52" s="122"/>
      <c r="B52" s="84">
        <v>271</v>
      </c>
      <c r="C52" s="133" t="s">
        <v>3488</v>
      </c>
      <c r="D52" s="204"/>
      <c r="E52" s="202"/>
      <c r="F52" s="132">
        <f ca="1">_xlfn.IFNA(VLOOKUP(B52,Worksheet!$C$3:$G$12,5,FALSE),F52)</f>
        <v>0</v>
      </c>
      <c r="G52" s="73" t="s">
        <v>3425</v>
      </c>
    </row>
    <row r="53" spans="1:7" s="72" customFormat="1" ht="45" hidden="1" customHeight="1" x14ac:dyDescent="0.25">
      <c r="A53" s="122"/>
      <c r="B53" s="84">
        <v>272</v>
      </c>
      <c r="C53" s="133" t="s">
        <v>3484</v>
      </c>
      <c r="D53" s="204"/>
      <c r="E53" s="202"/>
      <c r="F53" s="132">
        <f ca="1">_xlfn.IFNA(VLOOKUP(B53,Worksheet!$C$3:$G$12,5,FALSE),F53)</f>
        <v>0</v>
      </c>
      <c r="G53" s="73" t="s">
        <v>3425</v>
      </c>
    </row>
    <row r="54" spans="1:7" s="72" customFormat="1" ht="45" hidden="1" customHeight="1" x14ac:dyDescent="0.25">
      <c r="A54" s="122"/>
      <c r="B54" s="69"/>
      <c r="C54" s="302"/>
      <c r="D54" s="304"/>
      <c r="E54" s="304"/>
      <c r="F54" s="305"/>
      <c r="G54" s="73"/>
    </row>
    <row r="55" spans="1:7" s="72" customFormat="1" ht="45" hidden="1" customHeight="1" x14ac:dyDescent="0.25">
      <c r="A55" s="122"/>
      <c r="B55" s="81" t="s">
        <v>3424</v>
      </c>
      <c r="C55" s="90" t="s">
        <v>3426</v>
      </c>
      <c r="D55" s="83"/>
      <c r="E55" s="87"/>
      <c r="F55" s="132">
        <f ca="1">_xlfn.IFNA(VLOOKUP(B55,Worksheet!$C$3:$G$12,5,FALSE),F55)</f>
        <v>0</v>
      </c>
      <c r="G55" s="73" t="s">
        <v>3424</v>
      </c>
    </row>
    <row r="56" spans="1:7" s="72" customFormat="1" ht="45" hidden="1" customHeight="1" x14ac:dyDescent="0.25">
      <c r="A56" s="122"/>
      <c r="B56" s="81" t="s">
        <v>3477</v>
      </c>
      <c r="C56" s="142" t="s">
        <v>3489</v>
      </c>
      <c r="D56" s="204"/>
      <c r="E56" s="202"/>
      <c r="F56" s="208" t="s">
        <v>3525</v>
      </c>
      <c r="G56" s="73" t="s">
        <v>3424</v>
      </c>
    </row>
    <row r="57" spans="1:7" s="72" customFormat="1" ht="45" hidden="1" customHeight="1" x14ac:dyDescent="0.25">
      <c r="A57" s="122"/>
      <c r="B57" s="84">
        <v>281</v>
      </c>
      <c r="C57" s="133" t="s">
        <v>3490</v>
      </c>
      <c r="D57" s="204"/>
      <c r="E57" s="202"/>
      <c r="F57" s="132">
        <f ca="1">_xlfn.IFNA(VLOOKUP(B57,Worksheet!$C$3:$G$12,5,FALSE),F57)</f>
        <v>0</v>
      </c>
      <c r="G57" s="73" t="s">
        <v>3424</v>
      </c>
    </row>
    <row r="58" spans="1:7" s="72" customFormat="1" ht="45" hidden="1" customHeight="1" x14ac:dyDescent="0.25">
      <c r="A58" s="122"/>
      <c r="B58" s="84">
        <v>282</v>
      </c>
      <c r="C58" s="133" t="s">
        <v>3491</v>
      </c>
      <c r="D58" s="204"/>
      <c r="E58" s="202"/>
      <c r="F58" s="132">
        <f ca="1">_xlfn.IFNA(VLOOKUP(B58,Worksheet!$C$3:$G$12,5,FALSE),F58)</f>
        <v>0</v>
      </c>
      <c r="G58" s="73" t="s">
        <v>3424</v>
      </c>
    </row>
    <row r="59" spans="1:7" s="72" customFormat="1" ht="51" hidden="1" customHeight="1" x14ac:dyDescent="0.25">
      <c r="A59" s="122"/>
      <c r="B59" s="306"/>
      <c r="C59" s="307"/>
      <c r="D59" s="307"/>
      <c r="E59" s="307"/>
      <c r="F59" s="308"/>
      <c r="G59" s="73"/>
    </row>
    <row r="60" spans="1:7" s="72" customFormat="1" ht="45" hidden="1" customHeight="1" x14ac:dyDescent="0.25">
      <c r="A60" s="122"/>
      <c r="B60" s="81" t="s">
        <v>3427</v>
      </c>
      <c r="C60" s="90" t="s">
        <v>3429</v>
      </c>
      <c r="D60" s="83"/>
      <c r="E60" s="87"/>
      <c r="F60" s="132">
        <f ca="1">_xlfn.IFNA(VLOOKUP(B60,Worksheet!$C$3:$G$12,5,FALSE),F60)</f>
        <v>0</v>
      </c>
      <c r="G60" s="143" t="s">
        <v>3427</v>
      </c>
    </row>
    <row r="61" spans="1:7" ht="45" hidden="1" customHeight="1" x14ac:dyDescent="0.25">
      <c r="A61" s="122"/>
      <c r="B61" s="81" t="s">
        <v>3477</v>
      </c>
      <c r="C61" s="142" t="s">
        <v>3492</v>
      </c>
      <c r="D61" s="89" t="s">
        <v>3518</v>
      </c>
      <c r="E61" s="89" t="s">
        <v>3519</v>
      </c>
      <c r="F61" s="89" t="s">
        <v>3520</v>
      </c>
      <c r="G61" s="143" t="s">
        <v>3427</v>
      </c>
    </row>
    <row r="62" spans="1:7" ht="45" hidden="1"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hidden="1" customHeight="1" x14ac:dyDescent="0.25">
      <c r="B63" s="84">
        <v>292</v>
      </c>
      <c r="C63" s="133" t="s">
        <v>3493</v>
      </c>
      <c r="D63" s="75">
        <f ca="1">_xlfn.IFNA(VLOOKUP(B63,Worksheet!$C$3:$G$12,3,FALSE),D63)</f>
        <v>0</v>
      </c>
      <c r="E63" s="132">
        <f ca="1">_xlfn.IFNA(VLOOKUP(B63,Worksheet!$C$3:$G$12,4,FALSE),E63)</f>
        <v>0</v>
      </c>
      <c r="F63" s="132">
        <f ca="1">_xlfn.IFNA(VLOOKUP(B63,Worksheet!$C$3:$G$12,5,FALSE),F63)</f>
        <v>0</v>
      </c>
      <c r="G63" s="143" t="s">
        <v>3427</v>
      </c>
    </row>
    <row r="64" spans="1:7" ht="45" hidden="1" customHeight="1" x14ac:dyDescent="0.25">
      <c r="A64" s="122"/>
      <c r="B64" s="135"/>
      <c r="C64" s="153"/>
      <c r="D64" s="150"/>
      <c r="E64" s="150"/>
      <c r="F64" s="150"/>
      <c r="G64" s="137"/>
    </row>
    <row r="65" spans="1:7" ht="45" hidden="1" customHeight="1" x14ac:dyDescent="0.25">
      <c r="A65" s="122"/>
      <c r="B65" s="81" t="s">
        <v>3526</v>
      </c>
      <c r="C65" s="90" t="s">
        <v>3527</v>
      </c>
      <c r="D65" s="204"/>
      <c r="E65" s="202"/>
      <c r="F65" s="150">
        <v>0</v>
      </c>
      <c r="G65" s="137" t="s">
        <v>3526</v>
      </c>
    </row>
    <row r="66" spans="1:7" ht="45" hidden="1" customHeight="1" x14ac:dyDescent="0.25">
      <c r="A66" s="122"/>
      <c r="B66" s="81" t="s">
        <v>3477</v>
      </c>
      <c r="C66" s="142" t="s">
        <v>3528</v>
      </c>
      <c r="D66" s="204"/>
      <c r="E66" s="202"/>
      <c r="F66" s="208" t="s">
        <v>3537</v>
      </c>
      <c r="G66" s="137" t="s">
        <v>3526</v>
      </c>
    </row>
    <row r="67" spans="1:7" ht="45" hidden="1" customHeight="1" x14ac:dyDescent="0.25">
      <c r="A67" s="122"/>
      <c r="B67" s="84">
        <v>4101</v>
      </c>
      <c r="C67" s="133" t="s">
        <v>3529</v>
      </c>
      <c r="D67" s="204"/>
      <c r="E67" s="202"/>
      <c r="F67" s="150">
        <v>0</v>
      </c>
      <c r="G67" s="137" t="s">
        <v>3526</v>
      </c>
    </row>
    <row r="68" spans="1:7" ht="45" hidden="1" customHeight="1" x14ac:dyDescent="0.25">
      <c r="A68" s="122"/>
      <c r="B68" s="84">
        <v>4102</v>
      </c>
      <c r="C68" s="133" t="s">
        <v>3530</v>
      </c>
      <c r="D68" s="204"/>
      <c r="E68" s="202"/>
      <c r="F68" s="150">
        <v>0</v>
      </c>
      <c r="G68" s="137" t="s">
        <v>3526</v>
      </c>
    </row>
    <row r="69" spans="1:7" ht="45" hidden="1" customHeight="1" x14ac:dyDescent="0.25">
      <c r="A69" s="122"/>
      <c r="B69" s="84">
        <v>4103</v>
      </c>
      <c r="C69" s="133" t="s">
        <v>3531</v>
      </c>
      <c r="D69" s="204"/>
      <c r="E69" s="202"/>
      <c r="F69" s="150">
        <v>0</v>
      </c>
      <c r="G69" s="137" t="s">
        <v>3526</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LaB2XnhpAeYQWfZH5NnC4DRr9wTZd1kWdGKVybcMzACdIHY+VOsbrvAZhGlKmzVeShEVtag2tXeK3TqAESILxg==" saltValue="o8VCw3uTq2FfhPHelLUJHA==" spinCount="100000" sheet="1" objects="1" scenarios="1" selectLockedCells="1"/>
  <autoFilter ref="A1:G139" xr:uid="{00000000-0009-0000-0000-000002000000}">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topLeftCell="B71" zoomScale="60" zoomScaleNormal="100" workbookViewId="0">
      <selection activeCell="Z108" sqref="Z108"/>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1" customWidth="1"/>
    <col min="9" max="9" width="8.85546875" style="80"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3509</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3510</v>
      </c>
      <c r="AB110" s="128">
        <f>COUNTIF(AB2:AB108,FALSE)</f>
        <v>0</v>
      </c>
    </row>
    <row r="111" spans="1:33" x14ac:dyDescent="0.25">
      <c r="AA111" s="129" t="s">
        <v>3511</v>
      </c>
      <c r="AB111" s="185" t="e">
        <f>(AB109/(AB109+AB110))</f>
        <v>#DIV/0!</v>
      </c>
    </row>
    <row r="112" spans="1:33" x14ac:dyDescent="0.25">
      <c r="AA112" t="s">
        <v>3508</v>
      </c>
      <c r="AB112" s="186">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3546</v>
      </c>
      <c r="C1" s="222" t="s">
        <v>3547</v>
      </c>
      <c r="D1" s="222" t="s">
        <v>3548</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3549</v>
      </c>
      <c r="D109">
        <f>COUNTIF(D2:D108, "Active")</f>
        <v>0</v>
      </c>
    </row>
    <row r="110" spans="1:4" hidden="1" x14ac:dyDescent="0.25">
      <c r="C110" t="s">
        <v>3508</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19" t="s">
        <v>128</v>
      </c>
      <c r="C2" s="320"/>
      <c r="D2" s="321" t="s">
        <v>126</v>
      </c>
      <c r="E2" s="322"/>
      <c r="F2" s="322"/>
      <c r="G2" s="94"/>
      <c r="H2" s="94"/>
      <c r="I2" s="94"/>
      <c r="J2" s="94"/>
      <c r="K2" s="94"/>
      <c r="L2" s="94"/>
      <c r="M2" s="190"/>
    </row>
    <row r="3" spans="1:26" ht="24" customHeight="1" x14ac:dyDescent="0.25">
      <c r="A3" s="94"/>
      <c r="B3" s="323" t="s">
        <v>1</v>
      </c>
      <c r="C3" s="324"/>
      <c r="D3" s="317" t="s">
        <v>139</v>
      </c>
      <c r="E3" s="318"/>
      <c r="F3" s="318"/>
      <c r="G3" s="94"/>
      <c r="H3" s="94"/>
      <c r="I3" s="94"/>
      <c r="J3" s="94"/>
      <c r="K3" s="94"/>
      <c r="L3" s="94"/>
      <c r="M3" s="190"/>
    </row>
    <row r="4" spans="1:26" ht="23.45" customHeight="1" x14ac:dyDescent="0.25">
      <c r="A4" s="94"/>
      <c r="B4" s="323" t="s">
        <v>3</v>
      </c>
      <c r="C4" s="324"/>
      <c r="D4" s="317" t="s">
        <v>276</v>
      </c>
      <c r="E4" s="318"/>
      <c r="F4" s="318"/>
      <c r="G4" s="94"/>
      <c r="H4" s="94"/>
      <c r="I4" s="94"/>
      <c r="J4" s="94"/>
      <c r="K4" s="94"/>
      <c r="L4" s="94"/>
      <c r="M4" s="190"/>
    </row>
    <row r="5" spans="1:26" ht="22.15" customHeight="1" x14ac:dyDescent="0.25">
      <c r="A5" s="94"/>
      <c r="B5" s="315" t="s">
        <v>130</v>
      </c>
      <c r="C5" s="316"/>
      <c r="D5" s="317" t="s">
        <v>3568</v>
      </c>
      <c r="E5" s="318"/>
      <c r="F5" s="318"/>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28" t="s">
        <v>3373</v>
      </c>
      <c r="D7" s="329"/>
      <c r="E7" s="329"/>
      <c r="F7" s="329"/>
      <c r="G7" s="329"/>
      <c r="H7" s="330"/>
      <c r="I7" s="82" t="s">
        <v>3379</v>
      </c>
      <c r="J7" s="94"/>
      <c r="K7" s="336" t="s">
        <v>3512</v>
      </c>
      <c r="L7" s="337"/>
      <c r="M7" s="190"/>
      <c r="N7" s="190"/>
      <c r="O7" s="190"/>
      <c r="P7" s="190"/>
      <c r="Q7" s="94"/>
      <c r="R7" s="94"/>
      <c r="S7" s="94"/>
      <c r="T7" s="94"/>
      <c r="U7" s="94"/>
    </row>
    <row r="8" spans="1:26" ht="40.15" customHeight="1" x14ac:dyDescent="0.25">
      <c r="A8" s="94"/>
      <c r="B8" s="191"/>
      <c r="C8" s="335" t="s">
        <v>3513</v>
      </c>
      <c r="D8" s="335"/>
      <c r="E8" s="335"/>
      <c r="F8" s="335"/>
      <c r="G8" s="335"/>
      <c r="H8" s="335"/>
      <c r="I8" s="199"/>
      <c r="J8" s="94"/>
      <c r="K8" s="163" t="s">
        <v>3533</v>
      </c>
      <c r="L8" s="197">
        <f>I8</f>
        <v>0</v>
      </c>
      <c r="M8" s="94"/>
      <c r="N8" s="94"/>
      <c r="O8" s="94"/>
      <c r="P8" s="94"/>
      <c r="Q8" s="94"/>
      <c r="R8" s="94"/>
      <c r="S8" s="94"/>
      <c r="T8" s="94"/>
      <c r="U8" s="94"/>
      <c r="V8" s="94"/>
    </row>
    <row r="9" spans="1:26" ht="30" customHeight="1" x14ac:dyDescent="0.25">
      <c r="A9" s="94"/>
      <c r="B9" s="191"/>
      <c r="C9" s="325" t="s">
        <v>3550</v>
      </c>
      <c r="D9" s="326"/>
      <c r="E9" s="326"/>
      <c r="F9" s="326"/>
      <c r="G9" s="326"/>
      <c r="H9" s="327"/>
      <c r="I9" s="208" t="s">
        <v>3532</v>
      </c>
      <c r="J9" s="94"/>
      <c r="K9" s="163" t="s">
        <v>3500</v>
      </c>
      <c r="L9" s="197">
        <f>SUM(G10:I12)</f>
        <v>0</v>
      </c>
      <c r="M9" s="94"/>
      <c r="N9" s="94"/>
      <c r="O9" s="94"/>
      <c r="P9" s="94"/>
      <c r="Q9" s="94"/>
      <c r="R9" s="94"/>
      <c r="S9" s="94"/>
      <c r="T9" s="94"/>
      <c r="U9" s="94"/>
      <c r="V9" s="94"/>
    </row>
    <row r="10" spans="1:26" ht="40.15" customHeight="1" x14ac:dyDescent="0.25">
      <c r="A10" s="94"/>
      <c r="B10" s="84">
        <v>221</v>
      </c>
      <c r="C10" s="332" t="s">
        <v>3514</v>
      </c>
      <c r="D10" s="333"/>
      <c r="E10" s="333"/>
      <c r="F10" s="333"/>
      <c r="G10" s="333"/>
      <c r="H10" s="334"/>
      <c r="I10" s="192"/>
      <c r="J10" s="94"/>
      <c r="K10" s="163" t="s">
        <v>3503</v>
      </c>
      <c r="L10" s="198">
        <f>IFERROR(L9/L8,0)</f>
        <v>0</v>
      </c>
      <c r="M10" s="94"/>
      <c r="N10" s="94"/>
      <c r="O10" s="94"/>
      <c r="P10" s="94"/>
      <c r="Q10" s="94"/>
      <c r="R10" s="94"/>
      <c r="S10" s="94"/>
      <c r="T10" s="94"/>
      <c r="U10" s="94"/>
      <c r="V10" s="94"/>
    </row>
    <row r="11" spans="1:26" ht="49.15" customHeight="1" x14ac:dyDescent="0.25">
      <c r="A11" s="94"/>
      <c r="B11" s="84">
        <v>222</v>
      </c>
      <c r="C11" s="332" t="s">
        <v>3515</v>
      </c>
      <c r="D11" s="333"/>
      <c r="E11" s="333"/>
      <c r="F11" s="333"/>
      <c r="G11" s="333"/>
      <c r="H11" s="334"/>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32" t="s">
        <v>3516</v>
      </c>
      <c r="D12" s="333"/>
      <c r="E12" s="333"/>
      <c r="F12" s="333"/>
      <c r="G12" s="333"/>
      <c r="H12" s="334"/>
      <c r="I12" s="192"/>
      <c r="J12" s="94"/>
      <c r="K12" s="193"/>
      <c r="L12" s="293"/>
      <c r="M12" s="293"/>
      <c r="N12" s="94"/>
      <c r="O12" s="94"/>
      <c r="P12" s="94"/>
      <c r="Q12" s="94"/>
      <c r="R12" s="94"/>
      <c r="S12" s="94"/>
      <c r="T12" s="94"/>
      <c r="U12" s="94"/>
      <c r="V12" s="94"/>
      <c r="W12" s="94"/>
      <c r="X12" s="94"/>
      <c r="Y12" s="94"/>
    </row>
    <row r="13" spans="1:26" ht="21.6" customHeight="1" x14ac:dyDescent="0.25">
      <c r="A13" s="94"/>
      <c r="B13" s="94"/>
      <c r="C13" s="331"/>
      <c r="D13" s="331"/>
      <c r="E13" s="331"/>
      <c r="F13" s="331"/>
      <c r="G13" s="195"/>
      <c r="H13" s="94"/>
      <c r="I13" s="94"/>
      <c r="J13" s="94"/>
      <c r="K13" s="194"/>
      <c r="L13" s="293"/>
      <c r="M13" s="293"/>
      <c r="N13" s="94"/>
      <c r="O13" s="94"/>
      <c r="P13" s="94"/>
      <c r="Q13" s="94"/>
      <c r="R13" s="94"/>
      <c r="S13" s="94"/>
      <c r="T13" s="94"/>
      <c r="U13" s="94"/>
      <c r="V13" s="94"/>
      <c r="W13" s="94"/>
      <c r="X13" s="94"/>
      <c r="Y13" s="94"/>
    </row>
    <row r="14" spans="1:26" ht="50.45" customHeight="1" x14ac:dyDescent="0.25">
      <c r="A14" s="94"/>
      <c r="B14" s="94"/>
      <c r="C14" s="331"/>
      <c r="D14" s="331"/>
      <c r="E14" s="331"/>
      <c r="F14" s="331"/>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35" t="s">
        <v>62</v>
      </c>
      <c r="C3" s="436"/>
      <c r="D3" s="436"/>
      <c r="E3" s="436"/>
      <c r="F3" s="436"/>
      <c r="G3" s="436"/>
      <c r="H3" s="436"/>
      <c r="I3" s="436"/>
      <c r="J3" s="436"/>
      <c r="K3" s="436"/>
      <c r="L3" s="436"/>
      <c r="M3" s="436"/>
      <c r="N3" s="436"/>
      <c r="O3" s="436"/>
      <c r="P3" s="436"/>
      <c r="Q3" s="436"/>
      <c r="R3" s="436"/>
      <c r="S3" s="436"/>
      <c r="T3" s="436"/>
      <c r="U3" s="436"/>
      <c r="V3" s="436"/>
      <c r="W3" s="436"/>
      <c r="X3" s="436"/>
      <c r="Y3" s="437"/>
      <c r="Z3" s="7"/>
      <c r="AA3" s="8"/>
    </row>
    <row r="4" spans="2:27" s="3" customFormat="1" ht="36.6" customHeight="1" thickBot="1" x14ac:dyDescent="0.3">
      <c r="B4" s="438" t="s">
        <v>0</v>
      </c>
      <c r="C4" s="439"/>
      <c r="D4" s="440"/>
      <c r="E4" s="441"/>
      <c r="F4" s="441"/>
      <c r="G4" s="441"/>
      <c r="H4" s="441"/>
      <c r="I4" s="441"/>
      <c r="J4" s="441"/>
      <c r="K4" s="442"/>
      <c r="L4" s="9"/>
      <c r="M4" s="409"/>
      <c r="N4" s="410"/>
      <c r="O4" s="410"/>
      <c r="P4" s="411"/>
      <c r="Q4" s="432"/>
      <c r="R4" s="433"/>
      <c r="S4" s="433"/>
      <c r="T4" s="433"/>
      <c r="U4" s="433"/>
      <c r="V4" s="433"/>
      <c r="W4" s="433"/>
      <c r="X4" s="433"/>
      <c r="Y4" s="434"/>
    </row>
    <row r="5" spans="2:27" s="3" customFormat="1" ht="36.6" customHeight="1" thickBot="1" x14ac:dyDescent="0.3">
      <c r="B5" s="443" t="s">
        <v>1</v>
      </c>
      <c r="C5" s="444"/>
      <c r="D5" s="445"/>
      <c r="E5" s="446"/>
      <c r="F5" s="446"/>
      <c r="G5" s="446"/>
      <c r="H5" s="446"/>
      <c r="I5" s="446"/>
      <c r="J5" s="446"/>
      <c r="K5" s="447"/>
      <c r="L5" s="9"/>
      <c r="M5" s="443" t="s">
        <v>2</v>
      </c>
      <c r="N5" s="448"/>
      <c r="O5" s="448"/>
      <c r="P5" s="444"/>
      <c r="Q5" s="432"/>
      <c r="R5" s="433"/>
      <c r="S5" s="433"/>
      <c r="T5" s="433"/>
      <c r="U5" s="433"/>
      <c r="V5" s="433"/>
      <c r="W5" s="433"/>
      <c r="X5" s="433"/>
      <c r="Y5" s="434"/>
    </row>
    <row r="6" spans="2:27" s="3" customFormat="1" ht="36.6" customHeight="1" thickBot="1" x14ac:dyDescent="0.3">
      <c r="B6" s="409" t="s">
        <v>3</v>
      </c>
      <c r="C6" s="411"/>
      <c r="D6" s="406"/>
      <c r="E6" s="407"/>
      <c r="F6" s="407"/>
      <c r="G6" s="408"/>
      <c r="H6" s="429" t="s">
        <v>4</v>
      </c>
      <c r="I6" s="430"/>
      <c r="J6" s="430"/>
      <c r="K6" s="431"/>
      <c r="L6" s="9"/>
      <c r="M6" s="409" t="s">
        <v>5</v>
      </c>
      <c r="N6" s="410"/>
      <c r="O6" s="410"/>
      <c r="P6" s="411"/>
      <c r="Q6" s="412"/>
      <c r="R6" s="413"/>
      <c r="S6" s="413"/>
      <c r="T6" s="413"/>
      <c r="U6" s="413"/>
      <c r="V6" s="413"/>
      <c r="W6" s="413"/>
      <c r="X6" s="413"/>
      <c r="Y6" s="414"/>
    </row>
    <row r="7" spans="2:27" s="3" customFormat="1" ht="36.6" customHeight="1" thickBot="1" x14ac:dyDescent="0.3">
      <c r="B7" s="404" t="s">
        <v>6</v>
      </c>
      <c r="C7" s="405"/>
      <c r="D7" s="406"/>
      <c r="E7" s="407"/>
      <c r="F7" s="407"/>
      <c r="G7" s="407"/>
      <c r="H7" s="407"/>
      <c r="I7" s="407"/>
      <c r="J7" s="407"/>
      <c r="K7" s="408"/>
      <c r="L7" s="9"/>
      <c r="M7" s="409" t="s">
        <v>7</v>
      </c>
      <c r="N7" s="410"/>
      <c r="O7" s="410"/>
      <c r="P7" s="411"/>
      <c r="Q7" s="432"/>
      <c r="R7" s="433"/>
      <c r="S7" s="433"/>
      <c r="T7" s="433"/>
      <c r="U7" s="433"/>
      <c r="V7" s="433"/>
      <c r="W7" s="433"/>
      <c r="X7" s="433"/>
      <c r="Y7" s="434"/>
    </row>
    <row r="8" spans="2:27" s="3" customFormat="1" ht="36.6" customHeight="1" thickBot="1" x14ac:dyDescent="0.3">
      <c r="B8" s="404" t="s">
        <v>8</v>
      </c>
      <c r="C8" s="405"/>
      <c r="D8" s="406"/>
      <c r="E8" s="407"/>
      <c r="F8" s="407"/>
      <c r="G8" s="407"/>
      <c r="H8" s="407"/>
      <c r="I8" s="407"/>
      <c r="J8" s="407"/>
      <c r="K8" s="408"/>
      <c r="L8" s="10"/>
      <c r="M8" s="409" t="s">
        <v>9</v>
      </c>
      <c r="N8" s="410"/>
      <c r="O8" s="410"/>
      <c r="P8" s="411"/>
      <c r="Q8" s="412"/>
      <c r="R8" s="413"/>
      <c r="S8" s="413"/>
      <c r="T8" s="413"/>
      <c r="U8" s="413"/>
      <c r="V8" s="413"/>
      <c r="W8" s="413"/>
      <c r="X8" s="413"/>
      <c r="Y8" s="414"/>
    </row>
    <row r="9" spans="2:27" s="3" customFormat="1" ht="32.25" customHeight="1" thickBot="1" x14ac:dyDescent="0.3">
      <c r="B9" s="11"/>
      <c r="C9" s="415" t="s">
        <v>10</v>
      </c>
      <c r="D9" s="417" t="s">
        <v>11</v>
      </c>
      <c r="E9" s="419" t="s">
        <v>12</v>
      </c>
      <c r="F9" s="419"/>
      <c r="G9" s="419"/>
      <c r="H9" s="419"/>
      <c r="I9" s="419"/>
      <c r="J9" s="419"/>
      <c r="K9" s="419"/>
      <c r="L9" s="419"/>
      <c r="M9" s="419"/>
      <c r="N9" s="419"/>
      <c r="O9" s="419"/>
      <c r="P9" s="419"/>
      <c r="Q9" s="419"/>
      <c r="R9" s="420"/>
      <c r="S9" s="421" t="s">
        <v>13</v>
      </c>
      <c r="T9" s="423" t="s">
        <v>14</v>
      </c>
      <c r="U9" s="425" t="s">
        <v>15</v>
      </c>
      <c r="V9" s="425"/>
      <c r="W9" s="425"/>
      <c r="X9" s="425"/>
      <c r="Y9" s="426"/>
    </row>
    <row r="10" spans="2:27" s="14" customFormat="1" ht="120" customHeight="1" thickBot="1" x14ac:dyDescent="0.35">
      <c r="B10" s="12"/>
      <c r="C10" s="416"/>
      <c r="D10" s="418"/>
      <c r="E10" s="398" t="s">
        <v>16</v>
      </c>
      <c r="F10" s="399"/>
      <c r="G10" s="398" t="s">
        <v>17</v>
      </c>
      <c r="H10" s="399"/>
      <c r="I10" s="398" t="s">
        <v>18</v>
      </c>
      <c r="J10" s="399"/>
      <c r="K10" s="398" t="s">
        <v>19</v>
      </c>
      <c r="L10" s="399"/>
      <c r="M10" s="400" t="s">
        <v>20</v>
      </c>
      <c r="N10" s="401"/>
      <c r="O10" s="402"/>
      <c r="P10" s="400" t="s">
        <v>21</v>
      </c>
      <c r="Q10" s="403"/>
      <c r="R10" s="13" t="s">
        <v>22</v>
      </c>
      <c r="S10" s="422"/>
      <c r="T10" s="424"/>
      <c r="U10" s="427"/>
      <c r="V10" s="427"/>
      <c r="W10" s="427"/>
      <c r="X10" s="427"/>
      <c r="Y10" s="428"/>
    </row>
    <row r="11" spans="2:27" s="3" customFormat="1" ht="87.6" customHeight="1" x14ac:dyDescent="0.25">
      <c r="B11" s="15">
        <v>1</v>
      </c>
      <c r="C11" s="16" t="s">
        <v>23</v>
      </c>
      <c r="D11" s="394"/>
      <c r="E11" s="396">
        <v>213</v>
      </c>
      <c r="F11" s="392"/>
      <c r="G11" s="392">
        <v>186</v>
      </c>
      <c r="H11" s="392"/>
      <c r="I11" s="392">
        <v>168</v>
      </c>
      <c r="J11" s="392"/>
      <c r="K11" s="392">
        <v>264</v>
      </c>
      <c r="L11" s="392"/>
      <c r="M11" s="397">
        <v>292</v>
      </c>
      <c r="N11" s="397"/>
      <c r="O11" s="397"/>
      <c r="P11" s="392">
        <v>295</v>
      </c>
      <c r="Q11" s="393"/>
      <c r="R11" s="17">
        <v>1418</v>
      </c>
      <c r="S11" s="18"/>
      <c r="T11" s="19" t="s">
        <v>24</v>
      </c>
      <c r="U11" s="358"/>
      <c r="V11" s="359"/>
      <c r="W11" s="359"/>
      <c r="X11" s="359"/>
      <c r="Y11" s="360"/>
    </row>
    <row r="12" spans="2:27" s="3" customFormat="1" ht="87.6" customHeight="1" x14ac:dyDescent="0.25">
      <c r="B12" s="15" t="s">
        <v>25</v>
      </c>
      <c r="C12" s="16" t="s">
        <v>26</v>
      </c>
      <c r="D12" s="395"/>
      <c r="E12" s="388">
        <v>35</v>
      </c>
      <c r="F12" s="389"/>
      <c r="G12" s="389">
        <v>18</v>
      </c>
      <c r="H12" s="389"/>
      <c r="I12" s="389">
        <v>18</v>
      </c>
      <c r="J12" s="389"/>
      <c r="K12" s="389">
        <v>28</v>
      </c>
      <c r="L12" s="389"/>
      <c r="M12" s="390">
        <v>40</v>
      </c>
      <c r="N12" s="390"/>
      <c r="O12" s="390"/>
      <c r="P12" s="389">
        <v>21</v>
      </c>
      <c r="Q12" s="391"/>
      <c r="R12" s="17">
        <v>160</v>
      </c>
      <c r="S12" s="20"/>
      <c r="T12" s="19" t="s">
        <v>24</v>
      </c>
      <c r="U12" s="358"/>
      <c r="V12" s="359"/>
      <c r="W12" s="359"/>
      <c r="X12" s="359"/>
      <c r="Y12" s="360"/>
    </row>
    <row r="13" spans="2:27" s="3" customFormat="1" ht="87.6" customHeight="1" x14ac:dyDescent="0.25">
      <c r="B13" s="15">
        <v>2</v>
      </c>
      <c r="C13" s="16" t="s">
        <v>27</v>
      </c>
      <c r="D13" s="21">
        <v>5365</v>
      </c>
      <c r="E13" s="388">
        <v>836</v>
      </c>
      <c r="F13" s="389"/>
      <c r="G13" s="389">
        <v>783</v>
      </c>
      <c r="H13" s="389"/>
      <c r="I13" s="389">
        <v>1394</v>
      </c>
      <c r="J13" s="389"/>
      <c r="K13" s="389">
        <v>667</v>
      </c>
      <c r="L13" s="389"/>
      <c r="M13" s="390">
        <v>827</v>
      </c>
      <c r="N13" s="390"/>
      <c r="O13" s="390"/>
      <c r="P13" s="389">
        <v>827</v>
      </c>
      <c r="Q13" s="391"/>
      <c r="R13" s="17">
        <v>5334</v>
      </c>
      <c r="S13" s="22">
        <v>1.0049999999999999</v>
      </c>
      <c r="T13" s="19" t="s">
        <v>24</v>
      </c>
      <c r="U13" s="358"/>
      <c r="V13" s="359"/>
      <c r="W13" s="359"/>
      <c r="X13" s="359"/>
      <c r="Y13" s="360"/>
    </row>
    <row r="14" spans="2:27" s="3" customFormat="1" ht="87.6" customHeight="1" x14ac:dyDescent="0.25">
      <c r="B14" s="15" t="s">
        <v>28</v>
      </c>
      <c r="C14" s="16" t="s">
        <v>29</v>
      </c>
      <c r="D14" s="21">
        <v>4</v>
      </c>
      <c r="E14" s="388">
        <v>0</v>
      </c>
      <c r="F14" s="389"/>
      <c r="G14" s="389">
        <v>1</v>
      </c>
      <c r="H14" s="389"/>
      <c r="I14" s="389">
        <v>2</v>
      </c>
      <c r="J14" s="389"/>
      <c r="K14" s="389">
        <v>0</v>
      </c>
      <c r="L14" s="389"/>
      <c r="M14" s="390">
        <v>0</v>
      </c>
      <c r="N14" s="390"/>
      <c r="O14" s="390"/>
      <c r="P14" s="389">
        <v>1</v>
      </c>
      <c r="Q14" s="391"/>
      <c r="R14" s="17">
        <v>4</v>
      </c>
      <c r="S14" s="22">
        <v>1</v>
      </c>
      <c r="T14" s="19" t="s">
        <v>24</v>
      </c>
      <c r="U14" s="358"/>
      <c r="V14" s="359"/>
      <c r="W14" s="359"/>
      <c r="X14" s="359"/>
      <c r="Y14" s="360"/>
    </row>
    <row r="15" spans="2:27" s="3" customFormat="1" ht="87.6" customHeight="1" thickBot="1" x14ac:dyDescent="0.3">
      <c r="B15" s="15" t="s">
        <v>30</v>
      </c>
      <c r="C15" s="16" t="s">
        <v>31</v>
      </c>
      <c r="D15" s="21">
        <v>21</v>
      </c>
      <c r="E15" s="384">
        <v>2</v>
      </c>
      <c r="F15" s="385"/>
      <c r="G15" s="385">
        <v>0</v>
      </c>
      <c r="H15" s="385"/>
      <c r="I15" s="385">
        <v>5</v>
      </c>
      <c r="J15" s="385"/>
      <c r="K15" s="385">
        <v>2</v>
      </c>
      <c r="L15" s="385"/>
      <c r="M15" s="386">
        <v>4</v>
      </c>
      <c r="N15" s="386"/>
      <c r="O15" s="386"/>
      <c r="P15" s="385">
        <v>8</v>
      </c>
      <c r="Q15" s="387"/>
      <c r="R15" s="23">
        <v>21</v>
      </c>
      <c r="S15" s="22">
        <v>1</v>
      </c>
      <c r="T15" s="19" t="s">
        <v>24</v>
      </c>
      <c r="U15" s="358"/>
      <c r="V15" s="359"/>
      <c r="W15" s="359"/>
      <c r="X15" s="359"/>
      <c r="Y15" s="360"/>
    </row>
    <row r="16" spans="2:27" s="3" customFormat="1" ht="87.6" customHeight="1" thickBot="1" x14ac:dyDescent="0.3">
      <c r="B16" s="15"/>
      <c r="C16" s="24" t="s">
        <v>32</v>
      </c>
      <c r="D16" s="21">
        <v>6836</v>
      </c>
      <c r="E16" s="381">
        <v>1049</v>
      </c>
      <c r="F16" s="382"/>
      <c r="G16" s="381">
        <v>969</v>
      </c>
      <c r="H16" s="382"/>
      <c r="I16" s="381">
        <v>1562</v>
      </c>
      <c r="J16" s="382"/>
      <c r="K16" s="381">
        <v>931</v>
      </c>
      <c r="L16" s="382"/>
      <c r="M16" s="381">
        <v>1119</v>
      </c>
      <c r="N16" s="383"/>
      <c r="O16" s="382"/>
      <c r="P16" s="381">
        <v>1122</v>
      </c>
      <c r="Q16" s="382"/>
      <c r="R16" s="25">
        <v>6752</v>
      </c>
      <c r="S16" s="22">
        <v>1.012</v>
      </c>
      <c r="T16" s="19" t="s">
        <v>24</v>
      </c>
      <c r="U16" s="358"/>
      <c r="V16" s="359"/>
      <c r="W16" s="359"/>
      <c r="X16" s="359"/>
      <c r="Y16" s="360"/>
    </row>
    <row r="17" spans="2:28" s="3" customFormat="1" ht="87.6" customHeight="1" thickBot="1" x14ac:dyDescent="0.3">
      <c r="B17" s="15"/>
      <c r="C17" s="16" t="s">
        <v>33</v>
      </c>
      <c r="D17" s="21">
        <v>187</v>
      </c>
      <c r="E17" s="381">
        <v>35</v>
      </c>
      <c r="F17" s="382"/>
      <c r="G17" s="381">
        <v>19</v>
      </c>
      <c r="H17" s="382"/>
      <c r="I17" s="381">
        <v>20</v>
      </c>
      <c r="J17" s="382"/>
      <c r="K17" s="381">
        <v>28</v>
      </c>
      <c r="L17" s="382"/>
      <c r="M17" s="381">
        <v>40</v>
      </c>
      <c r="N17" s="383"/>
      <c r="O17" s="382"/>
      <c r="P17" s="381">
        <v>22</v>
      </c>
      <c r="Q17" s="382"/>
      <c r="R17" s="25">
        <v>164</v>
      </c>
      <c r="S17" s="22">
        <v>1.1399999999999999</v>
      </c>
      <c r="T17" s="19" t="s">
        <v>24</v>
      </c>
      <c r="U17" s="358"/>
      <c r="V17" s="359"/>
      <c r="W17" s="359"/>
      <c r="X17" s="359"/>
      <c r="Y17" s="360"/>
    </row>
    <row r="18" spans="2:28" s="3" customFormat="1" ht="87.6" customHeight="1" x14ac:dyDescent="0.25">
      <c r="B18" s="15">
        <v>3</v>
      </c>
      <c r="C18" s="16" t="s">
        <v>34</v>
      </c>
      <c r="D18" s="21">
        <v>25</v>
      </c>
      <c r="E18" s="377">
        <v>2</v>
      </c>
      <c r="F18" s="378"/>
      <c r="G18" s="378">
        <v>1</v>
      </c>
      <c r="H18" s="378"/>
      <c r="I18" s="378">
        <v>7</v>
      </c>
      <c r="J18" s="378"/>
      <c r="K18" s="378">
        <v>2</v>
      </c>
      <c r="L18" s="378"/>
      <c r="M18" s="379">
        <v>4</v>
      </c>
      <c r="N18" s="379"/>
      <c r="O18" s="379"/>
      <c r="P18" s="378">
        <v>9</v>
      </c>
      <c r="Q18" s="380"/>
      <c r="R18" s="26">
        <v>25</v>
      </c>
      <c r="S18" s="22">
        <v>1</v>
      </c>
      <c r="T18" s="19" t="s">
        <v>24</v>
      </c>
      <c r="U18" s="358"/>
      <c r="V18" s="359"/>
      <c r="W18" s="359"/>
      <c r="X18" s="359"/>
      <c r="Y18" s="360"/>
    </row>
    <row r="19" spans="2:28" s="3" customFormat="1" ht="87.6" customHeight="1" thickBot="1" x14ac:dyDescent="0.3">
      <c r="B19" s="15">
        <v>4</v>
      </c>
      <c r="C19" s="16" t="s">
        <v>35</v>
      </c>
      <c r="D19" s="27">
        <v>104</v>
      </c>
      <c r="E19" s="372">
        <v>24</v>
      </c>
      <c r="F19" s="373"/>
      <c r="G19" s="373">
        <v>10</v>
      </c>
      <c r="H19" s="373"/>
      <c r="I19" s="373">
        <v>4</v>
      </c>
      <c r="J19" s="373"/>
      <c r="K19" s="373">
        <v>19</v>
      </c>
      <c r="L19" s="373"/>
      <c r="M19" s="374">
        <v>21</v>
      </c>
      <c r="N19" s="374"/>
      <c r="O19" s="374"/>
      <c r="P19" s="373">
        <v>26</v>
      </c>
      <c r="Q19" s="375"/>
      <c r="R19" s="17">
        <v>104</v>
      </c>
      <c r="S19" s="22">
        <v>1</v>
      </c>
      <c r="T19" s="19" t="s">
        <v>24</v>
      </c>
      <c r="U19" s="358"/>
      <c r="V19" s="359"/>
      <c r="W19" s="359"/>
      <c r="X19" s="359"/>
      <c r="Y19" s="360"/>
    </row>
    <row r="20" spans="2:28" s="3" customFormat="1" ht="24.75" customHeight="1" thickBot="1" x14ac:dyDescent="0.3">
      <c r="B20" s="15"/>
      <c r="C20" s="361" t="s">
        <v>36</v>
      </c>
      <c r="D20" s="364" t="s">
        <v>37</v>
      </c>
      <c r="E20" s="365"/>
      <c r="F20" s="365"/>
      <c r="G20" s="365"/>
      <c r="H20" s="365"/>
      <c r="I20" s="365"/>
      <c r="J20" s="365"/>
      <c r="K20" s="365"/>
      <c r="L20" s="365"/>
      <c r="M20" s="366"/>
      <c r="N20" s="367"/>
      <c r="O20" s="369" t="s">
        <v>38</v>
      </c>
      <c r="P20" s="365"/>
      <c r="Q20" s="365"/>
      <c r="R20" s="370"/>
      <c r="S20" s="370"/>
      <c r="T20" s="370"/>
      <c r="U20" s="365"/>
      <c r="V20" s="365"/>
      <c r="W20" s="365"/>
      <c r="X20" s="366"/>
      <c r="Y20" s="28" t="s">
        <v>15</v>
      </c>
      <c r="Z20" s="29"/>
      <c r="AA20" s="30"/>
      <c r="AB20" s="31"/>
    </row>
    <row r="21" spans="2:28" s="14" customFormat="1" ht="111.6" customHeight="1" x14ac:dyDescent="0.3">
      <c r="B21" s="32">
        <v>5</v>
      </c>
      <c r="C21" s="362"/>
      <c r="D21" s="371" t="s">
        <v>39</v>
      </c>
      <c r="E21" s="353"/>
      <c r="F21" s="354" t="s">
        <v>40</v>
      </c>
      <c r="G21" s="353"/>
      <c r="H21" s="354" t="s">
        <v>41</v>
      </c>
      <c r="I21" s="355"/>
      <c r="J21" s="352" t="s">
        <v>42</v>
      </c>
      <c r="K21" s="353"/>
      <c r="L21" s="354" t="s">
        <v>43</v>
      </c>
      <c r="M21" s="355"/>
      <c r="N21" s="367"/>
      <c r="O21" s="371" t="s">
        <v>44</v>
      </c>
      <c r="P21" s="353"/>
      <c r="Q21" s="354" t="s">
        <v>45</v>
      </c>
      <c r="R21" s="353"/>
      <c r="S21" s="354" t="s">
        <v>46</v>
      </c>
      <c r="T21" s="355"/>
      <c r="U21" s="352" t="s">
        <v>47</v>
      </c>
      <c r="V21" s="353"/>
      <c r="W21" s="354" t="s">
        <v>48</v>
      </c>
      <c r="X21" s="355"/>
      <c r="Y21" s="356"/>
      <c r="Z21" s="33"/>
      <c r="AA21" s="34"/>
      <c r="AB21" s="34"/>
    </row>
    <row r="22" spans="2:28" s="3" customFormat="1" ht="58.5" customHeight="1" thickBot="1" x14ac:dyDescent="0.3">
      <c r="B22" s="35"/>
      <c r="C22" s="363"/>
      <c r="D22" s="376">
        <v>87</v>
      </c>
      <c r="E22" s="347"/>
      <c r="F22" s="346">
        <v>87</v>
      </c>
      <c r="G22" s="347"/>
      <c r="H22" s="346">
        <v>87</v>
      </c>
      <c r="I22" s="348"/>
      <c r="J22" s="349">
        <v>1</v>
      </c>
      <c r="K22" s="350"/>
      <c r="L22" s="349">
        <v>1</v>
      </c>
      <c r="M22" s="350"/>
      <c r="N22" s="368"/>
      <c r="O22" s="376">
        <v>109</v>
      </c>
      <c r="P22" s="347"/>
      <c r="Q22" s="346">
        <v>109</v>
      </c>
      <c r="R22" s="347"/>
      <c r="S22" s="346">
        <v>109</v>
      </c>
      <c r="T22" s="348"/>
      <c r="U22" s="349">
        <v>1</v>
      </c>
      <c r="V22" s="350"/>
      <c r="W22" s="349">
        <v>1</v>
      </c>
      <c r="X22" s="350"/>
      <c r="Y22" s="357"/>
      <c r="Z22" s="30"/>
      <c r="AA22" s="31"/>
      <c r="AB22" s="31"/>
    </row>
    <row r="23" spans="2:28" ht="10.15" customHeight="1" thickBot="1" x14ac:dyDescent="0.3"/>
    <row r="24" spans="2:28" s="41" customFormat="1" ht="60" customHeight="1" thickBot="1" x14ac:dyDescent="0.3">
      <c r="B24" s="338" t="s">
        <v>49</v>
      </c>
      <c r="C24" s="338"/>
      <c r="D24" s="37" t="s">
        <v>50</v>
      </c>
      <c r="E24" s="339" t="s">
        <v>51</v>
      </c>
      <c r="F24" s="340"/>
      <c r="G24" s="341"/>
      <c r="H24" s="342"/>
      <c r="I24" s="342"/>
      <c r="J24" s="342"/>
      <c r="K24" s="343"/>
      <c r="L24" s="38"/>
      <c r="M24" s="39"/>
      <c r="N24" s="39"/>
      <c r="O24" s="39"/>
      <c r="P24" s="39"/>
      <c r="Q24" s="39"/>
      <c r="R24" s="39"/>
      <c r="S24" s="39"/>
      <c r="T24" s="39"/>
      <c r="U24" s="39"/>
      <c r="V24" s="39"/>
      <c r="W24" s="39"/>
      <c r="X24" s="39"/>
      <c r="Y24" s="40"/>
    </row>
    <row r="25" spans="2:28" ht="54" customHeight="1" thickBot="1" x14ac:dyDescent="0.3">
      <c r="B25" s="338" t="s">
        <v>52</v>
      </c>
      <c r="C25" s="338"/>
      <c r="D25" s="37" t="s">
        <v>53</v>
      </c>
      <c r="E25" s="42"/>
      <c r="F25" s="42"/>
      <c r="G25" s="42"/>
      <c r="H25" s="43"/>
      <c r="I25" s="43"/>
      <c r="J25" s="43"/>
      <c r="K25" s="43"/>
      <c r="L25" s="43"/>
    </row>
    <row r="26" spans="2:28" ht="59.45" customHeight="1" thickBot="1" x14ac:dyDescent="0.3">
      <c r="B26" s="344" t="s">
        <v>54</v>
      </c>
      <c r="C26" s="345"/>
      <c r="D26" s="37" t="s">
        <v>50</v>
      </c>
      <c r="E26" s="339" t="s">
        <v>55</v>
      </c>
      <c r="F26" s="340"/>
      <c r="G26" s="341"/>
      <c r="H26" s="342"/>
      <c r="I26" s="342"/>
      <c r="J26" s="342"/>
      <c r="K26" s="343"/>
      <c r="L26" s="43"/>
    </row>
    <row r="27" spans="2:28" ht="10.5" customHeight="1" x14ac:dyDescent="0.25">
      <c r="B27" s="44"/>
      <c r="C27" s="44"/>
    </row>
    <row r="28" spans="2:28" s="41" customFormat="1" ht="54.6" customHeight="1" x14ac:dyDescent="0.25">
      <c r="B28" s="45"/>
      <c r="C28" s="45" t="s">
        <v>56</v>
      </c>
      <c r="D28" s="351" t="s">
        <v>57</v>
      </c>
      <c r="E28" s="351"/>
      <c r="F28" s="351"/>
      <c r="G28" s="351"/>
      <c r="H28" s="351"/>
      <c r="I28" s="351"/>
      <c r="J28" s="351"/>
      <c r="K28" s="351"/>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51" t="s">
        <v>57</v>
      </c>
      <c r="E30" s="351"/>
      <c r="F30" s="351"/>
      <c r="G30" s="351"/>
      <c r="H30" s="351"/>
      <c r="I30" s="351"/>
      <c r="J30" s="351"/>
      <c r="K30" s="351"/>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52" t="s">
        <v>63</v>
      </c>
      <c r="D2" s="449" t="s">
        <v>77</v>
      </c>
      <c r="E2" s="51" t="s">
        <v>78</v>
      </c>
    </row>
    <row r="3" spans="3:5" x14ac:dyDescent="0.25">
      <c r="C3" s="453"/>
      <c r="D3" s="450"/>
      <c r="E3" s="51"/>
    </row>
    <row r="4" spans="3:5" ht="30.75" thickBot="1" x14ac:dyDescent="0.3">
      <c r="C4" s="453"/>
      <c r="D4" s="451"/>
      <c r="E4" s="52" t="s">
        <v>79</v>
      </c>
    </row>
    <row r="5" spans="3:5" x14ac:dyDescent="0.25">
      <c r="C5" s="453"/>
      <c r="D5" s="449" t="s">
        <v>80</v>
      </c>
      <c r="E5" s="51" t="s">
        <v>81</v>
      </c>
    </row>
    <row r="6" spans="3:5" ht="15.75" thickBot="1" x14ac:dyDescent="0.3">
      <c r="C6" s="453"/>
      <c r="D6" s="451"/>
      <c r="E6" s="52" t="s">
        <v>82</v>
      </c>
    </row>
    <row r="7" spans="3:5" ht="60.75" thickBot="1" x14ac:dyDescent="0.3">
      <c r="C7" s="453"/>
      <c r="D7" s="52" t="s">
        <v>83</v>
      </c>
      <c r="E7" s="52" t="s">
        <v>84</v>
      </c>
    </row>
    <row r="8" spans="3:5" ht="30.75" thickBot="1" x14ac:dyDescent="0.3">
      <c r="C8" s="453"/>
      <c r="D8" s="53" t="s">
        <v>85</v>
      </c>
      <c r="E8" s="52" t="s">
        <v>86</v>
      </c>
    </row>
    <row r="9" spans="3:5" x14ac:dyDescent="0.25">
      <c r="C9" s="453"/>
      <c r="D9" s="449" t="s">
        <v>87</v>
      </c>
      <c r="E9" s="51" t="s">
        <v>88</v>
      </c>
    </row>
    <row r="10" spans="3:5" ht="45.75" thickBot="1" x14ac:dyDescent="0.3">
      <c r="C10" s="454"/>
      <c r="D10" s="451"/>
      <c r="E10" s="52" t="s">
        <v>89</v>
      </c>
    </row>
    <row r="11" spans="3:5" ht="45.75" thickBot="1" x14ac:dyDescent="0.3">
      <c r="C11" s="452" t="s">
        <v>65</v>
      </c>
      <c r="D11" s="52" t="s">
        <v>90</v>
      </c>
      <c r="E11" s="52" t="s">
        <v>91</v>
      </c>
    </row>
    <row r="12" spans="3:5" ht="60.75" thickBot="1" x14ac:dyDescent="0.3">
      <c r="C12" s="453"/>
      <c r="D12" s="52" t="s">
        <v>92</v>
      </c>
      <c r="E12" s="52" t="s">
        <v>93</v>
      </c>
    </row>
    <row r="13" spans="3:5" x14ac:dyDescent="0.25">
      <c r="C13" s="453"/>
      <c r="D13" s="51"/>
      <c r="E13" s="51" t="s">
        <v>95</v>
      </c>
    </row>
    <row r="14" spans="3:5" ht="105.75" thickBot="1" x14ac:dyDescent="0.3">
      <c r="C14" s="453"/>
      <c r="D14" s="53" t="s">
        <v>94</v>
      </c>
      <c r="E14" s="52" t="s">
        <v>96</v>
      </c>
    </row>
    <row r="15" spans="3:5" x14ac:dyDescent="0.25">
      <c r="C15" s="453"/>
      <c r="D15" s="51"/>
      <c r="E15" s="449" t="s">
        <v>100</v>
      </c>
    </row>
    <row r="16" spans="3:5" ht="30" x14ac:dyDescent="0.25">
      <c r="C16" s="453"/>
      <c r="D16" s="51" t="s">
        <v>97</v>
      </c>
      <c r="E16" s="450"/>
    </row>
    <row r="17" spans="3:5" ht="30" x14ac:dyDescent="0.25">
      <c r="C17" s="453"/>
      <c r="D17" s="51" t="s">
        <v>98</v>
      </c>
      <c r="E17" s="450"/>
    </row>
    <row r="18" spans="3:5" ht="15.75" thickBot="1" x14ac:dyDescent="0.3">
      <c r="C18" s="454"/>
      <c r="D18" s="52" t="s">
        <v>99</v>
      </c>
      <c r="E18" s="451"/>
    </row>
    <row r="19" spans="3:5" ht="45.75" thickBot="1" x14ac:dyDescent="0.3">
      <c r="C19" s="452" t="s">
        <v>67</v>
      </c>
      <c r="D19" s="52" t="s">
        <v>101</v>
      </c>
      <c r="E19" s="52" t="s">
        <v>100</v>
      </c>
    </row>
    <row r="20" spans="3:5" x14ac:dyDescent="0.25">
      <c r="C20" s="453"/>
      <c r="D20" s="51" t="s">
        <v>102</v>
      </c>
      <c r="E20" s="51" t="s">
        <v>105</v>
      </c>
    </row>
    <row r="21" spans="3:5" ht="30" x14ac:dyDescent="0.25">
      <c r="C21" s="453"/>
      <c r="D21" s="51" t="s">
        <v>103</v>
      </c>
      <c r="E21" s="51" t="s">
        <v>106</v>
      </c>
    </row>
    <row r="22" spans="3:5" ht="30.75" thickBot="1" x14ac:dyDescent="0.3">
      <c r="C22" s="453"/>
      <c r="D22" s="52" t="s">
        <v>104</v>
      </c>
      <c r="E22" s="54"/>
    </row>
    <row r="23" spans="3:5" ht="30.75" thickBot="1" x14ac:dyDescent="0.3">
      <c r="C23" s="454"/>
      <c r="D23" s="53" t="s">
        <v>107</v>
      </c>
      <c r="E23" s="52" t="s">
        <v>79</v>
      </c>
    </row>
    <row r="24" spans="3:5" ht="60.75" thickBot="1" x14ac:dyDescent="0.3">
      <c r="C24" s="452" t="s">
        <v>66</v>
      </c>
      <c r="D24" s="53" t="s">
        <v>108</v>
      </c>
      <c r="E24" s="52" t="s">
        <v>109</v>
      </c>
    </row>
    <row r="25" spans="3:5" ht="30" x14ac:dyDescent="0.25">
      <c r="C25" s="453"/>
      <c r="D25" s="51" t="s">
        <v>110</v>
      </c>
      <c r="E25" s="449" t="s">
        <v>100</v>
      </c>
    </row>
    <row r="26" spans="3:5" ht="30" x14ac:dyDescent="0.25">
      <c r="C26" s="453"/>
      <c r="D26" s="51" t="s">
        <v>111</v>
      </c>
      <c r="E26" s="450"/>
    </row>
    <row r="27" spans="3:5" ht="18.75" customHeight="1" thickBot="1" x14ac:dyDescent="0.3">
      <c r="C27" s="453"/>
      <c r="D27" s="52" t="s">
        <v>112</v>
      </c>
      <c r="E27" s="451"/>
    </row>
    <row r="28" spans="3:5" ht="45.75" thickBot="1" x14ac:dyDescent="0.3">
      <c r="C28" s="454"/>
      <c r="D28" s="52" t="s">
        <v>113</v>
      </c>
      <c r="E28" s="52" t="s">
        <v>89</v>
      </c>
    </row>
    <row r="29" spans="3:5" ht="45.75" thickBot="1" x14ac:dyDescent="0.3">
      <c r="C29" s="452" t="s">
        <v>64</v>
      </c>
      <c r="D29" s="53" t="s">
        <v>114</v>
      </c>
      <c r="E29" s="52" t="s">
        <v>109</v>
      </c>
    </row>
    <row r="30" spans="3:5" ht="30" x14ac:dyDescent="0.25">
      <c r="C30" s="453"/>
      <c r="D30" s="51" t="s">
        <v>115</v>
      </c>
      <c r="E30" s="449" t="s">
        <v>79</v>
      </c>
    </row>
    <row r="31" spans="3:5" ht="15.75" thickBot="1" x14ac:dyDescent="0.3">
      <c r="C31" s="453"/>
      <c r="D31" s="52" t="s">
        <v>116</v>
      </c>
      <c r="E31" s="451"/>
    </row>
    <row r="32" spans="3:5" ht="45.75" thickBot="1" x14ac:dyDescent="0.3">
      <c r="C32" s="454"/>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N1504"/>
  <sheetViews>
    <sheetView workbookViewId="0">
      <selection activeCell="K1512" sqref="K1512"/>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row>
    <row r="2" spans="1:19" x14ac:dyDescent="0.25">
      <c r="A2" s="60" t="s">
        <v>153</v>
      </c>
      <c r="C2" t="s">
        <v>3567</v>
      </c>
      <c r="D2" t="s">
        <v>136</v>
      </c>
      <c r="E2" t="s">
        <v>220</v>
      </c>
      <c r="F2" s="77" t="s">
        <v>123</v>
      </c>
      <c r="H2" t="s">
        <v>396</v>
      </c>
      <c r="I2" t="s">
        <v>131</v>
      </c>
      <c r="J2" t="s">
        <v>172</v>
      </c>
      <c r="K2" s="80" t="s">
        <v>1454</v>
      </c>
      <c r="L2" t="s">
        <v>1455</v>
      </c>
      <c r="M2" t="s">
        <v>153</v>
      </c>
      <c r="N2" t="str">
        <f>SUBSTITUTE(SUBSTITUTE(M2&amp;J2," ",""),"-","")</f>
        <v>APINbeAdo</v>
      </c>
      <c r="Q2">
        <v>0</v>
      </c>
      <c r="R2">
        <v>20</v>
      </c>
      <c r="S2">
        <v>20</v>
      </c>
    </row>
    <row r="3" spans="1:19" x14ac:dyDescent="0.25">
      <c r="A3" s="60" t="s">
        <v>124</v>
      </c>
      <c r="C3" t="s">
        <v>3568</v>
      </c>
      <c r="D3" t="s">
        <v>144</v>
      </c>
      <c r="E3" t="s">
        <v>3572</v>
      </c>
      <c r="F3" s="78" t="s">
        <v>68</v>
      </c>
      <c r="H3" t="s">
        <v>396</v>
      </c>
      <c r="I3" t="s">
        <v>131</v>
      </c>
      <c r="J3" t="s">
        <v>172</v>
      </c>
      <c r="K3" s="80" t="s">
        <v>1456</v>
      </c>
      <c r="L3" t="s">
        <v>1457</v>
      </c>
      <c r="M3" t="s">
        <v>153</v>
      </c>
      <c r="N3" t="str">
        <f t="shared" ref="N3:N66" si="0">SUBSTITUTE(SUBSTITUTE(M3&amp;J3," ",""),"-","")</f>
        <v>APINbeAdo</v>
      </c>
      <c r="Q3">
        <v>21</v>
      </c>
      <c r="R3">
        <v>30</v>
      </c>
      <c r="S3">
        <v>24</v>
      </c>
    </row>
    <row r="4" spans="1:19" x14ac:dyDescent="0.25">
      <c r="A4" s="60" t="s">
        <v>154</v>
      </c>
      <c r="C4" t="s">
        <v>3569</v>
      </c>
      <c r="D4" s="55" t="s">
        <v>140</v>
      </c>
      <c r="E4" t="s">
        <v>219</v>
      </c>
      <c r="F4" s="77" t="s">
        <v>125</v>
      </c>
      <c r="H4" t="s">
        <v>396</v>
      </c>
      <c r="I4" t="s">
        <v>131</v>
      </c>
      <c r="J4" t="s">
        <v>155</v>
      </c>
      <c r="K4" s="80" t="s">
        <v>1225</v>
      </c>
      <c r="L4" t="s">
        <v>1226</v>
      </c>
      <c r="M4" t="s">
        <v>153</v>
      </c>
      <c r="N4" t="str">
        <f t="shared" si="0"/>
        <v>APINbeAgatu</v>
      </c>
      <c r="Q4">
        <v>31</v>
      </c>
      <c r="R4">
        <v>40</v>
      </c>
      <c r="S4">
        <v>30</v>
      </c>
    </row>
    <row r="5" spans="1:19" x14ac:dyDescent="0.25">
      <c r="A5" s="60" t="s">
        <v>126</v>
      </c>
      <c r="C5" t="s">
        <v>3570</v>
      </c>
      <c r="D5" s="55" t="s">
        <v>141</v>
      </c>
      <c r="E5" t="s">
        <v>221</v>
      </c>
      <c r="F5" s="77" t="s">
        <v>69</v>
      </c>
      <c r="H5" t="s">
        <v>396</v>
      </c>
      <c r="I5" t="s">
        <v>131</v>
      </c>
      <c r="J5" t="s">
        <v>155</v>
      </c>
      <c r="K5" s="80" t="s">
        <v>1458</v>
      </c>
      <c r="L5" t="s">
        <v>1459</v>
      </c>
      <c r="M5" t="s">
        <v>153</v>
      </c>
      <c r="N5" t="str">
        <f t="shared" si="0"/>
        <v>APINbeAgatu</v>
      </c>
      <c r="Q5">
        <v>41</v>
      </c>
      <c r="R5">
        <v>50</v>
      </c>
      <c r="S5">
        <v>35</v>
      </c>
    </row>
    <row r="6" spans="1:19" x14ac:dyDescent="0.25">
      <c r="A6" s="60"/>
      <c r="D6" t="s">
        <v>132</v>
      </c>
      <c r="E6" t="s">
        <v>222</v>
      </c>
      <c r="F6" s="466" t="s">
        <v>3556</v>
      </c>
      <c r="H6" t="s">
        <v>396</v>
      </c>
      <c r="I6" t="s">
        <v>131</v>
      </c>
      <c r="J6" t="s">
        <v>173</v>
      </c>
      <c r="K6" s="80" t="s">
        <v>1460</v>
      </c>
      <c r="L6" t="s">
        <v>1461</v>
      </c>
      <c r="M6" t="s">
        <v>153</v>
      </c>
      <c r="N6" t="str">
        <f t="shared" si="0"/>
        <v>APINbeApa</v>
      </c>
      <c r="Q6">
        <v>51</v>
      </c>
      <c r="R6">
        <v>60</v>
      </c>
      <c r="S6">
        <v>39</v>
      </c>
    </row>
    <row r="7" spans="1:19" x14ac:dyDescent="0.25">
      <c r="A7" s="60"/>
      <c r="D7" t="s">
        <v>133</v>
      </c>
      <c r="E7" t="s">
        <v>223</v>
      </c>
      <c r="F7" s="77" t="s">
        <v>71</v>
      </c>
      <c r="H7" t="s">
        <v>396</v>
      </c>
      <c r="I7" t="s">
        <v>131</v>
      </c>
      <c r="J7" t="s">
        <v>173</v>
      </c>
      <c r="K7" s="80" t="s">
        <v>1462</v>
      </c>
      <c r="L7" t="s">
        <v>1463</v>
      </c>
      <c r="M7" t="s">
        <v>153</v>
      </c>
      <c r="N7" t="str">
        <f t="shared" si="0"/>
        <v>APINbeApa</v>
      </c>
      <c r="Q7">
        <v>61</v>
      </c>
      <c r="R7">
        <v>70</v>
      </c>
      <c r="S7">
        <v>43</v>
      </c>
    </row>
    <row r="8" spans="1:19" x14ac:dyDescent="0.25">
      <c r="A8" s="60"/>
      <c r="D8" t="s">
        <v>135</v>
      </c>
      <c r="E8" t="s">
        <v>311</v>
      </c>
      <c r="F8" s="61" t="s">
        <v>3517</v>
      </c>
      <c r="H8" t="s">
        <v>396</v>
      </c>
      <c r="I8" t="s">
        <v>131</v>
      </c>
      <c r="J8" t="s">
        <v>156</v>
      </c>
      <c r="K8" s="80" t="s">
        <v>1227</v>
      </c>
      <c r="L8" t="s">
        <v>1228</v>
      </c>
      <c r="M8" t="s">
        <v>153</v>
      </c>
      <c r="N8" t="str">
        <f t="shared" si="0"/>
        <v>APINbeBuruku</v>
      </c>
      <c r="Q8">
        <v>71</v>
      </c>
      <c r="R8">
        <v>80</v>
      </c>
      <c r="S8">
        <v>46</v>
      </c>
    </row>
    <row r="9" spans="1:19" x14ac:dyDescent="0.25">
      <c r="A9" s="60"/>
      <c r="D9" t="s">
        <v>138</v>
      </c>
      <c r="E9" t="s">
        <v>312</v>
      </c>
      <c r="F9" s="61" t="s">
        <v>3422</v>
      </c>
      <c r="H9" t="s">
        <v>396</v>
      </c>
      <c r="I9" t="s">
        <v>131</v>
      </c>
      <c r="J9" t="s">
        <v>156</v>
      </c>
      <c r="K9" s="80" t="s">
        <v>1229</v>
      </c>
      <c r="L9" t="s">
        <v>1230</v>
      </c>
      <c r="M9" t="s">
        <v>153</v>
      </c>
      <c r="N9" t="str">
        <f t="shared" si="0"/>
        <v>APINbeBuruku</v>
      </c>
      <c r="Q9">
        <v>81</v>
      </c>
      <c r="R9">
        <v>90</v>
      </c>
      <c r="S9">
        <v>49</v>
      </c>
    </row>
    <row r="10" spans="1:19"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row>
    <row r="11" spans="1:19" x14ac:dyDescent="0.25">
      <c r="D11" t="s">
        <v>139</v>
      </c>
      <c r="E11" t="s">
        <v>317</v>
      </c>
      <c r="F11" s="61" t="s">
        <v>3424</v>
      </c>
      <c r="H11" t="s">
        <v>396</v>
      </c>
      <c r="I11" t="s">
        <v>131</v>
      </c>
      <c r="J11" t="s">
        <v>156</v>
      </c>
      <c r="K11" s="80" t="s">
        <v>1464</v>
      </c>
      <c r="L11" t="s">
        <v>1465</v>
      </c>
      <c r="M11" t="s">
        <v>153</v>
      </c>
      <c r="N11" t="str">
        <f t="shared" si="0"/>
        <v>APINbeBuruku</v>
      </c>
      <c r="Q11">
        <v>101</v>
      </c>
      <c r="R11">
        <v>119</v>
      </c>
      <c r="S11">
        <v>57</v>
      </c>
    </row>
    <row r="12" spans="1:19" x14ac:dyDescent="0.25">
      <c r="D12" t="s">
        <v>142</v>
      </c>
      <c r="E12" t="s">
        <v>313</v>
      </c>
      <c r="F12" s="61" t="s">
        <v>3551</v>
      </c>
      <c r="H12" t="s">
        <v>396</v>
      </c>
      <c r="I12" t="s">
        <v>131</v>
      </c>
      <c r="J12" t="s">
        <v>156</v>
      </c>
      <c r="K12" s="80" t="s">
        <v>1466</v>
      </c>
      <c r="L12" t="s">
        <v>1467</v>
      </c>
      <c r="M12" t="s">
        <v>153</v>
      </c>
      <c r="N12" t="str">
        <f t="shared" si="0"/>
        <v>APINbeBuruku</v>
      </c>
      <c r="Q12">
        <v>120</v>
      </c>
      <c r="R12">
        <v>139</v>
      </c>
      <c r="S12">
        <v>61</v>
      </c>
    </row>
    <row r="13" spans="1:19" x14ac:dyDescent="0.25">
      <c r="D13" t="s">
        <v>131</v>
      </c>
      <c r="E13" t="s">
        <v>318</v>
      </c>
      <c r="F13" s="61" t="s">
        <v>3526</v>
      </c>
      <c r="H13" t="s">
        <v>396</v>
      </c>
      <c r="I13" t="s">
        <v>131</v>
      </c>
      <c r="J13" t="s">
        <v>156</v>
      </c>
      <c r="K13" s="80" t="s">
        <v>1468</v>
      </c>
      <c r="L13" t="s">
        <v>1469</v>
      </c>
      <c r="M13" t="s">
        <v>153</v>
      </c>
      <c r="N13" t="str">
        <f t="shared" si="0"/>
        <v>APINbeBuruku</v>
      </c>
      <c r="Q13">
        <v>140</v>
      </c>
      <c r="R13">
        <v>159</v>
      </c>
      <c r="S13">
        <v>64</v>
      </c>
    </row>
    <row r="14" spans="1:19" x14ac:dyDescent="0.25">
      <c r="D14" s="55" t="s">
        <v>134</v>
      </c>
      <c r="E14" t="s">
        <v>314</v>
      </c>
      <c r="H14" t="s">
        <v>396</v>
      </c>
      <c r="I14" t="s">
        <v>131</v>
      </c>
      <c r="J14" t="s">
        <v>156</v>
      </c>
      <c r="K14" s="80" t="s">
        <v>1470</v>
      </c>
      <c r="L14" t="s">
        <v>1471</v>
      </c>
      <c r="M14" t="s">
        <v>153</v>
      </c>
      <c r="N14" t="str">
        <f t="shared" si="0"/>
        <v>APINbeBuruku</v>
      </c>
      <c r="Q14">
        <v>160</v>
      </c>
      <c r="R14">
        <v>179</v>
      </c>
      <c r="S14">
        <v>67</v>
      </c>
    </row>
    <row r="15" spans="1:19" x14ac:dyDescent="0.25">
      <c r="D15" t="s">
        <v>143</v>
      </c>
      <c r="E15" t="s">
        <v>319</v>
      </c>
      <c r="H15" t="s">
        <v>396</v>
      </c>
      <c r="I15" t="s">
        <v>131</v>
      </c>
      <c r="J15" t="s">
        <v>156</v>
      </c>
      <c r="K15" s="80" t="s">
        <v>1472</v>
      </c>
      <c r="L15" t="s">
        <v>1473</v>
      </c>
      <c r="M15" t="s">
        <v>153</v>
      </c>
      <c r="N15" t="str">
        <f t="shared" si="0"/>
        <v>APINbeBuruku</v>
      </c>
      <c r="Q15">
        <v>180</v>
      </c>
      <c r="R15">
        <v>199</v>
      </c>
      <c r="S15">
        <v>70</v>
      </c>
    </row>
    <row r="16" spans="1:19" x14ac:dyDescent="0.25">
      <c r="D16" t="s">
        <v>145</v>
      </c>
      <c r="E16" t="s">
        <v>320</v>
      </c>
      <c r="H16" t="s">
        <v>396</v>
      </c>
      <c r="I16" t="s">
        <v>131</v>
      </c>
      <c r="J16" t="s">
        <v>156</v>
      </c>
      <c r="K16" s="80" t="s">
        <v>1474</v>
      </c>
      <c r="L16" t="s">
        <v>1475</v>
      </c>
      <c r="M16" t="s">
        <v>153</v>
      </c>
      <c r="N16" t="str">
        <f t="shared" si="0"/>
        <v>APINbeBuruku</v>
      </c>
      <c r="Q16">
        <v>200</v>
      </c>
      <c r="R16">
        <v>249</v>
      </c>
      <c r="S16">
        <v>75</v>
      </c>
    </row>
    <row r="17" spans="4:19" x14ac:dyDescent="0.25">
      <c r="D17" t="s">
        <v>146</v>
      </c>
      <c r="E17" t="s">
        <v>315</v>
      </c>
      <c r="H17" t="s">
        <v>396</v>
      </c>
      <c r="I17" t="s">
        <v>131</v>
      </c>
      <c r="J17" t="s">
        <v>156</v>
      </c>
      <c r="K17" s="80" t="s">
        <v>1476</v>
      </c>
      <c r="L17" t="s">
        <v>1477</v>
      </c>
      <c r="M17" t="s">
        <v>153</v>
      </c>
      <c r="N17" t="str">
        <f t="shared" si="0"/>
        <v>APINbeBuruku</v>
      </c>
      <c r="Q17">
        <v>250</v>
      </c>
      <c r="R17">
        <v>299</v>
      </c>
      <c r="S17">
        <v>79</v>
      </c>
    </row>
    <row r="18" spans="4:19" x14ac:dyDescent="0.25">
      <c r="D18" t="s">
        <v>147</v>
      </c>
      <c r="E18" t="s">
        <v>321</v>
      </c>
      <c r="H18" t="s">
        <v>396</v>
      </c>
      <c r="I18" t="s">
        <v>131</v>
      </c>
      <c r="J18" t="s">
        <v>156</v>
      </c>
      <c r="K18" s="80" t="s">
        <v>1478</v>
      </c>
      <c r="L18" t="s">
        <v>1479</v>
      </c>
      <c r="M18" t="s">
        <v>153</v>
      </c>
      <c r="N18" t="str">
        <f t="shared" si="0"/>
        <v>APINbeBuruku</v>
      </c>
      <c r="Q18">
        <v>300</v>
      </c>
      <c r="R18">
        <v>349</v>
      </c>
      <c r="S18">
        <v>82</v>
      </c>
    </row>
    <row r="19" spans="4:19" x14ac:dyDescent="0.25">
      <c r="D19" t="s">
        <v>148</v>
      </c>
      <c r="E19" t="s">
        <v>322</v>
      </c>
      <c r="H19" t="s">
        <v>396</v>
      </c>
      <c r="I19" t="s">
        <v>131</v>
      </c>
      <c r="J19" t="s">
        <v>156</v>
      </c>
      <c r="K19" s="80" t="s">
        <v>1480</v>
      </c>
      <c r="L19" t="s">
        <v>1481</v>
      </c>
      <c r="M19" t="s">
        <v>153</v>
      </c>
      <c r="N19" t="str">
        <f t="shared" si="0"/>
        <v>APINbeBuruku</v>
      </c>
      <c r="Q19">
        <v>350</v>
      </c>
      <c r="R19">
        <v>399</v>
      </c>
      <c r="S19">
        <v>85</v>
      </c>
    </row>
    <row r="20" spans="4:19" x14ac:dyDescent="0.25">
      <c r="D20" t="s">
        <v>149</v>
      </c>
      <c r="E20" t="s">
        <v>279</v>
      </c>
      <c r="H20" t="s">
        <v>396</v>
      </c>
      <c r="I20" t="s">
        <v>131</v>
      </c>
      <c r="J20" t="s">
        <v>156</v>
      </c>
      <c r="K20" s="80" t="s">
        <v>1482</v>
      </c>
      <c r="L20" t="s">
        <v>1483</v>
      </c>
      <c r="M20" t="s">
        <v>153</v>
      </c>
      <c r="N20" t="str">
        <f t="shared" si="0"/>
        <v>APINbeBuruku</v>
      </c>
      <c r="Q20">
        <v>400</v>
      </c>
      <c r="R20">
        <v>449</v>
      </c>
      <c r="S20">
        <v>87</v>
      </c>
    </row>
    <row r="21" spans="4:19" x14ac:dyDescent="0.25">
      <c r="E21" t="s">
        <v>280</v>
      </c>
      <c r="H21" t="s">
        <v>396</v>
      </c>
      <c r="I21" t="s">
        <v>131</v>
      </c>
      <c r="J21" t="s">
        <v>156</v>
      </c>
      <c r="K21" s="80" t="s">
        <v>1484</v>
      </c>
      <c r="L21" t="s">
        <v>1485</v>
      </c>
      <c r="M21" t="s">
        <v>153</v>
      </c>
      <c r="N21" t="str">
        <f t="shared" si="0"/>
        <v>APINbeBuruku</v>
      </c>
      <c r="Q21">
        <v>450</v>
      </c>
      <c r="R21">
        <v>499</v>
      </c>
      <c r="S21">
        <v>88</v>
      </c>
    </row>
    <row r="22" spans="4:19" x14ac:dyDescent="0.25">
      <c r="E22" t="s">
        <v>281</v>
      </c>
      <c r="H22" t="s">
        <v>396</v>
      </c>
      <c r="I22" t="s">
        <v>131</v>
      </c>
      <c r="J22" t="s">
        <v>156</v>
      </c>
      <c r="K22" s="80" t="s">
        <v>1486</v>
      </c>
      <c r="L22" t="s">
        <v>1487</v>
      </c>
      <c r="M22" t="s">
        <v>153</v>
      </c>
      <c r="N22" t="str">
        <f t="shared" si="0"/>
        <v>APINbeBuruku</v>
      </c>
      <c r="Q22">
        <v>500</v>
      </c>
      <c r="R22">
        <v>749</v>
      </c>
      <c r="S22">
        <v>94</v>
      </c>
    </row>
    <row r="23" spans="4:19" x14ac:dyDescent="0.25">
      <c r="E23" t="s">
        <v>282</v>
      </c>
      <c r="H23" t="s">
        <v>396</v>
      </c>
      <c r="I23" t="s">
        <v>131</v>
      </c>
      <c r="J23" t="s">
        <v>156</v>
      </c>
      <c r="K23" s="80" t="s">
        <v>1488</v>
      </c>
      <c r="L23" t="s">
        <v>1489</v>
      </c>
      <c r="M23" t="s">
        <v>153</v>
      </c>
      <c r="N23" t="str">
        <f t="shared" si="0"/>
        <v>APINbeBuruku</v>
      </c>
      <c r="Q23">
        <v>750</v>
      </c>
      <c r="R23">
        <v>999</v>
      </c>
      <c r="S23">
        <v>97</v>
      </c>
    </row>
    <row r="24" spans="4:19" x14ac:dyDescent="0.25">
      <c r="E24" t="s">
        <v>283</v>
      </c>
      <c r="H24" t="s">
        <v>396</v>
      </c>
      <c r="I24" t="s">
        <v>131</v>
      </c>
      <c r="J24" t="s">
        <v>156</v>
      </c>
      <c r="K24" s="80" t="s">
        <v>1490</v>
      </c>
      <c r="L24" t="s">
        <v>1491</v>
      </c>
      <c r="M24" t="s">
        <v>153</v>
      </c>
      <c r="N24" t="str">
        <f t="shared" si="0"/>
        <v>APINbeBuruku</v>
      </c>
      <c r="Q24">
        <v>1000</v>
      </c>
      <c r="R24">
        <v>4999</v>
      </c>
      <c r="S24">
        <v>105</v>
      </c>
    </row>
    <row r="25" spans="4:19" x14ac:dyDescent="0.25">
      <c r="E25" t="s">
        <v>284</v>
      </c>
      <c r="H25" t="s">
        <v>396</v>
      </c>
      <c r="I25" t="s">
        <v>131</v>
      </c>
      <c r="J25" t="s">
        <v>156</v>
      </c>
      <c r="K25" s="80" t="s">
        <v>1492</v>
      </c>
      <c r="L25" t="s">
        <v>1493</v>
      </c>
      <c r="M25" t="s">
        <v>153</v>
      </c>
      <c r="N25" t="str">
        <f t="shared" si="0"/>
        <v>APINbeBuruku</v>
      </c>
      <c r="Q25">
        <v>5000</v>
      </c>
      <c r="R25">
        <v>1000000</v>
      </c>
      <c r="S25">
        <v>107</v>
      </c>
    </row>
    <row r="26" spans="4:19" x14ac:dyDescent="0.25">
      <c r="E26" t="s">
        <v>285</v>
      </c>
      <c r="H26" t="s">
        <v>396</v>
      </c>
      <c r="I26" t="s">
        <v>131</v>
      </c>
      <c r="J26" t="s">
        <v>156</v>
      </c>
      <c r="K26" s="80" t="s">
        <v>1494</v>
      </c>
      <c r="L26" t="s">
        <v>1495</v>
      </c>
      <c r="M26" t="s">
        <v>153</v>
      </c>
      <c r="N26" t="str">
        <f t="shared" si="0"/>
        <v>APINbeBuruku</v>
      </c>
    </row>
    <row r="27" spans="4:19" x14ac:dyDescent="0.25">
      <c r="E27" t="s">
        <v>286</v>
      </c>
      <c r="H27" t="s">
        <v>396</v>
      </c>
      <c r="I27" t="s">
        <v>131</v>
      </c>
      <c r="J27" t="s">
        <v>156</v>
      </c>
      <c r="K27" s="80" t="s">
        <v>1496</v>
      </c>
      <c r="L27" t="s">
        <v>1497</v>
      </c>
      <c r="M27" t="s">
        <v>153</v>
      </c>
      <c r="N27" t="str">
        <f t="shared" si="0"/>
        <v>APINbeBuruku</v>
      </c>
    </row>
    <row r="28" spans="4:19" x14ac:dyDescent="0.25">
      <c r="E28" t="s">
        <v>178</v>
      </c>
      <c r="H28" t="s">
        <v>396</v>
      </c>
      <c r="I28" t="s">
        <v>131</v>
      </c>
      <c r="J28" t="s">
        <v>156</v>
      </c>
      <c r="K28" s="80" t="s">
        <v>1498</v>
      </c>
      <c r="L28" t="s">
        <v>1499</v>
      </c>
      <c r="M28" t="s">
        <v>153</v>
      </c>
      <c r="N28" t="str">
        <f t="shared" si="0"/>
        <v>APINbeBuruku</v>
      </c>
    </row>
    <row r="29" spans="4:19" x14ac:dyDescent="0.25">
      <c r="E29" t="s">
        <v>179</v>
      </c>
      <c r="H29" t="s">
        <v>396</v>
      </c>
      <c r="I29" t="s">
        <v>131</v>
      </c>
      <c r="J29" t="s">
        <v>156</v>
      </c>
      <c r="K29" s="80" t="s">
        <v>1500</v>
      </c>
      <c r="L29" t="s">
        <v>1501</v>
      </c>
      <c r="M29" t="s">
        <v>153</v>
      </c>
      <c r="N29" t="str">
        <f t="shared" si="0"/>
        <v>APINbeBuruku</v>
      </c>
    </row>
    <row r="30" spans="4:19" x14ac:dyDescent="0.25">
      <c r="E30" t="s">
        <v>182</v>
      </c>
      <c r="H30" t="s">
        <v>396</v>
      </c>
      <c r="I30" t="s">
        <v>131</v>
      </c>
      <c r="J30" t="s">
        <v>156</v>
      </c>
      <c r="K30" s="80" t="s">
        <v>1502</v>
      </c>
      <c r="L30" t="s">
        <v>1503</v>
      </c>
      <c r="M30" t="s">
        <v>153</v>
      </c>
      <c r="N30" t="str">
        <f t="shared" si="0"/>
        <v>APINbeBuruku</v>
      </c>
    </row>
    <row r="31" spans="4:19" x14ac:dyDescent="0.25">
      <c r="E31" t="s">
        <v>183</v>
      </c>
      <c r="H31" t="s">
        <v>396</v>
      </c>
      <c r="I31" t="s">
        <v>131</v>
      </c>
      <c r="J31" t="s">
        <v>156</v>
      </c>
      <c r="K31" s="80" t="s">
        <v>1504</v>
      </c>
      <c r="L31" t="s">
        <v>1505</v>
      </c>
      <c r="M31" t="s">
        <v>153</v>
      </c>
      <c r="N31" t="str">
        <f t="shared" si="0"/>
        <v>APINbeBuruku</v>
      </c>
    </row>
    <row r="32" spans="4:19" x14ac:dyDescent="0.25">
      <c r="E32" t="s">
        <v>180</v>
      </c>
      <c r="H32" t="s">
        <v>396</v>
      </c>
      <c r="I32" t="s">
        <v>131</v>
      </c>
      <c r="J32" t="s">
        <v>156</v>
      </c>
      <c r="K32" s="80" t="s">
        <v>1506</v>
      </c>
      <c r="L32" t="s">
        <v>1507</v>
      </c>
      <c r="M32" t="s">
        <v>153</v>
      </c>
      <c r="N32" t="str">
        <f t="shared" si="0"/>
        <v>APINbeBuruku</v>
      </c>
    </row>
    <row r="33" spans="5:14" x14ac:dyDescent="0.25">
      <c r="E33" t="s">
        <v>184</v>
      </c>
      <c r="H33" t="s">
        <v>396</v>
      </c>
      <c r="I33" t="s">
        <v>131</v>
      </c>
      <c r="J33" t="s">
        <v>156</v>
      </c>
      <c r="K33" s="80" t="s">
        <v>1508</v>
      </c>
      <c r="L33" t="s">
        <v>1509</v>
      </c>
      <c r="M33" t="s">
        <v>153</v>
      </c>
      <c r="N33" t="str">
        <f t="shared" si="0"/>
        <v>APINbeBuruku</v>
      </c>
    </row>
    <row r="34" spans="5:14" x14ac:dyDescent="0.25">
      <c r="E34" t="s">
        <v>181</v>
      </c>
      <c r="H34" t="s">
        <v>396</v>
      </c>
      <c r="I34" t="s">
        <v>131</v>
      </c>
      <c r="J34" t="s">
        <v>156</v>
      </c>
      <c r="K34" s="80" t="s">
        <v>1510</v>
      </c>
      <c r="L34" t="s">
        <v>1511</v>
      </c>
      <c r="M34" t="s">
        <v>153</v>
      </c>
      <c r="N34" t="str">
        <f t="shared" si="0"/>
        <v>APINbeBuruku</v>
      </c>
    </row>
    <row r="35" spans="5:14" x14ac:dyDescent="0.25">
      <c r="E35" t="s">
        <v>185</v>
      </c>
      <c r="H35" t="s">
        <v>396</v>
      </c>
      <c r="I35" t="s">
        <v>131</v>
      </c>
      <c r="J35" t="s">
        <v>156</v>
      </c>
      <c r="K35" s="80" t="s">
        <v>1231</v>
      </c>
      <c r="L35" t="s">
        <v>1232</v>
      </c>
      <c r="M35" t="s">
        <v>153</v>
      </c>
      <c r="N35" t="str">
        <f t="shared" si="0"/>
        <v>APINbeBuruku</v>
      </c>
    </row>
    <row r="36" spans="5:14" x14ac:dyDescent="0.25">
      <c r="E36" t="s">
        <v>186</v>
      </c>
      <c r="H36" t="s">
        <v>396</v>
      </c>
      <c r="I36" t="s">
        <v>131</v>
      </c>
      <c r="J36" t="s">
        <v>156</v>
      </c>
      <c r="K36" s="80" t="s">
        <v>1512</v>
      </c>
      <c r="L36" t="s">
        <v>1513</v>
      </c>
      <c r="M36" t="s">
        <v>153</v>
      </c>
      <c r="N36" t="str">
        <f t="shared" si="0"/>
        <v>APINbeBuruku</v>
      </c>
    </row>
    <row r="37" spans="5:14" x14ac:dyDescent="0.25">
      <c r="E37" t="s">
        <v>187</v>
      </c>
      <c r="H37" t="s">
        <v>396</v>
      </c>
      <c r="I37" t="s">
        <v>131</v>
      </c>
      <c r="J37" t="s">
        <v>156</v>
      </c>
      <c r="K37" s="80" t="s">
        <v>1514</v>
      </c>
      <c r="L37" t="s">
        <v>1515</v>
      </c>
      <c r="M37" t="s">
        <v>153</v>
      </c>
      <c r="N37" t="str">
        <f t="shared" si="0"/>
        <v>APINbeBuruku</v>
      </c>
    </row>
    <row r="38" spans="5:14" x14ac:dyDescent="0.25">
      <c r="E38" t="s">
        <v>188</v>
      </c>
      <c r="H38" t="s">
        <v>396</v>
      </c>
      <c r="I38" t="s">
        <v>131</v>
      </c>
      <c r="J38" t="s">
        <v>156</v>
      </c>
      <c r="K38" s="80" t="s">
        <v>1516</v>
      </c>
      <c r="L38" t="s">
        <v>1517</v>
      </c>
      <c r="M38" t="s">
        <v>153</v>
      </c>
      <c r="N38" t="str">
        <f t="shared" si="0"/>
        <v>APINbeBuruku</v>
      </c>
    </row>
    <row r="39" spans="5:14" x14ac:dyDescent="0.25">
      <c r="E39" t="s">
        <v>194</v>
      </c>
      <c r="H39" t="s">
        <v>396</v>
      </c>
      <c r="I39" t="s">
        <v>131</v>
      </c>
      <c r="J39" t="s">
        <v>156</v>
      </c>
      <c r="K39" s="80" t="s">
        <v>1518</v>
      </c>
      <c r="L39" t="s">
        <v>1519</v>
      </c>
      <c r="M39" t="s">
        <v>153</v>
      </c>
      <c r="N39" t="str">
        <f t="shared" si="0"/>
        <v>APINbeBuruku</v>
      </c>
    </row>
    <row r="40" spans="5:14" x14ac:dyDescent="0.25">
      <c r="E40" t="s">
        <v>195</v>
      </c>
      <c r="H40" t="s">
        <v>396</v>
      </c>
      <c r="I40" t="s">
        <v>131</v>
      </c>
      <c r="J40" t="s">
        <v>156</v>
      </c>
      <c r="K40" s="80" t="s">
        <v>1520</v>
      </c>
      <c r="L40" t="s">
        <v>1521</v>
      </c>
      <c r="M40" t="s">
        <v>153</v>
      </c>
      <c r="N40" t="str">
        <f t="shared" si="0"/>
        <v>APINbeBuruku</v>
      </c>
    </row>
    <row r="41" spans="5:14" x14ac:dyDescent="0.25">
      <c r="E41" t="s">
        <v>196</v>
      </c>
      <c r="H41" t="s">
        <v>396</v>
      </c>
      <c r="I41" t="s">
        <v>131</v>
      </c>
      <c r="J41" t="s">
        <v>156</v>
      </c>
      <c r="K41" s="80" t="s">
        <v>1522</v>
      </c>
      <c r="L41" t="s">
        <v>1523</v>
      </c>
      <c r="M41" t="s">
        <v>153</v>
      </c>
      <c r="N41" t="str">
        <f t="shared" si="0"/>
        <v>APINbeBuruku</v>
      </c>
    </row>
    <row r="42" spans="5:14" x14ac:dyDescent="0.25">
      <c r="E42" t="s">
        <v>197</v>
      </c>
      <c r="H42" t="s">
        <v>396</v>
      </c>
      <c r="I42" t="s">
        <v>131</v>
      </c>
      <c r="J42" t="s">
        <v>156</v>
      </c>
      <c r="K42" s="80" t="s">
        <v>1524</v>
      </c>
      <c r="L42" t="s">
        <v>1525</v>
      </c>
      <c r="M42" t="s">
        <v>153</v>
      </c>
      <c r="N42" t="str">
        <f t="shared" si="0"/>
        <v>APINbeBuruku</v>
      </c>
    </row>
    <row r="43" spans="5:14" x14ac:dyDescent="0.25">
      <c r="E43" t="s">
        <v>189</v>
      </c>
      <c r="H43" t="s">
        <v>396</v>
      </c>
      <c r="I43" t="s">
        <v>131</v>
      </c>
      <c r="J43" t="s">
        <v>156</v>
      </c>
      <c r="K43" s="80" t="s">
        <v>1526</v>
      </c>
      <c r="L43" t="s">
        <v>1527</v>
      </c>
      <c r="M43" t="s">
        <v>153</v>
      </c>
      <c r="N43" t="str">
        <f t="shared" si="0"/>
        <v>APINbeBuruku</v>
      </c>
    </row>
    <row r="44" spans="5:14" x14ac:dyDescent="0.25">
      <c r="E44" t="s">
        <v>190</v>
      </c>
      <c r="H44" t="s">
        <v>396</v>
      </c>
      <c r="I44" t="s">
        <v>131</v>
      </c>
      <c r="J44" t="s">
        <v>157</v>
      </c>
      <c r="K44" s="80" t="s">
        <v>1233</v>
      </c>
      <c r="L44" t="s">
        <v>1234</v>
      </c>
      <c r="M44" t="s">
        <v>153</v>
      </c>
      <c r="N44" t="str">
        <f t="shared" si="0"/>
        <v>APINbeGboko</v>
      </c>
    </row>
    <row r="45" spans="5:14" x14ac:dyDescent="0.25">
      <c r="E45" t="s">
        <v>191</v>
      </c>
      <c r="H45" t="s">
        <v>396</v>
      </c>
      <c r="I45" t="s">
        <v>131</v>
      </c>
      <c r="J45" t="s">
        <v>157</v>
      </c>
      <c r="K45" s="80" t="s">
        <v>1528</v>
      </c>
      <c r="L45" t="s">
        <v>1529</v>
      </c>
      <c r="M45" t="s">
        <v>153</v>
      </c>
      <c r="N45" t="str">
        <f t="shared" si="0"/>
        <v>APINbeGboko</v>
      </c>
    </row>
    <row r="46" spans="5:14" x14ac:dyDescent="0.25">
      <c r="E46" t="s">
        <v>192</v>
      </c>
      <c r="H46" t="s">
        <v>396</v>
      </c>
      <c r="I46" t="s">
        <v>131</v>
      </c>
      <c r="J46" t="s">
        <v>157</v>
      </c>
      <c r="K46" s="80" t="s">
        <v>1530</v>
      </c>
      <c r="L46" t="s">
        <v>1531</v>
      </c>
      <c r="M46" t="s">
        <v>153</v>
      </c>
      <c r="N46" t="str">
        <f t="shared" si="0"/>
        <v>APINbeGboko</v>
      </c>
    </row>
    <row r="47" spans="5:14" x14ac:dyDescent="0.25">
      <c r="E47" t="s">
        <v>193</v>
      </c>
      <c r="H47" t="s">
        <v>396</v>
      </c>
      <c r="I47" t="s">
        <v>131</v>
      </c>
      <c r="J47" t="s">
        <v>157</v>
      </c>
      <c r="K47" s="80" t="s">
        <v>1532</v>
      </c>
      <c r="L47" t="s">
        <v>1533</v>
      </c>
      <c r="M47" t="s">
        <v>153</v>
      </c>
      <c r="N47" t="str">
        <f t="shared" si="0"/>
        <v>APINbeGboko</v>
      </c>
    </row>
    <row r="48" spans="5:14" x14ac:dyDescent="0.25">
      <c r="E48" t="s">
        <v>214</v>
      </c>
      <c r="H48" t="s">
        <v>396</v>
      </c>
      <c r="I48" t="s">
        <v>131</v>
      </c>
      <c r="J48" t="s">
        <v>157</v>
      </c>
      <c r="K48" s="80" t="s">
        <v>1534</v>
      </c>
      <c r="L48" t="s">
        <v>1535</v>
      </c>
      <c r="M48" t="s">
        <v>153</v>
      </c>
      <c r="N48" t="str">
        <f t="shared" si="0"/>
        <v>APINbeGboko</v>
      </c>
    </row>
    <row r="49" spans="5:14" x14ac:dyDescent="0.25">
      <c r="E49" t="s">
        <v>215</v>
      </c>
      <c r="H49" t="s">
        <v>396</v>
      </c>
      <c r="I49" t="s">
        <v>131</v>
      </c>
      <c r="J49" t="s">
        <v>157</v>
      </c>
      <c r="K49" s="80" t="s">
        <v>1536</v>
      </c>
      <c r="L49" t="s">
        <v>1537</v>
      </c>
      <c r="M49" t="s">
        <v>153</v>
      </c>
      <c r="N49" t="str">
        <f t="shared" si="0"/>
        <v>APINbeGboko</v>
      </c>
    </row>
    <row r="50" spans="5:14" x14ac:dyDescent="0.25">
      <c r="E50" t="s">
        <v>203</v>
      </c>
      <c r="H50" t="s">
        <v>396</v>
      </c>
      <c r="I50" t="s">
        <v>131</v>
      </c>
      <c r="J50" t="s">
        <v>157</v>
      </c>
      <c r="K50" s="80" t="s">
        <v>1538</v>
      </c>
      <c r="L50" t="s">
        <v>1539</v>
      </c>
      <c r="M50" t="s">
        <v>153</v>
      </c>
      <c r="N50" t="str">
        <f t="shared" si="0"/>
        <v>APINbeGboko</v>
      </c>
    </row>
    <row r="51" spans="5:14" x14ac:dyDescent="0.25">
      <c r="E51" t="s">
        <v>204</v>
      </c>
      <c r="H51" t="s">
        <v>396</v>
      </c>
      <c r="I51" t="s">
        <v>131</v>
      </c>
      <c r="J51" t="s">
        <v>157</v>
      </c>
      <c r="K51" s="80" t="s">
        <v>1540</v>
      </c>
      <c r="L51" t="s">
        <v>1541</v>
      </c>
      <c r="M51" t="s">
        <v>153</v>
      </c>
      <c r="N51" t="str">
        <f t="shared" si="0"/>
        <v>APINbeGboko</v>
      </c>
    </row>
    <row r="52" spans="5:14" x14ac:dyDescent="0.25">
      <c r="E52" t="s">
        <v>205</v>
      </c>
      <c r="H52" t="s">
        <v>396</v>
      </c>
      <c r="I52" t="s">
        <v>131</v>
      </c>
      <c r="J52" t="s">
        <v>157</v>
      </c>
      <c r="K52" s="80" t="s">
        <v>1542</v>
      </c>
      <c r="L52" t="s">
        <v>1543</v>
      </c>
      <c r="M52" t="s">
        <v>153</v>
      </c>
      <c r="N52" t="str">
        <f t="shared" si="0"/>
        <v>APINbeGboko</v>
      </c>
    </row>
    <row r="53" spans="5:14" x14ac:dyDescent="0.25">
      <c r="E53" t="s">
        <v>216</v>
      </c>
      <c r="H53" t="s">
        <v>396</v>
      </c>
      <c r="I53" t="s">
        <v>131</v>
      </c>
      <c r="J53" t="s">
        <v>157</v>
      </c>
      <c r="K53" s="80" t="s">
        <v>1544</v>
      </c>
      <c r="L53" t="s">
        <v>1545</v>
      </c>
      <c r="M53" t="s">
        <v>153</v>
      </c>
      <c r="N53" t="str">
        <f t="shared" si="0"/>
        <v>APINbeGboko</v>
      </c>
    </row>
    <row r="54" spans="5:14" x14ac:dyDescent="0.25">
      <c r="E54" t="s">
        <v>206</v>
      </c>
      <c r="H54" t="s">
        <v>396</v>
      </c>
      <c r="I54" t="s">
        <v>131</v>
      </c>
      <c r="J54" t="s">
        <v>157</v>
      </c>
      <c r="K54" s="80" t="s">
        <v>1546</v>
      </c>
      <c r="L54" t="s">
        <v>1547</v>
      </c>
      <c r="M54" t="s">
        <v>153</v>
      </c>
      <c r="N54" t="str">
        <f t="shared" si="0"/>
        <v>APINbeGboko</v>
      </c>
    </row>
    <row r="55" spans="5:14" x14ac:dyDescent="0.25">
      <c r="E55" t="s">
        <v>207</v>
      </c>
      <c r="H55" t="s">
        <v>396</v>
      </c>
      <c r="I55" t="s">
        <v>131</v>
      </c>
      <c r="J55" t="s">
        <v>157</v>
      </c>
      <c r="K55" s="80" t="s">
        <v>1548</v>
      </c>
      <c r="L55" t="s">
        <v>1549</v>
      </c>
      <c r="M55" t="s">
        <v>153</v>
      </c>
      <c r="N55" t="str">
        <f t="shared" si="0"/>
        <v>APINbeGboko</v>
      </c>
    </row>
    <row r="56" spans="5:14" x14ac:dyDescent="0.25">
      <c r="E56" t="s">
        <v>208</v>
      </c>
      <c r="H56" t="s">
        <v>396</v>
      </c>
      <c r="I56" t="s">
        <v>131</v>
      </c>
      <c r="J56" t="s">
        <v>157</v>
      </c>
      <c r="K56" s="80" t="s">
        <v>1550</v>
      </c>
      <c r="L56" t="s">
        <v>1551</v>
      </c>
      <c r="M56" t="s">
        <v>153</v>
      </c>
      <c r="N56" t="str">
        <f t="shared" si="0"/>
        <v>APINbeGboko</v>
      </c>
    </row>
    <row r="57" spans="5:14" x14ac:dyDescent="0.25">
      <c r="E57" t="s">
        <v>209</v>
      </c>
      <c r="H57" t="s">
        <v>396</v>
      </c>
      <c r="I57" t="s">
        <v>131</v>
      </c>
      <c r="J57" t="s">
        <v>157</v>
      </c>
      <c r="K57" s="80" t="s">
        <v>1552</v>
      </c>
      <c r="L57" t="s">
        <v>1553</v>
      </c>
      <c r="M57" t="s">
        <v>153</v>
      </c>
      <c r="N57" t="str">
        <f t="shared" si="0"/>
        <v>APINbeGboko</v>
      </c>
    </row>
    <row r="58" spans="5:14" x14ac:dyDescent="0.25">
      <c r="E58" t="s">
        <v>210</v>
      </c>
      <c r="H58" t="s">
        <v>396</v>
      </c>
      <c r="I58" t="s">
        <v>131</v>
      </c>
      <c r="J58" t="s">
        <v>157</v>
      </c>
      <c r="K58" s="80" t="s">
        <v>1554</v>
      </c>
      <c r="L58" t="s">
        <v>1555</v>
      </c>
      <c r="M58" t="s">
        <v>153</v>
      </c>
      <c r="N58" t="str">
        <f t="shared" si="0"/>
        <v>APINbeGboko</v>
      </c>
    </row>
    <row r="59" spans="5:14" x14ac:dyDescent="0.25">
      <c r="E59" t="s">
        <v>211</v>
      </c>
      <c r="H59" t="s">
        <v>396</v>
      </c>
      <c r="I59" t="s">
        <v>131</v>
      </c>
      <c r="J59" t="s">
        <v>157</v>
      </c>
      <c r="K59" s="80" t="s">
        <v>1556</v>
      </c>
      <c r="L59" t="s">
        <v>1557</v>
      </c>
      <c r="M59" t="s">
        <v>153</v>
      </c>
      <c r="N59" t="str">
        <f t="shared" si="0"/>
        <v>APINbeGboko</v>
      </c>
    </row>
    <row r="60" spans="5:14" x14ac:dyDescent="0.25">
      <c r="E60" t="s">
        <v>212</v>
      </c>
      <c r="H60" t="s">
        <v>396</v>
      </c>
      <c r="I60" t="s">
        <v>131</v>
      </c>
      <c r="J60" t="s">
        <v>157</v>
      </c>
      <c r="K60" s="80" t="s">
        <v>1558</v>
      </c>
      <c r="L60" t="s">
        <v>1559</v>
      </c>
      <c r="M60" t="s">
        <v>153</v>
      </c>
      <c r="N60" t="str">
        <f t="shared" si="0"/>
        <v>APINbeGboko</v>
      </c>
    </row>
    <row r="61" spans="5:14" x14ac:dyDescent="0.25">
      <c r="E61" t="s">
        <v>217</v>
      </c>
      <c r="H61" t="s">
        <v>396</v>
      </c>
      <c r="I61" t="s">
        <v>131</v>
      </c>
      <c r="J61" t="s">
        <v>157</v>
      </c>
      <c r="K61" s="80" t="s">
        <v>1560</v>
      </c>
      <c r="L61" t="s">
        <v>1561</v>
      </c>
      <c r="M61" t="s">
        <v>153</v>
      </c>
      <c r="N61" t="str">
        <f t="shared" si="0"/>
        <v>APINbeGboko</v>
      </c>
    </row>
    <row r="62" spans="5:14" x14ac:dyDescent="0.25">
      <c r="E62" t="s">
        <v>213</v>
      </c>
      <c r="H62" t="s">
        <v>396</v>
      </c>
      <c r="I62" t="s">
        <v>131</v>
      </c>
      <c r="J62" t="s">
        <v>157</v>
      </c>
      <c r="K62" s="80" t="s">
        <v>1562</v>
      </c>
      <c r="L62" t="s">
        <v>1563</v>
      </c>
      <c r="M62" t="s">
        <v>153</v>
      </c>
      <c r="N62" t="str">
        <f t="shared" si="0"/>
        <v>APINbeGboko</v>
      </c>
    </row>
    <row r="63" spans="5:14" x14ac:dyDescent="0.25">
      <c r="E63" t="s">
        <v>218</v>
      </c>
      <c r="H63" t="s">
        <v>396</v>
      </c>
      <c r="I63" t="s">
        <v>131</v>
      </c>
      <c r="J63" t="s">
        <v>157</v>
      </c>
      <c r="K63" s="80" t="s">
        <v>1564</v>
      </c>
      <c r="L63" t="s">
        <v>1565</v>
      </c>
      <c r="M63" t="s">
        <v>153</v>
      </c>
      <c r="N63" t="str">
        <f t="shared" si="0"/>
        <v>APINbeGboko</v>
      </c>
    </row>
    <row r="64" spans="5:14"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3572</v>
      </c>
      <c r="K542" s="80" t="s">
        <v>1337</v>
      </c>
      <c r="L542" t="s">
        <v>1338</v>
      </c>
      <c r="M542" t="s">
        <v>126</v>
      </c>
      <c r="N542" t="str">
        <f t="shared" si="8"/>
        <v>IHVNfcAMAC</v>
      </c>
    </row>
    <row r="543" spans="8:14" x14ac:dyDescent="0.25">
      <c r="H543" t="s">
        <v>396</v>
      </c>
      <c r="I543" t="s">
        <v>136</v>
      </c>
      <c r="J543" t="s">
        <v>3572</v>
      </c>
      <c r="K543" s="80" t="s">
        <v>1339</v>
      </c>
      <c r="L543" t="s">
        <v>1340</v>
      </c>
      <c r="M543" t="s">
        <v>126</v>
      </c>
      <c r="N543" t="str">
        <f t="shared" si="8"/>
        <v>IHVNfcAMAC</v>
      </c>
    </row>
    <row r="544" spans="8:14" x14ac:dyDescent="0.25">
      <c r="H544" t="s">
        <v>396</v>
      </c>
      <c r="I544" t="s">
        <v>136</v>
      </c>
      <c r="J544" t="s">
        <v>3572</v>
      </c>
      <c r="K544" s="80" t="s">
        <v>1341</v>
      </c>
      <c r="L544" t="s">
        <v>1342</v>
      </c>
      <c r="M544" t="s">
        <v>126</v>
      </c>
      <c r="N544" t="str">
        <f t="shared" si="8"/>
        <v>IHVNfcAMAC</v>
      </c>
    </row>
    <row r="545" spans="8:14" x14ac:dyDescent="0.25">
      <c r="H545" t="s">
        <v>396</v>
      </c>
      <c r="I545" t="s">
        <v>136</v>
      </c>
      <c r="J545" t="s">
        <v>3572</v>
      </c>
      <c r="K545" s="80" t="s">
        <v>1343</v>
      </c>
      <c r="L545" t="s">
        <v>1344</v>
      </c>
      <c r="M545" t="s">
        <v>126</v>
      </c>
      <c r="N545" t="str">
        <f t="shared" si="8"/>
        <v>IHVNfcAMAC</v>
      </c>
    </row>
    <row r="546" spans="8:14" x14ac:dyDescent="0.25">
      <c r="H546" t="s">
        <v>396</v>
      </c>
      <c r="I546" t="s">
        <v>136</v>
      </c>
      <c r="J546" t="s">
        <v>3572</v>
      </c>
      <c r="K546" s="80" t="s">
        <v>2626</v>
      </c>
      <c r="L546" t="s">
        <v>2627</v>
      </c>
      <c r="M546" t="s">
        <v>126</v>
      </c>
      <c r="N546" t="str">
        <f t="shared" si="8"/>
        <v>IHVNfcAMAC</v>
      </c>
    </row>
    <row r="547" spans="8:14" x14ac:dyDescent="0.25">
      <c r="H547" t="s">
        <v>396</v>
      </c>
      <c r="I547" t="s">
        <v>136</v>
      </c>
      <c r="J547" t="s">
        <v>3572</v>
      </c>
      <c r="K547" s="80" t="s">
        <v>2628</v>
      </c>
      <c r="L547" t="s">
        <v>2629</v>
      </c>
      <c r="M547" t="s">
        <v>126</v>
      </c>
      <c r="N547" t="str">
        <f t="shared" si="8"/>
        <v>IHVNfcAMAC</v>
      </c>
    </row>
    <row r="548" spans="8:14" x14ac:dyDescent="0.25">
      <c r="H548" t="s">
        <v>396</v>
      </c>
      <c r="I548" t="s">
        <v>136</v>
      </c>
      <c r="J548" t="s">
        <v>3572</v>
      </c>
      <c r="K548" s="80" t="s">
        <v>2630</v>
      </c>
      <c r="L548" t="s">
        <v>2631</v>
      </c>
      <c r="M548" t="s">
        <v>126</v>
      </c>
      <c r="N548" t="str">
        <f t="shared" si="8"/>
        <v>IHVNfcAMAC</v>
      </c>
    </row>
    <row r="549" spans="8:14" x14ac:dyDescent="0.25">
      <c r="H549" t="s">
        <v>396</v>
      </c>
      <c r="I549" t="s">
        <v>136</v>
      </c>
      <c r="J549" t="s">
        <v>3572</v>
      </c>
      <c r="K549" s="80" t="s">
        <v>2632</v>
      </c>
      <c r="L549" t="s">
        <v>2633</v>
      </c>
      <c r="M549" t="s">
        <v>126</v>
      </c>
      <c r="N549" t="str">
        <f t="shared" si="8"/>
        <v>IHVNfcAMAC</v>
      </c>
    </row>
    <row r="550" spans="8:14" x14ac:dyDescent="0.25">
      <c r="H550" t="s">
        <v>396</v>
      </c>
      <c r="I550" t="s">
        <v>136</v>
      </c>
      <c r="J550" t="s">
        <v>3572</v>
      </c>
      <c r="K550" s="80" t="s">
        <v>2634</v>
      </c>
      <c r="L550" t="s">
        <v>2635</v>
      </c>
      <c r="M550" t="s">
        <v>126</v>
      </c>
      <c r="N550" t="str">
        <f t="shared" si="8"/>
        <v>IHVNfcAMAC</v>
      </c>
    </row>
    <row r="551" spans="8:14" x14ac:dyDescent="0.25">
      <c r="H551" t="s">
        <v>396</v>
      </c>
      <c r="I551" t="s">
        <v>136</v>
      </c>
      <c r="J551" t="s">
        <v>3572</v>
      </c>
      <c r="K551" s="80" t="s">
        <v>2636</v>
      </c>
      <c r="L551" t="s">
        <v>2637</v>
      </c>
      <c r="M551" t="s">
        <v>126</v>
      </c>
      <c r="N551" t="str">
        <f t="shared" si="8"/>
        <v>IHVNfcAMAC</v>
      </c>
    </row>
    <row r="552" spans="8:14" x14ac:dyDescent="0.25">
      <c r="H552" t="s">
        <v>396</v>
      </c>
      <c r="I552" t="s">
        <v>136</v>
      </c>
      <c r="J552" t="s">
        <v>3572</v>
      </c>
      <c r="K552" s="80" t="s">
        <v>2638</v>
      </c>
      <c r="L552" t="s">
        <v>2639</v>
      </c>
      <c r="M552" t="s">
        <v>126</v>
      </c>
      <c r="N552" t="str">
        <f t="shared" si="8"/>
        <v>IHVNfcAMAC</v>
      </c>
    </row>
    <row r="553" spans="8:14" x14ac:dyDescent="0.25">
      <c r="H553" t="s">
        <v>396</v>
      </c>
      <c r="I553" t="s">
        <v>136</v>
      </c>
      <c r="J553" t="s">
        <v>3572</v>
      </c>
      <c r="K553" s="80" t="s">
        <v>2640</v>
      </c>
      <c r="L553" t="s">
        <v>2641</v>
      </c>
      <c r="M553" t="s">
        <v>126</v>
      </c>
      <c r="N553" t="str">
        <f t="shared" si="8"/>
        <v>IHVNfcAMAC</v>
      </c>
    </row>
    <row r="554" spans="8:14" x14ac:dyDescent="0.25">
      <c r="H554" t="s">
        <v>396</v>
      </c>
      <c r="I554" t="s">
        <v>136</v>
      </c>
      <c r="J554" t="s">
        <v>3572</v>
      </c>
      <c r="K554" s="80" t="s">
        <v>2642</v>
      </c>
      <c r="L554" t="s">
        <v>2643</v>
      </c>
      <c r="M554" t="s">
        <v>126</v>
      </c>
      <c r="N554" t="str">
        <f t="shared" si="8"/>
        <v>IHVNfcAMAC</v>
      </c>
    </row>
    <row r="555" spans="8:14" x14ac:dyDescent="0.25">
      <c r="H555" t="s">
        <v>396</v>
      </c>
      <c r="I555" t="s">
        <v>136</v>
      </c>
      <c r="J555" t="s">
        <v>3572</v>
      </c>
      <c r="K555" s="80" t="s">
        <v>2644</v>
      </c>
      <c r="L555" t="s">
        <v>2645</v>
      </c>
      <c r="M555" t="s">
        <v>126</v>
      </c>
      <c r="N555" t="str">
        <f t="shared" si="8"/>
        <v>IHVNfcAMAC</v>
      </c>
    </row>
    <row r="556" spans="8:14" x14ac:dyDescent="0.25">
      <c r="H556" t="s">
        <v>396</v>
      </c>
      <c r="I556" t="s">
        <v>136</v>
      </c>
      <c r="J556" t="s">
        <v>3572</v>
      </c>
      <c r="K556" s="80" t="s">
        <v>2646</v>
      </c>
      <c r="L556" t="s">
        <v>2647</v>
      </c>
      <c r="M556" t="s">
        <v>126</v>
      </c>
      <c r="N556" t="str">
        <f t="shared" si="8"/>
        <v>IHVNfcAMAC</v>
      </c>
    </row>
    <row r="557" spans="8:14" x14ac:dyDescent="0.25">
      <c r="H557" t="s">
        <v>396</v>
      </c>
      <c r="I557" t="s">
        <v>136</v>
      </c>
      <c r="J557" t="s">
        <v>3572</v>
      </c>
      <c r="K557" s="80" t="s">
        <v>2648</v>
      </c>
      <c r="L557" t="s">
        <v>2649</v>
      </c>
      <c r="M557" t="s">
        <v>126</v>
      </c>
      <c r="N557" t="str">
        <f t="shared" si="8"/>
        <v>IHVNfcAMAC</v>
      </c>
    </row>
    <row r="558" spans="8:14" x14ac:dyDescent="0.25">
      <c r="H558" t="s">
        <v>396</v>
      </c>
      <c r="I558" t="s">
        <v>136</v>
      </c>
      <c r="J558" t="s">
        <v>3572</v>
      </c>
      <c r="K558" s="80" t="s">
        <v>2650</v>
      </c>
      <c r="L558" t="s">
        <v>2651</v>
      </c>
      <c r="M558" t="s">
        <v>126</v>
      </c>
      <c r="N558" t="str">
        <f t="shared" si="8"/>
        <v>IHVNfcAMAC</v>
      </c>
    </row>
    <row r="559" spans="8:14" x14ac:dyDescent="0.25">
      <c r="H559" t="s">
        <v>396</v>
      </c>
      <c r="I559" t="s">
        <v>136</v>
      </c>
      <c r="J559" t="s">
        <v>3572</v>
      </c>
      <c r="K559" s="80" t="s">
        <v>2652</v>
      </c>
      <c r="L559" t="s">
        <v>2653</v>
      </c>
      <c r="M559" t="s">
        <v>126</v>
      </c>
      <c r="N559" t="str">
        <f t="shared" si="8"/>
        <v>IHVNfcAMAC</v>
      </c>
    </row>
    <row r="560" spans="8:14" x14ac:dyDescent="0.25">
      <c r="H560" t="s">
        <v>396</v>
      </c>
      <c r="I560" t="s">
        <v>136</v>
      </c>
      <c r="J560" t="s">
        <v>3572</v>
      </c>
      <c r="K560" s="80" t="s">
        <v>2654</v>
      </c>
      <c r="L560" t="s">
        <v>2655</v>
      </c>
      <c r="M560" t="s">
        <v>126</v>
      </c>
      <c r="N560" t="str">
        <f t="shared" si="8"/>
        <v>IHVNfcAMAC</v>
      </c>
    </row>
    <row r="561" spans="8:14" x14ac:dyDescent="0.25">
      <c r="H561" t="s">
        <v>396</v>
      </c>
      <c r="I561" t="s">
        <v>136</v>
      </c>
      <c r="J561" t="s">
        <v>3572</v>
      </c>
      <c r="K561" s="80" t="s">
        <v>2656</v>
      </c>
      <c r="L561" t="s">
        <v>2657</v>
      </c>
      <c r="M561" t="s">
        <v>126</v>
      </c>
      <c r="N561" t="str">
        <f t="shared" si="8"/>
        <v>IHVNfcAMAC</v>
      </c>
    </row>
    <row r="562" spans="8:14" x14ac:dyDescent="0.25">
      <c r="H562" t="s">
        <v>396</v>
      </c>
      <c r="I562" t="s">
        <v>136</v>
      </c>
      <c r="J562" t="s">
        <v>3572</v>
      </c>
      <c r="K562" s="80" t="s">
        <v>2658</v>
      </c>
      <c r="L562" t="s">
        <v>2659</v>
      </c>
      <c r="M562" t="s">
        <v>126</v>
      </c>
      <c r="N562" t="str">
        <f t="shared" si="8"/>
        <v>IHVNfcAMAC</v>
      </c>
    </row>
    <row r="563" spans="8:14" x14ac:dyDescent="0.25">
      <c r="H563" t="s">
        <v>396</v>
      </c>
      <c r="I563" t="s">
        <v>136</v>
      </c>
      <c r="J563" t="s">
        <v>3572</v>
      </c>
      <c r="K563" s="80" t="s">
        <v>2660</v>
      </c>
      <c r="L563" t="s">
        <v>2661</v>
      </c>
      <c r="M563" t="s">
        <v>126</v>
      </c>
      <c r="N563" t="str">
        <f t="shared" si="8"/>
        <v>IHVNfcAMAC</v>
      </c>
    </row>
    <row r="564" spans="8:14" x14ac:dyDescent="0.25">
      <c r="H564" t="s">
        <v>396</v>
      </c>
      <c r="I564" t="s">
        <v>136</v>
      </c>
      <c r="J564" t="s">
        <v>3572</v>
      </c>
      <c r="K564" s="80" t="s">
        <v>2662</v>
      </c>
      <c r="L564" t="s">
        <v>2663</v>
      </c>
      <c r="M564" t="s">
        <v>126</v>
      </c>
      <c r="N564" t="str">
        <f t="shared" si="8"/>
        <v>IHVNfcAMAC</v>
      </c>
    </row>
    <row r="565" spans="8:14" x14ac:dyDescent="0.25">
      <c r="H565" t="s">
        <v>396</v>
      </c>
      <c r="I565" t="s">
        <v>136</v>
      </c>
      <c r="J565" t="s">
        <v>3572</v>
      </c>
      <c r="K565" s="80" t="s">
        <v>2664</v>
      </c>
      <c r="L565" t="s">
        <v>2665</v>
      </c>
      <c r="M565" t="s">
        <v>126</v>
      </c>
      <c r="N565" t="str">
        <f t="shared" si="8"/>
        <v>IHVNfcAMAC</v>
      </c>
    </row>
    <row r="566" spans="8:14" x14ac:dyDescent="0.25">
      <c r="H566" t="s">
        <v>396</v>
      </c>
      <c r="I566" t="s">
        <v>136</v>
      </c>
      <c r="J566" t="s">
        <v>3572</v>
      </c>
      <c r="K566" s="80" t="s">
        <v>2666</v>
      </c>
      <c r="L566" t="s">
        <v>2667</v>
      </c>
      <c r="M566" t="s">
        <v>126</v>
      </c>
      <c r="N566" t="str">
        <f t="shared" si="8"/>
        <v>IHVNfcAMAC</v>
      </c>
    </row>
    <row r="567" spans="8:14" x14ac:dyDescent="0.25">
      <c r="H567" t="s">
        <v>396</v>
      </c>
      <c r="I567" t="s">
        <v>136</v>
      </c>
      <c r="J567" t="s">
        <v>3572</v>
      </c>
      <c r="K567" s="80" t="s">
        <v>2668</v>
      </c>
      <c r="L567" t="s">
        <v>2669</v>
      </c>
      <c r="M567" t="s">
        <v>126</v>
      </c>
      <c r="N567" t="str">
        <f t="shared" si="8"/>
        <v>IHVNfcAMAC</v>
      </c>
    </row>
    <row r="568" spans="8:14" x14ac:dyDescent="0.25">
      <c r="H568" t="s">
        <v>396</v>
      </c>
      <c r="I568" t="s">
        <v>136</v>
      </c>
      <c r="J568" t="s">
        <v>3572</v>
      </c>
      <c r="K568" s="80" t="s">
        <v>2670</v>
      </c>
      <c r="L568" t="s">
        <v>2671</v>
      </c>
      <c r="M568" t="s">
        <v>126</v>
      </c>
      <c r="N568" t="str">
        <f t="shared" si="8"/>
        <v>IHVNfcAMAC</v>
      </c>
    </row>
    <row r="569" spans="8:14" x14ac:dyDescent="0.25">
      <c r="H569" t="s">
        <v>396</v>
      </c>
      <c r="I569" t="s">
        <v>136</v>
      </c>
      <c r="J569" t="s">
        <v>3572</v>
      </c>
      <c r="K569" s="80" t="s">
        <v>2672</v>
      </c>
      <c r="L569" t="s">
        <v>2673</v>
      </c>
      <c r="M569" t="s">
        <v>126</v>
      </c>
      <c r="N569" t="str">
        <f t="shared" si="8"/>
        <v>IHVNfcAMAC</v>
      </c>
    </row>
    <row r="570" spans="8:14" x14ac:dyDescent="0.25">
      <c r="H570" t="s">
        <v>396</v>
      </c>
      <c r="I570" t="s">
        <v>136</v>
      </c>
      <c r="J570" t="s">
        <v>3572</v>
      </c>
      <c r="K570" s="80" t="s">
        <v>2674</v>
      </c>
      <c r="L570" t="s">
        <v>2675</v>
      </c>
      <c r="M570" t="s">
        <v>126</v>
      </c>
      <c r="N570" t="str">
        <f t="shared" si="8"/>
        <v>IHVNfcAMAC</v>
      </c>
    </row>
    <row r="571" spans="8:14" x14ac:dyDescent="0.25">
      <c r="H571" t="s">
        <v>396</v>
      </c>
      <c r="I571" t="s">
        <v>136</v>
      </c>
      <c r="J571" t="s">
        <v>3572</v>
      </c>
      <c r="K571" s="80" t="s">
        <v>2676</v>
      </c>
      <c r="L571" t="s">
        <v>2677</v>
      </c>
      <c r="M571" t="s">
        <v>126</v>
      </c>
      <c r="N571" t="str">
        <f t="shared" si="8"/>
        <v>IHVNfcAMAC</v>
      </c>
    </row>
    <row r="572" spans="8:14" x14ac:dyDescent="0.25">
      <c r="H572" t="s">
        <v>396</v>
      </c>
      <c r="I572" t="s">
        <v>136</v>
      </c>
      <c r="J572" t="s">
        <v>3572</v>
      </c>
      <c r="K572" s="80" t="s">
        <v>2678</v>
      </c>
      <c r="L572" t="s">
        <v>2679</v>
      </c>
      <c r="M572" t="s">
        <v>126</v>
      </c>
      <c r="N572" t="str">
        <f t="shared" si="8"/>
        <v>IHVNfcAMAC</v>
      </c>
    </row>
    <row r="573" spans="8:14" x14ac:dyDescent="0.25">
      <c r="H573" t="s">
        <v>396</v>
      </c>
      <c r="I573" t="s">
        <v>136</v>
      </c>
      <c r="J573" t="s">
        <v>3572</v>
      </c>
      <c r="K573" s="80" t="s">
        <v>2680</v>
      </c>
      <c r="L573" t="s">
        <v>2681</v>
      </c>
      <c r="M573" t="s">
        <v>126</v>
      </c>
      <c r="N573" t="str">
        <f t="shared" si="8"/>
        <v>IHVNfcAMAC</v>
      </c>
    </row>
    <row r="574" spans="8:14" x14ac:dyDescent="0.25">
      <c r="H574" t="s">
        <v>396</v>
      </c>
      <c r="I574" t="s">
        <v>136</v>
      </c>
      <c r="J574" t="s">
        <v>3572</v>
      </c>
      <c r="K574" s="80" t="s">
        <v>2682</v>
      </c>
      <c r="L574" t="s">
        <v>2683</v>
      </c>
      <c r="M574" t="s">
        <v>126</v>
      </c>
      <c r="N574" t="str">
        <f t="shared" si="8"/>
        <v>IHVNfcAMAC</v>
      </c>
    </row>
    <row r="575" spans="8:14" x14ac:dyDescent="0.25">
      <c r="H575" t="s">
        <v>396</v>
      </c>
      <c r="I575" t="s">
        <v>136</v>
      </c>
      <c r="J575" t="s">
        <v>3572</v>
      </c>
      <c r="K575" s="80" t="s">
        <v>2684</v>
      </c>
      <c r="L575" t="s">
        <v>2685</v>
      </c>
      <c r="M575" t="s">
        <v>126</v>
      </c>
      <c r="N575" t="str">
        <f t="shared" si="8"/>
        <v>IHVNfcAMAC</v>
      </c>
    </row>
    <row r="576" spans="8:14" x14ac:dyDescent="0.25">
      <c r="H576" t="s">
        <v>396</v>
      </c>
      <c r="I576" t="s">
        <v>136</v>
      </c>
      <c r="J576" t="s">
        <v>3572</v>
      </c>
      <c r="K576" s="80" t="s">
        <v>2686</v>
      </c>
      <c r="L576" t="s">
        <v>2687</v>
      </c>
      <c r="M576" t="s">
        <v>126</v>
      </c>
      <c r="N576" t="str">
        <f t="shared" si="8"/>
        <v>IHVNfcAMAC</v>
      </c>
    </row>
    <row r="577" spans="8:14" x14ac:dyDescent="0.25">
      <c r="H577" t="s">
        <v>396</v>
      </c>
      <c r="I577" t="s">
        <v>136</v>
      </c>
      <c r="J577" t="s">
        <v>3572</v>
      </c>
      <c r="K577" s="80" t="s">
        <v>2688</v>
      </c>
      <c r="L577" t="s">
        <v>2689</v>
      </c>
      <c r="M577" t="s">
        <v>126</v>
      </c>
      <c r="N577" t="str">
        <f t="shared" si="8"/>
        <v>IHVNfcAMAC</v>
      </c>
    </row>
    <row r="578" spans="8:14" x14ac:dyDescent="0.25">
      <c r="H578" t="s">
        <v>396</v>
      </c>
      <c r="I578" t="s">
        <v>136</v>
      </c>
      <c r="J578" t="s">
        <v>3572</v>
      </c>
      <c r="K578" s="80" t="s">
        <v>2690</v>
      </c>
      <c r="L578" t="s">
        <v>2691</v>
      </c>
      <c r="M578" t="s">
        <v>126</v>
      </c>
      <c r="N578" t="str">
        <f t="shared" si="8"/>
        <v>IHVNfcAMAC</v>
      </c>
    </row>
    <row r="579" spans="8:14" x14ac:dyDescent="0.25">
      <c r="H579" t="s">
        <v>396</v>
      </c>
      <c r="I579" t="s">
        <v>136</v>
      </c>
      <c r="J579" t="s">
        <v>3572</v>
      </c>
      <c r="K579" s="80" t="s">
        <v>2692</v>
      </c>
      <c r="L579" t="s">
        <v>2693</v>
      </c>
      <c r="M579" t="s">
        <v>126</v>
      </c>
      <c r="N579" t="str">
        <f t="shared" ref="N579:N642" si="9">SUBSTITUTE(SUBSTITUTE(M579&amp;J579," ",""),"-","")</f>
        <v>IHVNfcAMAC</v>
      </c>
    </row>
    <row r="580" spans="8:14" x14ac:dyDescent="0.25">
      <c r="H580" t="s">
        <v>396</v>
      </c>
      <c r="I580" t="s">
        <v>136</v>
      </c>
      <c r="J580" t="s">
        <v>3572</v>
      </c>
      <c r="K580" s="80" t="s">
        <v>2694</v>
      </c>
      <c r="L580" t="s">
        <v>2695</v>
      </c>
      <c r="M580" t="s">
        <v>126</v>
      </c>
      <c r="N580" t="str">
        <f t="shared" si="9"/>
        <v>IHVNfcAMAC</v>
      </c>
    </row>
    <row r="581" spans="8:14" x14ac:dyDescent="0.25">
      <c r="H581" t="s">
        <v>396</v>
      </c>
      <c r="I581" t="s">
        <v>136</v>
      </c>
      <c r="J581" t="s">
        <v>3572</v>
      </c>
      <c r="K581" s="80" t="s">
        <v>2696</v>
      </c>
      <c r="L581" t="s">
        <v>2697</v>
      </c>
      <c r="M581" t="s">
        <v>126</v>
      </c>
      <c r="N581" t="str">
        <f t="shared" si="9"/>
        <v>IHVNfcAMAC</v>
      </c>
    </row>
    <row r="582" spans="8:14" x14ac:dyDescent="0.25">
      <c r="H582" t="s">
        <v>396</v>
      </c>
      <c r="I582" t="s">
        <v>136</v>
      </c>
      <c r="J582" t="s">
        <v>3572</v>
      </c>
      <c r="K582" s="80" t="s">
        <v>2698</v>
      </c>
      <c r="L582" t="s">
        <v>2699</v>
      </c>
      <c r="M582" t="s">
        <v>126</v>
      </c>
      <c r="N582" t="str">
        <f t="shared" si="9"/>
        <v>IHVNfcAMAC</v>
      </c>
    </row>
    <row r="583" spans="8:14" x14ac:dyDescent="0.25">
      <c r="H583" t="s">
        <v>396</v>
      </c>
      <c r="I583" t="s">
        <v>136</v>
      </c>
      <c r="J583" t="s">
        <v>3572</v>
      </c>
      <c r="K583" s="80" t="s">
        <v>2700</v>
      </c>
      <c r="L583" t="s">
        <v>2701</v>
      </c>
      <c r="M583" t="s">
        <v>126</v>
      </c>
      <c r="N583" t="str">
        <f t="shared" si="9"/>
        <v>IHVNfcAMAC</v>
      </c>
    </row>
    <row r="584" spans="8:14" x14ac:dyDescent="0.25">
      <c r="H584" t="s">
        <v>396</v>
      </c>
      <c r="I584" t="s">
        <v>136</v>
      </c>
      <c r="J584" t="s">
        <v>3572</v>
      </c>
      <c r="K584" s="80" t="s">
        <v>2702</v>
      </c>
      <c r="L584" t="s">
        <v>2703</v>
      </c>
      <c r="M584" t="s">
        <v>126</v>
      </c>
      <c r="N584" t="str">
        <f t="shared" si="9"/>
        <v>IHVNfcAMAC</v>
      </c>
    </row>
    <row r="585" spans="8:14" x14ac:dyDescent="0.25">
      <c r="H585" t="s">
        <v>396</v>
      </c>
      <c r="I585" t="s">
        <v>136</v>
      </c>
      <c r="J585" t="s">
        <v>3572</v>
      </c>
      <c r="K585" s="80" t="s">
        <v>2704</v>
      </c>
      <c r="L585" t="s">
        <v>2705</v>
      </c>
      <c r="M585" t="s">
        <v>126</v>
      </c>
      <c r="N585" t="str">
        <f t="shared" si="9"/>
        <v>IHVNfcAMAC</v>
      </c>
    </row>
    <row r="586" spans="8:14" x14ac:dyDescent="0.25">
      <c r="H586" t="s">
        <v>396</v>
      </c>
      <c r="I586" t="s">
        <v>136</v>
      </c>
      <c r="J586" t="s">
        <v>3572</v>
      </c>
      <c r="K586" s="80" t="s">
        <v>2706</v>
      </c>
      <c r="L586" t="s">
        <v>2707</v>
      </c>
      <c r="M586" t="s">
        <v>126</v>
      </c>
      <c r="N586" t="str">
        <f t="shared" si="9"/>
        <v>IHVNfcAMAC</v>
      </c>
    </row>
    <row r="587" spans="8:14" x14ac:dyDescent="0.25">
      <c r="H587" t="s">
        <v>396</v>
      </c>
      <c r="I587" t="s">
        <v>136</v>
      </c>
      <c r="J587" t="s">
        <v>3572</v>
      </c>
      <c r="K587" s="80" t="s">
        <v>2708</v>
      </c>
      <c r="L587" t="s">
        <v>2709</v>
      </c>
      <c r="M587" t="s">
        <v>126</v>
      </c>
      <c r="N587" t="str">
        <f t="shared" si="9"/>
        <v>IHVNfcAMAC</v>
      </c>
    </row>
    <row r="588" spans="8:14" x14ac:dyDescent="0.25">
      <c r="H588" t="s">
        <v>396</v>
      </c>
      <c r="I588" t="s">
        <v>136</v>
      </c>
      <c r="J588" t="s">
        <v>3572</v>
      </c>
      <c r="K588" s="80" t="s">
        <v>2710</v>
      </c>
      <c r="L588" t="s">
        <v>2711</v>
      </c>
      <c r="M588" t="s">
        <v>126</v>
      </c>
      <c r="N588" t="str">
        <f t="shared" si="9"/>
        <v>IHVNfcAMAC</v>
      </c>
    </row>
    <row r="589" spans="8:14" x14ac:dyDescent="0.25">
      <c r="H589" t="s">
        <v>396</v>
      </c>
      <c r="I589" t="s">
        <v>136</v>
      </c>
      <c r="J589" t="s">
        <v>3572</v>
      </c>
      <c r="K589" s="80" t="s">
        <v>2712</v>
      </c>
      <c r="L589" t="s">
        <v>2713</v>
      </c>
      <c r="M589" t="s">
        <v>126</v>
      </c>
      <c r="N589" t="str">
        <f t="shared" si="9"/>
        <v>IHVNfcAMAC</v>
      </c>
    </row>
    <row r="590" spans="8:14" x14ac:dyDescent="0.25">
      <c r="H590" t="s">
        <v>396</v>
      </c>
      <c r="I590" t="s">
        <v>136</v>
      </c>
      <c r="J590" t="s">
        <v>3572</v>
      </c>
      <c r="K590" s="80" t="s">
        <v>2714</v>
      </c>
      <c r="L590" t="s">
        <v>2715</v>
      </c>
      <c r="M590" t="s">
        <v>126</v>
      </c>
      <c r="N590" t="str">
        <f t="shared" si="9"/>
        <v>IHVNfcAMAC</v>
      </c>
    </row>
    <row r="591" spans="8:14" x14ac:dyDescent="0.25">
      <c r="H591" t="s">
        <v>396</v>
      </c>
      <c r="I591" t="s">
        <v>136</v>
      </c>
      <c r="J591" t="s">
        <v>3572</v>
      </c>
      <c r="K591" s="80" t="s">
        <v>2716</v>
      </c>
      <c r="L591" t="s">
        <v>2717</v>
      </c>
      <c r="M591" t="s">
        <v>126</v>
      </c>
      <c r="N591" t="str">
        <f t="shared" si="9"/>
        <v>IHVNfcAMAC</v>
      </c>
    </row>
    <row r="592" spans="8:14" x14ac:dyDescent="0.25">
      <c r="H592" t="s">
        <v>396</v>
      </c>
      <c r="I592" t="s">
        <v>136</v>
      </c>
      <c r="J592" t="s">
        <v>3572</v>
      </c>
      <c r="K592" s="80" t="s">
        <v>2718</v>
      </c>
      <c r="L592" t="s">
        <v>2719</v>
      </c>
      <c r="M592" t="s">
        <v>126</v>
      </c>
      <c r="N592" t="str">
        <f t="shared" si="9"/>
        <v>IHVNfcAMAC</v>
      </c>
    </row>
    <row r="593" spans="8:14" x14ac:dyDescent="0.25">
      <c r="H593" t="s">
        <v>396</v>
      </c>
      <c r="I593" t="s">
        <v>136</v>
      </c>
      <c r="J593" t="s">
        <v>3572</v>
      </c>
      <c r="K593" s="80" t="s">
        <v>2720</v>
      </c>
      <c r="L593" t="s">
        <v>2721</v>
      </c>
      <c r="M593" t="s">
        <v>126</v>
      </c>
      <c r="N593" t="str">
        <f t="shared" si="9"/>
        <v>IHVNfcAMAC</v>
      </c>
    </row>
    <row r="594" spans="8:14" x14ac:dyDescent="0.25">
      <c r="H594" t="s">
        <v>396</v>
      </c>
      <c r="I594" t="s">
        <v>136</v>
      </c>
      <c r="J594" t="s">
        <v>3572</v>
      </c>
      <c r="K594" s="80" t="s">
        <v>2722</v>
      </c>
      <c r="L594" t="s">
        <v>2723</v>
      </c>
      <c r="M594" t="s">
        <v>126</v>
      </c>
      <c r="N594" t="str">
        <f t="shared" si="9"/>
        <v>IHVNfcAMAC</v>
      </c>
    </row>
    <row r="595" spans="8:14" x14ac:dyDescent="0.25">
      <c r="H595" t="s">
        <v>396</v>
      </c>
      <c r="I595" t="s">
        <v>136</v>
      </c>
      <c r="J595" t="s">
        <v>3572</v>
      </c>
      <c r="K595" s="80" t="s">
        <v>2724</v>
      </c>
      <c r="L595" t="s">
        <v>2725</v>
      </c>
      <c r="M595" t="s">
        <v>126</v>
      </c>
      <c r="N595" t="str">
        <f t="shared" si="9"/>
        <v>IHVNfcAMAC</v>
      </c>
    </row>
    <row r="596" spans="8:14" x14ac:dyDescent="0.25">
      <c r="H596" t="s">
        <v>396</v>
      </c>
      <c r="I596" t="s">
        <v>136</v>
      </c>
      <c r="J596" t="s">
        <v>3572</v>
      </c>
      <c r="K596" s="80" t="s">
        <v>2726</v>
      </c>
      <c r="L596" t="s">
        <v>2727</v>
      </c>
      <c r="M596" t="s">
        <v>126</v>
      </c>
      <c r="N596" t="str">
        <f t="shared" si="9"/>
        <v>IHVNfcAMAC</v>
      </c>
    </row>
    <row r="597" spans="8:14" x14ac:dyDescent="0.25">
      <c r="H597" t="s">
        <v>396</v>
      </c>
      <c r="I597" t="s">
        <v>136</v>
      </c>
      <c r="J597" t="s">
        <v>3572</v>
      </c>
      <c r="K597" s="80" t="s">
        <v>2728</v>
      </c>
      <c r="L597" t="s">
        <v>2729</v>
      </c>
      <c r="M597" t="s">
        <v>126</v>
      </c>
      <c r="N597" t="str">
        <f t="shared" si="9"/>
        <v>IHVNfcAMAC</v>
      </c>
    </row>
    <row r="598" spans="8:14" x14ac:dyDescent="0.25">
      <c r="H598" t="s">
        <v>396</v>
      </c>
      <c r="I598" t="s">
        <v>136</v>
      </c>
      <c r="J598" t="s">
        <v>3572</v>
      </c>
      <c r="K598" s="80" t="s">
        <v>2730</v>
      </c>
      <c r="L598" t="s">
        <v>2731</v>
      </c>
      <c r="M598" t="s">
        <v>126</v>
      </c>
      <c r="N598" t="str">
        <f t="shared" si="9"/>
        <v>IHVNfcAMAC</v>
      </c>
    </row>
    <row r="599" spans="8:14" x14ac:dyDescent="0.25">
      <c r="H599" t="s">
        <v>396</v>
      </c>
      <c r="I599" t="s">
        <v>136</v>
      </c>
      <c r="J599" t="s">
        <v>3572</v>
      </c>
      <c r="K599" s="80" t="s">
        <v>2732</v>
      </c>
      <c r="L599" t="s">
        <v>2733</v>
      </c>
      <c r="M599" t="s">
        <v>126</v>
      </c>
      <c r="N599" t="str">
        <f t="shared" si="9"/>
        <v>IHVNfcAMAC</v>
      </c>
    </row>
    <row r="600" spans="8:14" x14ac:dyDescent="0.25">
      <c r="H600" t="s">
        <v>396</v>
      </c>
      <c r="I600" t="s">
        <v>136</v>
      </c>
      <c r="J600" t="s">
        <v>3572</v>
      </c>
      <c r="K600" s="80" t="s">
        <v>2734</v>
      </c>
      <c r="L600" t="s">
        <v>2735</v>
      </c>
      <c r="M600" t="s">
        <v>126</v>
      </c>
      <c r="N600" t="str">
        <f t="shared" si="9"/>
        <v>IHVNfcAMAC</v>
      </c>
    </row>
    <row r="601" spans="8:14" x14ac:dyDescent="0.25">
      <c r="H601" t="s">
        <v>396</v>
      </c>
      <c r="I601" t="s">
        <v>136</v>
      </c>
      <c r="J601" t="s">
        <v>3572</v>
      </c>
      <c r="K601" s="80" t="s">
        <v>2736</v>
      </c>
      <c r="L601" t="s">
        <v>2737</v>
      </c>
      <c r="M601" t="s">
        <v>126</v>
      </c>
      <c r="N601" t="str">
        <f t="shared" si="9"/>
        <v>IHVNfcAMAC</v>
      </c>
    </row>
    <row r="602" spans="8:14" x14ac:dyDescent="0.25">
      <c r="H602" t="s">
        <v>396</v>
      </c>
      <c r="I602" t="s">
        <v>136</v>
      </c>
      <c r="J602" t="s">
        <v>3572</v>
      </c>
      <c r="K602" s="80" t="s">
        <v>2738</v>
      </c>
      <c r="L602" t="s">
        <v>2739</v>
      </c>
      <c r="M602" t="s">
        <v>126</v>
      </c>
      <c r="N602" t="str">
        <f t="shared" si="9"/>
        <v>IHVNfcAMAC</v>
      </c>
    </row>
    <row r="603" spans="8:14" x14ac:dyDescent="0.25">
      <c r="H603" t="s">
        <v>396</v>
      </c>
      <c r="I603" t="s">
        <v>136</v>
      </c>
      <c r="J603" t="s">
        <v>3572</v>
      </c>
      <c r="K603" s="80" t="s">
        <v>2740</v>
      </c>
      <c r="L603" t="s">
        <v>2741</v>
      </c>
      <c r="M603" t="s">
        <v>126</v>
      </c>
      <c r="N603" t="str">
        <f t="shared" si="9"/>
        <v>IHVNfcAMAC</v>
      </c>
    </row>
    <row r="604" spans="8:14" x14ac:dyDescent="0.25">
      <c r="H604" t="s">
        <v>396</v>
      </c>
      <c r="I604" t="s">
        <v>136</v>
      </c>
      <c r="J604" t="s">
        <v>3572</v>
      </c>
      <c r="K604" s="80" t="s">
        <v>2742</v>
      </c>
      <c r="L604" t="s">
        <v>2743</v>
      </c>
      <c r="M604" t="s">
        <v>126</v>
      </c>
      <c r="N604" t="str">
        <f t="shared" si="9"/>
        <v>IHVNfcAMAC</v>
      </c>
    </row>
    <row r="605" spans="8:14" x14ac:dyDescent="0.25">
      <c r="H605" t="s">
        <v>396</v>
      </c>
      <c r="I605" t="s">
        <v>136</v>
      </c>
      <c r="J605" t="s">
        <v>3572</v>
      </c>
      <c r="K605" s="80" t="s">
        <v>2744</v>
      </c>
      <c r="L605" t="s">
        <v>2745</v>
      </c>
      <c r="M605" t="s">
        <v>126</v>
      </c>
      <c r="N605" t="str">
        <f t="shared" si="9"/>
        <v>IHVNfcAMAC</v>
      </c>
    </row>
    <row r="606" spans="8:14" x14ac:dyDescent="0.25">
      <c r="H606" t="s">
        <v>396</v>
      </c>
      <c r="I606" t="s">
        <v>136</v>
      </c>
      <c r="J606" t="s">
        <v>3572</v>
      </c>
      <c r="K606" s="80" t="s">
        <v>2746</v>
      </c>
      <c r="L606" t="s">
        <v>2747</v>
      </c>
      <c r="M606" t="s">
        <v>126</v>
      </c>
      <c r="N606" t="str">
        <f t="shared" si="9"/>
        <v>IHVNfcAMAC</v>
      </c>
    </row>
    <row r="607" spans="8:14" x14ac:dyDescent="0.25">
      <c r="H607" t="s">
        <v>396</v>
      </c>
      <c r="I607" t="s">
        <v>136</v>
      </c>
      <c r="J607" t="s">
        <v>3572</v>
      </c>
      <c r="K607" s="80" t="s">
        <v>2748</v>
      </c>
      <c r="L607" t="s">
        <v>2749</v>
      </c>
      <c r="M607" t="s">
        <v>126</v>
      </c>
      <c r="N607" t="str">
        <f t="shared" si="9"/>
        <v>IHVNfcAMAC</v>
      </c>
    </row>
    <row r="608" spans="8:14" x14ac:dyDescent="0.25">
      <c r="H608" t="s">
        <v>396</v>
      </c>
      <c r="I608" t="s">
        <v>136</v>
      </c>
      <c r="J608" t="s">
        <v>3572</v>
      </c>
      <c r="K608" s="80" t="s">
        <v>2750</v>
      </c>
      <c r="L608" t="s">
        <v>2751</v>
      </c>
      <c r="M608" t="s">
        <v>126</v>
      </c>
      <c r="N608" t="str">
        <f t="shared" si="9"/>
        <v>IHVNfcAMAC</v>
      </c>
    </row>
    <row r="609" spans="8:14" x14ac:dyDescent="0.25">
      <c r="H609" t="s">
        <v>396</v>
      </c>
      <c r="I609" t="s">
        <v>136</v>
      </c>
      <c r="J609" t="s">
        <v>3572</v>
      </c>
      <c r="K609" s="80" t="s">
        <v>2752</v>
      </c>
      <c r="L609" t="s">
        <v>2753</v>
      </c>
      <c r="M609" t="s">
        <v>126</v>
      </c>
      <c r="N609" t="str">
        <f t="shared" si="9"/>
        <v>IHVNfcAMAC</v>
      </c>
    </row>
    <row r="610" spans="8:14" x14ac:dyDescent="0.25">
      <c r="H610" t="s">
        <v>396</v>
      </c>
      <c r="I610" t="s">
        <v>136</v>
      </c>
      <c r="J610" t="s">
        <v>3572</v>
      </c>
      <c r="K610" s="80" t="s">
        <v>2754</v>
      </c>
      <c r="L610" t="s">
        <v>2755</v>
      </c>
      <c r="M610" t="s">
        <v>126</v>
      </c>
      <c r="N610" t="str">
        <f t="shared" si="9"/>
        <v>IHVNfcAMAC</v>
      </c>
    </row>
    <row r="611" spans="8:14" x14ac:dyDescent="0.25">
      <c r="H611" t="s">
        <v>396</v>
      </c>
      <c r="I611" t="s">
        <v>136</v>
      </c>
      <c r="J611" t="s">
        <v>3572</v>
      </c>
      <c r="K611" s="80" t="s">
        <v>2756</v>
      </c>
      <c r="L611" t="s">
        <v>2757</v>
      </c>
      <c r="M611" t="s">
        <v>126</v>
      </c>
      <c r="N611" t="str">
        <f t="shared" si="9"/>
        <v>IHVNfcAMAC</v>
      </c>
    </row>
    <row r="612" spans="8:14" x14ac:dyDescent="0.25">
      <c r="H612" t="s">
        <v>396</v>
      </c>
      <c r="I612" t="s">
        <v>136</v>
      </c>
      <c r="J612" t="s">
        <v>3572</v>
      </c>
      <c r="K612" s="80" t="s">
        <v>2758</v>
      </c>
      <c r="L612" t="s">
        <v>2759</v>
      </c>
      <c r="M612" t="s">
        <v>126</v>
      </c>
      <c r="N612" t="str">
        <f t="shared" si="9"/>
        <v>IHVNfcAMAC</v>
      </c>
    </row>
    <row r="613" spans="8:14" x14ac:dyDescent="0.25">
      <c r="H613" t="s">
        <v>396</v>
      </c>
      <c r="I613" t="s">
        <v>136</v>
      </c>
      <c r="J613" t="s">
        <v>3572</v>
      </c>
      <c r="K613" s="80" t="s">
        <v>2760</v>
      </c>
      <c r="L613" t="s">
        <v>2761</v>
      </c>
      <c r="M613" t="s">
        <v>126</v>
      </c>
      <c r="N613" t="str">
        <f t="shared" si="9"/>
        <v>IHVNfcAMAC</v>
      </c>
    </row>
    <row r="614" spans="8:14" x14ac:dyDescent="0.25">
      <c r="H614" t="s">
        <v>396</v>
      </c>
      <c r="I614" t="s">
        <v>136</v>
      </c>
      <c r="J614" t="s">
        <v>3572</v>
      </c>
      <c r="K614" s="80" t="s">
        <v>2762</v>
      </c>
      <c r="L614" t="s">
        <v>2763</v>
      </c>
      <c r="M614" t="s">
        <v>126</v>
      </c>
      <c r="N614" t="str">
        <f t="shared" si="9"/>
        <v>IHVNfcAMAC</v>
      </c>
    </row>
    <row r="615" spans="8:14" x14ac:dyDescent="0.25">
      <c r="H615" t="s">
        <v>396</v>
      </c>
      <c r="I615" t="s">
        <v>136</v>
      </c>
      <c r="J615" t="s">
        <v>3572</v>
      </c>
      <c r="K615" s="80" t="s">
        <v>2764</v>
      </c>
      <c r="L615" t="s">
        <v>2765</v>
      </c>
      <c r="M615" t="s">
        <v>126</v>
      </c>
      <c r="N615" t="str">
        <f t="shared" si="9"/>
        <v>IHVNfcAMAC</v>
      </c>
    </row>
    <row r="616" spans="8:14" x14ac:dyDescent="0.25">
      <c r="H616" t="s">
        <v>396</v>
      </c>
      <c r="I616" t="s">
        <v>136</v>
      </c>
      <c r="J616" t="s">
        <v>3572</v>
      </c>
      <c r="K616" s="80" t="s">
        <v>2766</v>
      </c>
      <c r="L616" t="s">
        <v>2767</v>
      </c>
      <c r="M616" t="s">
        <v>126</v>
      </c>
      <c r="N616" t="str">
        <f t="shared" si="9"/>
        <v>IHVNfcAMAC</v>
      </c>
    </row>
    <row r="617" spans="8:14" x14ac:dyDescent="0.25">
      <c r="H617" t="s">
        <v>396</v>
      </c>
      <c r="I617" t="s">
        <v>136</v>
      </c>
      <c r="J617" t="s">
        <v>3572</v>
      </c>
      <c r="K617" s="80" t="s">
        <v>2768</v>
      </c>
      <c r="L617" t="s">
        <v>2769</v>
      </c>
      <c r="M617" t="s">
        <v>126</v>
      </c>
      <c r="N617" t="str">
        <f t="shared" si="9"/>
        <v>IHVNfcAMAC</v>
      </c>
    </row>
    <row r="618" spans="8:14" x14ac:dyDescent="0.25">
      <c r="H618" t="s">
        <v>396</v>
      </c>
      <c r="I618" t="s">
        <v>136</v>
      </c>
      <c r="J618" t="s">
        <v>3572</v>
      </c>
      <c r="K618" s="80" t="s">
        <v>2770</v>
      </c>
      <c r="L618" t="s">
        <v>2771</v>
      </c>
      <c r="M618" t="s">
        <v>126</v>
      </c>
      <c r="N618" t="str">
        <f t="shared" si="9"/>
        <v>IHVNfcAMAC</v>
      </c>
    </row>
    <row r="619" spans="8:14" x14ac:dyDescent="0.25">
      <c r="H619" t="s">
        <v>396</v>
      </c>
      <c r="I619" t="s">
        <v>136</v>
      </c>
      <c r="J619" t="s">
        <v>3572</v>
      </c>
      <c r="K619" s="80" t="s">
        <v>2772</v>
      </c>
      <c r="L619" t="s">
        <v>2773</v>
      </c>
      <c r="M619" t="s">
        <v>126</v>
      </c>
      <c r="N619" t="str">
        <f t="shared" si="9"/>
        <v>IHVNfcAMAC</v>
      </c>
    </row>
    <row r="620" spans="8:14" x14ac:dyDescent="0.25">
      <c r="H620" t="s">
        <v>396</v>
      </c>
      <c r="I620" t="s">
        <v>136</v>
      </c>
      <c r="J620" t="s">
        <v>3572</v>
      </c>
      <c r="K620" s="80" t="s">
        <v>2774</v>
      </c>
      <c r="L620" t="s">
        <v>2775</v>
      </c>
      <c r="M620" t="s">
        <v>126</v>
      </c>
      <c r="N620" t="str">
        <f t="shared" si="9"/>
        <v>IHVNfcAMAC</v>
      </c>
    </row>
    <row r="621" spans="8:14" x14ac:dyDescent="0.25">
      <c r="H621" t="s">
        <v>396</v>
      </c>
      <c r="I621" t="s">
        <v>136</v>
      </c>
      <c r="J621" t="s">
        <v>3572</v>
      </c>
      <c r="K621" s="80" t="s">
        <v>2776</v>
      </c>
      <c r="L621" t="s">
        <v>2777</v>
      </c>
      <c r="M621" t="s">
        <v>126</v>
      </c>
      <c r="N621" t="str">
        <f t="shared" si="9"/>
        <v>IHVNfcAMAC</v>
      </c>
    </row>
    <row r="622" spans="8:14" x14ac:dyDescent="0.25">
      <c r="H622" t="s">
        <v>396</v>
      </c>
      <c r="I622" t="s">
        <v>136</v>
      </c>
      <c r="J622" t="s">
        <v>3572</v>
      </c>
      <c r="K622" s="80" t="s">
        <v>2778</v>
      </c>
      <c r="L622" t="s">
        <v>2779</v>
      </c>
      <c r="M622" t="s">
        <v>126</v>
      </c>
      <c r="N622" t="str">
        <f t="shared" si="9"/>
        <v>IHVNfcAMAC</v>
      </c>
    </row>
    <row r="623" spans="8:14" x14ac:dyDescent="0.25">
      <c r="H623" t="s">
        <v>396</v>
      </c>
      <c r="I623" t="s">
        <v>136</v>
      </c>
      <c r="J623" t="s">
        <v>3572</v>
      </c>
      <c r="K623" s="80" t="s">
        <v>2780</v>
      </c>
      <c r="L623" t="s">
        <v>2781</v>
      </c>
      <c r="M623" t="s">
        <v>126</v>
      </c>
      <c r="N623" t="str">
        <f t="shared" si="9"/>
        <v>IHVNfcAMAC</v>
      </c>
    </row>
    <row r="624" spans="8:14" x14ac:dyDescent="0.25">
      <c r="H624" t="s">
        <v>396</v>
      </c>
      <c r="I624" t="s">
        <v>136</v>
      </c>
      <c r="J624" t="s">
        <v>3572</v>
      </c>
      <c r="K624" s="80" t="s">
        <v>2782</v>
      </c>
      <c r="L624" t="s">
        <v>2783</v>
      </c>
      <c r="M624" t="s">
        <v>126</v>
      </c>
      <c r="N624" t="str">
        <f t="shared" si="9"/>
        <v>IHVNfcAMAC</v>
      </c>
    </row>
    <row r="625" spans="8:14" x14ac:dyDescent="0.25">
      <c r="H625" t="s">
        <v>396</v>
      </c>
      <c r="I625" t="s">
        <v>136</v>
      </c>
      <c r="J625" t="s">
        <v>3572</v>
      </c>
      <c r="K625" s="80" t="s">
        <v>2784</v>
      </c>
      <c r="L625" t="s">
        <v>2785</v>
      </c>
      <c r="M625" t="s">
        <v>126</v>
      </c>
      <c r="N625" t="str">
        <f t="shared" si="9"/>
        <v>IHVNfcAMAC</v>
      </c>
    </row>
    <row r="626" spans="8:14" x14ac:dyDescent="0.25">
      <c r="H626" t="s">
        <v>396</v>
      </c>
      <c r="I626" t="s">
        <v>136</v>
      </c>
      <c r="J626" t="s">
        <v>3572</v>
      </c>
      <c r="K626" s="80" t="s">
        <v>2786</v>
      </c>
      <c r="L626" t="s">
        <v>2787</v>
      </c>
      <c r="M626" t="s">
        <v>126</v>
      </c>
      <c r="N626" t="str">
        <f t="shared" si="9"/>
        <v>IHVNfcAMAC</v>
      </c>
    </row>
    <row r="627" spans="8:14" x14ac:dyDescent="0.25">
      <c r="H627" t="s">
        <v>396</v>
      </c>
      <c r="I627" t="s">
        <v>136</v>
      </c>
      <c r="J627" t="s">
        <v>3572</v>
      </c>
      <c r="K627" s="80" t="s">
        <v>2788</v>
      </c>
      <c r="L627" t="s">
        <v>2789</v>
      </c>
      <c r="M627" t="s">
        <v>126</v>
      </c>
      <c r="N627" t="str">
        <f t="shared" si="9"/>
        <v>IHVNfcAMAC</v>
      </c>
    </row>
    <row r="628" spans="8:14" x14ac:dyDescent="0.25">
      <c r="H628" t="s">
        <v>396</v>
      </c>
      <c r="I628" t="s">
        <v>136</v>
      </c>
      <c r="J628" t="s">
        <v>3572</v>
      </c>
      <c r="K628" s="80" t="s">
        <v>2790</v>
      </c>
      <c r="L628" t="s">
        <v>2791</v>
      </c>
      <c r="M628" t="s">
        <v>126</v>
      </c>
      <c r="N628" t="str">
        <f t="shared" si="9"/>
        <v>IHVNfcAMAC</v>
      </c>
    </row>
    <row r="629" spans="8:14" x14ac:dyDescent="0.25">
      <c r="H629" t="s">
        <v>396</v>
      </c>
      <c r="I629" t="s">
        <v>136</v>
      </c>
      <c r="J629" t="s">
        <v>3572</v>
      </c>
      <c r="K629" s="80" t="s">
        <v>2792</v>
      </c>
      <c r="L629" t="s">
        <v>2793</v>
      </c>
      <c r="M629" t="s">
        <v>126</v>
      </c>
      <c r="N629" t="str">
        <f t="shared" si="9"/>
        <v>IHVNfcAMAC</v>
      </c>
    </row>
    <row r="630" spans="8:14" x14ac:dyDescent="0.25">
      <c r="H630" t="s">
        <v>396</v>
      </c>
      <c r="I630" t="s">
        <v>136</v>
      </c>
      <c r="J630" t="s">
        <v>3572</v>
      </c>
      <c r="K630" s="80" t="s">
        <v>2794</v>
      </c>
      <c r="L630" t="s">
        <v>2795</v>
      </c>
      <c r="M630" t="s">
        <v>126</v>
      </c>
      <c r="N630" t="str">
        <f t="shared" si="9"/>
        <v>IHVNfcAMAC</v>
      </c>
    </row>
    <row r="631" spans="8:14" x14ac:dyDescent="0.25">
      <c r="H631" t="s">
        <v>396</v>
      </c>
      <c r="I631" t="s">
        <v>136</v>
      </c>
      <c r="J631" t="s">
        <v>3572</v>
      </c>
      <c r="K631" s="80" t="s">
        <v>2796</v>
      </c>
      <c r="L631" t="s">
        <v>2797</v>
      </c>
      <c r="M631" t="s">
        <v>126</v>
      </c>
      <c r="N631" t="str">
        <f t="shared" si="9"/>
        <v>IHVNfcAMAC</v>
      </c>
    </row>
    <row r="632" spans="8:14" x14ac:dyDescent="0.25">
      <c r="H632" t="s">
        <v>396</v>
      </c>
      <c r="I632" t="s">
        <v>136</v>
      </c>
      <c r="J632" t="s">
        <v>3572</v>
      </c>
      <c r="K632" s="80" t="s">
        <v>2798</v>
      </c>
      <c r="L632" t="s">
        <v>2799</v>
      </c>
      <c r="M632" t="s">
        <v>126</v>
      </c>
      <c r="N632" t="str">
        <f t="shared" si="9"/>
        <v>IHVNfcAMAC</v>
      </c>
    </row>
    <row r="633" spans="8:14" x14ac:dyDescent="0.25">
      <c r="H633" t="s">
        <v>396</v>
      </c>
      <c r="I633" t="s">
        <v>136</v>
      </c>
      <c r="J633" t="s">
        <v>3572</v>
      </c>
      <c r="K633" s="80" t="s">
        <v>2800</v>
      </c>
      <c r="L633" t="s">
        <v>2801</v>
      </c>
      <c r="M633" t="s">
        <v>126</v>
      </c>
      <c r="N633" t="str">
        <f t="shared" si="9"/>
        <v>IHVNfcAMAC</v>
      </c>
    </row>
    <row r="634" spans="8:14" x14ac:dyDescent="0.25">
      <c r="H634" t="s">
        <v>396</v>
      </c>
      <c r="I634" t="s">
        <v>136</v>
      </c>
      <c r="J634" t="s">
        <v>3572</v>
      </c>
      <c r="K634" s="80" t="s">
        <v>2802</v>
      </c>
      <c r="L634" t="s">
        <v>2803</v>
      </c>
      <c r="M634" t="s">
        <v>126</v>
      </c>
      <c r="N634" t="str">
        <f t="shared" si="9"/>
        <v>IHVNfcAMAC</v>
      </c>
    </row>
    <row r="635" spans="8:14" x14ac:dyDescent="0.25">
      <c r="H635" t="s">
        <v>396</v>
      </c>
      <c r="I635" t="s">
        <v>136</v>
      </c>
      <c r="J635" t="s">
        <v>3572</v>
      </c>
      <c r="K635" s="80" t="s">
        <v>2804</v>
      </c>
      <c r="L635" t="s">
        <v>2805</v>
      </c>
      <c r="M635" t="s">
        <v>126</v>
      </c>
      <c r="N635" t="str">
        <f t="shared" si="9"/>
        <v>IHVNfcAMAC</v>
      </c>
    </row>
    <row r="636" spans="8:14" x14ac:dyDescent="0.25">
      <c r="H636" t="s">
        <v>396</v>
      </c>
      <c r="I636" t="s">
        <v>136</v>
      </c>
      <c r="J636" t="s">
        <v>3572</v>
      </c>
      <c r="K636" s="80" t="s">
        <v>2806</v>
      </c>
      <c r="L636" t="s">
        <v>2807</v>
      </c>
      <c r="M636" t="s">
        <v>126</v>
      </c>
      <c r="N636" t="str">
        <f t="shared" si="9"/>
        <v>IHVNfcAMAC</v>
      </c>
    </row>
    <row r="637" spans="8:14" x14ac:dyDescent="0.25">
      <c r="H637" t="s">
        <v>396</v>
      </c>
      <c r="I637" t="s">
        <v>136</v>
      </c>
      <c r="J637" t="s">
        <v>3572</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2018-01-26T09:43:52Z</dcterms:modified>
</cp:coreProperties>
</file>